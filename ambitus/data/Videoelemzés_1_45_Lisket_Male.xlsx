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MBITUS\"/>
    </mc:Choice>
  </mc:AlternateContent>
  <bookViews>
    <workbookView xWindow="0" yWindow="0" windowWidth="23040" windowHeight="9192"/>
  </bookViews>
  <sheets>
    <sheet name="LE_17_1_45" sheetId="1" r:id="rId1"/>
    <sheet name="transpose" sheetId="6" r:id="rId2"/>
    <sheet name="Ábrák" sheetId="7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GV16" i="1" l="1"/>
  <c r="KGW16" i="1"/>
  <c r="KGX16" i="1"/>
  <c r="KGY16" i="1"/>
  <c r="KGZ16" i="1"/>
  <c r="KHA16" i="1"/>
  <c r="KHB16" i="1"/>
  <c r="KHC16" i="1"/>
  <c r="KHD16" i="1"/>
  <c r="KHE16" i="1"/>
  <c r="KHF16" i="1"/>
  <c r="KHG16" i="1"/>
  <c r="KHH16" i="1"/>
  <c r="KHI16" i="1"/>
  <c r="KHJ16" i="1"/>
  <c r="KHK16" i="1"/>
  <c r="KHL16" i="1"/>
  <c r="KHM16" i="1"/>
  <c r="KHN16" i="1"/>
  <c r="KHO16" i="1"/>
  <c r="KHP16" i="1"/>
  <c r="KHQ16" i="1"/>
  <c r="KHR16" i="1"/>
  <c r="KHS16" i="1"/>
  <c r="KHT16" i="1"/>
  <c r="KHU16" i="1"/>
  <c r="KHV16" i="1"/>
  <c r="KHW16" i="1"/>
  <c r="KHX16" i="1"/>
  <c r="KHY16" i="1"/>
  <c r="KHZ16" i="1"/>
  <c r="KIA16" i="1"/>
  <c r="KIB16" i="1"/>
  <c r="KIC16" i="1"/>
  <c r="KID16" i="1"/>
  <c r="KIE16" i="1"/>
  <c r="KIF16" i="1"/>
  <c r="KIG16" i="1"/>
  <c r="KIH16" i="1"/>
  <c r="KII16" i="1"/>
  <c r="KIJ16" i="1"/>
  <c r="KIK16" i="1"/>
  <c r="KIL16" i="1"/>
  <c r="KIM16" i="1"/>
  <c r="KIN16" i="1"/>
  <c r="KIO16" i="1"/>
  <c r="KIP16" i="1"/>
  <c r="KIQ16" i="1"/>
  <c r="KIR16" i="1"/>
  <c r="KIS16" i="1"/>
  <c r="KIT16" i="1"/>
  <c r="KIU16" i="1"/>
  <c r="KIV16" i="1"/>
  <c r="KIW16" i="1"/>
  <c r="KIX16" i="1"/>
  <c r="KIY16" i="1"/>
  <c r="KIZ16" i="1"/>
  <c r="KJA16" i="1"/>
  <c r="KJB16" i="1"/>
  <c r="KJC16" i="1"/>
  <c r="KJD16" i="1"/>
  <c r="KJE16" i="1"/>
  <c r="KJF16" i="1"/>
  <c r="KJG16" i="1"/>
  <c r="KJH16" i="1"/>
  <c r="KJI16" i="1"/>
  <c r="KJJ16" i="1"/>
  <c r="KJK16" i="1"/>
  <c r="KJL16" i="1"/>
  <c r="KJM16" i="1"/>
  <c r="KJN16" i="1"/>
  <c r="KJO16" i="1"/>
  <c r="KJP16" i="1"/>
  <c r="KJQ16" i="1"/>
  <c r="KJR16" i="1"/>
  <c r="KJS16" i="1"/>
  <c r="KJT16" i="1"/>
  <c r="KJU16" i="1"/>
  <c r="KJV16" i="1"/>
  <c r="KJW16" i="1"/>
  <c r="KJX16" i="1"/>
  <c r="KJY16" i="1"/>
  <c r="KJZ16" i="1"/>
  <c r="KKA16" i="1"/>
  <c r="KKB16" i="1"/>
  <c r="KKC16" i="1"/>
  <c r="KKD16" i="1"/>
  <c r="KKE16" i="1"/>
  <c r="KKF16" i="1"/>
  <c r="KKG16" i="1"/>
  <c r="KKH16" i="1"/>
  <c r="KKI16" i="1"/>
  <c r="KKJ16" i="1"/>
  <c r="KKK16" i="1"/>
  <c r="KKL16" i="1"/>
  <c r="KKM16" i="1"/>
  <c r="KKN16" i="1"/>
  <c r="KKO16" i="1"/>
  <c r="KKP16" i="1"/>
  <c r="KGV17" i="1"/>
  <c r="KGW17" i="1"/>
  <c r="KGX17" i="1"/>
  <c r="KGY17" i="1"/>
  <c r="KGZ17" i="1"/>
  <c r="KHA17" i="1"/>
  <c r="KHB17" i="1"/>
  <c r="KHC17" i="1"/>
  <c r="KHD17" i="1"/>
  <c r="KHE17" i="1"/>
  <c r="KHF17" i="1"/>
  <c r="KHG17" i="1"/>
  <c r="KHH17" i="1"/>
  <c r="KHI17" i="1"/>
  <c r="KHJ17" i="1"/>
  <c r="KHK17" i="1"/>
  <c r="KHL17" i="1"/>
  <c r="KHM17" i="1"/>
  <c r="KHN17" i="1"/>
  <c r="KHO17" i="1"/>
  <c r="KHP17" i="1"/>
  <c r="KHQ17" i="1"/>
  <c r="KHR17" i="1"/>
  <c r="KHS17" i="1"/>
  <c r="KHT17" i="1"/>
  <c r="KHU17" i="1"/>
  <c r="KHV17" i="1"/>
  <c r="KHW17" i="1"/>
  <c r="KHX17" i="1"/>
  <c r="KHY17" i="1"/>
  <c r="KHZ17" i="1"/>
  <c r="KIA17" i="1"/>
  <c r="KIB17" i="1"/>
  <c r="KIC17" i="1"/>
  <c r="KID17" i="1"/>
  <c r="KIE17" i="1"/>
  <c r="KIF17" i="1"/>
  <c r="KIG17" i="1"/>
  <c r="KIH17" i="1"/>
  <c r="KII17" i="1"/>
  <c r="KIJ17" i="1"/>
  <c r="KIK17" i="1"/>
  <c r="KIL17" i="1"/>
  <c r="KIM17" i="1"/>
  <c r="KIN17" i="1"/>
  <c r="KIO17" i="1"/>
  <c r="KIP17" i="1"/>
  <c r="KIQ17" i="1"/>
  <c r="KIR17" i="1"/>
  <c r="KIS17" i="1"/>
  <c r="KIT17" i="1"/>
  <c r="KIU17" i="1"/>
  <c r="KIV17" i="1"/>
  <c r="KIW17" i="1"/>
  <c r="KIX17" i="1"/>
  <c r="KIY17" i="1"/>
  <c r="KIZ17" i="1"/>
  <c r="KJA17" i="1"/>
  <c r="KJB17" i="1"/>
  <c r="KJC17" i="1"/>
  <c r="KJD17" i="1"/>
  <c r="KJE17" i="1"/>
  <c r="KJF17" i="1"/>
  <c r="KJG17" i="1"/>
  <c r="KJH17" i="1"/>
  <c r="KJI17" i="1"/>
  <c r="KJJ17" i="1"/>
  <c r="KJK17" i="1"/>
  <c r="KJL17" i="1"/>
  <c r="KJM17" i="1"/>
  <c r="KJN17" i="1"/>
  <c r="KJO17" i="1"/>
  <c r="KJP17" i="1"/>
  <c r="KJQ17" i="1"/>
  <c r="KJR17" i="1"/>
  <c r="KJS17" i="1"/>
  <c r="KJT17" i="1"/>
  <c r="KJU17" i="1"/>
  <c r="KJV17" i="1"/>
  <c r="KJW17" i="1"/>
  <c r="KJX17" i="1"/>
  <c r="KJY17" i="1"/>
  <c r="KJZ17" i="1"/>
  <c r="KKA17" i="1"/>
  <c r="KKB17" i="1"/>
  <c r="KKC17" i="1"/>
  <c r="KKD17" i="1"/>
  <c r="KKE17" i="1"/>
  <c r="KKF17" i="1"/>
  <c r="KKG17" i="1"/>
  <c r="KKH17" i="1"/>
  <c r="KKI17" i="1"/>
  <c r="KKJ17" i="1"/>
  <c r="KKK17" i="1"/>
  <c r="KKL17" i="1"/>
  <c r="KKM17" i="1"/>
  <c r="KKN17" i="1"/>
  <c r="KKO17" i="1"/>
  <c r="KKP17" i="1"/>
  <c r="KGV18" i="1"/>
  <c r="KGW18" i="1"/>
  <c r="KGX18" i="1"/>
  <c r="KGY18" i="1"/>
  <c r="KGZ18" i="1"/>
  <c r="KHA18" i="1"/>
  <c r="KHB18" i="1"/>
  <c r="KHC18" i="1"/>
  <c r="KHD18" i="1"/>
  <c r="KHE18" i="1"/>
  <c r="KHF18" i="1"/>
  <c r="KHG18" i="1"/>
  <c r="KHH18" i="1"/>
  <c r="KHI18" i="1"/>
  <c r="KHJ18" i="1"/>
  <c r="KHK18" i="1"/>
  <c r="KHL18" i="1"/>
  <c r="KHM18" i="1"/>
  <c r="KHN18" i="1"/>
  <c r="KHO18" i="1"/>
  <c r="KHP18" i="1"/>
  <c r="KHQ18" i="1"/>
  <c r="KHR18" i="1"/>
  <c r="KHS18" i="1"/>
  <c r="KHT18" i="1"/>
  <c r="KHU18" i="1"/>
  <c r="KHV18" i="1"/>
  <c r="KHW18" i="1"/>
  <c r="KHX18" i="1"/>
  <c r="KHY18" i="1"/>
  <c r="KHZ18" i="1"/>
  <c r="KIA18" i="1"/>
  <c r="KIB18" i="1"/>
  <c r="KIC18" i="1"/>
  <c r="KID18" i="1"/>
  <c r="KIE18" i="1"/>
  <c r="KIF18" i="1"/>
  <c r="KIG18" i="1"/>
  <c r="KIH18" i="1"/>
  <c r="KII18" i="1"/>
  <c r="KIJ18" i="1"/>
  <c r="KIK18" i="1"/>
  <c r="KIL18" i="1"/>
  <c r="KIM18" i="1"/>
  <c r="KIN18" i="1"/>
  <c r="KIO18" i="1"/>
  <c r="KIP18" i="1"/>
  <c r="KIQ18" i="1"/>
  <c r="KIR18" i="1"/>
  <c r="KIS18" i="1"/>
  <c r="KIT18" i="1"/>
  <c r="KIU18" i="1"/>
  <c r="KIV18" i="1"/>
  <c r="KIW18" i="1"/>
  <c r="KIX18" i="1"/>
  <c r="KIY18" i="1"/>
  <c r="KIZ18" i="1"/>
  <c r="KJA18" i="1"/>
  <c r="KJB18" i="1"/>
  <c r="KJC18" i="1"/>
  <c r="KJD18" i="1"/>
  <c r="KJE18" i="1"/>
  <c r="KJF18" i="1"/>
  <c r="KJG18" i="1"/>
  <c r="KJH18" i="1"/>
  <c r="KJI18" i="1"/>
  <c r="KJJ18" i="1"/>
  <c r="KJK18" i="1"/>
  <c r="KJL18" i="1"/>
  <c r="KJM18" i="1"/>
  <c r="KJN18" i="1"/>
  <c r="KJO18" i="1"/>
  <c r="KJP18" i="1"/>
  <c r="KJQ18" i="1"/>
  <c r="KJR18" i="1"/>
  <c r="KJS18" i="1"/>
  <c r="KJT18" i="1"/>
  <c r="KJU18" i="1"/>
  <c r="KJV18" i="1"/>
  <c r="KJW18" i="1"/>
  <c r="KJX18" i="1"/>
  <c r="KJY18" i="1"/>
  <c r="KJZ18" i="1"/>
  <c r="KKA18" i="1"/>
  <c r="KKB18" i="1"/>
  <c r="KKC18" i="1"/>
  <c r="KKD18" i="1"/>
  <c r="KKE18" i="1"/>
  <c r="KKF18" i="1"/>
  <c r="KKG18" i="1"/>
  <c r="KKH18" i="1"/>
  <c r="KKI18" i="1"/>
  <c r="KKJ18" i="1"/>
  <c r="KKK18" i="1"/>
  <c r="KKL18" i="1"/>
  <c r="KKM18" i="1"/>
  <c r="KKN18" i="1"/>
  <c r="KKO18" i="1"/>
  <c r="KKP18" i="1"/>
  <c r="KGV19" i="1"/>
  <c r="KGW19" i="1"/>
  <c r="KGX19" i="1"/>
  <c r="KGY19" i="1"/>
  <c r="KGZ19" i="1"/>
  <c r="KHA19" i="1"/>
  <c r="KHB19" i="1"/>
  <c r="KHC19" i="1"/>
  <c r="KHD19" i="1"/>
  <c r="KHE19" i="1"/>
  <c r="KHF19" i="1"/>
  <c r="KHG19" i="1"/>
  <c r="KHH19" i="1"/>
  <c r="KHI19" i="1"/>
  <c r="KHJ19" i="1"/>
  <c r="KHK19" i="1"/>
  <c r="KHL19" i="1"/>
  <c r="KHM19" i="1"/>
  <c r="KHN19" i="1"/>
  <c r="KHO19" i="1"/>
  <c r="KHP19" i="1"/>
  <c r="KHQ19" i="1"/>
  <c r="KHR19" i="1"/>
  <c r="KHS19" i="1"/>
  <c r="KHT19" i="1"/>
  <c r="KHU19" i="1"/>
  <c r="KHV19" i="1"/>
  <c r="KHW19" i="1"/>
  <c r="KHX19" i="1"/>
  <c r="KHY19" i="1"/>
  <c r="KHZ19" i="1"/>
  <c r="KIA19" i="1"/>
  <c r="KIB19" i="1"/>
  <c r="KIC19" i="1"/>
  <c r="KID19" i="1"/>
  <c r="KIE19" i="1"/>
  <c r="KIF19" i="1"/>
  <c r="KIG19" i="1"/>
  <c r="KIH19" i="1"/>
  <c r="KII19" i="1"/>
  <c r="KIJ19" i="1"/>
  <c r="KIK19" i="1"/>
  <c r="KIL19" i="1"/>
  <c r="KIM19" i="1"/>
  <c r="KIN19" i="1"/>
  <c r="KIO19" i="1"/>
  <c r="KIP19" i="1"/>
  <c r="KIQ19" i="1"/>
  <c r="KIR19" i="1"/>
  <c r="KIS19" i="1"/>
  <c r="KIT19" i="1"/>
  <c r="KIU19" i="1"/>
  <c r="KIV19" i="1"/>
  <c r="KIW19" i="1"/>
  <c r="KIX19" i="1"/>
  <c r="KIY19" i="1"/>
  <c r="KIZ19" i="1"/>
  <c r="KJA19" i="1"/>
  <c r="KJB19" i="1"/>
  <c r="KJC19" i="1"/>
  <c r="KJD19" i="1"/>
  <c r="KJE19" i="1"/>
  <c r="KJF19" i="1"/>
  <c r="KJG19" i="1"/>
  <c r="KJH19" i="1"/>
  <c r="KJI19" i="1"/>
  <c r="KJJ19" i="1"/>
  <c r="KJK19" i="1"/>
  <c r="KJL19" i="1"/>
  <c r="KJM19" i="1"/>
  <c r="KJN19" i="1"/>
  <c r="KJO19" i="1"/>
  <c r="KJP19" i="1"/>
  <c r="KJQ19" i="1"/>
  <c r="KJR19" i="1"/>
  <c r="KJS19" i="1"/>
  <c r="KJT19" i="1"/>
  <c r="KJU19" i="1"/>
  <c r="KJV19" i="1"/>
  <c r="KJW19" i="1"/>
  <c r="KJX19" i="1"/>
  <c r="KJY19" i="1"/>
  <c r="KJZ19" i="1"/>
  <c r="KKA19" i="1"/>
  <c r="KKB19" i="1"/>
  <c r="KKC19" i="1"/>
  <c r="KKD19" i="1"/>
  <c r="KKE19" i="1"/>
  <c r="KKF19" i="1"/>
  <c r="KKG19" i="1"/>
  <c r="KKH19" i="1"/>
  <c r="KKI19" i="1"/>
  <c r="KKJ19" i="1"/>
  <c r="KKK19" i="1"/>
  <c r="KKL19" i="1"/>
  <c r="KKM19" i="1"/>
  <c r="KKN19" i="1"/>
  <c r="KKO19" i="1"/>
  <c r="KKP19" i="1"/>
  <c r="KGV20" i="1"/>
  <c r="KGW20" i="1"/>
  <c r="KGX20" i="1"/>
  <c r="KGY20" i="1"/>
  <c r="KGZ20" i="1"/>
  <c r="KHA20" i="1"/>
  <c r="KHB20" i="1"/>
  <c r="KHC20" i="1"/>
  <c r="KHD20" i="1"/>
  <c r="KHE20" i="1"/>
  <c r="KHF20" i="1"/>
  <c r="KHG20" i="1"/>
  <c r="KHH20" i="1"/>
  <c r="KHI20" i="1"/>
  <c r="KHJ20" i="1"/>
  <c r="KHK20" i="1"/>
  <c r="KHL20" i="1"/>
  <c r="KHM20" i="1"/>
  <c r="KHN20" i="1"/>
  <c r="KHO20" i="1"/>
  <c r="KHP20" i="1"/>
  <c r="KHQ20" i="1"/>
  <c r="KHR20" i="1"/>
  <c r="KHS20" i="1"/>
  <c r="KHT20" i="1"/>
  <c r="KHU20" i="1"/>
  <c r="KHV20" i="1"/>
  <c r="KHW20" i="1"/>
  <c r="KHX20" i="1"/>
  <c r="KHY20" i="1"/>
  <c r="KHZ20" i="1"/>
  <c r="KIA20" i="1"/>
  <c r="KIB20" i="1"/>
  <c r="KIC20" i="1"/>
  <c r="KID20" i="1"/>
  <c r="KIE20" i="1"/>
  <c r="KIF20" i="1"/>
  <c r="KIG20" i="1"/>
  <c r="KIH20" i="1"/>
  <c r="KII20" i="1"/>
  <c r="KIJ20" i="1"/>
  <c r="KIK20" i="1"/>
  <c r="KIL20" i="1"/>
  <c r="KIM20" i="1"/>
  <c r="KIN20" i="1"/>
  <c r="KIO20" i="1"/>
  <c r="KIP20" i="1"/>
  <c r="KIQ20" i="1"/>
  <c r="KIR20" i="1"/>
  <c r="KIS20" i="1"/>
  <c r="KIT20" i="1"/>
  <c r="KIU20" i="1"/>
  <c r="KIV20" i="1"/>
  <c r="KIW20" i="1"/>
  <c r="KIX20" i="1"/>
  <c r="KIY20" i="1"/>
  <c r="KIZ20" i="1"/>
  <c r="KJA20" i="1"/>
  <c r="KJB20" i="1"/>
  <c r="KJC20" i="1"/>
  <c r="KJD20" i="1"/>
  <c r="KJE20" i="1"/>
  <c r="KJF20" i="1"/>
  <c r="KJG20" i="1"/>
  <c r="KJH20" i="1"/>
  <c r="KJI20" i="1"/>
  <c r="KJJ20" i="1"/>
  <c r="KJK20" i="1"/>
  <c r="KJL20" i="1"/>
  <c r="KJM20" i="1"/>
  <c r="KJN20" i="1"/>
  <c r="KJO20" i="1"/>
  <c r="KJP20" i="1"/>
  <c r="KJQ20" i="1"/>
  <c r="KJR20" i="1"/>
  <c r="KJS20" i="1"/>
  <c r="KJT20" i="1"/>
  <c r="KJU20" i="1"/>
  <c r="KJV20" i="1"/>
  <c r="KJW20" i="1"/>
  <c r="KJX20" i="1"/>
  <c r="KJY20" i="1"/>
  <c r="KJZ20" i="1"/>
  <c r="KKA20" i="1"/>
  <c r="KKB20" i="1"/>
  <c r="KKC20" i="1"/>
  <c r="KKD20" i="1"/>
  <c r="KKE20" i="1"/>
  <c r="KKF20" i="1"/>
  <c r="KKG20" i="1"/>
  <c r="KKH20" i="1"/>
  <c r="KKI20" i="1"/>
  <c r="KKJ20" i="1"/>
  <c r="KKK20" i="1"/>
  <c r="KKL20" i="1"/>
  <c r="KKM20" i="1"/>
  <c r="KKN20" i="1"/>
  <c r="KKO20" i="1"/>
  <c r="KKP20" i="1"/>
  <c r="KGV21" i="1"/>
  <c r="KGW21" i="1"/>
  <c r="KGX21" i="1"/>
  <c r="KGY21" i="1"/>
  <c r="KGZ21" i="1"/>
  <c r="KHA21" i="1"/>
  <c r="KHB21" i="1"/>
  <c r="KHC21" i="1"/>
  <c r="KHD21" i="1"/>
  <c r="KHE21" i="1"/>
  <c r="KHF21" i="1"/>
  <c r="KHG21" i="1"/>
  <c r="KHH21" i="1"/>
  <c r="KHI21" i="1"/>
  <c r="KHJ21" i="1"/>
  <c r="KHK21" i="1"/>
  <c r="KHL21" i="1"/>
  <c r="KHM21" i="1"/>
  <c r="KHN21" i="1"/>
  <c r="KHO21" i="1"/>
  <c r="KHP21" i="1"/>
  <c r="KHQ21" i="1"/>
  <c r="KHR21" i="1"/>
  <c r="KHS21" i="1"/>
  <c r="KHT21" i="1"/>
  <c r="KHU21" i="1"/>
  <c r="KHV21" i="1"/>
  <c r="KHW21" i="1"/>
  <c r="KHX21" i="1"/>
  <c r="KHY21" i="1"/>
  <c r="KHZ21" i="1"/>
  <c r="KIA21" i="1"/>
  <c r="KIB21" i="1"/>
  <c r="KIC21" i="1"/>
  <c r="KID21" i="1"/>
  <c r="KIE21" i="1"/>
  <c r="KIF21" i="1"/>
  <c r="KIG21" i="1"/>
  <c r="KIH21" i="1"/>
  <c r="KII21" i="1"/>
  <c r="KIJ21" i="1"/>
  <c r="KIK21" i="1"/>
  <c r="KIL21" i="1"/>
  <c r="KIM21" i="1"/>
  <c r="KIN21" i="1"/>
  <c r="KIO21" i="1"/>
  <c r="KIP21" i="1"/>
  <c r="KIQ21" i="1"/>
  <c r="KIR21" i="1"/>
  <c r="KIS21" i="1"/>
  <c r="KIT21" i="1"/>
  <c r="KIU21" i="1"/>
  <c r="KIV21" i="1"/>
  <c r="KIW21" i="1"/>
  <c r="KIX21" i="1"/>
  <c r="KIY21" i="1"/>
  <c r="KIZ21" i="1"/>
  <c r="KJA21" i="1"/>
  <c r="KJB21" i="1"/>
  <c r="KJC21" i="1"/>
  <c r="KJD21" i="1"/>
  <c r="KJE21" i="1"/>
  <c r="KJF21" i="1"/>
  <c r="KJG21" i="1"/>
  <c r="KJH21" i="1"/>
  <c r="KJI21" i="1"/>
  <c r="KJJ21" i="1"/>
  <c r="KJK21" i="1"/>
  <c r="KJL21" i="1"/>
  <c r="KJM21" i="1"/>
  <c r="KJN21" i="1"/>
  <c r="KJO21" i="1"/>
  <c r="KJP21" i="1"/>
  <c r="KJQ21" i="1"/>
  <c r="KJR21" i="1"/>
  <c r="KJS21" i="1"/>
  <c r="KJT21" i="1"/>
  <c r="KJU21" i="1"/>
  <c r="KJV21" i="1"/>
  <c r="KJW21" i="1"/>
  <c r="KJX21" i="1"/>
  <c r="KJY21" i="1"/>
  <c r="KJZ21" i="1"/>
  <c r="KKA21" i="1"/>
  <c r="KKB21" i="1"/>
  <c r="KKC21" i="1"/>
  <c r="KKD21" i="1"/>
  <c r="KKE21" i="1"/>
  <c r="KKF21" i="1"/>
  <c r="KKG21" i="1"/>
  <c r="KKH21" i="1"/>
  <c r="KKI21" i="1"/>
  <c r="KKJ21" i="1"/>
  <c r="KKK21" i="1"/>
  <c r="KKL21" i="1"/>
  <c r="KKM21" i="1"/>
  <c r="KKN21" i="1"/>
  <c r="KKO21" i="1"/>
  <c r="KKP21" i="1"/>
  <c r="KGV22" i="1"/>
  <c r="KGW22" i="1"/>
  <c r="KGX22" i="1"/>
  <c r="KGY22" i="1"/>
  <c r="KGZ22" i="1"/>
  <c r="KHA22" i="1"/>
  <c r="KHB22" i="1"/>
  <c r="KHC22" i="1"/>
  <c r="KHD22" i="1"/>
  <c r="KHE22" i="1"/>
  <c r="KHF22" i="1"/>
  <c r="KHG22" i="1"/>
  <c r="KHH22" i="1"/>
  <c r="KHI22" i="1"/>
  <c r="KHJ22" i="1"/>
  <c r="KHK22" i="1"/>
  <c r="KHL22" i="1"/>
  <c r="KHM22" i="1"/>
  <c r="KHN22" i="1"/>
  <c r="KHO22" i="1"/>
  <c r="KHP22" i="1"/>
  <c r="KHQ22" i="1"/>
  <c r="KHR22" i="1"/>
  <c r="KHS22" i="1"/>
  <c r="KHT22" i="1"/>
  <c r="KHU22" i="1"/>
  <c r="KHV22" i="1"/>
  <c r="KHW22" i="1"/>
  <c r="KHX22" i="1"/>
  <c r="KHY22" i="1"/>
  <c r="KHZ22" i="1"/>
  <c r="KIA22" i="1"/>
  <c r="KIB22" i="1"/>
  <c r="KIC22" i="1"/>
  <c r="KID22" i="1"/>
  <c r="KIE22" i="1"/>
  <c r="KIF22" i="1"/>
  <c r="KIG22" i="1"/>
  <c r="KIH22" i="1"/>
  <c r="KII22" i="1"/>
  <c r="KIJ22" i="1"/>
  <c r="KIK22" i="1"/>
  <c r="KIL22" i="1"/>
  <c r="KIM22" i="1"/>
  <c r="KIN22" i="1"/>
  <c r="KIO22" i="1"/>
  <c r="KIP22" i="1"/>
  <c r="KIQ22" i="1"/>
  <c r="KIR22" i="1"/>
  <c r="KIS22" i="1"/>
  <c r="KIT22" i="1"/>
  <c r="KIU22" i="1"/>
  <c r="KIV22" i="1"/>
  <c r="KIW22" i="1"/>
  <c r="KIX22" i="1"/>
  <c r="KIY22" i="1"/>
  <c r="KIZ22" i="1"/>
  <c r="KJA22" i="1"/>
  <c r="KJB22" i="1"/>
  <c r="KJC22" i="1"/>
  <c r="KJD22" i="1"/>
  <c r="KJE22" i="1"/>
  <c r="KJF22" i="1"/>
  <c r="KJG22" i="1"/>
  <c r="KJH22" i="1"/>
  <c r="KJI22" i="1"/>
  <c r="KJJ22" i="1"/>
  <c r="KJK22" i="1"/>
  <c r="KJL22" i="1"/>
  <c r="KJM22" i="1"/>
  <c r="KJN22" i="1"/>
  <c r="KJO22" i="1"/>
  <c r="KJP22" i="1"/>
  <c r="KJQ22" i="1"/>
  <c r="KJR22" i="1"/>
  <c r="KJS22" i="1"/>
  <c r="KJT22" i="1"/>
  <c r="KJU22" i="1"/>
  <c r="KJV22" i="1"/>
  <c r="KJW22" i="1"/>
  <c r="KJX22" i="1"/>
  <c r="KJY22" i="1"/>
  <c r="KJZ22" i="1"/>
  <c r="KKA22" i="1"/>
  <c r="KKB22" i="1"/>
  <c r="KKC22" i="1"/>
  <c r="KKD22" i="1"/>
  <c r="KKE22" i="1"/>
  <c r="KKF22" i="1"/>
  <c r="KKG22" i="1"/>
  <c r="KKH22" i="1"/>
  <c r="KKI22" i="1"/>
  <c r="KKJ22" i="1"/>
  <c r="KKK22" i="1"/>
  <c r="KKL22" i="1"/>
  <c r="KKM22" i="1"/>
  <c r="KKN22" i="1"/>
  <c r="KKO22" i="1"/>
  <c r="KKP22" i="1"/>
  <c r="KGV23" i="1"/>
  <c r="KGW23" i="1"/>
  <c r="KGX23" i="1"/>
  <c r="KGY23" i="1"/>
  <c r="KGZ23" i="1"/>
  <c r="KHA23" i="1"/>
  <c r="KHB23" i="1"/>
  <c r="KHC23" i="1"/>
  <c r="KHD23" i="1"/>
  <c r="KHE23" i="1"/>
  <c r="KHF23" i="1"/>
  <c r="KHG23" i="1"/>
  <c r="KHH23" i="1"/>
  <c r="KHI23" i="1"/>
  <c r="KHJ23" i="1"/>
  <c r="KHK23" i="1"/>
  <c r="KHL23" i="1"/>
  <c r="KHM23" i="1"/>
  <c r="KHN23" i="1"/>
  <c r="KHO23" i="1"/>
  <c r="KHP23" i="1"/>
  <c r="KHQ23" i="1"/>
  <c r="KHR23" i="1"/>
  <c r="KHS23" i="1"/>
  <c r="KHT23" i="1"/>
  <c r="KHU23" i="1"/>
  <c r="KHV23" i="1"/>
  <c r="KHW23" i="1"/>
  <c r="KHX23" i="1"/>
  <c r="KHY23" i="1"/>
  <c r="KHZ23" i="1"/>
  <c r="KIA23" i="1"/>
  <c r="KIB23" i="1"/>
  <c r="KIC23" i="1"/>
  <c r="KID23" i="1"/>
  <c r="KIE23" i="1"/>
  <c r="KIF23" i="1"/>
  <c r="KIG23" i="1"/>
  <c r="KIH23" i="1"/>
  <c r="KII23" i="1"/>
  <c r="KIJ23" i="1"/>
  <c r="KIK23" i="1"/>
  <c r="KIL23" i="1"/>
  <c r="KIM23" i="1"/>
  <c r="KIN23" i="1"/>
  <c r="KIO23" i="1"/>
  <c r="KIP23" i="1"/>
  <c r="KIQ23" i="1"/>
  <c r="KIR23" i="1"/>
  <c r="KIS23" i="1"/>
  <c r="KIT23" i="1"/>
  <c r="KIU23" i="1"/>
  <c r="KIV23" i="1"/>
  <c r="KIW23" i="1"/>
  <c r="KIX23" i="1"/>
  <c r="KIY23" i="1"/>
  <c r="KIZ23" i="1"/>
  <c r="KJA23" i="1"/>
  <c r="KJB23" i="1"/>
  <c r="KJC23" i="1"/>
  <c r="KJD23" i="1"/>
  <c r="KJE23" i="1"/>
  <c r="KJF23" i="1"/>
  <c r="KJG23" i="1"/>
  <c r="KJH23" i="1"/>
  <c r="KJI23" i="1"/>
  <c r="KJJ23" i="1"/>
  <c r="KJK23" i="1"/>
  <c r="KJL23" i="1"/>
  <c r="KJM23" i="1"/>
  <c r="KJN23" i="1"/>
  <c r="KJO23" i="1"/>
  <c r="KJP23" i="1"/>
  <c r="KJQ23" i="1"/>
  <c r="KJR23" i="1"/>
  <c r="KJS23" i="1"/>
  <c r="KJT23" i="1"/>
  <c r="KJU23" i="1"/>
  <c r="KJV23" i="1"/>
  <c r="KJW23" i="1"/>
  <c r="KJX23" i="1"/>
  <c r="KJY23" i="1"/>
  <c r="KJZ23" i="1"/>
  <c r="KKA23" i="1"/>
  <c r="KKB23" i="1"/>
  <c r="KKC23" i="1"/>
  <c r="KKD23" i="1"/>
  <c r="KKE23" i="1"/>
  <c r="KKF23" i="1"/>
  <c r="KKG23" i="1"/>
  <c r="KKH23" i="1"/>
  <c r="KKI23" i="1"/>
  <c r="KKJ23" i="1"/>
  <c r="KKK23" i="1"/>
  <c r="KKL23" i="1"/>
  <c r="KKM23" i="1"/>
  <c r="KKN23" i="1"/>
  <c r="KKO23" i="1"/>
  <c r="KKP23" i="1"/>
  <c r="KGV24" i="1"/>
  <c r="KGW24" i="1"/>
  <c r="KGX24" i="1"/>
  <c r="KGY24" i="1"/>
  <c r="KGZ24" i="1"/>
  <c r="KHA24" i="1"/>
  <c r="KHB24" i="1"/>
  <c r="KHC24" i="1"/>
  <c r="KHD24" i="1"/>
  <c r="KHE24" i="1"/>
  <c r="KHF24" i="1"/>
  <c r="KHG24" i="1"/>
  <c r="KHH24" i="1"/>
  <c r="KHI24" i="1"/>
  <c r="KHJ24" i="1"/>
  <c r="KHK24" i="1"/>
  <c r="KHL24" i="1"/>
  <c r="KHM24" i="1"/>
  <c r="KHN24" i="1"/>
  <c r="KHO24" i="1"/>
  <c r="KHP24" i="1"/>
  <c r="KHQ24" i="1"/>
  <c r="KHR24" i="1"/>
  <c r="KHS24" i="1"/>
  <c r="KHT24" i="1"/>
  <c r="KHU24" i="1"/>
  <c r="KHV24" i="1"/>
  <c r="KHW24" i="1"/>
  <c r="KHX24" i="1"/>
  <c r="KHY24" i="1"/>
  <c r="KHZ24" i="1"/>
  <c r="KIA24" i="1"/>
  <c r="KIB24" i="1"/>
  <c r="KIC24" i="1"/>
  <c r="KID24" i="1"/>
  <c r="KIE24" i="1"/>
  <c r="KIF24" i="1"/>
  <c r="KIG24" i="1"/>
  <c r="KIH24" i="1"/>
  <c r="KII24" i="1"/>
  <c r="KIJ24" i="1"/>
  <c r="KIK24" i="1"/>
  <c r="KIL24" i="1"/>
  <c r="KIM24" i="1"/>
  <c r="KIN24" i="1"/>
  <c r="KIO24" i="1"/>
  <c r="KIP24" i="1"/>
  <c r="KIQ24" i="1"/>
  <c r="KIR24" i="1"/>
  <c r="KIS24" i="1"/>
  <c r="KIT24" i="1"/>
  <c r="KIU24" i="1"/>
  <c r="KIV24" i="1"/>
  <c r="KIW24" i="1"/>
  <c r="KIX24" i="1"/>
  <c r="KIY24" i="1"/>
  <c r="KIZ24" i="1"/>
  <c r="KJA24" i="1"/>
  <c r="KJB24" i="1"/>
  <c r="KJC24" i="1"/>
  <c r="KJD24" i="1"/>
  <c r="KJE24" i="1"/>
  <c r="KJF24" i="1"/>
  <c r="KJG24" i="1"/>
  <c r="KJH24" i="1"/>
  <c r="KJI24" i="1"/>
  <c r="KJJ24" i="1"/>
  <c r="KJK24" i="1"/>
  <c r="KJL24" i="1"/>
  <c r="KJM24" i="1"/>
  <c r="KJN24" i="1"/>
  <c r="KJO24" i="1"/>
  <c r="KJP24" i="1"/>
  <c r="KJQ24" i="1"/>
  <c r="KJR24" i="1"/>
  <c r="KJS24" i="1"/>
  <c r="KJT24" i="1"/>
  <c r="KJU24" i="1"/>
  <c r="KJV24" i="1"/>
  <c r="KJW24" i="1"/>
  <c r="KJX24" i="1"/>
  <c r="KJY24" i="1"/>
  <c r="KJZ24" i="1"/>
  <c r="KKA24" i="1"/>
  <c r="KKB24" i="1"/>
  <c r="KKC24" i="1"/>
  <c r="KKD24" i="1"/>
  <c r="KKE24" i="1"/>
  <c r="KKF24" i="1"/>
  <c r="KKG24" i="1"/>
  <c r="KKH24" i="1"/>
  <c r="KKI24" i="1"/>
  <c r="KKJ24" i="1"/>
  <c r="KKK24" i="1"/>
  <c r="KKL24" i="1"/>
  <c r="KKM24" i="1"/>
  <c r="KKN24" i="1"/>
  <c r="KKO24" i="1"/>
  <c r="KKP24" i="1"/>
  <c r="KGV25" i="1"/>
  <c r="KGW25" i="1"/>
  <c r="KGX25" i="1"/>
  <c r="KGY25" i="1"/>
  <c r="KGZ25" i="1"/>
  <c r="KHA25" i="1"/>
  <c r="KHB25" i="1"/>
  <c r="KHC25" i="1"/>
  <c r="KHD25" i="1"/>
  <c r="KHE25" i="1"/>
  <c r="KHF25" i="1"/>
  <c r="KHG25" i="1"/>
  <c r="KHH25" i="1"/>
  <c r="KHI25" i="1"/>
  <c r="KHJ25" i="1"/>
  <c r="KHK25" i="1"/>
  <c r="KHL25" i="1"/>
  <c r="KHM25" i="1"/>
  <c r="KHN25" i="1"/>
  <c r="KHO25" i="1"/>
  <c r="KHP25" i="1"/>
  <c r="KHQ25" i="1"/>
  <c r="KHR25" i="1"/>
  <c r="KHS25" i="1"/>
  <c r="KHT25" i="1"/>
  <c r="KHU25" i="1"/>
  <c r="KHV25" i="1"/>
  <c r="KHW25" i="1"/>
  <c r="KHX25" i="1"/>
  <c r="KHY25" i="1"/>
  <c r="KHZ25" i="1"/>
  <c r="KIA25" i="1"/>
  <c r="KIB25" i="1"/>
  <c r="KIC25" i="1"/>
  <c r="KID25" i="1"/>
  <c r="KIE25" i="1"/>
  <c r="KIF25" i="1"/>
  <c r="KIG25" i="1"/>
  <c r="KIH25" i="1"/>
  <c r="KII25" i="1"/>
  <c r="KIJ25" i="1"/>
  <c r="KIK25" i="1"/>
  <c r="KIL25" i="1"/>
  <c r="KIM25" i="1"/>
  <c r="KIN25" i="1"/>
  <c r="KIO25" i="1"/>
  <c r="KIP25" i="1"/>
  <c r="KIQ25" i="1"/>
  <c r="KIR25" i="1"/>
  <c r="KIS25" i="1"/>
  <c r="KIT25" i="1"/>
  <c r="KIU25" i="1"/>
  <c r="KIV25" i="1"/>
  <c r="KIW25" i="1"/>
  <c r="KIX25" i="1"/>
  <c r="KIY25" i="1"/>
  <c r="KIZ25" i="1"/>
  <c r="KJA25" i="1"/>
  <c r="KJB25" i="1"/>
  <c r="KJC25" i="1"/>
  <c r="KJD25" i="1"/>
  <c r="KJE25" i="1"/>
  <c r="KJF25" i="1"/>
  <c r="KJG25" i="1"/>
  <c r="KJH25" i="1"/>
  <c r="KJI25" i="1"/>
  <c r="KJJ25" i="1"/>
  <c r="KJK25" i="1"/>
  <c r="KJL25" i="1"/>
  <c r="KJM25" i="1"/>
  <c r="KJN25" i="1"/>
  <c r="KJO25" i="1"/>
  <c r="KJP25" i="1"/>
  <c r="KJQ25" i="1"/>
  <c r="KJR25" i="1"/>
  <c r="KJS25" i="1"/>
  <c r="KJT25" i="1"/>
  <c r="KJU25" i="1"/>
  <c r="KJV25" i="1"/>
  <c r="KJW25" i="1"/>
  <c r="KJX25" i="1"/>
  <c r="KJY25" i="1"/>
  <c r="KJZ25" i="1"/>
  <c r="KKA25" i="1"/>
  <c r="KKB25" i="1"/>
  <c r="KKC25" i="1"/>
  <c r="KKD25" i="1"/>
  <c r="KKE25" i="1"/>
  <c r="KKF25" i="1"/>
  <c r="KKG25" i="1"/>
  <c r="KKH25" i="1"/>
  <c r="KKI25" i="1"/>
  <c r="KKJ25" i="1"/>
  <c r="KKK25" i="1"/>
  <c r="KKL25" i="1"/>
  <c r="KKM25" i="1"/>
  <c r="KKN25" i="1"/>
  <c r="KKO25" i="1"/>
  <c r="KKP25" i="1"/>
  <c r="KGV26" i="1"/>
  <c r="KGW26" i="1"/>
  <c r="KGX26" i="1"/>
  <c r="KGY26" i="1"/>
  <c r="KGZ26" i="1"/>
  <c r="KHA26" i="1"/>
  <c r="KHB26" i="1"/>
  <c r="KHC26" i="1"/>
  <c r="KHD26" i="1"/>
  <c r="KHE26" i="1"/>
  <c r="KHF26" i="1"/>
  <c r="KHG26" i="1"/>
  <c r="KHH26" i="1"/>
  <c r="KHI26" i="1"/>
  <c r="KHJ26" i="1"/>
  <c r="KHK26" i="1"/>
  <c r="KHL26" i="1"/>
  <c r="KHM26" i="1"/>
  <c r="KHN26" i="1"/>
  <c r="KHO26" i="1"/>
  <c r="KHP26" i="1"/>
  <c r="KHQ26" i="1"/>
  <c r="KHR26" i="1"/>
  <c r="KHS26" i="1"/>
  <c r="KHT26" i="1"/>
  <c r="KHU26" i="1"/>
  <c r="KHV26" i="1"/>
  <c r="KHW26" i="1"/>
  <c r="KHX26" i="1"/>
  <c r="KHY26" i="1"/>
  <c r="KHZ26" i="1"/>
  <c r="KIA26" i="1"/>
  <c r="KIB26" i="1"/>
  <c r="KIC26" i="1"/>
  <c r="KID26" i="1"/>
  <c r="KIE26" i="1"/>
  <c r="KIF26" i="1"/>
  <c r="KIG26" i="1"/>
  <c r="KIH26" i="1"/>
  <c r="KII26" i="1"/>
  <c r="KIJ26" i="1"/>
  <c r="KIK26" i="1"/>
  <c r="KIL26" i="1"/>
  <c r="KIM26" i="1"/>
  <c r="KIN26" i="1"/>
  <c r="KIO26" i="1"/>
  <c r="KIP26" i="1"/>
  <c r="KIQ26" i="1"/>
  <c r="KIR26" i="1"/>
  <c r="KIS26" i="1"/>
  <c r="KIT26" i="1"/>
  <c r="KIU26" i="1"/>
  <c r="KIV26" i="1"/>
  <c r="KIW26" i="1"/>
  <c r="KIX26" i="1"/>
  <c r="KIY26" i="1"/>
  <c r="KIZ26" i="1"/>
  <c r="KJA26" i="1"/>
  <c r="KJB26" i="1"/>
  <c r="KJC26" i="1"/>
  <c r="KJD26" i="1"/>
  <c r="KJE26" i="1"/>
  <c r="KJF26" i="1"/>
  <c r="KJG26" i="1"/>
  <c r="KJH26" i="1"/>
  <c r="KJI26" i="1"/>
  <c r="KJJ26" i="1"/>
  <c r="KJK26" i="1"/>
  <c r="KJL26" i="1"/>
  <c r="KJM26" i="1"/>
  <c r="KJN26" i="1"/>
  <c r="KJO26" i="1"/>
  <c r="KJP26" i="1"/>
  <c r="KJQ26" i="1"/>
  <c r="KJR26" i="1"/>
  <c r="KJS26" i="1"/>
  <c r="KJT26" i="1"/>
  <c r="KJU26" i="1"/>
  <c r="KJV26" i="1"/>
  <c r="KJW26" i="1"/>
  <c r="KJX26" i="1"/>
  <c r="KJY26" i="1"/>
  <c r="KJZ26" i="1"/>
  <c r="KKA26" i="1"/>
  <c r="KKB26" i="1"/>
  <c r="KKC26" i="1"/>
  <c r="KKD26" i="1"/>
  <c r="KKE26" i="1"/>
  <c r="KKF26" i="1"/>
  <c r="KKG26" i="1"/>
  <c r="KKH26" i="1"/>
  <c r="KKI26" i="1"/>
  <c r="KKJ26" i="1"/>
  <c r="KKK26" i="1"/>
  <c r="KKL26" i="1"/>
  <c r="KKM26" i="1"/>
  <c r="KKN26" i="1"/>
  <c r="KKO26" i="1"/>
  <c r="KKP26" i="1"/>
  <c r="KGV27" i="1"/>
  <c r="KGW27" i="1"/>
  <c r="KGX27" i="1"/>
  <c r="KGY27" i="1"/>
  <c r="KGZ27" i="1"/>
  <c r="KHA27" i="1"/>
  <c r="KHB27" i="1"/>
  <c r="KHC27" i="1"/>
  <c r="KHD27" i="1"/>
  <c r="KHE27" i="1"/>
  <c r="KHF27" i="1"/>
  <c r="KHG27" i="1"/>
  <c r="KHH27" i="1"/>
  <c r="KHI27" i="1"/>
  <c r="KHJ27" i="1"/>
  <c r="KHK27" i="1"/>
  <c r="KHL27" i="1"/>
  <c r="KHM27" i="1"/>
  <c r="KHN27" i="1"/>
  <c r="KHO27" i="1"/>
  <c r="KHP27" i="1"/>
  <c r="KHQ27" i="1"/>
  <c r="KHR27" i="1"/>
  <c r="KHS27" i="1"/>
  <c r="KHT27" i="1"/>
  <c r="KHU27" i="1"/>
  <c r="KHV27" i="1"/>
  <c r="KHW27" i="1"/>
  <c r="KHX27" i="1"/>
  <c r="KHY27" i="1"/>
  <c r="KHZ27" i="1"/>
  <c r="KIA27" i="1"/>
  <c r="KIB27" i="1"/>
  <c r="KIC27" i="1"/>
  <c r="KID27" i="1"/>
  <c r="KIE27" i="1"/>
  <c r="KIF27" i="1"/>
  <c r="KIG27" i="1"/>
  <c r="KIH27" i="1"/>
  <c r="KII27" i="1"/>
  <c r="KIJ27" i="1"/>
  <c r="KIK27" i="1"/>
  <c r="KIL27" i="1"/>
  <c r="KIM27" i="1"/>
  <c r="KIN27" i="1"/>
  <c r="KIO27" i="1"/>
  <c r="KIP27" i="1"/>
  <c r="KIQ27" i="1"/>
  <c r="KIR27" i="1"/>
  <c r="KIS27" i="1"/>
  <c r="KIT27" i="1"/>
  <c r="KIU27" i="1"/>
  <c r="KIV27" i="1"/>
  <c r="KIW27" i="1"/>
  <c r="KIX27" i="1"/>
  <c r="KIY27" i="1"/>
  <c r="KIZ27" i="1"/>
  <c r="KJA27" i="1"/>
  <c r="KJB27" i="1"/>
  <c r="KJC27" i="1"/>
  <c r="KJD27" i="1"/>
  <c r="KJE27" i="1"/>
  <c r="KJF27" i="1"/>
  <c r="KJG27" i="1"/>
  <c r="KJH27" i="1"/>
  <c r="KJI27" i="1"/>
  <c r="KJJ27" i="1"/>
  <c r="KJK27" i="1"/>
  <c r="KJL27" i="1"/>
  <c r="KJM27" i="1"/>
  <c r="KJN27" i="1"/>
  <c r="KJO27" i="1"/>
  <c r="KJP27" i="1"/>
  <c r="KJQ27" i="1"/>
  <c r="KJR27" i="1"/>
  <c r="KJS27" i="1"/>
  <c r="KJT27" i="1"/>
  <c r="KJU27" i="1"/>
  <c r="KJV27" i="1"/>
  <c r="KJW27" i="1"/>
  <c r="KJX27" i="1"/>
  <c r="KJY27" i="1"/>
  <c r="KJZ27" i="1"/>
  <c r="KKA27" i="1"/>
  <c r="KKB27" i="1"/>
  <c r="KKC27" i="1"/>
  <c r="KKD27" i="1"/>
  <c r="KKE27" i="1"/>
  <c r="KKF27" i="1"/>
  <c r="KKG27" i="1"/>
  <c r="KKH27" i="1"/>
  <c r="KKI27" i="1"/>
  <c r="KKJ27" i="1"/>
  <c r="KKK27" i="1"/>
  <c r="KKL27" i="1"/>
  <c r="KKM27" i="1"/>
  <c r="KKN27" i="1"/>
  <c r="KKO27" i="1"/>
  <c r="KKP27" i="1"/>
  <c r="KGV28" i="1"/>
  <c r="KGW28" i="1"/>
  <c r="KGX28" i="1"/>
  <c r="KGY28" i="1"/>
  <c r="KGZ28" i="1"/>
  <c r="KHA28" i="1"/>
  <c r="KHB28" i="1"/>
  <c r="KHC28" i="1"/>
  <c r="KHD28" i="1"/>
  <c r="KHE28" i="1"/>
  <c r="KHF28" i="1"/>
  <c r="KHG28" i="1"/>
  <c r="KHH28" i="1"/>
  <c r="KHI28" i="1"/>
  <c r="KHJ28" i="1"/>
  <c r="KHK28" i="1"/>
  <c r="KHL28" i="1"/>
  <c r="KHM28" i="1"/>
  <c r="KHN28" i="1"/>
  <c r="KHO28" i="1"/>
  <c r="KHP28" i="1"/>
  <c r="KHQ28" i="1"/>
  <c r="KHR28" i="1"/>
  <c r="KHS28" i="1"/>
  <c r="KHT28" i="1"/>
  <c r="KHU28" i="1"/>
  <c r="KHV28" i="1"/>
  <c r="KHW28" i="1"/>
  <c r="KHX28" i="1"/>
  <c r="KHY28" i="1"/>
  <c r="KHZ28" i="1"/>
  <c r="KIA28" i="1"/>
  <c r="KIB28" i="1"/>
  <c r="KIC28" i="1"/>
  <c r="KID28" i="1"/>
  <c r="KIE28" i="1"/>
  <c r="KIF28" i="1"/>
  <c r="KIG28" i="1"/>
  <c r="KIH28" i="1"/>
  <c r="KII28" i="1"/>
  <c r="KIJ28" i="1"/>
  <c r="KIK28" i="1"/>
  <c r="KIL28" i="1"/>
  <c r="KIM28" i="1"/>
  <c r="KIN28" i="1"/>
  <c r="KIO28" i="1"/>
  <c r="KIP28" i="1"/>
  <c r="KIQ28" i="1"/>
  <c r="KIR28" i="1"/>
  <c r="KIS28" i="1"/>
  <c r="KIT28" i="1"/>
  <c r="KIU28" i="1"/>
  <c r="KIV28" i="1"/>
  <c r="KIW28" i="1"/>
  <c r="KIX28" i="1"/>
  <c r="KIY28" i="1"/>
  <c r="KIZ28" i="1"/>
  <c r="KJA28" i="1"/>
  <c r="KJB28" i="1"/>
  <c r="KJC28" i="1"/>
  <c r="KJD28" i="1"/>
  <c r="KJE28" i="1"/>
  <c r="KJF28" i="1"/>
  <c r="KJG28" i="1"/>
  <c r="KJH28" i="1"/>
  <c r="KJI28" i="1"/>
  <c r="KJJ28" i="1"/>
  <c r="KJK28" i="1"/>
  <c r="KJL28" i="1"/>
  <c r="KJM28" i="1"/>
  <c r="KJN28" i="1"/>
  <c r="KJO28" i="1"/>
  <c r="KJP28" i="1"/>
  <c r="KJQ28" i="1"/>
  <c r="KJR28" i="1"/>
  <c r="KJS28" i="1"/>
  <c r="KJT28" i="1"/>
  <c r="KJU28" i="1"/>
  <c r="KJV28" i="1"/>
  <c r="KJW28" i="1"/>
  <c r="KJX28" i="1"/>
  <c r="KJY28" i="1"/>
  <c r="KJZ28" i="1"/>
  <c r="KKA28" i="1"/>
  <c r="KKB28" i="1"/>
  <c r="KKC28" i="1"/>
  <c r="KKD28" i="1"/>
  <c r="KKE28" i="1"/>
  <c r="KKF28" i="1"/>
  <c r="KKG28" i="1"/>
  <c r="KKH28" i="1"/>
  <c r="KKI28" i="1"/>
  <c r="KKJ28" i="1"/>
  <c r="KKK28" i="1"/>
  <c r="KKL28" i="1"/>
  <c r="KKM28" i="1"/>
  <c r="KKN28" i="1"/>
  <c r="KKO28" i="1"/>
  <c r="KKP28" i="1"/>
  <c r="KGV29" i="1"/>
  <c r="KGW29" i="1"/>
  <c r="KGX29" i="1"/>
  <c r="KGY29" i="1"/>
  <c r="KGZ29" i="1"/>
  <c r="KHA29" i="1"/>
  <c r="KHB29" i="1"/>
  <c r="KHC29" i="1"/>
  <c r="KHD29" i="1"/>
  <c r="KHE29" i="1"/>
  <c r="KHF29" i="1"/>
  <c r="KHG29" i="1"/>
  <c r="KHH29" i="1"/>
  <c r="KHI29" i="1"/>
  <c r="KHJ29" i="1"/>
  <c r="KHK29" i="1"/>
  <c r="KHL29" i="1"/>
  <c r="KHM29" i="1"/>
  <c r="KHN29" i="1"/>
  <c r="KHO29" i="1"/>
  <c r="KHP29" i="1"/>
  <c r="KHQ29" i="1"/>
  <c r="KHR29" i="1"/>
  <c r="KHS29" i="1"/>
  <c r="KHT29" i="1"/>
  <c r="KHU29" i="1"/>
  <c r="KHV29" i="1"/>
  <c r="KHW29" i="1"/>
  <c r="KHX29" i="1"/>
  <c r="KHY29" i="1"/>
  <c r="KHZ29" i="1"/>
  <c r="KIA29" i="1"/>
  <c r="KIB29" i="1"/>
  <c r="KIC29" i="1"/>
  <c r="KID29" i="1"/>
  <c r="KIE29" i="1"/>
  <c r="KIF29" i="1"/>
  <c r="KIG29" i="1"/>
  <c r="KIH29" i="1"/>
  <c r="KII29" i="1"/>
  <c r="KIJ29" i="1"/>
  <c r="KIK29" i="1"/>
  <c r="KIL29" i="1"/>
  <c r="KIM29" i="1"/>
  <c r="KIN29" i="1"/>
  <c r="KIO29" i="1"/>
  <c r="KIP29" i="1"/>
  <c r="KIQ29" i="1"/>
  <c r="KIR29" i="1"/>
  <c r="KIS29" i="1"/>
  <c r="KIT29" i="1"/>
  <c r="KIU29" i="1"/>
  <c r="KIV29" i="1"/>
  <c r="KIW29" i="1"/>
  <c r="KIX29" i="1"/>
  <c r="KIY29" i="1"/>
  <c r="KIZ29" i="1"/>
  <c r="KJA29" i="1"/>
  <c r="KJB29" i="1"/>
  <c r="KJC29" i="1"/>
  <c r="KJD29" i="1"/>
  <c r="KJE29" i="1"/>
  <c r="KJF29" i="1"/>
  <c r="KJG29" i="1"/>
  <c r="KJH29" i="1"/>
  <c r="KJI29" i="1"/>
  <c r="KJJ29" i="1"/>
  <c r="KJK29" i="1"/>
  <c r="KJL29" i="1"/>
  <c r="KJM29" i="1"/>
  <c r="KJN29" i="1"/>
  <c r="KJO29" i="1"/>
  <c r="KJP29" i="1"/>
  <c r="KJQ29" i="1"/>
  <c r="KJR29" i="1"/>
  <c r="KJS29" i="1"/>
  <c r="KJT29" i="1"/>
  <c r="KJU29" i="1"/>
  <c r="KJV29" i="1"/>
  <c r="KJW29" i="1"/>
  <c r="KJX29" i="1"/>
  <c r="KJY29" i="1"/>
  <c r="KJZ29" i="1"/>
  <c r="KKA29" i="1"/>
  <c r="KKB29" i="1"/>
  <c r="KKC29" i="1"/>
  <c r="KKD29" i="1"/>
  <c r="KKE29" i="1"/>
  <c r="KKF29" i="1"/>
  <c r="KKG29" i="1"/>
  <c r="KKH29" i="1"/>
  <c r="KKI29" i="1"/>
  <c r="KKJ29" i="1"/>
  <c r="KKK29" i="1"/>
  <c r="KKL29" i="1"/>
  <c r="KKM29" i="1"/>
  <c r="KKN29" i="1"/>
  <c r="KKO29" i="1"/>
  <c r="KKP29" i="1"/>
  <c r="KGV30" i="1"/>
  <c r="KGW30" i="1"/>
  <c r="KGX30" i="1"/>
  <c r="KGY30" i="1"/>
  <c r="KGZ30" i="1"/>
  <c r="KHA30" i="1"/>
  <c r="KHB30" i="1"/>
  <c r="KHC30" i="1"/>
  <c r="KHD30" i="1"/>
  <c r="KHE30" i="1"/>
  <c r="KHF30" i="1"/>
  <c r="KHG30" i="1"/>
  <c r="KHH30" i="1"/>
  <c r="KHI30" i="1"/>
  <c r="KHJ30" i="1"/>
  <c r="KHK30" i="1"/>
  <c r="KHL30" i="1"/>
  <c r="KHM30" i="1"/>
  <c r="KHN30" i="1"/>
  <c r="KHO30" i="1"/>
  <c r="KHP30" i="1"/>
  <c r="KHQ30" i="1"/>
  <c r="KHR30" i="1"/>
  <c r="KHS30" i="1"/>
  <c r="KHT30" i="1"/>
  <c r="KHU30" i="1"/>
  <c r="KHV30" i="1"/>
  <c r="KHW30" i="1"/>
  <c r="KHX30" i="1"/>
  <c r="KHY30" i="1"/>
  <c r="KHZ30" i="1"/>
  <c r="KIA30" i="1"/>
  <c r="KIB30" i="1"/>
  <c r="KIC30" i="1"/>
  <c r="KID30" i="1"/>
  <c r="KIE30" i="1"/>
  <c r="KIF30" i="1"/>
  <c r="KIG30" i="1"/>
  <c r="KIH30" i="1"/>
  <c r="KII30" i="1"/>
  <c r="KIJ30" i="1"/>
  <c r="KIK30" i="1"/>
  <c r="KIL30" i="1"/>
  <c r="KIM30" i="1"/>
  <c r="KIN30" i="1"/>
  <c r="KIO30" i="1"/>
  <c r="KIP30" i="1"/>
  <c r="KIQ30" i="1"/>
  <c r="KIR30" i="1"/>
  <c r="KIS30" i="1"/>
  <c r="KIT30" i="1"/>
  <c r="KIU30" i="1"/>
  <c r="KIV30" i="1"/>
  <c r="KIW30" i="1"/>
  <c r="KIX30" i="1"/>
  <c r="KIY30" i="1"/>
  <c r="KIZ30" i="1"/>
  <c r="KJA30" i="1"/>
  <c r="KJB30" i="1"/>
  <c r="KJC30" i="1"/>
  <c r="KJD30" i="1"/>
  <c r="KJE30" i="1"/>
  <c r="KJF30" i="1"/>
  <c r="KJG30" i="1"/>
  <c r="KJH30" i="1"/>
  <c r="KJI30" i="1"/>
  <c r="KJJ30" i="1"/>
  <c r="KJK30" i="1"/>
  <c r="KJL30" i="1"/>
  <c r="KJM30" i="1"/>
  <c r="KJN30" i="1"/>
  <c r="KJO30" i="1"/>
  <c r="KJP30" i="1"/>
  <c r="KJQ30" i="1"/>
  <c r="KJR30" i="1"/>
  <c r="KJS30" i="1"/>
  <c r="KJT30" i="1"/>
  <c r="KJU30" i="1"/>
  <c r="KJV30" i="1"/>
  <c r="KJW30" i="1"/>
  <c r="KJX30" i="1"/>
  <c r="KJY30" i="1"/>
  <c r="KJZ30" i="1"/>
  <c r="KKA30" i="1"/>
  <c r="KKB30" i="1"/>
  <c r="KKC30" i="1"/>
  <c r="KKD30" i="1"/>
  <c r="KKE30" i="1"/>
  <c r="KKF30" i="1"/>
  <c r="KKG30" i="1"/>
  <c r="KKH30" i="1"/>
  <c r="KKI30" i="1"/>
  <c r="KKJ30" i="1"/>
  <c r="KKK30" i="1"/>
  <c r="KKL30" i="1"/>
  <c r="KKM30" i="1"/>
  <c r="KKN30" i="1"/>
  <c r="KKO30" i="1"/>
  <c r="KKP30" i="1"/>
  <c r="KGV31" i="1"/>
  <c r="KGW31" i="1"/>
  <c r="KGX31" i="1"/>
  <c r="KGY31" i="1"/>
  <c r="KGZ31" i="1"/>
  <c r="KHA31" i="1"/>
  <c r="KHB31" i="1"/>
  <c r="KHC31" i="1"/>
  <c r="KHD31" i="1"/>
  <c r="KHE31" i="1"/>
  <c r="KHF31" i="1"/>
  <c r="KHG31" i="1"/>
  <c r="KHH31" i="1"/>
  <c r="KHI31" i="1"/>
  <c r="KHJ31" i="1"/>
  <c r="KHK31" i="1"/>
  <c r="KHL31" i="1"/>
  <c r="KHM31" i="1"/>
  <c r="KHN31" i="1"/>
  <c r="KHO31" i="1"/>
  <c r="KHP31" i="1"/>
  <c r="KHQ31" i="1"/>
  <c r="KHR31" i="1"/>
  <c r="KHS31" i="1"/>
  <c r="KHT31" i="1"/>
  <c r="KHU31" i="1"/>
  <c r="KHV31" i="1"/>
  <c r="KHW31" i="1"/>
  <c r="KHX31" i="1"/>
  <c r="KHY31" i="1"/>
  <c r="KHZ31" i="1"/>
  <c r="KIA31" i="1"/>
  <c r="KIB31" i="1"/>
  <c r="KIC31" i="1"/>
  <c r="KID31" i="1"/>
  <c r="KIE31" i="1"/>
  <c r="KIF31" i="1"/>
  <c r="KIG31" i="1"/>
  <c r="KIH31" i="1"/>
  <c r="KII31" i="1"/>
  <c r="KIJ31" i="1"/>
  <c r="KIK31" i="1"/>
  <c r="KIL31" i="1"/>
  <c r="KIM31" i="1"/>
  <c r="KIN31" i="1"/>
  <c r="KIO31" i="1"/>
  <c r="KIP31" i="1"/>
  <c r="KIQ31" i="1"/>
  <c r="KIR31" i="1"/>
  <c r="KIS31" i="1"/>
  <c r="KIT31" i="1"/>
  <c r="KIU31" i="1"/>
  <c r="KIV31" i="1"/>
  <c r="KIW31" i="1"/>
  <c r="KIX31" i="1"/>
  <c r="KIY31" i="1"/>
  <c r="KIZ31" i="1"/>
  <c r="KJA31" i="1"/>
  <c r="KJB31" i="1"/>
  <c r="KJC31" i="1"/>
  <c r="KJD31" i="1"/>
  <c r="KJE31" i="1"/>
  <c r="KJF31" i="1"/>
  <c r="KJG31" i="1"/>
  <c r="KJH31" i="1"/>
  <c r="KJI31" i="1"/>
  <c r="KJJ31" i="1"/>
  <c r="KJK31" i="1"/>
  <c r="KJL31" i="1"/>
  <c r="KJM31" i="1"/>
  <c r="KJN31" i="1"/>
  <c r="KJO31" i="1"/>
  <c r="KJP31" i="1"/>
  <c r="KJQ31" i="1"/>
  <c r="KJR31" i="1"/>
  <c r="KJS31" i="1"/>
  <c r="KJT31" i="1"/>
  <c r="KJU31" i="1"/>
  <c r="KJV31" i="1"/>
  <c r="KJW31" i="1"/>
  <c r="KJX31" i="1"/>
  <c r="KJY31" i="1"/>
  <c r="KJZ31" i="1"/>
  <c r="KKA31" i="1"/>
  <c r="KKB31" i="1"/>
  <c r="KKC31" i="1"/>
  <c r="KKD31" i="1"/>
  <c r="KKE31" i="1"/>
  <c r="KKF31" i="1"/>
  <c r="KKG31" i="1"/>
  <c r="KKH31" i="1"/>
  <c r="KKI31" i="1"/>
  <c r="KKJ31" i="1"/>
  <c r="KKK31" i="1"/>
  <c r="KKL31" i="1"/>
  <c r="KKM31" i="1"/>
  <c r="KKN31" i="1"/>
  <c r="KKO31" i="1"/>
  <c r="KKP31" i="1"/>
  <c r="KGV32" i="1"/>
  <c r="KGW32" i="1"/>
  <c r="KGX32" i="1"/>
  <c r="KGY32" i="1"/>
  <c r="KGZ32" i="1"/>
  <c r="KHA32" i="1"/>
  <c r="KHB32" i="1"/>
  <c r="KHC32" i="1"/>
  <c r="KHD32" i="1"/>
  <c r="KHE32" i="1"/>
  <c r="KHF32" i="1"/>
  <c r="KHG32" i="1"/>
  <c r="KHH32" i="1"/>
  <c r="KHI32" i="1"/>
  <c r="KHJ32" i="1"/>
  <c r="KHK32" i="1"/>
  <c r="KHL32" i="1"/>
  <c r="KHM32" i="1"/>
  <c r="KHN32" i="1"/>
  <c r="KHO32" i="1"/>
  <c r="KHP32" i="1"/>
  <c r="KHQ32" i="1"/>
  <c r="KHR32" i="1"/>
  <c r="KHS32" i="1"/>
  <c r="KHT32" i="1"/>
  <c r="KHU32" i="1"/>
  <c r="KHV32" i="1"/>
  <c r="KHW32" i="1"/>
  <c r="KHX32" i="1"/>
  <c r="KHY32" i="1"/>
  <c r="KHZ32" i="1"/>
  <c r="KIA32" i="1"/>
  <c r="KIB32" i="1"/>
  <c r="KIC32" i="1"/>
  <c r="KID32" i="1"/>
  <c r="KIE32" i="1"/>
  <c r="KIF32" i="1"/>
  <c r="KIG32" i="1"/>
  <c r="KIH32" i="1"/>
  <c r="KII32" i="1"/>
  <c r="KIJ32" i="1"/>
  <c r="KIK32" i="1"/>
  <c r="KIL32" i="1"/>
  <c r="KIM32" i="1"/>
  <c r="KIN32" i="1"/>
  <c r="KIO32" i="1"/>
  <c r="KIP32" i="1"/>
  <c r="KIQ32" i="1"/>
  <c r="KIR32" i="1"/>
  <c r="KIS32" i="1"/>
  <c r="KIT32" i="1"/>
  <c r="KIU32" i="1"/>
  <c r="KIV32" i="1"/>
  <c r="KIW32" i="1"/>
  <c r="KIX32" i="1"/>
  <c r="KIY32" i="1"/>
  <c r="KIZ32" i="1"/>
  <c r="KJA32" i="1"/>
  <c r="KJB32" i="1"/>
  <c r="KJC32" i="1"/>
  <c r="KJD32" i="1"/>
  <c r="KJE32" i="1"/>
  <c r="KJF32" i="1"/>
  <c r="KJG32" i="1"/>
  <c r="KJH32" i="1"/>
  <c r="KJI32" i="1"/>
  <c r="KJJ32" i="1"/>
  <c r="KJK32" i="1"/>
  <c r="KJL32" i="1"/>
  <c r="KJM32" i="1"/>
  <c r="KJN32" i="1"/>
  <c r="KJO32" i="1"/>
  <c r="KJP32" i="1"/>
  <c r="KJQ32" i="1"/>
  <c r="KJR32" i="1"/>
  <c r="KJS32" i="1"/>
  <c r="KJT32" i="1"/>
  <c r="KJU32" i="1"/>
  <c r="KJV32" i="1"/>
  <c r="KJW32" i="1"/>
  <c r="KJX32" i="1"/>
  <c r="KJY32" i="1"/>
  <c r="KJZ32" i="1"/>
  <c r="KKA32" i="1"/>
  <c r="KKB32" i="1"/>
  <c r="KKC32" i="1"/>
  <c r="KKD32" i="1"/>
  <c r="KKE32" i="1"/>
  <c r="KKF32" i="1"/>
  <c r="KKG32" i="1"/>
  <c r="KKH32" i="1"/>
  <c r="KKI32" i="1"/>
  <c r="KKJ32" i="1"/>
  <c r="KKK32" i="1"/>
  <c r="KKL32" i="1"/>
  <c r="KKM32" i="1"/>
  <c r="KKN32" i="1"/>
  <c r="KKO32" i="1"/>
  <c r="KKP32" i="1"/>
  <c r="KGV33" i="1"/>
  <c r="KGW33" i="1"/>
  <c r="KGX33" i="1"/>
  <c r="KGY33" i="1"/>
  <c r="KGZ33" i="1"/>
  <c r="KHA33" i="1"/>
  <c r="KHB33" i="1"/>
  <c r="KHC33" i="1"/>
  <c r="KHD33" i="1"/>
  <c r="KHE33" i="1"/>
  <c r="KHF33" i="1"/>
  <c r="KHG33" i="1"/>
  <c r="KHH33" i="1"/>
  <c r="KHI33" i="1"/>
  <c r="KHJ33" i="1"/>
  <c r="KHK33" i="1"/>
  <c r="KHL33" i="1"/>
  <c r="KHM33" i="1"/>
  <c r="KHN33" i="1"/>
  <c r="KHO33" i="1"/>
  <c r="KHP33" i="1"/>
  <c r="KHQ33" i="1"/>
  <c r="KHR33" i="1"/>
  <c r="KHS33" i="1"/>
  <c r="KHT33" i="1"/>
  <c r="KHU33" i="1"/>
  <c r="KHV33" i="1"/>
  <c r="KHW33" i="1"/>
  <c r="KHX33" i="1"/>
  <c r="KHY33" i="1"/>
  <c r="KHZ33" i="1"/>
  <c r="KIA33" i="1"/>
  <c r="KIB33" i="1"/>
  <c r="KIC33" i="1"/>
  <c r="KID33" i="1"/>
  <c r="KIE33" i="1"/>
  <c r="KIF33" i="1"/>
  <c r="KIG33" i="1"/>
  <c r="KIH33" i="1"/>
  <c r="KII33" i="1"/>
  <c r="KIJ33" i="1"/>
  <c r="KIK33" i="1"/>
  <c r="KIL33" i="1"/>
  <c r="KIM33" i="1"/>
  <c r="KIN33" i="1"/>
  <c r="KIO33" i="1"/>
  <c r="KIP33" i="1"/>
  <c r="KIQ33" i="1"/>
  <c r="KIR33" i="1"/>
  <c r="KIS33" i="1"/>
  <c r="KIT33" i="1"/>
  <c r="KIU33" i="1"/>
  <c r="KIV33" i="1"/>
  <c r="KIW33" i="1"/>
  <c r="KIX33" i="1"/>
  <c r="KIY33" i="1"/>
  <c r="KIZ33" i="1"/>
  <c r="KJA33" i="1"/>
  <c r="KJB33" i="1"/>
  <c r="KJC33" i="1"/>
  <c r="KJD33" i="1"/>
  <c r="KJE33" i="1"/>
  <c r="KJF33" i="1"/>
  <c r="KJG33" i="1"/>
  <c r="KJH33" i="1"/>
  <c r="KJI33" i="1"/>
  <c r="KJJ33" i="1"/>
  <c r="KJK33" i="1"/>
  <c r="KJL33" i="1"/>
  <c r="KJM33" i="1"/>
  <c r="KJN33" i="1"/>
  <c r="KJO33" i="1"/>
  <c r="KJP33" i="1"/>
  <c r="KJQ33" i="1"/>
  <c r="KJR33" i="1"/>
  <c r="KJS33" i="1"/>
  <c r="KJT33" i="1"/>
  <c r="KJU33" i="1"/>
  <c r="KJV33" i="1"/>
  <c r="KJW33" i="1"/>
  <c r="KJX33" i="1"/>
  <c r="KJY33" i="1"/>
  <c r="KJZ33" i="1"/>
  <c r="KKA33" i="1"/>
  <c r="KKB33" i="1"/>
  <c r="KKC33" i="1"/>
  <c r="KKD33" i="1"/>
  <c r="KKE33" i="1"/>
  <c r="KKF33" i="1"/>
  <c r="KKG33" i="1"/>
  <c r="KKH33" i="1"/>
  <c r="KKI33" i="1"/>
  <c r="KKJ33" i="1"/>
  <c r="KKK33" i="1"/>
  <c r="KKL33" i="1"/>
  <c r="KKM33" i="1"/>
  <c r="KKN33" i="1"/>
  <c r="KKO33" i="1"/>
  <c r="KKP33" i="1"/>
  <c r="KGV34" i="1"/>
  <c r="KGW34" i="1"/>
  <c r="KGX34" i="1"/>
  <c r="KGY34" i="1"/>
  <c r="KGZ34" i="1"/>
  <c r="KHA34" i="1"/>
  <c r="KHB34" i="1"/>
  <c r="KHC34" i="1"/>
  <c r="KHD34" i="1"/>
  <c r="KHE34" i="1"/>
  <c r="KHF34" i="1"/>
  <c r="KHG34" i="1"/>
  <c r="KHH34" i="1"/>
  <c r="KHI34" i="1"/>
  <c r="KHJ34" i="1"/>
  <c r="KHK34" i="1"/>
  <c r="KHL34" i="1"/>
  <c r="KHM34" i="1"/>
  <c r="KHN34" i="1"/>
  <c r="KHO34" i="1"/>
  <c r="KHP34" i="1"/>
  <c r="KHQ34" i="1"/>
  <c r="KHR34" i="1"/>
  <c r="KHS34" i="1"/>
  <c r="KHT34" i="1"/>
  <c r="KHU34" i="1"/>
  <c r="KHV34" i="1"/>
  <c r="KHW34" i="1"/>
  <c r="KHX34" i="1"/>
  <c r="KHY34" i="1"/>
  <c r="KHZ34" i="1"/>
  <c r="KIA34" i="1"/>
  <c r="KIB34" i="1"/>
  <c r="KIC34" i="1"/>
  <c r="KID34" i="1"/>
  <c r="KIE34" i="1"/>
  <c r="KIF34" i="1"/>
  <c r="KIG34" i="1"/>
  <c r="KIH34" i="1"/>
  <c r="KII34" i="1"/>
  <c r="KIJ34" i="1"/>
  <c r="KIK34" i="1"/>
  <c r="KIL34" i="1"/>
  <c r="KIM34" i="1"/>
  <c r="KIN34" i="1"/>
  <c r="KIO34" i="1"/>
  <c r="KIP34" i="1"/>
  <c r="KIQ34" i="1"/>
  <c r="KIR34" i="1"/>
  <c r="KIS34" i="1"/>
  <c r="KIT34" i="1"/>
  <c r="KIU34" i="1"/>
  <c r="KIV34" i="1"/>
  <c r="KIW34" i="1"/>
  <c r="KIX34" i="1"/>
  <c r="KIY34" i="1"/>
  <c r="KIZ34" i="1"/>
  <c r="KJA34" i="1"/>
  <c r="KJB34" i="1"/>
  <c r="KJC34" i="1"/>
  <c r="KJD34" i="1"/>
  <c r="KJE34" i="1"/>
  <c r="KJF34" i="1"/>
  <c r="KJG34" i="1"/>
  <c r="KJH34" i="1"/>
  <c r="KJI34" i="1"/>
  <c r="KJJ34" i="1"/>
  <c r="KJK34" i="1"/>
  <c r="KJL34" i="1"/>
  <c r="KJM34" i="1"/>
  <c r="KJN34" i="1"/>
  <c r="KJO34" i="1"/>
  <c r="KJP34" i="1"/>
  <c r="KJQ34" i="1"/>
  <c r="KJR34" i="1"/>
  <c r="KJS34" i="1"/>
  <c r="KJT34" i="1"/>
  <c r="KJU34" i="1"/>
  <c r="KJV34" i="1"/>
  <c r="KJW34" i="1"/>
  <c r="KJX34" i="1"/>
  <c r="KJY34" i="1"/>
  <c r="KJZ34" i="1"/>
  <c r="KKA34" i="1"/>
  <c r="KKB34" i="1"/>
  <c r="KKC34" i="1"/>
  <c r="KKD34" i="1"/>
  <c r="KKE34" i="1"/>
  <c r="KKF34" i="1"/>
  <c r="KKG34" i="1"/>
  <c r="KKH34" i="1"/>
  <c r="KKI34" i="1"/>
  <c r="KKJ34" i="1"/>
  <c r="KKK34" i="1"/>
  <c r="KKL34" i="1"/>
  <c r="KKM34" i="1"/>
  <c r="KKN34" i="1"/>
  <c r="KKO34" i="1"/>
  <c r="KKP34" i="1"/>
  <c r="KGV35" i="1"/>
  <c r="KGW35" i="1"/>
  <c r="KGX35" i="1"/>
  <c r="KGY35" i="1"/>
  <c r="KGZ35" i="1"/>
  <c r="KHA35" i="1"/>
  <c r="KHB35" i="1"/>
  <c r="KHC35" i="1"/>
  <c r="KHD35" i="1"/>
  <c r="KHE35" i="1"/>
  <c r="KHF35" i="1"/>
  <c r="KHG35" i="1"/>
  <c r="KHH35" i="1"/>
  <c r="KHI35" i="1"/>
  <c r="KHJ35" i="1"/>
  <c r="KHK35" i="1"/>
  <c r="KHL35" i="1"/>
  <c r="KHM35" i="1"/>
  <c r="KHN35" i="1"/>
  <c r="KHO35" i="1"/>
  <c r="KHP35" i="1"/>
  <c r="KHQ35" i="1"/>
  <c r="KHR35" i="1"/>
  <c r="KHS35" i="1"/>
  <c r="KHT35" i="1"/>
  <c r="KHU35" i="1"/>
  <c r="KHV35" i="1"/>
  <c r="KHW35" i="1"/>
  <c r="KHX35" i="1"/>
  <c r="KHY35" i="1"/>
  <c r="KHZ35" i="1"/>
  <c r="KIA35" i="1"/>
  <c r="KIB35" i="1"/>
  <c r="KIC35" i="1"/>
  <c r="KID35" i="1"/>
  <c r="KIE35" i="1"/>
  <c r="KIF35" i="1"/>
  <c r="KIG35" i="1"/>
  <c r="KIH35" i="1"/>
  <c r="KII35" i="1"/>
  <c r="KIJ35" i="1"/>
  <c r="KIK35" i="1"/>
  <c r="KIL35" i="1"/>
  <c r="KIM35" i="1"/>
  <c r="KIN35" i="1"/>
  <c r="KIO35" i="1"/>
  <c r="KIP35" i="1"/>
  <c r="KIQ35" i="1"/>
  <c r="KIR35" i="1"/>
  <c r="KIS35" i="1"/>
  <c r="KIT35" i="1"/>
  <c r="KIU35" i="1"/>
  <c r="KIV35" i="1"/>
  <c r="KIW35" i="1"/>
  <c r="KIX35" i="1"/>
  <c r="KIY35" i="1"/>
  <c r="KIZ35" i="1"/>
  <c r="KJA35" i="1"/>
  <c r="KJB35" i="1"/>
  <c r="KJC35" i="1"/>
  <c r="KJD35" i="1"/>
  <c r="KJE35" i="1"/>
  <c r="KJF35" i="1"/>
  <c r="KJG35" i="1"/>
  <c r="KJH35" i="1"/>
  <c r="KJI35" i="1"/>
  <c r="KJJ35" i="1"/>
  <c r="KJK35" i="1"/>
  <c r="KJL35" i="1"/>
  <c r="KJM35" i="1"/>
  <c r="KJN35" i="1"/>
  <c r="KJO35" i="1"/>
  <c r="KJP35" i="1"/>
  <c r="KJQ35" i="1"/>
  <c r="KJR35" i="1"/>
  <c r="KJS35" i="1"/>
  <c r="KJT35" i="1"/>
  <c r="KJU35" i="1"/>
  <c r="KJV35" i="1"/>
  <c r="KJW35" i="1"/>
  <c r="KJX35" i="1"/>
  <c r="KJY35" i="1"/>
  <c r="KJZ35" i="1"/>
  <c r="KKA35" i="1"/>
  <c r="KKB35" i="1"/>
  <c r="KKC35" i="1"/>
  <c r="KKD35" i="1"/>
  <c r="KKE35" i="1"/>
  <c r="KKF35" i="1"/>
  <c r="KKG35" i="1"/>
  <c r="KKH35" i="1"/>
  <c r="KKI35" i="1"/>
  <c r="KKJ35" i="1"/>
  <c r="KKK35" i="1"/>
  <c r="KKL35" i="1"/>
  <c r="KKM35" i="1"/>
  <c r="KKN35" i="1"/>
  <c r="KKO35" i="1"/>
  <c r="KKP35" i="1"/>
  <c r="KGV36" i="1"/>
  <c r="KGW36" i="1"/>
  <c r="KGX36" i="1"/>
  <c r="KGY36" i="1"/>
  <c r="KGZ36" i="1"/>
  <c r="KHA36" i="1"/>
  <c r="KHB36" i="1"/>
  <c r="KHC36" i="1"/>
  <c r="KHD36" i="1"/>
  <c r="KHE36" i="1"/>
  <c r="KHF36" i="1"/>
  <c r="KHG36" i="1"/>
  <c r="KHH36" i="1"/>
  <c r="KHI36" i="1"/>
  <c r="KHJ36" i="1"/>
  <c r="KHK36" i="1"/>
  <c r="KHL36" i="1"/>
  <c r="KHM36" i="1"/>
  <c r="KHN36" i="1"/>
  <c r="KHO36" i="1"/>
  <c r="KHP36" i="1"/>
  <c r="KHQ36" i="1"/>
  <c r="KHR36" i="1"/>
  <c r="KHS36" i="1"/>
  <c r="KHT36" i="1"/>
  <c r="KHU36" i="1"/>
  <c r="KHV36" i="1"/>
  <c r="KHW36" i="1"/>
  <c r="KHX36" i="1"/>
  <c r="KHY36" i="1"/>
  <c r="KHZ36" i="1"/>
  <c r="KIA36" i="1"/>
  <c r="KIB36" i="1"/>
  <c r="KIC36" i="1"/>
  <c r="KID36" i="1"/>
  <c r="KIE36" i="1"/>
  <c r="KIF36" i="1"/>
  <c r="KIG36" i="1"/>
  <c r="KIH36" i="1"/>
  <c r="KII36" i="1"/>
  <c r="KIJ36" i="1"/>
  <c r="KIK36" i="1"/>
  <c r="KIL36" i="1"/>
  <c r="KIM36" i="1"/>
  <c r="KIN36" i="1"/>
  <c r="KIO36" i="1"/>
  <c r="KIP36" i="1"/>
  <c r="KIQ36" i="1"/>
  <c r="KIR36" i="1"/>
  <c r="KIS36" i="1"/>
  <c r="KIT36" i="1"/>
  <c r="KIU36" i="1"/>
  <c r="KIV36" i="1"/>
  <c r="KIW36" i="1"/>
  <c r="KIX36" i="1"/>
  <c r="KIY36" i="1"/>
  <c r="KIZ36" i="1"/>
  <c r="KJA36" i="1"/>
  <c r="KJB36" i="1"/>
  <c r="KJC36" i="1"/>
  <c r="KJD36" i="1"/>
  <c r="KJE36" i="1"/>
  <c r="KJF36" i="1"/>
  <c r="KJG36" i="1"/>
  <c r="KJH36" i="1"/>
  <c r="KJI36" i="1"/>
  <c r="KJJ36" i="1"/>
  <c r="KJK36" i="1"/>
  <c r="KJL36" i="1"/>
  <c r="KJM36" i="1"/>
  <c r="KJN36" i="1"/>
  <c r="KJO36" i="1"/>
  <c r="KJP36" i="1"/>
  <c r="KJQ36" i="1"/>
  <c r="KJR36" i="1"/>
  <c r="KJS36" i="1"/>
  <c r="KJT36" i="1"/>
  <c r="KJU36" i="1"/>
  <c r="KJV36" i="1"/>
  <c r="KJW36" i="1"/>
  <c r="KJX36" i="1"/>
  <c r="KJY36" i="1"/>
  <c r="KJZ36" i="1"/>
  <c r="KKA36" i="1"/>
  <c r="KKB36" i="1"/>
  <c r="KKC36" i="1"/>
  <c r="KKD36" i="1"/>
  <c r="KKE36" i="1"/>
  <c r="KKF36" i="1"/>
  <c r="KKG36" i="1"/>
  <c r="KKH36" i="1"/>
  <c r="KKI36" i="1"/>
  <c r="KKJ36" i="1"/>
  <c r="KKK36" i="1"/>
  <c r="KKL36" i="1"/>
  <c r="KKM36" i="1"/>
  <c r="KKN36" i="1"/>
  <c r="KKO36" i="1"/>
  <c r="KKP36" i="1"/>
  <c r="KGV37" i="1"/>
  <c r="KGW37" i="1"/>
  <c r="KGX37" i="1"/>
  <c r="KGY37" i="1"/>
  <c r="KGZ37" i="1"/>
  <c r="KHA37" i="1"/>
  <c r="KHB37" i="1"/>
  <c r="KHC37" i="1"/>
  <c r="KHD37" i="1"/>
  <c r="KHE37" i="1"/>
  <c r="KHF37" i="1"/>
  <c r="KHG37" i="1"/>
  <c r="KHH37" i="1"/>
  <c r="KHI37" i="1"/>
  <c r="KHJ37" i="1"/>
  <c r="KHK37" i="1"/>
  <c r="KHL37" i="1"/>
  <c r="KHM37" i="1"/>
  <c r="KHN37" i="1"/>
  <c r="KHO37" i="1"/>
  <c r="KHP37" i="1"/>
  <c r="KHQ37" i="1"/>
  <c r="KHR37" i="1"/>
  <c r="KHS37" i="1"/>
  <c r="KHT37" i="1"/>
  <c r="KHU37" i="1"/>
  <c r="KHV37" i="1"/>
  <c r="KHW37" i="1"/>
  <c r="KHX37" i="1"/>
  <c r="KHY37" i="1"/>
  <c r="KHZ37" i="1"/>
  <c r="KIA37" i="1"/>
  <c r="KIB37" i="1"/>
  <c r="KIC37" i="1"/>
  <c r="KID37" i="1"/>
  <c r="KIE37" i="1"/>
  <c r="KIF37" i="1"/>
  <c r="KIG37" i="1"/>
  <c r="KIH37" i="1"/>
  <c r="KII37" i="1"/>
  <c r="KIJ37" i="1"/>
  <c r="KIK37" i="1"/>
  <c r="KIL37" i="1"/>
  <c r="KIM37" i="1"/>
  <c r="KIN37" i="1"/>
  <c r="KIO37" i="1"/>
  <c r="KIP37" i="1"/>
  <c r="KIQ37" i="1"/>
  <c r="KIR37" i="1"/>
  <c r="KIS37" i="1"/>
  <c r="KIT37" i="1"/>
  <c r="KIU37" i="1"/>
  <c r="KIV37" i="1"/>
  <c r="KIW37" i="1"/>
  <c r="KIX37" i="1"/>
  <c r="KIY37" i="1"/>
  <c r="KIZ37" i="1"/>
  <c r="KJA37" i="1"/>
  <c r="KJB37" i="1"/>
  <c r="KJC37" i="1"/>
  <c r="KJD37" i="1"/>
  <c r="KJE37" i="1"/>
  <c r="KJF37" i="1"/>
  <c r="KJG37" i="1"/>
  <c r="KJH37" i="1"/>
  <c r="KJI37" i="1"/>
  <c r="KJJ37" i="1"/>
  <c r="KJK37" i="1"/>
  <c r="KJL37" i="1"/>
  <c r="KJM37" i="1"/>
  <c r="KJN37" i="1"/>
  <c r="KJO37" i="1"/>
  <c r="KJP37" i="1"/>
  <c r="KJQ37" i="1"/>
  <c r="KJR37" i="1"/>
  <c r="KJS37" i="1"/>
  <c r="KJT37" i="1"/>
  <c r="KJU37" i="1"/>
  <c r="KJV37" i="1"/>
  <c r="KJW37" i="1"/>
  <c r="KJX37" i="1"/>
  <c r="KJY37" i="1"/>
  <c r="KJZ37" i="1"/>
  <c r="KKA37" i="1"/>
  <c r="KKB37" i="1"/>
  <c r="KKC37" i="1"/>
  <c r="KKD37" i="1"/>
  <c r="KKE37" i="1"/>
  <c r="KKF37" i="1"/>
  <c r="KKG37" i="1"/>
  <c r="KKH37" i="1"/>
  <c r="KKI37" i="1"/>
  <c r="KKJ37" i="1"/>
  <c r="KKK37" i="1"/>
  <c r="KKL37" i="1"/>
  <c r="KKM37" i="1"/>
  <c r="KKN37" i="1"/>
  <c r="KKO37" i="1"/>
  <c r="KKP37" i="1"/>
  <c r="KGV38" i="1"/>
  <c r="KGW38" i="1"/>
  <c r="KGX38" i="1"/>
  <c r="KGY38" i="1"/>
  <c r="KGZ38" i="1"/>
  <c r="KHA38" i="1"/>
  <c r="KHB38" i="1"/>
  <c r="KHC38" i="1"/>
  <c r="KHD38" i="1"/>
  <c r="KHE38" i="1"/>
  <c r="KHF38" i="1"/>
  <c r="KHG38" i="1"/>
  <c r="KHH38" i="1"/>
  <c r="KHI38" i="1"/>
  <c r="KHJ38" i="1"/>
  <c r="KHK38" i="1"/>
  <c r="KHL38" i="1"/>
  <c r="KHM38" i="1"/>
  <c r="KHN38" i="1"/>
  <c r="KHO38" i="1"/>
  <c r="KHP38" i="1"/>
  <c r="KHQ38" i="1"/>
  <c r="KHR38" i="1"/>
  <c r="KHS38" i="1"/>
  <c r="KHT38" i="1"/>
  <c r="KHU38" i="1"/>
  <c r="KHV38" i="1"/>
  <c r="KHW38" i="1"/>
  <c r="KHX38" i="1"/>
  <c r="KHY38" i="1"/>
  <c r="KHZ38" i="1"/>
  <c r="KIA38" i="1"/>
  <c r="KIB38" i="1"/>
  <c r="KIC38" i="1"/>
  <c r="KID38" i="1"/>
  <c r="KIE38" i="1"/>
  <c r="KIF38" i="1"/>
  <c r="KIG38" i="1"/>
  <c r="KIH38" i="1"/>
  <c r="KII38" i="1"/>
  <c r="KIJ38" i="1"/>
  <c r="KIK38" i="1"/>
  <c r="KIL38" i="1"/>
  <c r="KIM38" i="1"/>
  <c r="KIN38" i="1"/>
  <c r="KIO38" i="1"/>
  <c r="KIP38" i="1"/>
  <c r="KIQ38" i="1"/>
  <c r="KIR38" i="1"/>
  <c r="KIS38" i="1"/>
  <c r="KIT38" i="1"/>
  <c r="KIU38" i="1"/>
  <c r="KIV38" i="1"/>
  <c r="KIW38" i="1"/>
  <c r="KIX38" i="1"/>
  <c r="KIY38" i="1"/>
  <c r="KIZ38" i="1"/>
  <c r="KJA38" i="1"/>
  <c r="KJB38" i="1"/>
  <c r="KJC38" i="1"/>
  <c r="KJD38" i="1"/>
  <c r="KJE38" i="1"/>
  <c r="KJF38" i="1"/>
  <c r="KJG38" i="1"/>
  <c r="KJH38" i="1"/>
  <c r="KJI38" i="1"/>
  <c r="KJJ38" i="1"/>
  <c r="KJK38" i="1"/>
  <c r="KJL38" i="1"/>
  <c r="KJM38" i="1"/>
  <c r="KJN38" i="1"/>
  <c r="KJO38" i="1"/>
  <c r="KJP38" i="1"/>
  <c r="KJQ38" i="1"/>
  <c r="KJR38" i="1"/>
  <c r="KJS38" i="1"/>
  <c r="KJT38" i="1"/>
  <c r="KJU38" i="1"/>
  <c r="KJV38" i="1"/>
  <c r="KJW38" i="1"/>
  <c r="KJX38" i="1"/>
  <c r="KJY38" i="1"/>
  <c r="KJZ38" i="1"/>
  <c r="KKA38" i="1"/>
  <c r="KKB38" i="1"/>
  <c r="KKC38" i="1"/>
  <c r="KKD38" i="1"/>
  <c r="KKE38" i="1"/>
  <c r="KKF38" i="1"/>
  <c r="KKG38" i="1"/>
  <c r="KKH38" i="1"/>
  <c r="KKI38" i="1"/>
  <c r="KKJ38" i="1"/>
  <c r="KKK38" i="1"/>
  <c r="KKL38" i="1"/>
  <c r="KKM38" i="1"/>
  <c r="KKN38" i="1"/>
  <c r="KKO38" i="1"/>
  <c r="KKP38" i="1"/>
  <c r="KGV39" i="1"/>
  <c r="KGW39" i="1"/>
  <c r="KGX39" i="1"/>
  <c r="KGY39" i="1"/>
  <c r="KGZ39" i="1"/>
  <c r="KHA39" i="1"/>
  <c r="KHB39" i="1"/>
  <c r="KHC39" i="1"/>
  <c r="KHD39" i="1"/>
  <c r="KHE39" i="1"/>
  <c r="KHF39" i="1"/>
  <c r="KHG39" i="1"/>
  <c r="KHH39" i="1"/>
  <c r="KHI39" i="1"/>
  <c r="KHJ39" i="1"/>
  <c r="KHK39" i="1"/>
  <c r="KHL39" i="1"/>
  <c r="KHM39" i="1"/>
  <c r="KHN39" i="1"/>
  <c r="KHO39" i="1"/>
  <c r="KHP39" i="1"/>
  <c r="KHQ39" i="1"/>
  <c r="KHR39" i="1"/>
  <c r="KHS39" i="1"/>
  <c r="KHT39" i="1"/>
  <c r="KHU39" i="1"/>
  <c r="KHV39" i="1"/>
  <c r="KHW39" i="1"/>
  <c r="KHX39" i="1"/>
  <c r="KHY39" i="1"/>
  <c r="KHZ39" i="1"/>
  <c r="KIA39" i="1"/>
  <c r="KIB39" i="1"/>
  <c r="KIC39" i="1"/>
  <c r="KID39" i="1"/>
  <c r="KIE39" i="1"/>
  <c r="KIF39" i="1"/>
  <c r="KIG39" i="1"/>
  <c r="KIH39" i="1"/>
  <c r="KII39" i="1"/>
  <c r="KIJ39" i="1"/>
  <c r="KIK39" i="1"/>
  <c r="KIL39" i="1"/>
  <c r="KIM39" i="1"/>
  <c r="KIN39" i="1"/>
  <c r="KIO39" i="1"/>
  <c r="KIP39" i="1"/>
  <c r="KIQ39" i="1"/>
  <c r="KIR39" i="1"/>
  <c r="KIS39" i="1"/>
  <c r="KIT39" i="1"/>
  <c r="KIU39" i="1"/>
  <c r="KIV39" i="1"/>
  <c r="KIW39" i="1"/>
  <c r="KIX39" i="1"/>
  <c r="KIY39" i="1"/>
  <c r="KIZ39" i="1"/>
  <c r="KJA39" i="1"/>
  <c r="KJB39" i="1"/>
  <c r="KJC39" i="1"/>
  <c r="KJD39" i="1"/>
  <c r="KJE39" i="1"/>
  <c r="KJF39" i="1"/>
  <c r="KJG39" i="1"/>
  <c r="KJH39" i="1"/>
  <c r="KJI39" i="1"/>
  <c r="KJJ39" i="1"/>
  <c r="KJK39" i="1"/>
  <c r="KJL39" i="1"/>
  <c r="KJM39" i="1"/>
  <c r="KJN39" i="1"/>
  <c r="KJO39" i="1"/>
  <c r="KJP39" i="1"/>
  <c r="KJQ39" i="1"/>
  <c r="KJR39" i="1"/>
  <c r="KJS39" i="1"/>
  <c r="KJT39" i="1"/>
  <c r="KJU39" i="1"/>
  <c r="KJV39" i="1"/>
  <c r="KJW39" i="1"/>
  <c r="KJX39" i="1"/>
  <c r="KJY39" i="1"/>
  <c r="KJZ39" i="1"/>
  <c r="KKA39" i="1"/>
  <c r="KKB39" i="1"/>
  <c r="KKC39" i="1"/>
  <c r="KKD39" i="1"/>
  <c r="KKE39" i="1"/>
  <c r="KKF39" i="1"/>
  <c r="KKG39" i="1"/>
  <c r="KKH39" i="1"/>
  <c r="KKI39" i="1"/>
  <c r="KKJ39" i="1"/>
  <c r="KKK39" i="1"/>
  <c r="KKL39" i="1"/>
  <c r="KKM39" i="1"/>
  <c r="KKN39" i="1"/>
  <c r="KKO39" i="1"/>
  <c r="KKP39" i="1"/>
  <c r="KGV40" i="1"/>
  <c r="KGW40" i="1"/>
  <c r="KGX40" i="1"/>
  <c r="KGY40" i="1"/>
  <c r="KGZ40" i="1"/>
  <c r="KHA40" i="1"/>
  <c r="KHB40" i="1"/>
  <c r="KHC40" i="1"/>
  <c r="KHD40" i="1"/>
  <c r="KHE40" i="1"/>
  <c r="KHF40" i="1"/>
  <c r="KHG40" i="1"/>
  <c r="KHH40" i="1"/>
  <c r="KHI40" i="1"/>
  <c r="KHJ40" i="1"/>
  <c r="KHK40" i="1"/>
  <c r="KHL40" i="1"/>
  <c r="KHM40" i="1"/>
  <c r="KHN40" i="1"/>
  <c r="KHO40" i="1"/>
  <c r="KHP40" i="1"/>
  <c r="KHQ40" i="1"/>
  <c r="KHR40" i="1"/>
  <c r="KHS40" i="1"/>
  <c r="KHT40" i="1"/>
  <c r="KHU40" i="1"/>
  <c r="KHV40" i="1"/>
  <c r="KHW40" i="1"/>
  <c r="KHX40" i="1"/>
  <c r="KHY40" i="1"/>
  <c r="KHZ40" i="1"/>
  <c r="KIA40" i="1"/>
  <c r="KIB40" i="1"/>
  <c r="KIC40" i="1"/>
  <c r="KID40" i="1"/>
  <c r="KIE40" i="1"/>
  <c r="KIF40" i="1"/>
  <c r="KIG40" i="1"/>
  <c r="KIH40" i="1"/>
  <c r="KII40" i="1"/>
  <c r="KIJ40" i="1"/>
  <c r="KIK40" i="1"/>
  <c r="KIL40" i="1"/>
  <c r="KIM40" i="1"/>
  <c r="KIN40" i="1"/>
  <c r="KIO40" i="1"/>
  <c r="KIP40" i="1"/>
  <c r="KIQ40" i="1"/>
  <c r="KIR40" i="1"/>
  <c r="KIS40" i="1"/>
  <c r="KIT40" i="1"/>
  <c r="KIU40" i="1"/>
  <c r="KIV40" i="1"/>
  <c r="KIW40" i="1"/>
  <c r="KIX40" i="1"/>
  <c r="KIY40" i="1"/>
  <c r="KIZ40" i="1"/>
  <c r="KJA40" i="1"/>
  <c r="KJB40" i="1"/>
  <c r="KJC40" i="1"/>
  <c r="KJD40" i="1"/>
  <c r="KJE40" i="1"/>
  <c r="KJF40" i="1"/>
  <c r="KJG40" i="1"/>
  <c r="KJH40" i="1"/>
  <c r="KJI40" i="1"/>
  <c r="KJJ40" i="1"/>
  <c r="KJK40" i="1"/>
  <c r="KJL40" i="1"/>
  <c r="KJM40" i="1"/>
  <c r="KJN40" i="1"/>
  <c r="KJO40" i="1"/>
  <c r="KJP40" i="1"/>
  <c r="KJQ40" i="1"/>
  <c r="KJR40" i="1"/>
  <c r="KJS40" i="1"/>
  <c r="KJT40" i="1"/>
  <c r="KJU40" i="1"/>
  <c r="KJV40" i="1"/>
  <c r="KJW40" i="1"/>
  <c r="KJX40" i="1"/>
  <c r="KJY40" i="1"/>
  <c r="KJZ40" i="1"/>
  <c r="KKA40" i="1"/>
  <c r="KKB40" i="1"/>
  <c r="KKC40" i="1"/>
  <c r="KKD40" i="1"/>
  <c r="KKE40" i="1"/>
  <c r="KKF40" i="1"/>
  <c r="KKG40" i="1"/>
  <c r="KKH40" i="1"/>
  <c r="KKI40" i="1"/>
  <c r="KKJ40" i="1"/>
  <c r="KKK40" i="1"/>
  <c r="KKL40" i="1"/>
  <c r="KKM40" i="1"/>
  <c r="KKN40" i="1"/>
  <c r="KKO40" i="1"/>
  <c r="KKP40" i="1"/>
  <c r="KGV41" i="1"/>
  <c r="KGW41" i="1"/>
  <c r="KGX41" i="1"/>
  <c r="KGY41" i="1"/>
  <c r="KGZ41" i="1"/>
  <c r="KHA41" i="1"/>
  <c r="KHB41" i="1"/>
  <c r="KHC41" i="1"/>
  <c r="KHD41" i="1"/>
  <c r="KHE41" i="1"/>
  <c r="KHF41" i="1"/>
  <c r="KHG41" i="1"/>
  <c r="KHH41" i="1"/>
  <c r="KHI41" i="1"/>
  <c r="KHJ41" i="1"/>
  <c r="KHK41" i="1"/>
  <c r="KHL41" i="1"/>
  <c r="KHM41" i="1"/>
  <c r="KHN41" i="1"/>
  <c r="KHO41" i="1"/>
  <c r="KHP41" i="1"/>
  <c r="KHQ41" i="1"/>
  <c r="KHR41" i="1"/>
  <c r="KHS41" i="1"/>
  <c r="KHT41" i="1"/>
  <c r="KHU41" i="1"/>
  <c r="KHV41" i="1"/>
  <c r="KHW41" i="1"/>
  <c r="KHX41" i="1"/>
  <c r="KHY41" i="1"/>
  <c r="KHZ41" i="1"/>
  <c r="KIA41" i="1"/>
  <c r="KIB41" i="1"/>
  <c r="KIC41" i="1"/>
  <c r="KID41" i="1"/>
  <c r="KIE41" i="1"/>
  <c r="KIF41" i="1"/>
  <c r="KIG41" i="1"/>
  <c r="KIH41" i="1"/>
  <c r="KII41" i="1"/>
  <c r="KIJ41" i="1"/>
  <c r="KIK41" i="1"/>
  <c r="KIL41" i="1"/>
  <c r="KIM41" i="1"/>
  <c r="KIN41" i="1"/>
  <c r="KIO41" i="1"/>
  <c r="KIP41" i="1"/>
  <c r="KIQ41" i="1"/>
  <c r="KIR41" i="1"/>
  <c r="KIS41" i="1"/>
  <c r="KIT41" i="1"/>
  <c r="KIU41" i="1"/>
  <c r="KIV41" i="1"/>
  <c r="KIW41" i="1"/>
  <c r="KIX41" i="1"/>
  <c r="KIY41" i="1"/>
  <c r="KIZ41" i="1"/>
  <c r="KJA41" i="1"/>
  <c r="KJB41" i="1"/>
  <c r="KJC41" i="1"/>
  <c r="KJD41" i="1"/>
  <c r="KJE41" i="1"/>
  <c r="KJF41" i="1"/>
  <c r="KJG41" i="1"/>
  <c r="KJH41" i="1"/>
  <c r="KJI41" i="1"/>
  <c r="KJJ41" i="1"/>
  <c r="KJK41" i="1"/>
  <c r="KJL41" i="1"/>
  <c r="KJM41" i="1"/>
  <c r="KJN41" i="1"/>
  <c r="KJO41" i="1"/>
  <c r="KJP41" i="1"/>
  <c r="KJQ41" i="1"/>
  <c r="KJR41" i="1"/>
  <c r="KJS41" i="1"/>
  <c r="KJT41" i="1"/>
  <c r="KJU41" i="1"/>
  <c r="KJV41" i="1"/>
  <c r="KJW41" i="1"/>
  <c r="KJX41" i="1"/>
  <c r="KJY41" i="1"/>
  <c r="KJZ41" i="1"/>
  <c r="KKA41" i="1"/>
  <c r="KKB41" i="1"/>
  <c r="KKC41" i="1"/>
  <c r="KKD41" i="1"/>
  <c r="KKE41" i="1"/>
  <c r="KKF41" i="1"/>
  <c r="KKG41" i="1"/>
  <c r="KKH41" i="1"/>
  <c r="KKI41" i="1"/>
  <c r="KKJ41" i="1"/>
  <c r="KKK41" i="1"/>
  <c r="KKL41" i="1"/>
  <c r="KKM41" i="1"/>
  <c r="KKN41" i="1"/>
  <c r="KKO41" i="1"/>
  <c r="KKP41" i="1"/>
  <c r="KGV42" i="1"/>
  <c r="KGW42" i="1"/>
  <c r="KGX42" i="1"/>
  <c r="KGY42" i="1"/>
  <c r="KGZ42" i="1"/>
  <c r="KHA42" i="1"/>
  <c r="KHB42" i="1"/>
  <c r="KHC42" i="1"/>
  <c r="KHD42" i="1"/>
  <c r="KHE42" i="1"/>
  <c r="KHF42" i="1"/>
  <c r="KHG42" i="1"/>
  <c r="KHH42" i="1"/>
  <c r="KHI42" i="1"/>
  <c r="KHJ42" i="1"/>
  <c r="KHK42" i="1"/>
  <c r="KHL42" i="1"/>
  <c r="KHM42" i="1"/>
  <c r="KHN42" i="1"/>
  <c r="KHO42" i="1"/>
  <c r="KHP42" i="1"/>
  <c r="KHQ42" i="1"/>
  <c r="KHR42" i="1"/>
  <c r="KHS42" i="1"/>
  <c r="KHT42" i="1"/>
  <c r="KHU42" i="1"/>
  <c r="KHV42" i="1"/>
  <c r="KHW42" i="1"/>
  <c r="KHX42" i="1"/>
  <c r="KHY42" i="1"/>
  <c r="KHZ42" i="1"/>
  <c r="KIA42" i="1"/>
  <c r="KIB42" i="1"/>
  <c r="KIC42" i="1"/>
  <c r="KID42" i="1"/>
  <c r="KIE42" i="1"/>
  <c r="KIF42" i="1"/>
  <c r="KIG42" i="1"/>
  <c r="KIH42" i="1"/>
  <c r="KII42" i="1"/>
  <c r="KIJ42" i="1"/>
  <c r="KIK42" i="1"/>
  <c r="KIL42" i="1"/>
  <c r="KIM42" i="1"/>
  <c r="KIN42" i="1"/>
  <c r="KIO42" i="1"/>
  <c r="KIP42" i="1"/>
  <c r="KIQ42" i="1"/>
  <c r="KIR42" i="1"/>
  <c r="KIS42" i="1"/>
  <c r="KIT42" i="1"/>
  <c r="KIU42" i="1"/>
  <c r="KIV42" i="1"/>
  <c r="KIW42" i="1"/>
  <c r="KIX42" i="1"/>
  <c r="KIY42" i="1"/>
  <c r="KIZ42" i="1"/>
  <c r="KJA42" i="1"/>
  <c r="KJB42" i="1"/>
  <c r="KJC42" i="1"/>
  <c r="KJD42" i="1"/>
  <c r="KJE42" i="1"/>
  <c r="KJF42" i="1"/>
  <c r="KJG42" i="1"/>
  <c r="KJH42" i="1"/>
  <c r="KJI42" i="1"/>
  <c r="KJJ42" i="1"/>
  <c r="KJK42" i="1"/>
  <c r="KJL42" i="1"/>
  <c r="KJM42" i="1"/>
  <c r="KJN42" i="1"/>
  <c r="KJO42" i="1"/>
  <c r="KJP42" i="1"/>
  <c r="KJQ42" i="1"/>
  <c r="KJR42" i="1"/>
  <c r="KJS42" i="1"/>
  <c r="KJT42" i="1"/>
  <c r="KJU42" i="1"/>
  <c r="KJV42" i="1"/>
  <c r="KJW42" i="1"/>
  <c r="KJX42" i="1"/>
  <c r="KJY42" i="1"/>
  <c r="KJZ42" i="1"/>
  <c r="KKA42" i="1"/>
  <c r="KKB42" i="1"/>
  <c r="KKC42" i="1"/>
  <c r="KKD42" i="1"/>
  <c r="KKE42" i="1"/>
  <c r="KKF42" i="1"/>
  <c r="KKG42" i="1"/>
  <c r="KKH42" i="1"/>
  <c r="KKI42" i="1"/>
  <c r="KKJ42" i="1"/>
  <c r="KKK42" i="1"/>
  <c r="KKL42" i="1"/>
  <c r="KKM42" i="1"/>
  <c r="KKN42" i="1"/>
  <c r="KKO42" i="1"/>
  <c r="KKP42" i="1"/>
  <c r="KGV43" i="1"/>
  <c r="KGW43" i="1"/>
  <c r="KGX43" i="1"/>
  <c r="KGY43" i="1"/>
  <c r="KGZ43" i="1"/>
  <c r="KHA43" i="1"/>
  <c r="KHB43" i="1"/>
  <c r="KHC43" i="1"/>
  <c r="KHD43" i="1"/>
  <c r="KHE43" i="1"/>
  <c r="KHF43" i="1"/>
  <c r="KHG43" i="1"/>
  <c r="KHH43" i="1"/>
  <c r="KHI43" i="1"/>
  <c r="KHJ43" i="1"/>
  <c r="KHK43" i="1"/>
  <c r="KHL43" i="1"/>
  <c r="KHM43" i="1"/>
  <c r="KHN43" i="1"/>
  <c r="KHO43" i="1"/>
  <c r="KHP43" i="1"/>
  <c r="KHQ43" i="1"/>
  <c r="KHR43" i="1"/>
  <c r="KHS43" i="1"/>
  <c r="KHT43" i="1"/>
  <c r="KHU43" i="1"/>
  <c r="KHV43" i="1"/>
  <c r="KHW43" i="1"/>
  <c r="KHX43" i="1"/>
  <c r="KHY43" i="1"/>
  <c r="KHZ43" i="1"/>
  <c r="KIA43" i="1"/>
  <c r="KIB43" i="1"/>
  <c r="KIC43" i="1"/>
  <c r="KID43" i="1"/>
  <c r="KIE43" i="1"/>
  <c r="KIF43" i="1"/>
  <c r="KIG43" i="1"/>
  <c r="KIH43" i="1"/>
  <c r="KII43" i="1"/>
  <c r="KIJ43" i="1"/>
  <c r="KIK43" i="1"/>
  <c r="KIL43" i="1"/>
  <c r="KIM43" i="1"/>
  <c r="KIN43" i="1"/>
  <c r="KIO43" i="1"/>
  <c r="KIP43" i="1"/>
  <c r="KIQ43" i="1"/>
  <c r="KIR43" i="1"/>
  <c r="KIS43" i="1"/>
  <c r="KIT43" i="1"/>
  <c r="KIU43" i="1"/>
  <c r="KIV43" i="1"/>
  <c r="KIW43" i="1"/>
  <c r="KIX43" i="1"/>
  <c r="KIY43" i="1"/>
  <c r="KIZ43" i="1"/>
  <c r="KJA43" i="1"/>
  <c r="KJB43" i="1"/>
  <c r="KJC43" i="1"/>
  <c r="KJD43" i="1"/>
  <c r="KJE43" i="1"/>
  <c r="KJF43" i="1"/>
  <c r="KJG43" i="1"/>
  <c r="KJH43" i="1"/>
  <c r="KJI43" i="1"/>
  <c r="KJJ43" i="1"/>
  <c r="KJK43" i="1"/>
  <c r="KJL43" i="1"/>
  <c r="KJM43" i="1"/>
  <c r="KJN43" i="1"/>
  <c r="KJO43" i="1"/>
  <c r="KJP43" i="1"/>
  <c r="KJQ43" i="1"/>
  <c r="KJR43" i="1"/>
  <c r="KJS43" i="1"/>
  <c r="KJT43" i="1"/>
  <c r="KJU43" i="1"/>
  <c r="KJV43" i="1"/>
  <c r="KJW43" i="1"/>
  <c r="KJX43" i="1"/>
  <c r="KJY43" i="1"/>
  <c r="KJZ43" i="1"/>
  <c r="KKA43" i="1"/>
  <c r="KKB43" i="1"/>
  <c r="KKC43" i="1"/>
  <c r="KKD43" i="1"/>
  <c r="KKE43" i="1"/>
  <c r="KKF43" i="1"/>
  <c r="KKG43" i="1"/>
  <c r="KKH43" i="1"/>
  <c r="KKI43" i="1"/>
  <c r="KKJ43" i="1"/>
  <c r="KKK43" i="1"/>
  <c r="KKL43" i="1"/>
  <c r="KKM43" i="1"/>
  <c r="KKN43" i="1"/>
  <c r="KKO43" i="1"/>
  <c r="KKP43" i="1"/>
  <c r="KGV44" i="1"/>
  <c r="KGW44" i="1"/>
  <c r="KGX44" i="1"/>
  <c r="KGY44" i="1"/>
  <c r="KGZ44" i="1"/>
  <c r="KHA44" i="1"/>
  <c r="KHB44" i="1"/>
  <c r="KHC44" i="1"/>
  <c r="KHD44" i="1"/>
  <c r="KHE44" i="1"/>
  <c r="KHF44" i="1"/>
  <c r="KHG44" i="1"/>
  <c r="KHH44" i="1"/>
  <c r="KHI44" i="1"/>
  <c r="KHJ44" i="1"/>
  <c r="KHK44" i="1"/>
  <c r="KHL44" i="1"/>
  <c r="KHM44" i="1"/>
  <c r="KHN44" i="1"/>
  <c r="KHO44" i="1"/>
  <c r="KHP44" i="1"/>
  <c r="KHQ44" i="1"/>
  <c r="KHR44" i="1"/>
  <c r="KHS44" i="1"/>
  <c r="KHT44" i="1"/>
  <c r="KHU44" i="1"/>
  <c r="KHV44" i="1"/>
  <c r="KHW44" i="1"/>
  <c r="KHX44" i="1"/>
  <c r="KHY44" i="1"/>
  <c r="KHZ44" i="1"/>
  <c r="KIA44" i="1"/>
  <c r="KIB44" i="1"/>
  <c r="KIC44" i="1"/>
  <c r="KID44" i="1"/>
  <c r="KIE44" i="1"/>
  <c r="KIF44" i="1"/>
  <c r="KIG44" i="1"/>
  <c r="KIH44" i="1"/>
  <c r="KII44" i="1"/>
  <c r="KIJ44" i="1"/>
  <c r="KIK44" i="1"/>
  <c r="KIL44" i="1"/>
  <c r="KIM44" i="1"/>
  <c r="KIN44" i="1"/>
  <c r="KIO44" i="1"/>
  <c r="KIP44" i="1"/>
  <c r="KIQ44" i="1"/>
  <c r="KIR44" i="1"/>
  <c r="KIS44" i="1"/>
  <c r="KIT44" i="1"/>
  <c r="KIU44" i="1"/>
  <c r="KIV44" i="1"/>
  <c r="KIW44" i="1"/>
  <c r="KIX44" i="1"/>
  <c r="KIY44" i="1"/>
  <c r="KIZ44" i="1"/>
  <c r="KJA44" i="1"/>
  <c r="KJB44" i="1"/>
  <c r="KJC44" i="1"/>
  <c r="KJD44" i="1"/>
  <c r="KJE44" i="1"/>
  <c r="KJF44" i="1"/>
  <c r="KJG44" i="1"/>
  <c r="KJH44" i="1"/>
  <c r="KJI44" i="1"/>
  <c r="KJJ44" i="1"/>
  <c r="KJK44" i="1"/>
  <c r="KJL44" i="1"/>
  <c r="KJM44" i="1"/>
  <c r="KJN44" i="1"/>
  <c r="KJO44" i="1"/>
  <c r="KJP44" i="1"/>
  <c r="KJQ44" i="1"/>
  <c r="KJR44" i="1"/>
  <c r="KJS44" i="1"/>
  <c r="KJT44" i="1"/>
  <c r="KJU44" i="1"/>
  <c r="KJV44" i="1"/>
  <c r="KJW44" i="1"/>
  <c r="KJX44" i="1"/>
  <c r="KJY44" i="1"/>
  <c r="KJZ44" i="1"/>
  <c r="KKA44" i="1"/>
  <c r="KKB44" i="1"/>
  <c r="KKC44" i="1"/>
  <c r="KKD44" i="1"/>
  <c r="KKE44" i="1"/>
  <c r="KKF44" i="1"/>
  <c r="KKG44" i="1"/>
  <c r="KKH44" i="1"/>
  <c r="KKI44" i="1"/>
  <c r="KKJ44" i="1"/>
  <c r="KKK44" i="1"/>
  <c r="KKL44" i="1"/>
  <c r="KKM44" i="1"/>
  <c r="KKN44" i="1"/>
  <c r="KKO44" i="1"/>
  <c r="KKP44" i="1"/>
  <c r="KGV45" i="1"/>
  <c r="KGW45" i="1"/>
  <c r="KGX45" i="1"/>
  <c r="KGY45" i="1"/>
  <c r="KGZ45" i="1"/>
  <c r="KHA45" i="1"/>
  <c r="KHB45" i="1"/>
  <c r="KHC45" i="1"/>
  <c r="KHD45" i="1"/>
  <c r="KHE45" i="1"/>
  <c r="KHF45" i="1"/>
  <c r="KHG45" i="1"/>
  <c r="KHH45" i="1"/>
  <c r="KHI45" i="1"/>
  <c r="KHJ45" i="1"/>
  <c r="KHK45" i="1"/>
  <c r="KHL45" i="1"/>
  <c r="KHM45" i="1"/>
  <c r="KHN45" i="1"/>
  <c r="KHO45" i="1"/>
  <c r="KHP45" i="1"/>
  <c r="KHQ45" i="1"/>
  <c r="KHR45" i="1"/>
  <c r="KHS45" i="1"/>
  <c r="KHT45" i="1"/>
  <c r="KHU45" i="1"/>
  <c r="KHV45" i="1"/>
  <c r="KHW45" i="1"/>
  <c r="KHX45" i="1"/>
  <c r="KHY45" i="1"/>
  <c r="KHZ45" i="1"/>
  <c r="KIA45" i="1"/>
  <c r="KIB45" i="1"/>
  <c r="KIC45" i="1"/>
  <c r="KID45" i="1"/>
  <c r="KIE45" i="1"/>
  <c r="KIF45" i="1"/>
  <c r="KIG45" i="1"/>
  <c r="KIH45" i="1"/>
  <c r="KII45" i="1"/>
  <c r="KIJ45" i="1"/>
  <c r="KIK45" i="1"/>
  <c r="KIL45" i="1"/>
  <c r="KIM45" i="1"/>
  <c r="KIN45" i="1"/>
  <c r="KIO45" i="1"/>
  <c r="KIP45" i="1"/>
  <c r="KIQ45" i="1"/>
  <c r="KIR45" i="1"/>
  <c r="KIS45" i="1"/>
  <c r="KIT45" i="1"/>
  <c r="KIU45" i="1"/>
  <c r="KIV45" i="1"/>
  <c r="KIW45" i="1"/>
  <c r="KIX45" i="1"/>
  <c r="KIY45" i="1"/>
  <c r="KIZ45" i="1"/>
  <c r="KJA45" i="1"/>
  <c r="KJB45" i="1"/>
  <c r="KJC45" i="1"/>
  <c r="KJD45" i="1"/>
  <c r="KJE45" i="1"/>
  <c r="KJF45" i="1"/>
  <c r="KJG45" i="1"/>
  <c r="KJH45" i="1"/>
  <c r="KJI45" i="1"/>
  <c r="KJJ45" i="1"/>
  <c r="KJK45" i="1"/>
  <c r="KJL45" i="1"/>
  <c r="KJM45" i="1"/>
  <c r="KJN45" i="1"/>
  <c r="KJO45" i="1"/>
  <c r="KJP45" i="1"/>
  <c r="KJQ45" i="1"/>
  <c r="KJR45" i="1"/>
  <c r="KJS45" i="1"/>
  <c r="KJT45" i="1"/>
  <c r="KJU45" i="1"/>
  <c r="KJV45" i="1"/>
  <c r="KJW45" i="1"/>
  <c r="KJX45" i="1"/>
  <c r="KJY45" i="1"/>
  <c r="KJZ45" i="1"/>
  <c r="KKA45" i="1"/>
  <c r="KKB45" i="1"/>
  <c r="KKC45" i="1"/>
  <c r="KKD45" i="1"/>
  <c r="KKE45" i="1"/>
  <c r="KKF45" i="1"/>
  <c r="KKG45" i="1"/>
  <c r="KKH45" i="1"/>
  <c r="KKI45" i="1"/>
  <c r="KKJ45" i="1"/>
  <c r="KKK45" i="1"/>
  <c r="KKL45" i="1"/>
  <c r="KKM45" i="1"/>
  <c r="KKN45" i="1"/>
  <c r="KKO45" i="1"/>
  <c r="KKP45" i="1"/>
  <c r="KGV46" i="1"/>
  <c r="KGW46" i="1"/>
  <c r="KGX46" i="1"/>
  <c r="KGY46" i="1"/>
  <c r="KGZ46" i="1"/>
  <c r="KHA46" i="1"/>
  <c r="KHB46" i="1"/>
  <c r="KHC46" i="1"/>
  <c r="KHD46" i="1"/>
  <c r="KHE46" i="1"/>
  <c r="KHF46" i="1"/>
  <c r="KHG46" i="1"/>
  <c r="KHH46" i="1"/>
  <c r="KHI46" i="1"/>
  <c r="KHJ46" i="1"/>
  <c r="KHK46" i="1"/>
  <c r="KHL46" i="1"/>
  <c r="KHM46" i="1"/>
  <c r="KHN46" i="1"/>
  <c r="KHO46" i="1"/>
  <c r="KHP46" i="1"/>
  <c r="KHQ46" i="1"/>
  <c r="KHR46" i="1"/>
  <c r="KHS46" i="1"/>
  <c r="KHT46" i="1"/>
  <c r="KHU46" i="1"/>
  <c r="KHV46" i="1"/>
  <c r="KHW46" i="1"/>
  <c r="KHX46" i="1"/>
  <c r="KHY46" i="1"/>
  <c r="KHZ46" i="1"/>
  <c r="KIA46" i="1"/>
  <c r="KIB46" i="1"/>
  <c r="KIC46" i="1"/>
  <c r="KID46" i="1"/>
  <c r="KIE46" i="1"/>
  <c r="KIF46" i="1"/>
  <c r="KIG46" i="1"/>
  <c r="KIH46" i="1"/>
  <c r="KII46" i="1"/>
  <c r="KIJ46" i="1"/>
  <c r="KIK46" i="1"/>
  <c r="KIL46" i="1"/>
  <c r="KIM46" i="1"/>
  <c r="KIN46" i="1"/>
  <c r="KIO46" i="1"/>
  <c r="KIP46" i="1"/>
  <c r="KIQ46" i="1"/>
  <c r="KIR46" i="1"/>
  <c r="KIS46" i="1"/>
  <c r="KIT46" i="1"/>
  <c r="KIU46" i="1"/>
  <c r="KIV46" i="1"/>
  <c r="KIW46" i="1"/>
  <c r="KIX46" i="1"/>
  <c r="KIY46" i="1"/>
  <c r="KIZ46" i="1"/>
  <c r="KJA46" i="1"/>
  <c r="KJB46" i="1"/>
  <c r="KJC46" i="1"/>
  <c r="KJD46" i="1"/>
  <c r="KJE46" i="1"/>
  <c r="KJF46" i="1"/>
  <c r="KJG46" i="1"/>
  <c r="KJH46" i="1"/>
  <c r="KJI46" i="1"/>
  <c r="KJJ46" i="1"/>
  <c r="KJK46" i="1"/>
  <c r="KJL46" i="1"/>
  <c r="KJM46" i="1"/>
  <c r="KJN46" i="1"/>
  <c r="KJO46" i="1"/>
  <c r="KJP46" i="1"/>
  <c r="KJQ46" i="1"/>
  <c r="KJR46" i="1"/>
  <c r="KJS46" i="1"/>
  <c r="KJT46" i="1"/>
  <c r="KJU46" i="1"/>
  <c r="KJV46" i="1"/>
  <c r="KJW46" i="1"/>
  <c r="KJX46" i="1"/>
  <c r="KJY46" i="1"/>
  <c r="KJZ46" i="1"/>
  <c r="KKA46" i="1"/>
  <c r="KKB46" i="1"/>
  <c r="KKC46" i="1"/>
  <c r="KKD46" i="1"/>
  <c r="KKE46" i="1"/>
  <c r="KKF46" i="1"/>
  <c r="KKG46" i="1"/>
  <c r="KKH46" i="1"/>
  <c r="KKI46" i="1"/>
  <c r="KKJ46" i="1"/>
  <c r="KKK46" i="1"/>
  <c r="KKL46" i="1"/>
  <c r="KKM46" i="1"/>
  <c r="KKN46" i="1"/>
  <c r="KKO46" i="1"/>
  <c r="KKP46" i="1"/>
  <c r="KGV47" i="1"/>
  <c r="KGW47" i="1"/>
  <c r="KGX47" i="1"/>
  <c r="KGY47" i="1"/>
  <c r="KGZ47" i="1"/>
  <c r="KHA47" i="1"/>
  <c r="KHB47" i="1"/>
  <c r="KHC47" i="1"/>
  <c r="KHD47" i="1"/>
  <c r="KHE47" i="1"/>
  <c r="KHF47" i="1"/>
  <c r="KHG47" i="1"/>
  <c r="KHH47" i="1"/>
  <c r="KHI47" i="1"/>
  <c r="KHJ47" i="1"/>
  <c r="KHK47" i="1"/>
  <c r="KHL47" i="1"/>
  <c r="KHM47" i="1"/>
  <c r="KHN47" i="1"/>
  <c r="KHO47" i="1"/>
  <c r="KHP47" i="1"/>
  <c r="KHQ47" i="1"/>
  <c r="KHR47" i="1"/>
  <c r="KHS47" i="1"/>
  <c r="KHT47" i="1"/>
  <c r="KHU47" i="1"/>
  <c r="KHV47" i="1"/>
  <c r="KHW47" i="1"/>
  <c r="KHX47" i="1"/>
  <c r="KHY47" i="1"/>
  <c r="KHZ47" i="1"/>
  <c r="KIA47" i="1"/>
  <c r="KIB47" i="1"/>
  <c r="KIC47" i="1"/>
  <c r="KID47" i="1"/>
  <c r="KIE47" i="1"/>
  <c r="KIF47" i="1"/>
  <c r="KIG47" i="1"/>
  <c r="KIH47" i="1"/>
  <c r="KII47" i="1"/>
  <c r="KIJ47" i="1"/>
  <c r="KIK47" i="1"/>
  <c r="KIL47" i="1"/>
  <c r="KIM47" i="1"/>
  <c r="KIN47" i="1"/>
  <c r="KIO47" i="1"/>
  <c r="KIP47" i="1"/>
  <c r="KIQ47" i="1"/>
  <c r="KIR47" i="1"/>
  <c r="KIS47" i="1"/>
  <c r="KIT47" i="1"/>
  <c r="KIU47" i="1"/>
  <c r="KIV47" i="1"/>
  <c r="KIW47" i="1"/>
  <c r="KIX47" i="1"/>
  <c r="KIY47" i="1"/>
  <c r="KIZ47" i="1"/>
  <c r="KJA47" i="1"/>
  <c r="KJB47" i="1"/>
  <c r="KJC47" i="1"/>
  <c r="KJD47" i="1"/>
  <c r="KJE47" i="1"/>
  <c r="KJF47" i="1"/>
  <c r="KJG47" i="1"/>
  <c r="KJH47" i="1"/>
  <c r="KJI47" i="1"/>
  <c r="KJJ47" i="1"/>
  <c r="KJK47" i="1"/>
  <c r="KJL47" i="1"/>
  <c r="KJM47" i="1"/>
  <c r="KJN47" i="1"/>
  <c r="KJO47" i="1"/>
  <c r="KJP47" i="1"/>
  <c r="KJQ47" i="1"/>
  <c r="KJR47" i="1"/>
  <c r="KJS47" i="1"/>
  <c r="KJT47" i="1"/>
  <c r="KJU47" i="1"/>
  <c r="KJV47" i="1"/>
  <c r="KJW47" i="1"/>
  <c r="KJX47" i="1"/>
  <c r="KJY47" i="1"/>
  <c r="KJZ47" i="1"/>
  <c r="KKA47" i="1"/>
  <c r="KKB47" i="1"/>
  <c r="KKC47" i="1"/>
  <c r="KKD47" i="1"/>
  <c r="KKE47" i="1"/>
  <c r="KKF47" i="1"/>
  <c r="KKG47" i="1"/>
  <c r="KKH47" i="1"/>
  <c r="KKI47" i="1"/>
  <c r="KKJ47" i="1"/>
  <c r="KKK47" i="1"/>
  <c r="KKL47" i="1"/>
  <c r="KKM47" i="1"/>
  <c r="KKN47" i="1"/>
  <c r="KKO47" i="1"/>
  <c r="KKP47" i="1"/>
  <c r="KGV48" i="1"/>
  <c r="KGW48" i="1"/>
  <c r="KGX48" i="1"/>
  <c r="KGY48" i="1"/>
  <c r="KGZ48" i="1"/>
  <c r="KHA48" i="1"/>
  <c r="KHB48" i="1"/>
  <c r="KHC48" i="1"/>
  <c r="KHD48" i="1"/>
  <c r="KHE48" i="1"/>
  <c r="KHF48" i="1"/>
  <c r="KHG48" i="1"/>
  <c r="KHH48" i="1"/>
  <c r="KHI48" i="1"/>
  <c r="KHJ48" i="1"/>
  <c r="KHK48" i="1"/>
  <c r="KHL48" i="1"/>
  <c r="KHM48" i="1"/>
  <c r="KHN48" i="1"/>
  <c r="KHO48" i="1"/>
  <c r="KHP48" i="1"/>
  <c r="KHQ48" i="1"/>
  <c r="KHR48" i="1"/>
  <c r="KHS48" i="1"/>
  <c r="KHT48" i="1"/>
  <c r="KHU48" i="1"/>
  <c r="KHV48" i="1"/>
  <c r="KHW48" i="1"/>
  <c r="KHX48" i="1"/>
  <c r="KHY48" i="1"/>
  <c r="KHZ48" i="1"/>
  <c r="KIA48" i="1"/>
  <c r="KIB48" i="1"/>
  <c r="KIC48" i="1"/>
  <c r="KID48" i="1"/>
  <c r="KIE48" i="1"/>
  <c r="KIF48" i="1"/>
  <c r="KIG48" i="1"/>
  <c r="KIH48" i="1"/>
  <c r="KII48" i="1"/>
  <c r="KIJ48" i="1"/>
  <c r="KIK48" i="1"/>
  <c r="KIL48" i="1"/>
  <c r="KIM48" i="1"/>
  <c r="KIN48" i="1"/>
  <c r="KIO48" i="1"/>
  <c r="KIP48" i="1"/>
  <c r="KIQ48" i="1"/>
  <c r="KIR48" i="1"/>
  <c r="KIS48" i="1"/>
  <c r="KIT48" i="1"/>
  <c r="KIU48" i="1"/>
  <c r="KIV48" i="1"/>
  <c r="KIW48" i="1"/>
  <c r="KIX48" i="1"/>
  <c r="KIY48" i="1"/>
  <c r="KIZ48" i="1"/>
  <c r="KJA48" i="1"/>
  <c r="KJB48" i="1"/>
  <c r="KJC48" i="1"/>
  <c r="KJD48" i="1"/>
  <c r="KJE48" i="1"/>
  <c r="KJF48" i="1"/>
  <c r="KJG48" i="1"/>
  <c r="KJH48" i="1"/>
  <c r="KJI48" i="1"/>
  <c r="KJJ48" i="1"/>
  <c r="KJK48" i="1"/>
  <c r="KJL48" i="1"/>
  <c r="KJM48" i="1"/>
  <c r="KJN48" i="1"/>
  <c r="KJO48" i="1"/>
  <c r="KJP48" i="1"/>
  <c r="KJQ48" i="1"/>
  <c r="KJR48" i="1"/>
  <c r="KJS48" i="1"/>
  <c r="KJT48" i="1"/>
  <c r="KJU48" i="1"/>
  <c r="KJV48" i="1"/>
  <c r="KJW48" i="1"/>
  <c r="KJX48" i="1"/>
  <c r="KJY48" i="1"/>
  <c r="KJZ48" i="1"/>
  <c r="KKA48" i="1"/>
  <c r="KKB48" i="1"/>
  <c r="KKC48" i="1"/>
  <c r="KKD48" i="1"/>
  <c r="KKE48" i="1"/>
  <c r="KKF48" i="1"/>
  <c r="KKG48" i="1"/>
  <c r="KKH48" i="1"/>
  <c r="KKI48" i="1"/>
  <c r="KKJ48" i="1"/>
  <c r="KKK48" i="1"/>
  <c r="KKL48" i="1"/>
  <c r="KKM48" i="1"/>
  <c r="KKN48" i="1"/>
  <c r="KKO48" i="1"/>
  <c r="KKP48" i="1"/>
  <c r="KGV49" i="1"/>
  <c r="KGW49" i="1"/>
  <c r="KGX49" i="1"/>
  <c r="KGY49" i="1"/>
  <c r="KGZ49" i="1"/>
  <c r="KHA49" i="1"/>
  <c r="KHB49" i="1"/>
  <c r="KHC49" i="1"/>
  <c r="KHD49" i="1"/>
  <c r="KHE49" i="1"/>
  <c r="KHF49" i="1"/>
  <c r="KHG49" i="1"/>
  <c r="KHH49" i="1"/>
  <c r="KHI49" i="1"/>
  <c r="KHJ49" i="1"/>
  <c r="KHK49" i="1"/>
  <c r="KHL49" i="1"/>
  <c r="KHM49" i="1"/>
  <c r="KHN49" i="1"/>
  <c r="KHO49" i="1"/>
  <c r="KHP49" i="1"/>
  <c r="KHQ49" i="1"/>
  <c r="KHR49" i="1"/>
  <c r="KHS49" i="1"/>
  <c r="KHT49" i="1"/>
  <c r="KHU49" i="1"/>
  <c r="KHV49" i="1"/>
  <c r="KHW49" i="1"/>
  <c r="KHX49" i="1"/>
  <c r="KHY49" i="1"/>
  <c r="KHZ49" i="1"/>
  <c r="KIA49" i="1"/>
  <c r="KIB49" i="1"/>
  <c r="KIC49" i="1"/>
  <c r="KID49" i="1"/>
  <c r="KIE49" i="1"/>
  <c r="KIF49" i="1"/>
  <c r="KIG49" i="1"/>
  <c r="KIH49" i="1"/>
  <c r="KII49" i="1"/>
  <c r="KIJ49" i="1"/>
  <c r="KIK49" i="1"/>
  <c r="KIL49" i="1"/>
  <c r="KIM49" i="1"/>
  <c r="KIN49" i="1"/>
  <c r="KIO49" i="1"/>
  <c r="KIP49" i="1"/>
  <c r="KIQ49" i="1"/>
  <c r="KIR49" i="1"/>
  <c r="KIS49" i="1"/>
  <c r="KIT49" i="1"/>
  <c r="KIU49" i="1"/>
  <c r="KIV49" i="1"/>
  <c r="KIW49" i="1"/>
  <c r="KIX49" i="1"/>
  <c r="KIY49" i="1"/>
  <c r="KIZ49" i="1"/>
  <c r="KJA49" i="1"/>
  <c r="KJB49" i="1"/>
  <c r="KJC49" i="1"/>
  <c r="KJD49" i="1"/>
  <c r="KJE49" i="1"/>
  <c r="KJF49" i="1"/>
  <c r="KJG49" i="1"/>
  <c r="KJH49" i="1"/>
  <c r="KJI49" i="1"/>
  <c r="KJJ49" i="1"/>
  <c r="KJK49" i="1"/>
  <c r="KJL49" i="1"/>
  <c r="KJM49" i="1"/>
  <c r="KJN49" i="1"/>
  <c r="KJO49" i="1"/>
  <c r="KJP49" i="1"/>
  <c r="KJQ49" i="1"/>
  <c r="KJR49" i="1"/>
  <c r="KJS49" i="1"/>
  <c r="KJT49" i="1"/>
  <c r="KJU49" i="1"/>
  <c r="KJV49" i="1"/>
  <c r="KJW49" i="1"/>
  <c r="KJX49" i="1"/>
  <c r="KJY49" i="1"/>
  <c r="KJZ49" i="1"/>
  <c r="KKA49" i="1"/>
  <c r="KKB49" i="1"/>
  <c r="KKC49" i="1"/>
  <c r="KKD49" i="1"/>
  <c r="KKE49" i="1"/>
  <c r="KKF49" i="1"/>
  <c r="KKG49" i="1"/>
  <c r="KKH49" i="1"/>
  <c r="KKI49" i="1"/>
  <c r="KKJ49" i="1"/>
  <c r="KKK49" i="1"/>
  <c r="KKL49" i="1"/>
  <c r="KKM49" i="1"/>
  <c r="KKN49" i="1"/>
  <c r="KKO49" i="1"/>
  <c r="KKP49" i="1"/>
  <c r="KGV50" i="1"/>
  <c r="KGW50" i="1"/>
  <c r="KGX50" i="1"/>
  <c r="KGY50" i="1"/>
  <c r="KGZ50" i="1"/>
  <c r="KHA50" i="1"/>
  <c r="KHB50" i="1"/>
  <c r="KHC50" i="1"/>
  <c r="KHD50" i="1"/>
  <c r="KHE50" i="1"/>
  <c r="KHF50" i="1"/>
  <c r="KHG50" i="1"/>
  <c r="KHH50" i="1"/>
  <c r="KHI50" i="1"/>
  <c r="KHJ50" i="1"/>
  <c r="KHK50" i="1"/>
  <c r="KHL50" i="1"/>
  <c r="KHM50" i="1"/>
  <c r="KHN50" i="1"/>
  <c r="KHO50" i="1"/>
  <c r="KHP50" i="1"/>
  <c r="KHQ50" i="1"/>
  <c r="KHR50" i="1"/>
  <c r="KHS50" i="1"/>
  <c r="KHT50" i="1"/>
  <c r="KHU50" i="1"/>
  <c r="KHV50" i="1"/>
  <c r="KHW50" i="1"/>
  <c r="KHX50" i="1"/>
  <c r="KHY50" i="1"/>
  <c r="KHZ50" i="1"/>
  <c r="KIA50" i="1"/>
  <c r="KIB50" i="1"/>
  <c r="KIC50" i="1"/>
  <c r="KID50" i="1"/>
  <c r="KIE50" i="1"/>
  <c r="KIF50" i="1"/>
  <c r="KIG50" i="1"/>
  <c r="KIH50" i="1"/>
  <c r="KII50" i="1"/>
  <c r="KIJ50" i="1"/>
  <c r="KIK50" i="1"/>
  <c r="KIL50" i="1"/>
  <c r="KIM50" i="1"/>
  <c r="KIN50" i="1"/>
  <c r="KIO50" i="1"/>
  <c r="KIP50" i="1"/>
  <c r="KIQ50" i="1"/>
  <c r="KIR50" i="1"/>
  <c r="KIS50" i="1"/>
  <c r="KIT50" i="1"/>
  <c r="KIU50" i="1"/>
  <c r="KIV50" i="1"/>
  <c r="KIW50" i="1"/>
  <c r="KIX50" i="1"/>
  <c r="KIY50" i="1"/>
  <c r="KIZ50" i="1"/>
  <c r="KJA50" i="1"/>
  <c r="KJB50" i="1"/>
  <c r="KJC50" i="1"/>
  <c r="KJD50" i="1"/>
  <c r="KJE50" i="1"/>
  <c r="KJF50" i="1"/>
  <c r="KJG50" i="1"/>
  <c r="KJH50" i="1"/>
  <c r="KJI50" i="1"/>
  <c r="KJJ50" i="1"/>
  <c r="KJK50" i="1"/>
  <c r="KJL50" i="1"/>
  <c r="KJM50" i="1"/>
  <c r="KJN50" i="1"/>
  <c r="KJO50" i="1"/>
  <c r="KJP50" i="1"/>
  <c r="KJQ50" i="1"/>
  <c r="KJR50" i="1"/>
  <c r="KJS50" i="1"/>
  <c r="KJT50" i="1"/>
  <c r="KJU50" i="1"/>
  <c r="KJV50" i="1"/>
  <c r="KJW50" i="1"/>
  <c r="KJX50" i="1"/>
  <c r="KJY50" i="1"/>
  <c r="KJZ50" i="1"/>
  <c r="KKA50" i="1"/>
  <c r="KKB50" i="1"/>
  <c r="KKC50" i="1"/>
  <c r="KKD50" i="1"/>
  <c r="KKE50" i="1"/>
  <c r="KKF50" i="1"/>
  <c r="KKG50" i="1"/>
  <c r="KKH50" i="1"/>
  <c r="KKI50" i="1"/>
  <c r="KKJ50" i="1"/>
  <c r="KKK50" i="1"/>
  <c r="KKL50" i="1"/>
  <c r="KKM50" i="1"/>
  <c r="KKN50" i="1"/>
  <c r="KKO50" i="1"/>
  <c r="KKP50" i="1"/>
  <c r="KGV51" i="1"/>
  <c r="KGW51" i="1"/>
  <c r="KGX51" i="1"/>
  <c r="KGY51" i="1"/>
  <c r="KGZ51" i="1"/>
  <c r="KHA51" i="1"/>
  <c r="KHB51" i="1"/>
  <c r="KHC51" i="1"/>
  <c r="KHD51" i="1"/>
  <c r="KHE51" i="1"/>
  <c r="KHF51" i="1"/>
  <c r="KHG51" i="1"/>
  <c r="KHH51" i="1"/>
  <c r="KHI51" i="1"/>
  <c r="KHJ51" i="1"/>
  <c r="KHK51" i="1"/>
  <c r="KHL51" i="1"/>
  <c r="KHM51" i="1"/>
  <c r="KHN51" i="1"/>
  <c r="KHO51" i="1"/>
  <c r="KHP51" i="1"/>
  <c r="KHQ51" i="1"/>
  <c r="KHR51" i="1"/>
  <c r="KHS51" i="1"/>
  <c r="KHT51" i="1"/>
  <c r="KHU51" i="1"/>
  <c r="KHV51" i="1"/>
  <c r="KHW51" i="1"/>
  <c r="KHX51" i="1"/>
  <c r="KHY51" i="1"/>
  <c r="KHZ51" i="1"/>
  <c r="KIA51" i="1"/>
  <c r="KIB51" i="1"/>
  <c r="KIC51" i="1"/>
  <c r="KID51" i="1"/>
  <c r="KIE51" i="1"/>
  <c r="KIF51" i="1"/>
  <c r="KIG51" i="1"/>
  <c r="KIH51" i="1"/>
  <c r="KII51" i="1"/>
  <c r="KIJ51" i="1"/>
  <c r="KIK51" i="1"/>
  <c r="KIL51" i="1"/>
  <c r="KIM51" i="1"/>
  <c r="KIN51" i="1"/>
  <c r="KIO51" i="1"/>
  <c r="KIP51" i="1"/>
  <c r="KIQ51" i="1"/>
  <c r="KIR51" i="1"/>
  <c r="KIS51" i="1"/>
  <c r="KIT51" i="1"/>
  <c r="KIU51" i="1"/>
  <c r="KIV51" i="1"/>
  <c r="KIW51" i="1"/>
  <c r="KIX51" i="1"/>
  <c r="KIY51" i="1"/>
  <c r="KIZ51" i="1"/>
  <c r="KJA51" i="1"/>
  <c r="KJB51" i="1"/>
  <c r="KJC51" i="1"/>
  <c r="KJD51" i="1"/>
  <c r="KJE51" i="1"/>
  <c r="KJF51" i="1"/>
  <c r="KJG51" i="1"/>
  <c r="KJH51" i="1"/>
  <c r="KJI51" i="1"/>
  <c r="KJJ51" i="1"/>
  <c r="KJK51" i="1"/>
  <c r="KJL51" i="1"/>
  <c r="KJM51" i="1"/>
  <c r="KJN51" i="1"/>
  <c r="KJO51" i="1"/>
  <c r="KJP51" i="1"/>
  <c r="KJQ51" i="1"/>
  <c r="KJR51" i="1"/>
  <c r="KJS51" i="1"/>
  <c r="KJT51" i="1"/>
  <c r="KJU51" i="1"/>
  <c r="KJV51" i="1"/>
  <c r="KJW51" i="1"/>
  <c r="KJX51" i="1"/>
  <c r="KJY51" i="1"/>
  <c r="KJZ51" i="1"/>
  <c r="KKA51" i="1"/>
  <c r="KKB51" i="1"/>
  <c r="KKC51" i="1"/>
  <c r="KKD51" i="1"/>
  <c r="KKE51" i="1"/>
  <c r="KKF51" i="1"/>
  <c r="KKG51" i="1"/>
  <c r="KKH51" i="1"/>
  <c r="KKI51" i="1"/>
  <c r="KKJ51" i="1"/>
  <c r="KKK51" i="1"/>
  <c r="KKL51" i="1"/>
  <c r="KKM51" i="1"/>
  <c r="KKN51" i="1"/>
  <c r="KKO51" i="1"/>
  <c r="KKP51" i="1"/>
  <c r="KGV52" i="1"/>
  <c r="KGW52" i="1"/>
  <c r="KGX52" i="1"/>
  <c r="KGY52" i="1"/>
  <c r="KGZ52" i="1"/>
  <c r="KHA52" i="1"/>
  <c r="KHB52" i="1"/>
  <c r="KHC52" i="1"/>
  <c r="KHD52" i="1"/>
  <c r="KHE52" i="1"/>
  <c r="KHF52" i="1"/>
  <c r="KHG52" i="1"/>
  <c r="KHH52" i="1"/>
  <c r="KHI52" i="1"/>
  <c r="KHJ52" i="1"/>
  <c r="KHK52" i="1"/>
  <c r="KHL52" i="1"/>
  <c r="KHM52" i="1"/>
  <c r="KHN52" i="1"/>
  <c r="KHO52" i="1"/>
  <c r="KHP52" i="1"/>
  <c r="KHQ52" i="1"/>
  <c r="KHR52" i="1"/>
  <c r="KHS52" i="1"/>
  <c r="KHT52" i="1"/>
  <c r="KHU52" i="1"/>
  <c r="KHV52" i="1"/>
  <c r="KHW52" i="1"/>
  <c r="KHX52" i="1"/>
  <c r="KHY52" i="1"/>
  <c r="KHZ52" i="1"/>
  <c r="KIA52" i="1"/>
  <c r="KIB52" i="1"/>
  <c r="KIC52" i="1"/>
  <c r="KID52" i="1"/>
  <c r="KIE52" i="1"/>
  <c r="KIF52" i="1"/>
  <c r="KIG52" i="1"/>
  <c r="KIH52" i="1"/>
  <c r="KII52" i="1"/>
  <c r="KIJ52" i="1"/>
  <c r="KIK52" i="1"/>
  <c r="KIL52" i="1"/>
  <c r="KIM52" i="1"/>
  <c r="KIN52" i="1"/>
  <c r="KIO52" i="1"/>
  <c r="KIP52" i="1"/>
  <c r="KIQ52" i="1"/>
  <c r="KIR52" i="1"/>
  <c r="KIS52" i="1"/>
  <c r="KIT52" i="1"/>
  <c r="KIU52" i="1"/>
  <c r="KIV52" i="1"/>
  <c r="KIW52" i="1"/>
  <c r="KIX52" i="1"/>
  <c r="KIY52" i="1"/>
  <c r="KIZ52" i="1"/>
  <c r="KJA52" i="1"/>
  <c r="KJB52" i="1"/>
  <c r="KJC52" i="1"/>
  <c r="KJD52" i="1"/>
  <c r="KJE52" i="1"/>
  <c r="KJF52" i="1"/>
  <c r="KJG52" i="1"/>
  <c r="KJH52" i="1"/>
  <c r="KJI52" i="1"/>
  <c r="KJJ52" i="1"/>
  <c r="KJK52" i="1"/>
  <c r="KJL52" i="1"/>
  <c r="KJM52" i="1"/>
  <c r="KJN52" i="1"/>
  <c r="KJO52" i="1"/>
  <c r="KJP52" i="1"/>
  <c r="KJQ52" i="1"/>
  <c r="KJR52" i="1"/>
  <c r="KJS52" i="1"/>
  <c r="KJT52" i="1"/>
  <c r="KJU52" i="1"/>
  <c r="KJV52" i="1"/>
  <c r="KJW52" i="1"/>
  <c r="KJX52" i="1"/>
  <c r="KJY52" i="1"/>
  <c r="KJZ52" i="1"/>
  <c r="KKA52" i="1"/>
  <c r="KKB52" i="1"/>
  <c r="KKC52" i="1"/>
  <c r="KKD52" i="1"/>
  <c r="KKE52" i="1"/>
  <c r="KKF52" i="1"/>
  <c r="KKG52" i="1"/>
  <c r="KKH52" i="1"/>
  <c r="KKI52" i="1"/>
  <c r="KKJ52" i="1"/>
  <c r="KKK52" i="1"/>
  <c r="KKL52" i="1"/>
  <c r="KKM52" i="1"/>
  <c r="KKN52" i="1"/>
  <c r="KKO52" i="1"/>
  <c r="KKP52" i="1"/>
  <c r="KGV53" i="1"/>
  <c r="KGW53" i="1"/>
  <c r="KGX53" i="1"/>
  <c r="KGY53" i="1"/>
  <c r="KGZ53" i="1"/>
  <c r="KHA53" i="1"/>
  <c r="KHB53" i="1"/>
  <c r="KHC53" i="1"/>
  <c r="KHD53" i="1"/>
  <c r="KHE53" i="1"/>
  <c r="KHF53" i="1"/>
  <c r="KHG53" i="1"/>
  <c r="KHH53" i="1"/>
  <c r="KHI53" i="1"/>
  <c r="KHJ53" i="1"/>
  <c r="KHK53" i="1"/>
  <c r="KHL53" i="1"/>
  <c r="KHM53" i="1"/>
  <c r="KHN53" i="1"/>
  <c r="KHO53" i="1"/>
  <c r="KHP53" i="1"/>
  <c r="KHQ53" i="1"/>
  <c r="KHR53" i="1"/>
  <c r="KHS53" i="1"/>
  <c r="KHT53" i="1"/>
  <c r="KHU53" i="1"/>
  <c r="KHV53" i="1"/>
  <c r="KHW53" i="1"/>
  <c r="KHX53" i="1"/>
  <c r="KHY53" i="1"/>
  <c r="KHZ53" i="1"/>
  <c r="KIA53" i="1"/>
  <c r="KIB53" i="1"/>
  <c r="KIC53" i="1"/>
  <c r="KID53" i="1"/>
  <c r="KIE53" i="1"/>
  <c r="KIF53" i="1"/>
  <c r="KIG53" i="1"/>
  <c r="KIH53" i="1"/>
  <c r="KII53" i="1"/>
  <c r="KIJ53" i="1"/>
  <c r="KIK53" i="1"/>
  <c r="KIL53" i="1"/>
  <c r="KIM53" i="1"/>
  <c r="KIN53" i="1"/>
  <c r="KIO53" i="1"/>
  <c r="KIP53" i="1"/>
  <c r="KIQ53" i="1"/>
  <c r="KIR53" i="1"/>
  <c r="KIS53" i="1"/>
  <c r="KIT53" i="1"/>
  <c r="KIU53" i="1"/>
  <c r="KIV53" i="1"/>
  <c r="KIW53" i="1"/>
  <c r="KIX53" i="1"/>
  <c r="KIY53" i="1"/>
  <c r="KIZ53" i="1"/>
  <c r="KJA53" i="1"/>
  <c r="KJB53" i="1"/>
  <c r="KJC53" i="1"/>
  <c r="KJD53" i="1"/>
  <c r="KJE53" i="1"/>
  <c r="KJF53" i="1"/>
  <c r="KJG53" i="1"/>
  <c r="KJH53" i="1"/>
  <c r="KJI53" i="1"/>
  <c r="KJJ53" i="1"/>
  <c r="KJK53" i="1"/>
  <c r="KJL53" i="1"/>
  <c r="KJM53" i="1"/>
  <c r="KJN53" i="1"/>
  <c r="KJO53" i="1"/>
  <c r="KJP53" i="1"/>
  <c r="KJQ53" i="1"/>
  <c r="KJR53" i="1"/>
  <c r="KJS53" i="1"/>
  <c r="KJT53" i="1"/>
  <c r="KJU53" i="1"/>
  <c r="KJV53" i="1"/>
  <c r="KJW53" i="1"/>
  <c r="KJX53" i="1"/>
  <c r="KJY53" i="1"/>
  <c r="KJZ53" i="1"/>
  <c r="KKA53" i="1"/>
  <c r="KKB53" i="1"/>
  <c r="KKC53" i="1"/>
  <c r="KKD53" i="1"/>
  <c r="KKE53" i="1"/>
  <c r="KKF53" i="1"/>
  <c r="KKG53" i="1"/>
  <c r="KKH53" i="1"/>
  <c r="KKI53" i="1"/>
  <c r="KKJ53" i="1"/>
  <c r="KKK53" i="1"/>
  <c r="KKL53" i="1"/>
  <c r="KKM53" i="1"/>
  <c r="KKN53" i="1"/>
  <c r="KKO53" i="1"/>
  <c r="KKP53" i="1"/>
  <c r="KGV54" i="1"/>
  <c r="KGW54" i="1"/>
  <c r="KGX54" i="1"/>
  <c r="KGY54" i="1"/>
  <c r="KGZ54" i="1"/>
  <c r="KHA54" i="1"/>
  <c r="KHB54" i="1"/>
  <c r="KHC54" i="1"/>
  <c r="KHD54" i="1"/>
  <c r="KHE54" i="1"/>
  <c r="KHF54" i="1"/>
  <c r="KHG54" i="1"/>
  <c r="KHH54" i="1"/>
  <c r="KHI54" i="1"/>
  <c r="KHJ54" i="1"/>
  <c r="KHK54" i="1"/>
  <c r="KHL54" i="1"/>
  <c r="KHM54" i="1"/>
  <c r="KHN54" i="1"/>
  <c r="KHO54" i="1"/>
  <c r="KHP54" i="1"/>
  <c r="KHQ54" i="1"/>
  <c r="KHR54" i="1"/>
  <c r="KHS54" i="1"/>
  <c r="KHT54" i="1"/>
  <c r="KHU54" i="1"/>
  <c r="KHV54" i="1"/>
  <c r="KHW54" i="1"/>
  <c r="KHX54" i="1"/>
  <c r="KHY54" i="1"/>
  <c r="KHZ54" i="1"/>
  <c r="KIA54" i="1"/>
  <c r="KIB54" i="1"/>
  <c r="KIC54" i="1"/>
  <c r="KID54" i="1"/>
  <c r="KIE54" i="1"/>
  <c r="KIF54" i="1"/>
  <c r="KIG54" i="1"/>
  <c r="KIH54" i="1"/>
  <c r="KII54" i="1"/>
  <c r="KIJ54" i="1"/>
  <c r="KIK54" i="1"/>
  <c r="KIL54" i="1"/>
  <c r="KIM54" i="1"/>
  <c r="KIN54" i="1"/>
  <c r="KIO54" i="1"/>
  <c r="KIP54" i="1"/>
  <c r="KIQ54" i="1"/>
  <c r="KIR54" i="1"/>
  <c r="KIS54" i="1"/>
  <c r="KIT54" i="1"/>
  <c r="KIU54" i="1"/>
  <c r="KIV54" i="1"/>
  <c r="KIW54" i="1"/>
  <c r="KIX54" i="1"/>
  <c r="KIY54" i="1"/>
  <c r="KIZ54" i="1"/>
  <c r="KJA54" i="1"/>
  <c r="KJB54" i="1"/>
  <c r="KJC54" i="1"/>
  <c r="KJD54" i="1"/>
  <c r="KJE54" i="1"/>
  <c r="KJF54" i="1"/>
  <c r="KJG54" i="1"/>
  <c r="KJH54" i="1"/>
  <c r="KJI54" i="1"/>
  <c r="KJJ54" i="1"/>
  <c r="KJK54" i="1"/>
  <c r="KJL54" i="1"/>
  <c r="KJM54" i="1"/>
  <c r="KJN54" i="1"/>
  <c r="KJO54" i="1"/>
  <c r="KJP54" i="1"/>
  <c r="KJQ54" i="1"/>
  <c r="KJR54" i="1"/>
  <c r="KJS54" i="1"/>
  <c r="KJT54" i="1"/>
  <c r="KJU54" i="1"/>
  <c r="KJV54" i="1"/>
  <c r="KJW54" i="1"/>
  <c r="KJX54" i="1"/>
  <c r="KJY54" i="1"/>
  <c r="KJZ54" i="1"/>
  <c r="KKA54" i="1"/>
  <c r="KKB54" i="1"/>
  <c r="KKC54" i="1"/>
  <c r="KKD54" i="1"/>
  <c r="KKE54" i="1"/>
  <c r="KKF54" i="1"/>
  <c r="KKG54" i="1"/>
  <c r="KKH54" i="1"/>
  <c r="KKI54" i="1"/>
  <c r="KKJ54" i="1"/>
  <c r="KKK54" i="1"/>
  <c r="KKL54" i="1"/>
  <c r="KKM54" i="1"/>
  <c r="KKN54" i="1"/>
  <c r="KKO54" i="1"/>
  <c r="KKP54" i="1"/>
  <c r="KGV55" i="1"/>
  <c r="KGW55" i="1"/>
  <c r="KGX55" i="1"/>
  <c r="KGY55" i="1"/>
  <c r="KGZ55" i="1"/>
  <c r="KHA55" i="1"/>
  <c r="KHB55" i="1"/>
  <c r="KHC55" i="1"/>
  <c r="KHD55" i="1"/>
  <c r="KHE55" i="1"/>
  <c r="KHF55" i="1"/>
  <c r="KHG55" i="1"/>
  <c r="KHH55" i="1"/>
  <c r="KHI55" i="1"/>
  <c r="KHJ55" i="1"/>
  <c r="KHK55" i="1"/>
  <c r="KHL55" i="1"/>
  <c r="KHM55" i="1"/>
  <c r="KHN55" i="1"/>
  <c r="KHO55" i="1"/>
  <c r="KHP55" i="1"/>
  <c r="KHQ55" i="1"/>
  <c r="KHR55" i="1"/>
  <c r="KHS55" i="1"/>
  <c r="KHT55" i="1"/>
  <c r="KHU55" i="1"/>
  <c r="KHV55" i="1"/>
  <c r="KHW55" i="1"/>
  <c r="KHX55" i="1"/>
  <c r="KHY55" i="1"/>
  <c r="KHZ55" i="1"/>
  <c r="KIA55" i="1"/>
  <c r="KIB55" i="1"/>
  <c r="KIC55" i="1"/>
  <c r="KID55" i="1"/>
  <c r="KIE55" i="1"/>
  <c r="KIF55" i="1"/>
  <c r="KIG55" i="1"/>
  <c r="KIH55" i="1"/>
  <c r="KII55" i="1"/>
  <c r="KIJ55" i="1"/>
  <c r="KIK55" i="1"/>
  <c r="KIL55" i="1"/>
  <c r="KIM55" i="1"/>
  <c r="KIN55" i="1"/>
  <c r="KIO55" i="1"/>
  <c r="KIP55" i="1"/>
  <c r="KIQ55" i="1"/>
  <c r="KIR55" i="1"/>
  <c r="KIS55" i="1"/>
  <c r="KIT55" i="1"/>
  <c r="KIU55" i="1"/>
  <c r="KIV55" i="1"/>
  <c r="KIW55" i="1"/>
  <c r="KIX55" i="1"/>
  <c r="KIY55" i="1"/>
  <c r="KIZ55" i="1"/>
  <c r="KJA55" i="1"/>
  <c r="KJB55" i="1"/>
  <c r="KJC55" i="1"/>
  <c r="KJD55" i="1"/>
  <c r="KJE55" i="1"/>
  <c r="KJF55" i="1"/>
  <c r="KJG55" i="1"/>
  <c r="KJH55" i="1"/>
  <c r="KJI55" i="1"/>
  <c r="KJJ55" i="1"/>
  <c r="KJK55" i="1"/>
  <c r="KJL55" i="1"/>
  <c r="KJM55" i="1"/>
  <c r="KJN55" i="1"/>
  <c r="KJO55" i="1"/>
  <c r="KJP55" i="1"/>
  <c r="KJQ55" i="1"/>
  <c r="KJR55" i="1"/>
  <c r="KJS55" i="1"/>
  <c r="KJT55" i="1"/>
  <c r="KJU55" i="1"/>
  <c r="KJV55" i="1"/>
  <c r="KJW55" i="1"/>
  <c r="KJX55" i="1"/>
  <c r="KJY55" i="1"/>
  <c r="KJZ55" i="1"/>
  <c r="KKA55" i="1"/>
  <c r="KKB55" i="1"/>
  <c r="KKC55" i="1"/>
  <c r="KKD55" i="1"/>
  <c r="KKE55" i="1"/>
  <c r="KKF55" i="1"/>
  <c r="KKG55" i="1"/>
  <c r="KKH55" i="1"/>
  <c r="KKI55" i="1"/>
  <c r="KKJ55" i="1"/>
  <c r="KKK55" i="1"/>
  <c r="KKL55" i="1"/>
  <c r="KKM55" i="1"/>
  <c r="KKN55" i="1"/>
  <c r="KKO55" i="1"/>
  <c r="KKP55" i="1"/>
  <c r="KGV56" i="1"/>
  <c r="KGW56" i="1"/>
  <c r="KGX56" i="1"/>
  <c r="KGY56" i="1"/>
  <c r="KGZ56" i="1"/>
  <c r="KHA56" i="1"/>
  <c r="KHB56" i="1"/>
  <c r="KHC56" i="1"/>
  <c r="KHD56" i="1"/>
  <c r="KHE56" i="1"/>
  <c r="KHF56" i="1"/>
  <c r="KHG56" i="1"/>
  <c r="KHH56" i="1"/>
  <c r="KHI56" i="1"/>
  <c r="KHJ56" i="1"/>
  <c r="KHK56" i="1"/>
  <c r="KHL56" i="1"/>
  <c r="KHM56" i="1"/>
  <c r="KHN56" i="1"/>
  <c r="KHO56" i="1"/>
  <c r="KHP56" i="1"/>
  <c r="KHQ56" i="1"/>
  <c r="KHR56" i="1"/>
  <c r="KHS56" i="1"/>
  <c r="KHT56" i="1"/>
  <c r="KHU56" i="1"/>
  <c r="KHV56" i="1"/>
  <c r="KHW56" i="1"/>
  <c r="KHX56" i="1"/>
  <c r="KHY56" i="1"/>
  <c r="KHZ56" i="1"/>
  <c r="KIA56" i="1"/>
  <c r="KIB56" i="1"/>
  <c r="KIC56" i="1"/>
  <c r="KID56" i="1"/>
  <c r="KIE56" i="1"/>
  <c r="KIF56" i="1"/>
  <c r="KIG56" i="1"/>
  <c r="KIH56" i="1"/>
  <c r="KII56" i="1"/>
  <c r="KIJ56" i="1"/>
  <c r="KIK56" i="1"/>
  <c r="KIL56" i="1"/>
  <c r="KIM56" i="1"/>
  <c r="KIN56" i="1"/>
  <c r="KIO56" i="1"/>
  <c r="KIP56" i="1"/>
  <c r="KIQ56" i="1"/>
  <c r="KIR56" i="1"/>
  <c r="KIS56" i="1"/>
  <c r="KIT56" i="1"/>
  <c r="KIU56" i="1"/>
  <c r="KIV56" i="1"/>
  <c r="KIW56" i="1"/>
  <c r="KIX56" i="1"/>
  <c r="KIY56" i="1"/>
  <c r="KIZ56" i="1"/>
  <c r="KJA56" i="1"/>
  <c r="KJB56" i="1"/>
  <c r="KJC56" i="1"/>
  <c r="KJD56" i="1"/>
  <c r="KJE56" i="1"/>
  <c r="KJF56" i="1"/>
  <c r="KJG56" i="1"/>
  <c r="KJH56" i="1"/>
  <c r="KJI56" i="1"/>
  <c r="KJJ56" i="1"/>
  <c r="KJK56" i="1"/>
  <c r="KJL56" i="1"/>
  <c r="KJM56" i="1"/>
  <c r="KJN56" i="1"/>
  <c r="KJO56" i="1"/>
  <c r="KJP56" i="1"/>
  <c r="KJQ56" i="1"/>
  <c r="KJR56" i="1"/>
  <c r="KJS56" i="1"/>
  <c r="KJT56" i="1"/>
  <c r="KJU56" i="1"/>
  <c r="KJV56" i="1"/>
  <c r="KJW56" i="1"/>
  <c r="KJX56" i="1"/>
  <c r="KJY56" i="1"/>
  <c r="KJZ56" i="1"/>
  <c r="KKA56" i="1"/>
  <c r="KKB56" i="1"/>
  <c r="KKC56" i="1"/>
  <c r="KKD56" i="1"/>
  <c r="KKE56" i="1"/>
  <c r="KKF56" i="1"/>
  <c r="KKG56" i="1"/>
  <c r="KKH56" i="1"/>
  <c r="KKI56" i="1"/>
  <c r="KKJ56" i="1"/>
  <c r="KKK56" i="1"/>
  <c r="KKL56" i="1"/>
  <c r="KKM56" i="1"/>
  <c r="KKN56" i="1"/>
  <c r="KKO56" i="1"/>
  <c r="KKP56" i="1"/>
  <c r="KGV57" i="1"/>
  <c r="KGW57" i="1"/>
  <c r="KGX57" i="1"/>
  <c r="KGY57" i="1"/>
  <c r="KGZ57" i="1"/>
  <c r="KHA57" i="1"/>
  <c r="KHB57" i="1"/>
  <c r="KHC57" i="1"/>
  <c r="KHD57" i="1"/>
  <c r="KHE57" i="1"/>
  <c r="KHF57" i="1"/>
  <c r="KHG57" i="1"/>
  <c r="KHH57" i="1"/>
  <c r="KHI57" i="1"/>
  <c r="KHJ57" i="1"/>
  <c r="KHK57" i="1"/>
  <c r="KHL57" i="1"/>
  <c r="KHM57" i="1"/>
  <c r="KHN57" i="1"/>
  <c r="KHO57" i="1"/>
  <c r="KHP57" i="1"/>
  <c r="KHQ57" i="1"/>
  <c r="KHR57" i="1"/>
  <c r="KHS57" i="1"/>
  <c r="KHT57" i="1"/>
  <c r="KHU57" i="1"/>
  <c r="KHV57" i="1"/>
  <c r="KHW57" i="1"/>
  <c r="KHX57" i="1"/>
  <c r="KHY57" i="1"/>
  <c r="KHZ57" i="1"/>
  <c r="KIA57" i="1"/>
  <c r="KIB57" i="1"/>
  <c r="KIC57" i="1"/>
  <c r="KID57" i="1"/>
  <c r="KIE57" i="1"/>
  <c r="KIF57" i="1"/>
  <c r="KIG57" i="1"/>
  <c r="KIH57" i="1"/>
  <c r="KII57" i="1"/>
  <c r="KIJ57" i="1"/>
  <c r="KIK57" i="1"/>
  <c r="KIL57" i="1"/>
  <c r="KIM57" i="1"/>
  <c r="KIN57" i="1"/>
  <c r="KIO57" i="1"/>
  <c r="KIP57" i="1"/>
  <c r="KIQ57" i="1"/>
  <c r="KIR57" i="1"/>
  <c r="KIS57" i="1"/>
  <c r="KIT57" i="1"/>
  <c r="KIU57" i="1"/>
  <c r="KIV57" i="1"/>
  <c r="KIW57" i="1"/>
  <c r="KIX57" i="1"/>
  <c r="KIY57" i="1"/>
  <c r="KIZ57" i="1"/>
  <c r="KJA57" i="1"/>
  <c r="KJB57" i="1"/>
  <c r="KJC57" i="1"/>
  <c r="KJD57" i="1"/>
  <c r="KJE57" i="1"/>
  <c r="KJF57" i="1"/>
  <c r="KJG57" i="1"/>
  <c r="KJH57" i="1"/>
  <c r="KJI57" i="1"/>
  <c r="KJJ57" i="1"/>
  <c r="KJK57" i="1"/>
  <c r="KJL57" i="1"/>
  <c r="KJM57" i="1"/>
  <c r="KJN57" i="1"/>
  <c r="KJO57" i="1"/>
  <c r="KJP57" i="1"/>
  <c r="KJQ57" i="1"/>
  <c r="KJR57" i="1"/>
  <c r="KJS57" i="1"/>
  <c r="KJT57" i="1"/>
  <c r="KJU57" i="1"/>
  <c r="KJV57" i="1"/>
  <c r="KJW57" i="1"/>
  <c r="KJX57" i="1"/>
  <c r="KJY57" i="1"/>
  <c r="KJZ57" i="1"/>
  <c r="KKA57" i="1"/>
  <c r="KKB57" i="1"/>
  <c r="KKC57" i="1"/>
  <c r="KKD57" i="1"/>
  <c r="KKE57" i="1"/>
  <c r="KKF57" i="1"/>
  <c r="KKG57" i="1"/>
  <c r="KKH57" i="1"/>
  <c r="KKI57" i="1"/>
  <c r="KKJ57" i="1"/>
  <c r="KKK57" i="1"/>
  <c r="KKL57" i="1"/>
  <c r="KKM57" i="1"/>
  <c r="KKN57" i="1"/>
  <c r="KKO57" i="1"/>
  <c r="KKP57" i="1"/>
  <c r="KGV58" i="1"/>
  <c r="KGW58" i="1"/>
  <c r="KGX58" i="1"/>
  <c r="KGY58" i="1"/>
  <c r="KGZ58" i="1"/>
  <c r="KHA58" i="1"/>
  <c r="KHB58" i="1"/>
  <c r="KHC58" i="1"/>
  <c r="KHD58" i="1"/>
  <c r="KHE58" i="1"/>
  <c r="KHF58" i="1"/>
  <c r="KHG58" i="1"/>
  <c r="KHH58" i="1"/>
  <c r="KHI58" i="1"/>
  <c r="KHJ58" i="1"/>
  <c r="KHK58" i="1"/>
  <c r="KHL58" i="1"/>
  <c r="KHM58" i="1"/>
  <c r="KHN58" i="1"/>
  <c r="KHO58" i="1"/>
  <c r="KHP58" i="1"/>
  <c r="KHQ58" i="1"/>
  <c r="KHR58" i="1"/>
  <c r="KHS58" i="1"/>
  <c r="KHT58" i="1"/>
  <c r="KHU58" i="1"/>
  <c r="KHV58" i="1"/>
  <c r="KHW58" i="1"/>
  <c r="KHX58" i="1"/>
  <c r="KHY58" i="1"/>
  <c r="KHZ58" i="1"/>
  <c r="KIA58" i="1"/>
  <c r="KIB58" i="1"/>
  <c r="KIC58" i="1"/>
  <c r="KID58" i="1"/>
  <c r="KIE58" i="1"/>
  <c r="KIF58" i="1"/>
  <c r="KIG58" i="1"/>
  <c r="KIH58" i="1"/>
  <c r="KII58" i="1"/>
  <c r="KIJ58" i="1"/>
  <c r="KIK58" i="1"/>
  <c r="KIL58" i="1"/>
  <c r="KIM58" i="1"/>
  <c r="KIN58" i="1"/>
  <c r="KIO58" i="1"/>
  <c r="KIP58" i="1"/>
  <c r="KIQ58" i="1"/>
  <c r="KIR58" i="1"/>
  <c r="KIS58" i="1"/>
  <c r="KIT58" i="1"/>
  <c r="KIU58" i="1"/>
  <c r="KIV58" i="1"/>
  <c r="KIW58" i="1"/>
  <c r="KIX58" i="1"/>
  <c r="KIY58" i="1"/>
  <c r="KIZ58" i="1"/>
  <c r="KJA58" i="1"/>
  <c r="KJB58" i="1"/>
  <c r="KJC58" i="1"/>
  <c r="KJD58" i="1"/>
  <c r="KJE58" i="1"/>
  <c r="KJF58" i="1"/>
  <c r="KJG58" i="1"/>
  <c r="KJH58" i="1"/>
  <c r="KJI58" i="1"/>
  <c r="KJJ58" i="1"/>
  <c r="KJK58" i="1"/>
  <c r="KJL58" i="1"/>
  <c r="KJM58" i="1"/>
  <c r="KJN58" i="1"/>
  <c r="KJO58" i="1"/>
  <c r="KJP58" i="1"/>
  <c r="KJQ58" i="1"/>
  <c r="KJR58" i="1"/>
  <c r="KJS58" i="1"/>
  <c r="KJT58" i="1"/>
  <c r="KJU58" i="1"/>
  <c r="KJV58" i="1"/>
  <c r="KJW58" i="1"/>
  <c r="KJX58" i="1"/>
  <c r="KJY58" i="1"/>
  <c r="KJZ58" i="1"/>
  <c r="KKA58" i="1"/>
  <c r="KKB58" i="1"/>
  <c r="KKC58" i="1"/>
  <c r="KKD58" i="1"/>
  <c r="KKE58" i="1"/>
  <c r="KKF58" i="1"/>
  <c r="KKG58" i="1"/>
  <c r="KKH58" i="1"/>
  <c r="KKI58" i="1"/>
  <c r="KKJ58" i="1"/>
  <c r="KKK58" i="1"/>
  <c r="KKL58" i="1"/>
  <c r="KKM58" i="1"/>
  <c r="KKN58" i="1"/>
  <c r="KKO58" i="1"/>
  <c r="KKP58" i="1"/>
  <c r="KGV59" i="1"/>
  <c r="KGW59" i="1"/>
  <c r="KGX59" i="1"/>
  <c r="KGY59" i="1"/>
  <c r="KGZ59" i="1"/>
  <c r="KHA59" i="1"/>
  <c r="KHB59" i="1"/>
  <c r="KHC59" i="1"/>
  <c r="KHD59" i="1"/>
  <c r="KHE59" i="1"/>
  <c r="KHF59" i="1"/>
  <c r="KHG59" i="1"/>
  <c r="KHH59" i="1"/>
  <c r="KHI59" i="1"/>
  <c r="KHJ59" i="1"/>
  <c r="KHK59" i="1"/>
  <c r="KHL59" i="1"/>
  <c r="KHM59" i="1"/>
  <c r="KHN59" i="1"/>
  <c r="KHO59" i="1"/>
  <c r="KHP59" i="1"/>
  <c r="KHQ59" i="1"/>
  <c r="KHR59" i="1"/>
  <c r="KHS59" i="1"/>
  <c r="KHT59" i="1"/>
  <c r="KHU59" i="1"/>
  <c r="KHV59" i="1"/>
  <c r="KHW59" i="1"/>
  <c r="KHX59" i="1"/>
  <c r="KHY59" i="1"/>
  <c r="KHZ59" i="1"/>
  <c r="KIA59" i="1"/>
  <c r="KIB59" i="1"/>
  <c r="KIC59" i="1"/>
  <c r="KID59" i="1"/>
  <c r="KIE59" i="1"/>
  <c r="KIF59" i="1"/>
  <c r="KIG59" i="1"/>
  <c r="KIH59" i="1"/>
  <c r="KII59" i="1"/>
  <c r="KIJ59" i="1"/>
  <c r="KIK59" i="1"/>
  <c r="KIL59" i="1"/>
  <c r="KIM59" i="1"/>
  <c r="KIN59" i="1"/>
  <c r="KIO59" i="1"/>
  <c r="KIP59" i="1"/>
  <c r="KIQ59" i="1"/>
  <c r="KIR59" i="1"/>
  <c r="KIS59" i="1"/>
  <c r="KIT59" i="1"/>
  <c r="KIU59" i="1"/>
  <c r="KIV59" i="1"/>
  <c r="KIW59" i="1"/>
  <c r="KIX59" i="1"/>
  <c r="KIY59" i="1"/>
  <c r="KIZ59" i="1"/>
  <c r="KJA59" i="1"/>
  <c r="KJB59" i="1"/>
  <c r="KJC59" i="1"/>
  <c r="KJD59" i="1"/>
  <c r="KJE59" i="1"/>
  <c r="KJF59" i="1"/>
  <c r="KJG59" i="1"/>
  <c r="KJH59" i="1"/>
  <c r="KJI59" i="1"/>
  <c r="KJJ59" i="1"/>
  <c r="KJK59" i="1"/>
  <c r="KJL59" i="1"/>
  <c r="KJM59" i="1"/>
  <c r="KJN59" i="1"/>
  <c r="KJO59" i="1"/>
  <c r="KJP59" i="1"/>
  <c r="KJQ59" i="1"/>
  <c r="KJR59" i="1"/>
  <c r="KJS59" i="1"/>
  <c r="KJT59" i="1"/>
  <c r="KJU59" i="1"/>
  <c r="KJV59" i="1"/>
  <c r="KJW59" i="1"/>
  <c r="KJX59" i="1"/>
  <c r="KJY59" i="1"/>
  <c r="KJZ59" i="1"/>
  <c r="KKA59" i="1"/>
  <c r="KKB59" i="1"/>
  <c r="KKC59" i="1"/>
  <c r="KKD59" i="1"/>
  <c r="KKE59" i="1"/>
  <c r="KKF59" i="1"/>
  <c r="KKG59" i="1"/>
  <c r="KKH59" i="1"/>
  <c r="KKI59" i="1"/>
  <c r="KKJ59" i="1"/>
  <c r="KKK59" i="1"/>
  <c r="KKL59" i="1"/>
  <c r="KKM59" i="1"/>
  <c r="KKN59" i="1"/>
  <c r="KKO59" i="1"/>
  <c r="KKP59" i="1"/>
  <c r="KGV60" i="1"/>
  <c r="KGW60" i="1"/>
  <c r="KGX60" i="1"/>
  <c r="KGY60" i="1"/>
  <c r="KGZ60" i="1"/>
  <c r="KHA60" i="1"/>
  <c r="KHB60" i="1"/>
  <c r="KHC60" i="1"/>
  <c r="KHD60" i="1"/>
  <c r="KHE60" i="1"/>
  <c r="KHF60" i="1"/>
  <c r="KHG60" i="1"/>
  <c r="KHH60" i="1"/>
  <c r="KHI60" i="1"/>
  <c r="KHJ60" i="1"/>
  <c r="KHK60" i="1"/>
  <c r="KHL60" i="1"/>
  <c r="KHM60" i="1"/>
  <c r="KHN60" i="1"/>
  <c r="KHO60" i="1"/>
  <c r="KHP60" i="1"/>
  <c r="KHQ60" i="1"/>
  <c r="KHR60" i="1"/>
  <c r="KHS60" i="1"/>
  <c r="KHT60" i="1"/>
  <c r="KHU60" i="1"/>
  <c r="KHV60" i="1"/>
  <c r="KHW60" i="1"/>
  <c r="KHX60" i="1"/>
  <c r="KHY60" i="1"/>
  <c r="KHZ60" i="1"/>
  <c r="KIA60" i="1"/>
  <c r="KIB60" i="1"/>
  <c r="KIC60" i="1"/>
  <c r="KID60" i="1"/>
  <c r="KIE60" i="1"/>
  <c r="KIF60" i="1"/>
  <c r="KIG60" i="1"/>
  <c r="KIH60" i="1"/>
  <c r="KII60" i="1"/>
  <c r="KIJ60" i="1"/>
  <c r="KIK60" i="1"/>
  <c r="KIL60" i="1"/>
  <c r="KIM60" i="1"/>
  <c r="KIN60" i="1"/>
  <c r="KIO60" i="1"/>
  <c r="KIP60" i="1"/>
  <c r="KIQ60" i="1"/>
  <c r="KIR60" i="1"/>
  <c r="KIS60" i="1"/>
  <c r="KIT60" i="1"/>
  <c r="KIU60" i="1"/>
  <c r="KIV60" i="1"/>
  <c r="KIW60" i="1"/>
  <c r="KIX60" i="1"/>
  <c r="KIY60" i="1"/>
  <c r="KIZ60" i="1"/>
  <c r="KJA60" i="1"/>
  <c r="KJB60" i="1"/>
  <c r="KJC60" i="1"/>
  <c r="KJD60" i="1"/>
  <c r="KJE60" i="1"/>
  <c r="KJF60" i="1"/>
  <c r="KJG60" i="1"/>
  <c r="KJH60" i="1"/>
  <c r="KJI60" i="1"/>
  <c r="KJJ60" i="1"/>
  <c r="KJK60" i="1"/>
  <c r="KJL60" i="1"/>
  <c r="KJM60" i="1"/>
  <c r="KJN60" i="1"/>
  <c r="KJO60" i="1"/>
  <c r="KJP60" i="1"/>
  <c r="KJQ60" i="1"/>
  <c r="KJR60" i="1"/>
  <c r="KJS60" i="1"/>
  <c r="KJT60" i="1"/>
  <c r="KJU60" i="1"/>
  <c r="KJV60" i="1"/>
  <c r="KJW60" i="1"/>
  <c r="KJX60" i="1"/>
  <c r="KJY60" i="1"/>
  <c r="KJZ60" i="1"/>
  <c r="KKA60" i="1"/>
  <c r="KKB60" i="1"/>
  <c r="KKC60" i="1"/>
  <c r="KKD60" i="1"/>
  <c r="KKE60" i="1"/>
  <c r="KKF60" i="1"/>
  <c r="KKG60" i="1"/>
  <c r="KKH60" i="1"/>
  <c r="KKI60" i="1"/>
  <c r="KKJ60" i="1"/>
  <c r="KKK60" i="1"/>
  <c r="KKL60" i="1"/>
  <c r="KKM60" i="1"/>
  <c r="KKN60" i="1"/>
  <c r="KKO60" i="1"/>
  <c r="KKP60" i="1"/>
  <c r="KGV61" i="1"/>
  <c r="KGW61" i="1"/>
  <c r="KGX61" i="1"/>
  <c r="KGY61" i="1"/>
  <c r="KGZ61" i="1"/>
  <c r="KHA61" i="1"/>
  <c r="KHB61" i="1"/>
  <c r="KHC61" i="1"/>
  <c r="KHD61" i="1"/>
  <c r="KHE61" i="1"/>
  <c r="KHF61" i="1"/>
  <c r="KHG61" i="1"/>
  <c r="KHH61" i="1"/>
  <c r="KHI61" i="1"/>
  <c r="KHJ61" i="1"/>
  <c r="KHK61" i="1"/>
  <c r="KHL61" i="1"/>
  <c r="KHM61" i="1"/>
  <c r="KHN61" i="1"/>
  <c r="KHO61" i="1"/>
  <c r="KHP61" i="1"/>
  <c r="KHQ61" i="1"/>
  <c r="KHR61" i="1"/>
  <c r="KHS61" i="1"/>
  <c r="KHT61" i="1"/>
  <c r="KHU61" i="1"/>
  <c r="KHV61" i="1"/>
  <c r="KHW61" i="1"/>
  <c r="KHX61" i="1"/>
  <c r="KHY61" i="1"/>
  <c r="KHZ61" i="1"/>
  <c r="KIA61" i="1"/>
  <c r="KIB61" i="1"/>
  <c r="KIC61" i="1"/>
  <c r="KID61" i="1"/>
  <c r="KIE61" i="1"/>
  <c r="KIF61" i="1"/>
  <c r="KIG61" i="1"/>
  <c r="KIH61" i="1"/>
  <c r="KII61" i="1"/>
  <c r="KIJ61" i="1"/>
  <c r="KIK61" i="1"/>
  <c r="KIL61" i="1"/>
  <c r="KIM61" i="1"/>
  <c r="KIN61" i="1"/>
  <c r="KIO61" i="1"/>
  <c r="KIP61" i="1"/>
  <c r="KIQ61" i="1"/>
  <c r="KIR61" i="1"/>
  <c r="KIS61" i="1"/>
  <c r="KIT61" i="1"/>
  <c r="KIU61" i="1"/>
  <c r="KIV61" i="1"/>
  <c r="KIW61" i="1"/>
  <c r="KIX61" i="1"/>
  <c r="KIY61" i="1"/>
  <c r="KIZ61" i="1"/>
  <c r="KJA61" i="1"/>
  <c r="KJB61" i="1"/>
  <c r="KJC61" i="1"/>
  <c r="KJD61" i="1"/>
  <c r="KJE61" i="1"/>
  <c r="KJF61" i="1"/>
  <c r="KJG61" i="1"/>
  <c r="KJH61" i="1"/>
  <c r="KJI61" i="1"/>
  <c r="KJJ61" i="1"/>
  <c r="KJK61" i="1"/>
  <c r="KJL61" i="1"/>
  <c r="KJM61" i="1"/>
  <c r="KJN61" i="1"/>
  <c r="KJO61" i="1"/>
  <c r="KJP61" i="1"/>
  <c r="KJQ61" i="1"/>
  <c r="KJR61" i="1"/>
  <c r="KJS61" i="1"/>
  <c r="KJT61" i="1"/>
  <c r="KJU61" i="1"/>
  <c r="KJV61" i="1"/>
  <c r="KJW61" i="1"/>
  <c r="KJX61" i="1"/>
  <c r="KJY61" i="1"/>
  <c r="KJZ61" i="1"/>
  <c r="KKA61" i="1"/>
  <c r="KKB61" i="1"/>
  <c r="KKC61" i="1"/>
  <c r="KKD61" i="1"/>
  <c r="KKE61" i="1"/>
  <c r="KKF61" i="1"/>
  <c r="KKG61" i="1"/>
  <c r="KKH61" i="1"/>
  <c r="KKI61" i="1"/>
  <c r="KKJ61" i="1"/>
  <c r="KKK61" i="1"/>
  <c r="KKL61" i="1"/>
  <c r="KKM61" i="1"/>
  <c r="KKN61" i="1"/>
  <c r="KKO61" i="1"/>
  <c r="KKP61" i="1"/>
  <c r="KGV62" i="1"/>
  <c r="KGW62" i="1"/>
  <c r="KGX62" i="1"/>
  <c r="KGY62" i="1"/>
  <c r="KGZ62" i="1"/>
  <c r="KHA62" i="1"/>
  <c r="KHB62" i="1"/>
  <c r="KHC62" i="1"/>
  <c r="KHD62" i="1"/>
  <c r="KHE62" i="1"/>
  <c r="KHF62" i="1"/>
  <c r="KHG62" i="1"/>
  <c r="KHH62" i="1"/>
  <c r="KHI62" i="1"/>
  <c r="KHJ62" i="1"/>
  <c r="KHK62" i="1"/>
  <c r="KHL62" i="1"/>
  <c r="KHM62" i="1"/>
  <c r="KHN62" i="1"/>
  <c r="KHO62" i="1"/>
  <c r="KHP62" i="1"/>
  <c r="KHQ62" i="1"/>
  <c r="KHR62" i="1"/>
  <c r="KHS62" i="1"/>
  <c r="KHT62" i="1"/>
  <c r="KHU62" i="1"/>
  <c r="KHV62" i="1"/>
  <c r="KHW62" i="1"/>
  <c r="KHX62" i="1"/>
  <c r="KHY62" i="1"/>
  <c r="KHZ62" i="1"/>
  <c r="KIA62" i="1"/>
  <c r="KIB62" i="1"/>
  <c r="KIC62" i="1"/>
  <c r="KID62" i="1"/>
  <c r="KIE62" i="1"/>
  <c r="KIF62" i="1"/>
  <c r="KIG62" i="1"/>
  <c r="KIH62" i="1"/>
  <c r="KII62" i="1"/>
  <c r="KIJ62" i="1"/>
  <c r="KIK62" i="1"/>
  <c r="KIL62" i="1"/>
  <c r="KIM62" i="1"/>
  <c r="KIN62" i="1"/>
  <c r="KIO62" i="1"/>
  <c r="KIP62" i="1"/>
  <c r="KIQ62" i="1"/>
  <c r="KIR62" i="1"/>
  <c r="KIS62" i="1"/>
  <c r="KIT62" i="1"/>
  <c r="KIU62" i="1"/>
  <c r="KIV62" i="1"/>
  <c r="KIW62" i="1"/>
  <c r="KIX62" i="1"/>
  <c r="KIY62" i="1"/>
  <c r="KIZ62" i="1"/>
  <c r="KJA62" i="1"/>
  <c r="KJB62" i="1"/>
  <c r="KJC62" i="1"/>
  <c r="KJD62" i="1"/>
  <c r="KJE62" i="1"/>
  <c r="KJF62" i="1"/>
  <c r="KJG62" i="1"/>
  <c r="KJH62" i="1"/>
  <c r="KJI62" i="1"/>
  <c r="KJJ62" i="1"/>
  <c r="KJK62" i="1"/>
  <c r="KJL62" i="1"/>
  <c r="KJM62" i="1"/>
  <c r="KJN62" i="1"/>
  <c r="KJO62" i="1"/>
  <c r="KJP62" i="1"/>
  <c r="KJQ62" i="1"/>
  <c r="KJR62" i="1"/>
  <c r="KJS62" i="1"/>
  <c r="KJT62" i="1"/>
  <c r="KJU62" i="1"/>
  <c r="KJV62" i="1"/>
  <c r="KJW62" i="1"/>
  <c r="KJX62" i="1"/>
  <c r="KJY62" i="1"/>
  <c r="KJZ62" i="1"/>
  <c r="KKA62" i="1"/>
  <c r="KKB62" i="1"/>
  <c r="KKC62" i="1"/>
  <c r="KKD62" i="1"/>
  <c r="KKE62" i="1"/>
  <c r="KKF62" i="1"/>
  <c r="KKG62" i="1"/>
  <c r="KKH62" i="1"/>
  <c r="KKI62" i="1"/>
  <c r="KKJ62" i="1"/>
  <c r="KKK62" i="1"/>
  <c r="KKL62" i="1"/>
  <c r="KKM62" i="1"/>
  <c r="KKN62" i="1"/>
  <c r="KKO62" i="1"/>
  <c r="KKP62" i="1"/>
  <c r="KGV63" i="1"/>
  <c r="KGW63" i="1"/>
  <c r="KGX63" i="1"/>
  <c r="KGY63" i="1"/>
  <c r="KGZ63" i="1"/>
  <c r="KHA63" i="1"/>
  <c r="KHB63" i="1"/>
  <c r="KHC63" i="1"/>
  <c r="KHD63" i="1"/>
  <c r="KHE63" i="1"/>
  <c r="KHF63" i="1"/>
  <c r="KHG63" i="1"/>
  <c r="KHH63" i="1"/>
  <c r="KHI63" i="1"/>
  <c r="KHJ63" i="1"/>
  <c r="KHK63" i="1"/>
  <c r="KHL63" i="1"/>
  <c r="KHM63" i="1"/>
  <c r="KHN63" i="1"/>
  <c r="KHO63" i="1"/>
  <c r="KHP63" i="1"/>
  <c r="KHQ63" i="1"/>
  <c r="KHR63" i="1"/>
  <c r="KHS63" i="1"/>
  <c r="KHT63" i="1"/>
  <c r="KHU63" i="1"/>
  <c r="KHV63" i="1"/>
  <c r="KHW63" i="1"/>
  <c r="KHX63" i="1"/>
  <c r="KHY63" i="1"/>
  <c r="KHZ63" i="1"/>
  <c r="KIA63" i="1"/>
  <c r="KIB63" i="1"/>
  <c r="KIC63" i="1"/>
  <c r="KID63" i="1"/>
  <c r="KIE63" i="1"/>
  <c r="KIF63" i="1"/>
  <c r="KIG63" i="1"/>
  <c r="KIH63" i="1"/>
  <c r="KII63" i="1"/>
  <c r="KIJ63" i="1"/>
  <c r="KIK63" i="1"/>
  <c r="KIL63" i="1"/>
  <c r="KIM63" i="1"/>
  <c r="KIN63" i="1"/>
  <c r="KIO63" i="1"/>
  <c r="KIP63" i="1"/>
  <c r="KIQ63" i="1"/>
  <c r="KIR63" i="1"/>
  <c r="KIS63" i="1"/>
  <c r="KIT63" i="1"/>
  <c r="KIU63" i="1"/>
  <c r="KIV63" i="1"/>
  <c r="KIW63" i="1"/>
  <c r="KIX63" i="1"/>
  <c r="KIY63" i="1"/>
  <c r="KIZ63" i="1"/>
  <c r="KJA63" i="1"/>
  <c r="KJB63" i="1"/>
  <c r="KJC63" i="1"/>
  <c r="KJD63" i="1"/>
  <c r="KJE63" i="1"/>
  <c r="KJF63" i="1"/>
  <c r="KJG63" i="1"/>
  <c r="KJH63" i="1"/>
  <c r="KJI63" i="1"/>
  <c r="KJJ63" i="1"/>
  <c r="KJK63" i="1"/>
  <c r="KJL63" i="1"/>
  <c r="KJM63" i="1"/>
  <c r="KJN63" i="1"/>
  <c r="KJO63" i="1"/>
  <c r="KJP63" i="1"/>
  <c r="KJQ63" i="1"/>
  <c r="KJR63" i="1"/>
  <c r="KJS63" i="1"/>
  <c r="KJT63" i="1"/>
  <c r="KJU63" i="1"/>
  <c r="KJV63" i="1"/>
  <c r="KJW63" i="1"/>
  <c r="KJX63" i="1"/>
  <c r="KJY63" i="1"/>
  <c r="KJZ63" i="1"/>
  <c r="KKA63" i="1"/>
  <c r="KKB63" i="1"/>
  <c r="KKC63" i="1"/>
  <c r="KKD63" i="1"/>
  <c r="KKE63" i="1"/>
  <c r="KKF63" i="1"/>
  <c r="KKG63" i="1"/>
  <c r="KKH63" i="1"/>
  <c r="KKI63" i="1"/>
  <c r="KKJ63" i="1"/>
  <c r="KKK63" i="1"/>
  <c r="KKL63" i="1"/>
  <c r="KKM63" i="1"/>
  <c r="KKN63" i="1"/>
  <c r="KKO63" i="1"/>
  <c r="KKP63" i="1"/>
  <c r="KGV64" i="1"/>
  <c r="KGW64" i="1"/>
  <c r="KGX64" i="1"/>
  <c r="KGY64" i="1"/>
  <c r="KGZ64" i="1"/>
  <c r="KHA64" i="1"/>
  <c r="KHB64" i="1"/>
  <c r="KHC64" i="1"/>
  <c r="KHD64" i="1"/>
  <c r="KHE64" i="1"/>
  <c r="KHF64" i="1"/>
  <c r="KHG64" i="1"/>
  <c r="KHH64" i="1"/>
  <c r="KHI64" i="1"/>
  <c r="KHJ64" i="1"/>
  <c r="KHK64" i="1"/>
  <c r="KHL64" i="1"/>
  <c r="KHM64" i="1"/>
  <c r="KHN64" i="1"/>
  <c r="KHO64" i="1"/>
  <c r="KHP64" i="1"/>
  <c r="KHQ64" i="1"/>
  <c r="KHR64" i="1"/>
  <c r="KHS64" i="1"/>
  <c r="KHT64" i="1"/>
  <c r="KHU64" i="1"/>
  <c r="KHV64" i="1"/>
  <c r="KHW64" i="1"/>
  <c r="KHX64" i="1"/>
  <c r="KHY64" i="1"/>
  <c r="KHZ64" i="1"/>
  <c r="KIA64" i="1"/>
  <c r="KIB64" i="1"/>
  <c r="KIC64" i="1"/>
  <c r="KID64" i="1"/>
  <c r="KIE64" i="1"/>
  <c r="KIF64" i="1"/>
  <c r="KIG64" i="1"/>
  <c r="KIH64" i="1"/>
  <c r="KII64" i="1"/>
  <c r="KIJ64" i="1"/>
  <c r="KIK64" i="1"/>
  <c r="KIL64" i="1"/>
  <c r="KIM64" i="1"/>
  <c r="KIN64" i="1"/>
  <c r="KIO64" i="1"/>
  <c r="KIP64" i="1"/>
  <c r="KIQ64" i="1"/>
  <c r="KIR64" i="1"/>
  <c r="KIS64" i="1"/>
  <c r="KIT64" i="1"/>
  <c r="KIU64" i="1"/>
  <c r="KIV64" i="1"/>
  <c r="KIW64" i="1"/>
  <c r="KIX64" i="1"/>
  <c r="KIY64" i="1"/>
  <c r="KIZ64" i="1"/>
  <c r="KJA64" i="1"/>
  <c r="KJB64" i="1"/>
  <c r="KJC64" i="1"/>
  <c r="KJD64" i="1"/>
  <c r="KJE64" i="1"/>
  <c r="KJF64" i="1"/>
  <c r="KJG64" i="1"/>
  <c r="KJH64" i="1"/>
  <c r="KJI64" i="1"/>
  <c r="KJJ64" i="1"/>
  <c r="KJK64" i="1"/>
  <c r="KJL64" i="1"/>
  <c r="KJM64" i="1"/>
  <c r="KJN64" i="1"/>
  <c r="KJO64" i="1"/>
  <c r="KJP64" i="1"/>
  <c r="KJQ64" i="1"/>
  <c r="KJR64" i="1"/>
  <c r="KJS64" i="1"/>
  <c r="KJT64" i="1"/>
  <c r="KJU64" i="1"/>
  <c r="KJV64" i="1"/>
  <c r="KJW64" i="1"/>
  <c r="KJX64" i="1"/>
  <c r="KJY64" i="1"/>
  <c r="KJZ64" i="1"/>
  <c r="KKA64" i="1"/>
  <c r="KKB64" i="1"/>
  <c r="KKC64" i="1"/>
  <c r="KKD64" i="1"/>
  <c r="KKE64" i="1"/>
  <c r="KKF64" i="1"/>
  <c r="KKG64" i="1"/>
  <c r="KKH64" i="1"/>
  <c r="KKI64" i="1"/>
  <c r="KKJ64" i="1"/>
  <c r="KKK64" i="1"/>
  <c r="KKL64" i="1"/>
  <c r="KKM64" i="1"/>
  <c r="KKN64" i="1"/>
  <c r="KKO64" i="1"/>
  <c r="KKP64" i="1"/>
  <c r="KGV65" i="1"/>
  <c r="KGW65" i="1"/>
  <c r="KGX65" i="1"/>
  <c r="KGY65" i="1"/>
  <c r="KGZ65" i="1"/>
  <c r="KHA65" i="1"/>
  <c r="KHB65" i="1"/>
  <c r="KHC65" i="1"/>
  <c r="KHD65" i="1"/>
  <c r="KHE65" i="1"/>
  <c r="KHF65" i="1"/>
  <c r="KHG65" i="1"/>
  <c r="KHH65" i="1"/>
  <c r="KHI65" i="1"/>
  <c r="KHJ65" i="1"/>
  <c r="KHK65" i="1"/>
  <c r="KHL65" i="1"/>
  <c r="KHM65" i="1"/>
  <c r="KHN65" i="1"/>
  <c r="KHO65" i="1"/>
  <c r="KHP65" i="1"/>
  <c r="KHQ65" i="1"/>
  <c r="KHR65" i="1"/>
  <c r="KHS65" i="1"/>
  <c r="KHT65" i="1"/>
  <c r="KHU65" i="1"/>
  <c r="KHV65" i="1"/>
  <c r="KHW65" i="1"/>
  <c r="KHX65" i="1"/>
  <c r="KHY65" i="1"/>
  <c r="KHZ65" i="1"/>
  <c r="KIA65" i="1"/>
  <c r="KIB65" i="1"/>
  <c r="KIC65" i="1"/>
  <c r="KID65" i="1"/>
  <c r="KIE65" i="1"/>
  <c r="KIF65" i="1"/>
  <c r="KIG65" i="1"/>
  <c r="KIH65" i="1"/>
  <c r="KII65" i="1"/>
  <c r="KIJ65" i="1"/>
  <c r="KIK65" i="1"/>
  <c r="KIL65" i="1"/>
  <c r="KIM65" i="1"/>
  <c r="KIN65" i="1"/>
  <c r="KIO65" i="1"/>
  <c r="KIP65" i="1"/>
  <c r="KIQ65" i="1"/>
  <c r="KIR65" i="1"/>
  <c r="KIS65" i="1"/>
  <c r="KIT65" i="1"/>
  <c r="KIU65" i="1"/>
  <c r="KIV65" i="1"/>
  <c r="KIW65" i="1"/>
  <c r="KIX65" i="1"/>
  <c r="KIY65" i="1"/>
  <c r="KIZ65" i="1"/>
  <c r="KJA65" i="1"/>
  <c r="KJB65" i="1"/>
  <c r="KJC65" i="1"/>
  <c r="KJD65" i="1"/>
  <c r="KJE65" i="1"/>
  <c r="KJF65" i="1"/>
  <c r="KJG65" i="1"/>
  <c r="KJH65" i="1"/>
  <c r="KJI65" i="1"/>
  <c r="KJJ65" i="1"/>
  <c r="KJK65" i="1"/>
  <c r="KJL65" i="1"/>
  <c r="KJM65" i="1"/>
  <c r="KJN65" i="1"/>
  <c r="KJO65" i="1"/>
  <c r="KJP65" i="1"/>
  <c r="KJQ65" i="1"/>
  <c r="KJR65" i="1"/>
  <c r="KJS65" i="1"/>
  <c r="KJT65" i="1"/>
  <c r="KJU65" i="1"/>
  <c r="KJV65" i="1"/>
  <c r="KJW65" i="1"/>
  <c r="KJX65" i="1"/>
  <c r="KJY65" i="1"/>
  <c r="KJZ65" i="1"/>
  <c r="KKA65" i="1"/>
  <c r="KKB65" i="1"/>
  <c r="KKR65" i="1" s="1"/>
  <c r="KKU65" i="1" s="1"/>
  <c r="KKC65" i="1"/>
  <c r="KKD65" i="1"/>
  <c r="KKE65" i="1"/>
  <c r="KKF65" i="1"/>
  <c r="KKG65" i="1"/>
  <c r="KKH65" i="1"/>
  <c r="KKI65" i="1"/>
  <c r="KKJ65" i="1"/>
  <c r="KKK65" i="1"/>
  <c r="KKL65" i="1"/>
  <c r="KKM65" i="1"/>
  <c r="KKN65" i="1"/>
  <c r="KKO65" i="1"/>
  <c r="KKP65" i="1"/>
  <c r="KGV66" i="1"/>
  <c r="KGW66" i="1"/>
  <c r="KKT66" i="1" s="1"/>
  <c r="KGX66" i="1"/>
  <c r="KGY66" i="1"/>
  <c r="KGZ66" i="1"/>
  <c r="KHA66" i="1"/>
  <c r="KHB66" i="1"/>
  <c r="KHC66" i="1"/>
  <c r="KHD66" i="1"/>
  <c r="KHE66" i="1"/>
  <c r="KHF66" i="1"/>
  <c r="KHG66" i="1"/>
  <c r="KHH66" i="1"/>
  <c r="KHI66" i="1"/>
  <c r="KHJ66" i="1"/>
  <c r="KHK66" i="1"/>
  <c r="KHL66" i="1"/>
  <c r="KHM66" i="1"/>
  <c r="KHN66" i="1"/>
  <c r="KHO66" i="1"/>
  <c r="KHP66" i="1"/>
  <c r="KHQ66" i="1"/>
  <c r="KHR66" i="1"/>
  <c r="KHS66" i="1"/>
  <c r="KHT66" i="1"/>
  <c r="KHU66" i="1"/>
  <c r="KHV66" i="1"/>
  <c r="KHW66" i="1"/>
  <c r="KHX66" i="1"/>
  <c r="KHY66" i="1"/>
  <c r="KHZ66" i="1"/>
  <c r="KIA66" i="1"/>
  <c r="KIB66" i="1"/>
  <c r="KIC66" i="1"/>
  <c r="KID66" i="1"/>
  <c r="KIE66" i="1"/>
  <c r="KIF66" i="1"/>
  <c r="KIG66" i="1"/>
  <c r="KIH66" i="1"/>
  <c r="KII66" i="1"/>
  <c r="KIJ66" i="1"/>
  <c r="KIK66" i="1"/>
  <c r="KIL66" i="1"/>
  <c r="KIM66" i="1"/>
  <c r="KIN66" i="1"/>
  <c r="KIO66" i="1"/>
  <c r="KIP66" i="1"/>
  <c r="KIQ66" i="1"/>
  <c r="KIR66" i="1"/>
  <c r="KIS66" i="1"/>
  <c r="KIT66" i="1"/>
  <c r="KIU66" i="1"/>
  <c r="KIV66" i="1"/>
  <c r="KIW66" i="1"/>
  <c r="KIX66" i="1"/>
  <c r="KIY66" i="1"/>
  <c r="KIZ66" i="1"/>
  <c r="KJA66" i="1"/>
  <c r="KJB66" i="1"/>
  <c r="KJC66" i="1"/>
  <c r="KJD66" i="1"/>
  <c r="KJE66" i="1"/>
  <c r="KJF66" i="1"/>
  <c r="KJG66" i="1"/>
  <c r="KJH66" i="1"/>
  <c r="KJI66" i="1"/>
  <c r="KKR66" i="1" s="1"/>
  <c r="KKU66" i="1" s="1"/>
  <c r="KJJ66" i="1"/>
  <c r="KJK66" i="1"/>
  <c r="KJL66" i="1"/>
  <c r="KJM66" i="1"/>
  <c r="KJN66" i="1"/>
  <c r="KJO66" i="1"/>
  <c r="KJP66" i="1"/>
  <c r="KJQ66" i="1"/>
  <c r="KJR66" i="1"/>
  <c r="KJS66" i="1"/>
  <c r="KJT66" i="1"/>
  <c r="KJU66" i="1"/>
  <c r="KJV66" i="1"/>
  <c r="KJW66" i="1"/>
  <c r="KJX66" i="1"/>
  <c r="KJY66" i="1"/>
  <c r="KJZ66" i="1"/>
  <c r="KKA66" i="1"/>
  <c r="KKB66" i="1"/>
  <c r="KKC66" i="1"/>
  <c r="KKD66" i="1"/>
  <c r="KKE66" i="1"/>
  <c r="KKF66" i="1"/>
  <c r="KKG66" i="1"/>
  <c r="KKH66" i="1"/>
  <c r="KKI66" i="1"/>
  <c r="KKJ66" i="1"/>
  <c r="KKK66" i="1"/>
  <c r="KKL66" i="1"/>
  <c r="KKM66" i="1"/>
  <c r="KKN66" i="1"/>
  <c r="KKO66" i="1"/>
  <c r="KKP66" i="1"/>
  <c r="KGV67" i="1"/>
  <c r="KGW67" i="1"/>
  <c r="KGX67" i="1"/>
  <c r="KGY67" i="1"/>
  <c r="KGZ67" i="1"/>
  <c r="KHA67" i="1"/>
  <c r="KKR67" i="1" s="1"/>
  <c r="KKU67" i="1" s="1"/>
  <c r="KHB67" i="1"/>
  <c r="KHC67" i="1"/>
  <c r="KHD67" i="1"/>
  <c r="KHE67" i="1"/>
  <c r="KHF67" i="1"/>
  <c r="KHG67" i="1"/>
  <c r="KHH67" i="1"/>
  <c r="KHI67" i="1"/>
  <c r="KHJ67" i="1"/>
  <c r="KHK67" i="1"/>
  <c r="KHL67" i="1"/>
  <c r="KHM67" i="1"/>
  <c r="KHN67" i="1"/>
  <c r="KHO67" i="1"/>
  <c r="KHP67" i="1"/>
  <c r="KHQ67" i="1"/>
  <c r="KHR67" i="1"/>
  <c r="KHS67" i="1"/>
  <c r="KHT67" i="1"/>
  <c r="KHU67" i="1"/>
  <c r="KHV67" i="1"/>
  <c r="KHW67" i="1"/>
  <c r="KHX67" i="1"/>
  <c r="KHY67" i="1"/>
  <c r="KHZ67" i="1"/>
  <c r="KIA67" i="1"/>
  <c r="KIB67" i="1"/>
  <c r="KIC67" i="1"/>
  <c r="KID67" i="1"/>
  <c r="KIE67" i="1"/>
  <c r="KIF67" i="1"/>
  <c r="KIG67" i="1"/>
  <c r="KIH67" i="1"/>
  <c r="KII67" i="1"/>
  <c r="KIJ67" i="1"/>
  <c r="KIK67" i="1"/>
  <c r="KIL67" i="1"/>
  <c r="KIM67" i="1"/>
  <c r="KIN67" i="1"/>
  <c r="KIO67" i="1"/>
  <c r="KIP67" i="1"/>
  <c r="KIQ67" i="1"/>
  <c r="KIR67" i="1"/>
  <c r="KIS67" i="1"/>
  <c r="KIT67" i="1"/>
  <c r="KIU67" i="1"/>
  <c r="KIV67" i="1"/>
  <c r="KIW67" i="1"/>
  <c r="KIX67" i="1"/>
  <c r="KIY67" i="1"/>
  <c r="KIZ67" i="1"/>
  <c r="KJA67" i="1"/>
  <c r="KJB67" i="1"/>
  <c r="KJC67" i="1"/>
  <c r="KJD67" i="1"/>
  <c r="KJE67" i="1"/>
  <c r="KJF67" i="1"/>
  <c r="KJG67" i="1"/>
  <c r="KJH67" i="1"/>
  <c r="KJI67" i="1"/>
  <c r="KJJ67" i="1"/>
  <c r="KJK67" i="1"/>
  <c r="KJL67" i="1"/>
  <c r="KJM67" i="1"/>
  <c r="KJN67" i="1"/>
  <c r="KJO67" i="1"/>
  <c r="KJP67" i="1"/>
  <c r="KJQ67" i="1"/>
  <c r="KJR67" i="1"/>
  <c r="KJS67" i="1"/>
  <c r="KJT67" i="1"/>
  <c r="KJU67" i="1"/>
  <c r="KJV67" i="1"/>
  <c r="KJW67" i="1"/>
  <c r="KJX67" i="1"/>
  <c r="KJY67" i="1"/>
  <c r="KJZ67" i="1"/>
  <c r="KKA67" i="1"/>
  <c r="KKB67" i="1"/>
  <c r="KKC67" i="1"/>
  <c r="KKD67" i="1"/>
  <c r="KKE67" i="1"/>
  <c r="KKF67" i="1"/>
  <c r="KKG67" i="1"/>
  <c r="KKH67" i="1"/>
  <c r="KKI67" i="1"/>
  <c r="KKJ67" i="1"/>
  <c r="KKK67" i="1"/>
  <c r="KKL67" i="1"/>
  <c r="KKM67" i="1"/>
  <c r="KKN67" i="1"/>
  <c r="KKO67" i="1"/>
  <c r="KKP67" i="1"/>
  <c r="KGV68" i="1"/>
  <c r="KGW68" i="1"/>
  <c r="KGX68" i="1"/>
  <c r="KGY68" i="1"/>
  <c r="KGZ68" i="1"/>
  <c r="KHA68" i="1"/>
  <c r="KHB68" i="1"/>
  <c r="KHC68" i="1"/>
  <c r="KHD68" i="1"/>
  <c r="KHE68" i="1"/>
  <c r="KHF68" i="1"/>
  <c r="KHG68" i="1"/>
  <c r="KHH68" i="1"/>
  <c r="KHI68" i="1"/>
  <c r="KHJ68" i="1"/>
  <c r="KHK68" i="1"/>
  <c r="KHL68" i="1"/>
  <c r="KHM68" i="1"/>
  <c r="KHN68" i="1"/>
  <c r="KHO68" i="1"/>
  <c r="KHP68" i="1"/>
  <c r="KHQ68" i="1"/>
  <c r="KHR68" i="1"/>
  <c r="KHS68" i="1"/>
  <c r="KHT68" i="1"/>
  <c r="KHU68" i="1"/>
  <c r="KHV68" i="1"/>
  <c r="KHW68" i="1"/>
  <c r="KHX68" i="1"/>
  <c r="KHY68" i="1"/>
  <c r="KHZ68" i="1"/>
  <c r="KIA68" i="1"/>
  <c r="KIB68" i="1"/>
  <c r="KIC68" i="1"/>
  <c r="KID68" i="1"/>
  <c r="KIE68" i="1"/>
  <c r="KIF68" i="1"/>
  <c r="KIG68" i="1"/>
  <c r="KIH68" i="1"/>
  <c r="KII68" i="1"/>
  <c r="KIJ68" i="1"/>
  <c r="KIK68" i="1"/>
  <c r="KIL68" i="1"/>
  <c r="KIM68" i="1"/>
  <c r="KIN68" i="1"/>
  <c r="KIO68" i="1"/>
  <c r="KIP68" i="1"/>
  <c r="KIQ68" i="1"/>
  <c r="KIR68" i="1"/>
  <c r="KIS68" i="1"/>
  <c r="KIT68" i="1"/>
  <c r="KIU68" i="1"/>
  <c r="KIV68" i="1"/>
  <c r="KIW68" i="1"/>
  <c r="KIX68" i="1"/>
  <c r="KIY68" i="1"/>
  <c r="KIZ68" i="1"/>
  <c r="KJA68" i="1"/>
  <c r="KJB68" i="1"/>
  <c r="KJC68" i="1"/>
  <c r="KKR68" i="1" s="1"/>
  <c r="KKU68" i="1" s="1"/>
  <c r="KJD68" i="1"/>
  <c r="KJE68" i="1"/>
  <c r="KJF68" i="1"/>
  <c r="KJG68" i="1"/>
  <c r="KJH68" i="1"/>
  <c r="KJI68" i="1"/>
  <c r="KJJ68" i="1"/>
  <c r="KJK68" i="1"/>
  <c r="KJL68" i="1"/>
  <c r="KJM68" i="1"/>
  <c r="KJN68" i="1"/>
  <c r="KJO68" i="1"/>
  <c r="KJP68" i="1"/>
  <c r="KJQ68" i="1"/>
  <c r="KJR68" i="1"/>
  <c r="KJS68" i="1"/>
  <c r="KJT68" i="1"/>
  <c r="KJU68" i="1"/>
  <c r="KJV68" i="1"/>
  <c r="KJW68" i="1"/>
  <c r="KJX68" i="1"/>
  <c r="KJY68" i="1"/>
  <c r="KJZ68" i="1"/>
  <c r="KKA68" i="1"/>
  <c r="KKB68" i="1"/>
  <c r="KKC68" i="1"/>
  <c r="KKD68" i="1"/>
  <c r="KKE68" i="1"/>
  <c r="KKF68" i="1"/>
  <c r="KKG68" i="1"/>
  <c r="KKH68" i="1"/>
  <c r="KKI68" i="1"/>
  <c r="KKJ68" i="1"/>
  <c r="KKK68" i="1"/>
  <c r="KKL68" i="1"/>
  <c r="KKM68" i="1"/>
  <c r="KKN68" i="1"/>
  <c r="KKO68" i="1"/>
  <c r="KKP68" i="1"/>
  <c r="KGV69" i="1"/>
  <c r="KKR69" i="1" s="1"/>
  <c r="KKU69" i="1" s="1"/>
  <c r="KGW69" i="1"/>
  <c r="KGX69" i="1"/>
  <c r="KGY69" i="1"/>
  <c r="KGZ69" i="1"/>
  <c r="KHA69" i="1"/>
  <c r="KHB69" i="1"/>
  <c r="KHC69" i="1"/>
  <c r="KHD69" i="1"/>
  <c r="KHE69" i="1"/>
  <c r="KHF69" i="1"/>
  <c r="KHG69" i="1"/>
  <c r="KHH69" i="1"/>
  <c r="KHI69" i="1"/>
  <c r="KHJ69" i="1"/>
  <c r="KHK69" i="1"/>
  <c r="KHL69" i="1"/>
  <c r="KHM69" i="1"/>
  <c r="KHN69" i="1"/>
  <c r="KHO69" i="1"/>
  <c r="KHP69" i="1"/>
  <c r="KHQ69" i="1"/>
  <c r="KHR69" i="1"/>
  <c r="KHS69" i="1"/>
  <c r="KHT69" i="1"/>
  <c r="KHU69" i="1"/>
  <c r="KHV69" i="1"/>
  <c r="KHW69" i="1"/>
  <c r="KHX69" i="1"/>
  <c r="KHY69" i="1"/>
  <c r="KHZ69" i="1"/>
  <c r="KIA69" i="1"/>
  <c r="KIB69" i="1"/>
  <c r="KIC69" i="1"/>
  <c r="KID69" i="1"/>
  <c r="KIE69" i="1"/>
  <c r="KIF69" i="1"/>
  <c r="KIG69" i="1"/>
  <c r="KIH69" i="1"/>
  <c r="KII69" i="1"/>
  <c r="KIJ69" i="1"/>
  <c r="KIK69" i="1"/>
  <c r="KIL69" i="1"/>
  <c r="KIM69" i="1"/>
  <c r="KIN69" i="1"/>
  <c r="KIO69" i="1"/>
  <c r="KIP69" i="1"/>
  <c r="KIQ69" i="1"/>
  <c r="KIR69" i="1"/>
  <c r="KIS69" i="1"/>
  <c r="KIT69" i="1"/>
  <c r="KIU69" i="1"/>
  <c r="KIV69" i="1"/>
  <c r="KIW69" i="1"/>
  <c r="KIX69" i="1"/>
  <c r="KIY69" i="1"/>
  <c r="KIZ69" i="1"/>
  <c r="KJA69" i="1"/>
  <c r="KJB69" i="1"/>
  <c r="KJC69" i="1"/>
  <c r="KJD69" i="1"/>
  <c r="KJE69" i="1"/>
  <c r="KJF69" i="1"/>
  <c r="KJG69" i="1"/>
  <c r="KJH69" i="1"/>
  <c r="KJI69" i="1"/>
  <c r="KJJ69" i="1"/>
  <c r="KJK69" i="1"/>
  <c r="KJL69" i="1"/>
  <c r="KJM69" i="1"/>
  <c r="KJN69" i="1"/>
  <c r="KJO69" i="1"/>
  <c r="KJP69" i="1"/>
  <c r="KJQ69" i="1"/>
  <c r="KJR69" i="1"/>
  <c r="KJS69" i="1"/>
  <c r="KJT69" i="1"/>
  <c r="KJU69" i="1"/>
  <c r="KJV69" i="1"/>
  <c r="KJW69" i="1"/>
  <c r="KJX69" i="1"/>
  <c r="KJY69" i="1"/>
  <c r="KJZ69" i="1"/>
  <c r="KKA69" i="1"/>
  <c r="KKB69" i="1"/>
  <c r="KKC69" i="1"/>
  <c r="KKD69" i="1"/>
  <c r="KKE69" i="1"/>
  <c r="KKF69" i="1"/>
  <c r="KKG69" i="1"/>
  <c r="KKH69" i="1"/>
  <c r="KKI69" i="1"/>
  <c r="KKJ69" i="1"/>
  <c r="KKK69" i="1"/>
  <c r="KKL69" i="1"/>
  <c r="KKM69" i="1"/>
  <c r="KKN69" i="1"/>
  <c r="KKO69" i="1"/>
  <c r="KKP69" i="1"/>
  <c r="KGV70" i="1"/>
  <c r="KGW70" i="1"/>
  <c r="KGX70" i="1"/>
  <c r="KGY70" i="1"/>
  <c r="KGZ70" i="1"/>
  <c r="KHA70" i="1"/>
  <c r="KHB70" i="1"/>
  <c r="KHC70" i="1"/>
  <c r="KHD70" i="1"/>
  <c r="KHE70" i="1"/>
  <c r="KHF70" i="1"/>
  <c r="KHG70" i="1"/>
  <c r="KHH70" i="1"/>
  <c r="KHI70" i="1"/>
  <c r="KHJ70" i="1"/>
  <c r="KHK70" i="1"/>
  <c r="KHL70" i="1"/>
  <c r="KHM70" i="1"/>
  <c r="KHN70" i="1"/>
  <c r="KHO70" i="1"/>
  <c r="KHP70" i="1"/>
  <c r="KHQ70" i="1"/>
  <c r="KHR70" i="1"/>
  <c r="KHS70" i="1"/>
  <c r="KHT70" i="1"/>
  <c r="KHU70" i="1"/>
  <c r="KHV70" i="1"/>
  <c r="KHW70" i="1"/>
  <c r="KHX70" i="1"/>
  <c r="KHY70" i="1"/>
  <c r="KHZ70" i="1"/>
  <c r="KIA70" i="1"/>
  <c r="KIB70" i="1"/>
  <c r="KIC70" i="1"/>
  <c r="KID70" i="1"/>
  <c r="KIE70" i="1"/>
  <c r="KIF70" i="1"/>
  <c r="KIG70" i="1"/>
  <c r="KIH70" i="1"/>
  <c r="KII70" i="1"/>
  <c r="KIJ70" i="1"/>
  <c r="KIK70" i="1"/>
  <c r="KIL70" i="1"/>
  <c r="KIM70" i="1"/>
  <c r="KIN70" i="1"/>
  <c r="KIO70" i="1"/>
  <c r="KIP70" i="1"/>
  <c r="KIQ70" i="1"/>
  <c r="KIR70" i="1"/>
  <c r="KIS70" i="1"/>
  <c r="KIT70" i="1"/>
  <c r="KIU70" i="1"/>
  <c r="KIV70" i="1"/>
  <c r="KIW70" i="1"/>
  <c r="KIX70" i="1"/>
  <c r="KIY70" i="1"/>
  <c r="KIZ70" i="1"/>
  <c r="KJA70" i="1"/>
  <c r="KJB70" i="1"/>
  <c r="KJC70" i="1"/>
  <c r="KJD70" i="1"/>
  <c r="KJE70" i="1"/>
  <c r="KJF70" i="1"/>
  <c r="KJG70" i="1"/>
  <c r="KJH70" i="1"/>
  <c r="KJI70" i="1"/>
  <c r="KJJ70" i="1"/>
  <c r="KJK70" i="1"/>
  <c r="KJL70" i="1"/>
  <c r="KJM70" i="1"/>
  <c r="KJN70" i="1"/>
  <c r="KJO70" i="1"/>
  <c r="KJP70" i="1"/>
  <c r="KJQ70" i="1"/>
  <c r="KJR70" i="1"/>
  <c r="KJS70" i="1"/>
  <c r="KJT70" i="1"/>
  <c r="KJU70" i="1"/>
  <c r="KJV70" i="1"/>
  <c r="KJW70" i="1"/>
  <c r="KJX70" i="1"/>
  <c r="KJY70" i="1"/>
  <c r="KJZ70" i="1"/>
  <c r="KKA70" i="1"/>
  <c r="KKB70" i="1"/>
  <c r="KKC70" i="1"/>
  <c r="KKD70" i="1"/>
  <c r="KKE70" i="1"/>
  <c r="KKF70" i="1"/>
  <c r="KKG70" i="1"/>
  <c r="KKH70" i="1"/>
  <c r="KKI70" i="1"/>
  <c r="KKJ70" i="1"/>
  <c r="KKK70" i="1"/>
  <c r="KKL70" i="1"/>
  <c r="KKM70" i="1"/>
  <c r="KKN70" i="1"/>
  <c r="KKO70" i="1"/>
  <c r="KKP70" i="1"/>
  <c r="KGV71" i="1"/>
  <c r="KGW71" i="1"/>
  <c r="KKT71" i="1" s="1"/>
  <c r="KGX71" i="1"/>
  <c r="KKR71" i="1" s="1"/>
  <c r="KKU71" i="1" s="1"/>
  <c r="KGY71" i="1"/>
  <c r="KGZ71" i="1"/>
  <c r="KHA71" i="1"/>
  <c r="KHB71" i="1"/>
  <c r="KHC71" i="1"/>
  <c r="KHD71" i="1"/>
  <c r="KHE71" i="1"/>
  <c r="KHF71" i="1"/>
  <c r="KHG71" i="1"/>
  <c r="KHH71" i="1"/>
  <c r="KHI71" i="1"/>
  <c r="KHJ71" i="1"/>
  <c r="KHK71" i="1"/>
  <c r="KHL71" i="1"/>
  <c r="KHM71" i="1"/>
  <c r="KHN71" i="1"/>
  <c r="KHO71" i="1"/>
  <c r="KHP71" i="1"/>
  <c r="KHQ71" i="1"/>
  <c r="KHR71" i="1"/>
  <c r="KHS71" i="1"/>
  <c r="KHT71" i="1"/>
  <c r="KHU71" i="1"/>
  <c r="KHV71" i="1"/>
  <c r="KHW71" i="1"/>
  <c r="KHX71" i="1"/>
  <c r="KHY71" i="1"/>
  <c r="KHZ71" i="1"/>
  <c r="KIA71" i="1"/>
  <c r="KIB71" i="1"/>
  <c r="KIC71" i="1"/>
  <c r="KID71" i="1"/>
  <c r="KIE71" i="1"/>
  <c r="KIF71" i="1"/>
  <c r="KIG71" i="1"/>
  <c r="KIH71" i="1"/>
  <c r="KII71" i="1"/>
  <c r="KIJ71" i="1"/>
  <c r="KIK71" i="1"/>
  <c r="KIL71" i="1"/>
  <c r="KIM71" i="1"/>
  <c r="KIN71" i="1"/>
  <c r="KIO71" i="1"/>
  <c r="KIP71" i="1"/>
  <c r="KIQ71" i="1"/>
  <c r="KIR71" i="1"/>
  <c r="KIS71" i="1"/>
  <c r="KIT71" i="1"/>
  <c r="KIU71" i="1"/>
  <c r="KIV71" i="1"/>
  <c r="KIW71" i="1"/>
  <c r="KIX71" i="1"/>
  <c r="KIY71" i="1"/>
  <c r="KIZ71" i="1"/>
  <c r="KJA71" i="1"/>
  <c r="KJB71" i="1"/>
  <c r="KJC71" i="1"/>
  <c r="KJD71" i="1"/>
  <c r="KJE71" i="1"/>
  <c r="KJF71" i="1"/>
  <c r="KJG71" i="1"/>
  <c r="KJH71" i="1"/>
  <c r="KJI71" i="1"/>
  <c r="KJJ71" i="1"/>
  <c r="KJK71" i="1"/>
  <c r="KJL71" i="1"/>
  <c r="KJM71" i="1"/>
  <c r="KJN71" i="1"/>
  <c r="KJO71" i="1"/>
  <c r="KJP71" i="1"/>
  <c r="KJQ71" i="1"/>
  <c r="KJR71" i="1"/>
  <c r="KJS71" i="1"/>
  <c r="KJT71" i="1"/>
  <c r="KJU71" i="1"/>
  <c r="KJV71" i="1"/>
  <c r="KJW71" i="1"/>
  <c r="KJX71" i="1"/>
  <c r="KJY71" i="1"/>
  <c r="KJZ71" i="1"/>
  <c r="KKA71" i="1"/>
  <c r="KKB71" i="1"/>
  <c r="KKC71" i="1"/>
  <c r="KKD71" i="1"/>
  <c r="KKE71" i="1"/>
  <c r="KKF71" i="1"/>
  <c r="KKG71" i="1"/>
  <c r="KKH71" i="1"/>
  <c r="KKI71" i="1"/>
  <c r="KKJ71" i="1"/>
  <c r="KKK71" i="1"/>
  <c r="KKL71" i="1"/>
  <c r="KKM71" i="1"/>
  <c r="KKN71" i="1"/>
  <c r="KKO71" i="1"/>
  <c r="KKP71" i="1"/>
  <c r="KGV72" i="1"/>
  <c r="KGW72" i="1"/>
  <c r="KGX72" i="1"/>
  <c r="KGY72" i="1"/>
  <c r="KGZ72" i="1"/>
  <c r="KHA72" i="1"/>
  <c r="KHB72" i="1"/>
  <c r="KHC72" i="1"/>
  <c r="KHD72" i="1"/>
  <c r="KHE72" i="1"/>
  <c r="KHF72" i="1"/>
  <c r="KHG72" i="1"/>
  <c r="KHH72" i="1"/>
  <c r="KHI72" i="1"/>
  <c r="KHJ72" i="1"/>
  <c r="KHK72" i="1"/>
  <c r="KHL72" i="1"/>
  <c r="KHM72" i="1"/>
  <c r="KHN72" i="1"/>
  <c r="KHO72" i="1"/>
  <c r="KHP72" i="1"/>
  <c r="KHQ72" i="1"/>
  <c r="KHR72" i="1"/>
  <c r="KHS72" i="1"/>
  <c r="KHT72" i="1"/>
  <c r="KHU72" i="1"/>
  <c r="KHV72" i="1"/>
  <c r="KHW72" i="1"/>
  <c r="KHX72" i="1"/>
  <c r="KHY72" i="1"/>
  <c r="KHZ72" i="1"/>
  <c r="KIA72" i="1"/>
  <c r="KIB72" i="1"/>
  <c r="KIC72" i="1"/>
  <c r="KID72" i="1"/>
  <c r="KIE72" i="1"/>
  <c r="KIF72" i="1"/>
  <c r="KIG72" i="1"/>
  <c r="KIH72" i="1"/>
  <c r="KII72" i="1"/>
  <c r="KIJ72" i="1"/>
  <c r="KIK72" i="1"/>
  <c r="KIL72" i="1"/>
  <c r="KIM72" i="1"/>
  <c r="KIN72" i="1"/>
  <c r="KIO72" i="1"/>
  <c r="KIP72" i="1"/>
  <c r="KIQ72" i="1"/>
  <c r="KIR72" i="1"/>
  <c r="KIS72" i="1"/>
  <c r="KIT72" i="1"/>
  <c r="KIU72" i="1"/>
  <c r="KIV72" i="1"/>
  <c r="KIW72" i="1"/>
  <c r="KIX72" i="1"/>
  <c r="KIY72" i="1"/>
  <c r="KIZ72" i="1"/>
  <c r="KJA72" i="1"/>
  <c r="KJB72" i="1"/>
  <c r="KJC72" i="1"/>
  <c r="KJD72" i="1"/>
  <c r="KJE72" i="1"/>
  <c r="KJF72" i="1"/>
  <c r="KJG72" i="1"/>
  <c r="KJH72" i="1"/>
  <c r="KJI72" i="1"/>
  <c r="KJJ72" i="1"/>
  <c r="KJK72" i="1"/>
  <c r="KJL72" i="1"/>
  <c r="KJM72" i="1"/>
  <c r="KJN72" i="1"/>
  <c r="KJO72" i="1"/>
  <c r="KJP72" i="1"/>
  <c r="KJQ72" i="1"/>
  <c r="KJR72" i="1"/>
  <c r="KJS72" i="1"/>
  <c r="KJT72" i="1"/>
  <c r="KJU72" i="1"/>
  <c r="KJV72" i="1"/>
  <c r="KJW72" i="1"/>
  <c r="KJX72" i="1"/>
  <c r="KJY72" i="1"/>
  <c r="KJZ72" i="1"/>
  <c r="KKA72" i="1"/>
  <c r="KKB72" i="1"/>
  <c r="KKC72" i="1"/>
  <c r="KKD72" i="1"/>
  <c r="KKE72" i="1"/>
  <c r="KKF72" i="1"/>
  <c r="KKG72" i="1"/>
  <c r="KKH72" i="1"/>
  <c r="KKI72" i="1"/>
  <c r="KKJ72" i="1"/>
  <c r="KKK72" i="1"/>
  <c r="KKL72" i="1"/>
  <c r="KKM72" i="1"/>
  <c r="KKN72" i="1"/>
  <c r="KKO72" i="1"/>
  <c r="KKP72" i="1"/>
  <c r="KGV73" i="1"/>
  <c r="KGW73" i="1"/>
  <c r="KGX73" i="1"/>
  <c r="KGY73" i="1"/>
  <c r="KKR73" i="1" s="1"/>
  <c r="KKU73" i="1" s="1"/>
  <c r="KGZ73" i="1"/>
  <c r="KHA73" i="1"/>
  <c r="KHB73" i="1"/>
  <c r="KHC73" i="1"/>
  <c r="KHD73" i="1"/>
  <c r="KHE73" i="1"/>
  <c r="KHF73" i="1"/>
  <c r="KHG73" i="1"/>
  <c r="KHH73" i="1"/>
  <c r="KHI73" i="1"/>
  <c r="KHJ73" i="1"/>
  <c r="KHK73" i="1"/>
  <c r="KHL73" i="1"/>
  <c r="KHM73" i="1"/>
  <c r="KHN73" i="1"/>
  <c r="KHO73" i="1"/>
  <c r="KHP73" i="1"/>
  <c r="KHQ73" i="1"/>
  <c r="KHR73" i="1"/>
  <c r="KHS73" i="1"/>
  <c r="KHT73" i="1"/>
  <c r="KHU73" i="1"/>
  <c r="KHV73" i="1"/>
  <c r="KHW73" i="1"/>
  <c r="KHX73" i="1"/>
  <c r="KHY73" i="1"/>
  <c r="KHZ73" i="1"/>
  <c r="KIA73" i="1"/>
  <c r="KIB73" i="1"/>
  <c r="KIC73" i="1"/>
  <c r="KID73" i="1"/>
  <c r="KIE73" i="1"/>
  <c r="KIF73" i="1"/>
  <c r="KIG73" i="1"/>
  <c r="KIH73" i="1"/>
  <c r="KII73" i="1"/>
  <c r="KIJ73" i="1"/>
  <c r="KIK73" i="1"/>
  <c r="KIL73" i="1"/>
  <c r="KIM73" i="1"/>
  <c r="KIN73" i="1"/>
  <c r="KIO73" i="1"/>
  <c r="KIP73" i="1"/>
  <c r="KIQ73" i="1"/>
  <c r="KIR73" i="1"/>
  <c r="KIS73" i="1"/>
  <c r="KIT73" i="1"/>
  <c r="KIU73" i="1"/>
  <c r="KIV73" i="1"/>
  <c r="KIW73" i="1"/>
  <c r="KIX73" i="1"/>
  <c r="KIY73" i="1"/>
  <c r="KIZ73" i="1"/>
  <c r="KJA73" i="1"/>
  <c r="KJB73" i="1"/>
  <c r="KJC73" i="1"/>
  <c r="KJD73" i="1"/>
  <c r="KJE73" i="1"/>
  <c r="KJF73" i="1"/>
  <c r="KJG73" i="1"/>
  <c r="KJH73" i="1"/>
  <c r="KJI73" i="1"/>
  <c r="KJJ73" i="1"/>
  <c r="KJK73" i="1"/>
  <c r="KJL73" i="1"/>
  <c r="KJM73" i="1"/>
  <c r="KJN73" i="1"/>
  <c r="KJO73" i="1"/>
  <c r="KJP73" i="1"/>
  <c r="KJQ73" i="1"/>
  <c r="KJR73" i="1"/>
  <c r="KJS73" i="1"/>
  <c r="KJT73" i="1"/>
  <c r="KJU73" i="1"/>
  <c r="KJV73" i="1"/>
  <c r="KJW73" i="1"/>
  <c r="KJX73" i="1"/>
  <c r="KJY73" i="1"/>
  <c r="KJZ73" i="1"/>
  <c r="KKA73" i="1"/>
  <c r="KKB73" i="1"/>
  <c r="KKC73" i="1"/>
  <c r="KKD73" i="1"/>
  <c r="KKE73" i="1"/>
  <c r="KKF73" i="1"/>
  <c r="KKG73" i="1"/>
  <c r="KKH73" i="1"/>
  <c r="KKI73" i="1"/>
  <c r="KKJ73" i="1"/>
  <c r="KKK73" i="1"/>
  <c r="KKL73" i="1"/>
  <c r="KKM73" i="1"/>
  <c r="KKN73" i="1"/>
  <c r="KKO73" i="1"/>
  <c r="KKP73" i="1"/>
  <c r="KGV74" i="1"/>
  <c r="KGW74" i="1"/>
  <c r="KKR74" i="1" s="1"/>
  <c r="KKU74" i="1" s="1"/>
  <c r="KGX74" i="1"/>
  <c r="KGY74" i="1"/>
  <c r="KGZ74" i="1"/>
  <c r="KHA74" i="1"/>
  <c r="KHB74" i="1"/>
  <c r="KHC74" i="1"/>
  <c r="KHD74" i="1"/>
  <c r="KHE74" i="1"/>
  <c r="KHF74" i="1"/>
  <c r="KHG74" i="1"/>
  <c r="KHH74" i="1"/>
  <c r="KHI74" i="1"/>
  <c r="KHJ74" i="1"/>
  <c r="KHK74" i="1"/>
  <c r="KHL74" i="1"/>
  <c r="KHM74" i="1"/>
  <c r="KHN74" i="1"/>
  <c r="KHO74" i="1"/>
  <c r="KHP74" i="1"/>
  <c r="KHQ74" i="1"/>
  <c r="KHR74" i="1"/>
  <c r="KHS74" i="1"/>
  <c r="KHT74" i="1"/>
  <c r="KHU74" i="1"/>
  <c r="KHV74" i="1"/>
  <c r="KHW74" i="1"/>
  <c r="KHX74" i="1"/>
  <c r="KHY74" i="1"/>
  <c r="KHZ74" i="1"/>
  <c r="KIA74" i="1"/>
  <c r="KIB74" i="1"/>
  <c r="KIC74" i="1"/>
  <c r="KID74" i="1"/>
  <c r="KIE74" i="1"/>
  <c r="KIF74" i="1"/>
  <c r="KIG74" i="1"/>
  <c r="KIH74" i="1"/>
  <c r="KII74" i="1"/>
  <c r="KIJ74" i="1"/>
  <c r="KIK74" i="1"/>
  <c r="KIL74" i="1"/>
  <c r="KIM74" i="1"/>
  <c r="KIN74" i="1"/>
  <c r="KIO74" i="1"/>
  <c r="KIP74" i="1"/>
  <c r="KIQ74" i="1"/>
  <c r="KIR74" i="1"/>
  <c r="KIS74" i="1"/>
  <c r="KIT74" i="1"/>
  <c r="KIU74" i="1"/>
  <c r="KIV74" i="1"/>
  <c r="KIW74" i="1"/>
  <c r="KIX74" i="1"/>
  <c r="KIY74" i="1"/>
  <c r="KIZ74" i="1"/>
  <c r="KJA74" i="1"/>
  <c r="KJB74" i="1"/>
  <c r="KJC74" i="1"/>
  <c r="KJD74" i="1"/>
  <c r="KJE74" i="1"/>
  <c r="KJF74" i="1"/>
  <c r="KJG74" i="1"/>
  <c r="KJH74" i="1"/>
  <c r="KJI74" i="1"/>
  <c r="KJJ74" i="1"/>
  <c r="KJK74" i="1"/>
  <c r="KJL74" i="1"/>
  <c r="KJM74" i="1"/>
  <c r="KJN74" i="1"/>
  <c r="KJO74" i="1"/>
  <c r="KJP74" i="1"/>
  <c r="KJQ74" i="1"/>
  <c r="KJR74" i="1"/>
  <c r="KJS74" i="1"/>
  <c r="KJT74" i="1"/>
  <c r="KJU74" i="1"/>
  <c r="KJV74" i="1"/>
  <c r="KJW74" i="1"/>
  <c r="KJX74" i="1"/>
  <c r="KJY74" i="1"/>
  <c r="KJZ74" i="1"/>
  <c r="KKA74" i="1"/>
  <c r="KKB74" i="1"/>
  <c r="KKC74" i="1"/>
  <c r="KKD74" i="1"/>
  <c r="KKE74" i="1"/>
  <c r="KKF74" i="1"/>
  <c r="KKG74" i="1"/>
  <c r="KKH74" i="1"/>
  <c r="KKI74" i="1"/>
  <c r="KKJ74" i="1"/>
  <c r="KKK74" i="1"/>
  <c r="KKL74" i="1"/>
  <c r="KKM74" i="1"/>
  <c r="KKN74" i="1"/>
  <c r="KKO74" i="1"/>
  <c r="KKP74" i="1"/>
  <c r="KGV75" i="1"/>
  <c r="KGW75" i="1"/>
  <c r="KGX75" i="1"/>
  <c r="KGY75" i="1"/>
  <c r="KGZ75" i="1"/>
  <c r="KHA75" i="1"/>
  <c r="KKR75" i="1" s="1"/>
  <c r="KKU75" i="1" s="1"/>
  <c r="KHB75" i="1"/>
  <c r="KHC75" i="1"/>
  <c r="KHD75" i="1"/>
  <c r="KHE75" i="1"/>
  <c r="KHF75" i="1"/>
  <c r="KHG75" i="1"/>
  <c r="KHH75" i="1"/>
  <c r="KHI75" i="1"/>
  <c r="KHJ75" i="1"/>
  <c r="KHK75" i="1"/>
  <c r="KHL75" i="1"/>
  <c r="KHM75" i="1"/>
  <c r="KHN75" i="1"/>
  <c r="KHO75" i="1"/>
  <c r="KHP75" i="1"/>
  <c r="KHQ75" i="1"/>
  <c r="KHR75" i="1"/>
  <c r="KHS75" i="1"/>
  <c r="KHT75" i="1"/>
  <c r="KHU75" i="1"/>
  <c r="KHV75" i="1"/>
  <c r="KHW75" i="1"/>
  <c r="KHX75" i="1"/>
  <c r="KHY75" i="1"/>
  <c r="KHZ75" i="1"/>
  <c r="KIA75" i="1"/>
  <c r="KIB75" i="1"/>
  <c r="KIC75" i="1"/>
  <c r="KID75" i="1"/>
  <c r="KIE75" i="1"/>
  <c r="KIF75" i="1"/>
  <c r="KIG75" i="1"/>
  <c r="KIH75" i="1"/>
  <c r="KII75" i="1"/>
  <c r="KIJ75" i="1"/>
  <c r="KIK75" i="1"/>
  <c r="KIL75" i="1"/>
  <c r="KIM75" i="1"/>
  <c r="KIN75" i="1"/>
  <c r="KIO75" i="1"/>
  <c r="KIP75" i="1"/>
  <c r="KIQ75" i="1"/>
  <c r="KIR75" i="1"/>
  <c r="KIS75" i="1"/>
  <c r="KIT75" i="1"/>
  <c r="KIU75" i="1"/>
  <c r="KIV75" i="1"/>
  <c r="KIW75" i="1"/>
  <c r="KIX75" i="1"/>
  <c r="KIY75" i="1"/>
  <c r="KIZ75" i="1"/>
  <c r="KJA75" i="1"/>
  <c r="KJB75" i="1"/>
  <c r="KJC75" i="1"/>
  <c r="KJD75" i="1"/>
  <c r="KJE75" i="1"/>
  <c r="KJF75" i="1"/>
  <c r="KJG75" i="1"/>
  <c r="KJH75" i="1"/>
  <c r="KJI75" i="1"/>
  <c r="KJJ75" i="1"/>
  <c r="KJK75" i="1"/>
  <c r="KJL75" i="1"/>
  <c r="KJM75" i="1"/>
  <c r="KJN75" i="1"/>
  <c r="KJO75" i="1"/>
  <c r="KJP75" i="1"/>
  <c r="KJQ75" i="1"/>
  <c r="KJR75" i="1"/>
  <c r="KJS75" i="1"/>
  <c r="KJT75" i="1"/>
  <c r="KJU75" i="1"/>
  <c r="KJV75" i="1"/>
  <c r="KJW75" i="1"/>
  <c r="KJX75" i="1"/>
  <c r="KJY75" i="1"/>
  <c r="KJZ75" i="1"/>
  <c r="KKA75" i="1"/>
  <c r="KKB75" i="1"/>
  <c r="KKC75" i="1"/>
  <c r="KKD75" i="1"/>
  <c r="KKE75" i="1"/>
  <c r="KKF75" i="1"/>
  <c r="KKG75" i="1"/>
  <c r="KKH75" i="1"/>
  <c r="KKI75" i="1"/>
  <c r="KKJ75" i="1"/>
  <c r="KKK75" i="1"/>
  <c r="KKL75" i="1"/>
  <c r="KKM75" i="1"/>
  <c r="KKN75" i="1"/>
  <c r="KKO75" i="1"/>
  <c r="KKP75" i="1"/>
  <c r="KGV76" i="1"/>
  <c r="KGW76" i="1"/>
  <c r="KGX76" i="1"/>
  <c r="KKR76" i="1" s="1"/>
  <c r="KKU76" i="1" s="1"/>
  <c r="KGY76" i="1"/>
  <c r="KGZ76" i="1"/>
  <c r="KHA76" i="1"/>
  <c r="KHB76" i="1"/>
  <c r="KHC76" i="1"/>
  <c r="KHD76" i="1"/>
  <c r="KHE76" i="1"/>
  <c r="KHF76" i="1"/>
  <c r="KHG76" i="1"/>
  <c r="KHH76" i="1"/>
  <c r="KHI76" i="1"/>
  <c r="KHJ76" i="1"/>
  <c r="KHK76" i="1"/>
  <c r="KHL76" i="1"/>
  <c r="KHM76" i="1"/>
  <c r="KHN76" i="1"/>
  <c r="KHO76" i="1"/>
  <c r="KHP76" i="1"/>
  <c r="KHQ76" i="1"/>
  <c r="KHR76" i="1"/>
  <c r="KHS76" i="1"/>
  <c r="KHT76" i="1"/>
  <c r="KHU76" i="1"/>
  <c r="KHV76" i="1"/>
  <c r="KHW76" i="1"/>
  <c r="KHX76" i="1"/>
  <c r="KHY76" i="1"/>
  <c r="KHZ76" i="1"/>
  <c r="KIA76" i="1"/>
  <c r="KIB76" i="1"/>
  <c r="KIC76" i="1"/>
  <c r="KID76" i="1"/>
  <c r="KIE76" i="1"/>
  <c r="KIF76" i="1"/>
  <c r="KIG76" i="1"/>
  <c r="KIH76" i="1"/>
  <c r="KII76" i="1"/>
  <c r="KIJ76" i="1"/>
  <c r="KIK76" i="1"/>
  <c r="KIL76" i="1"/>
  <c r="KIM76" i="1"/>
  <c r="KIN76" i="1"/>
  <c r="KIO76" i="1"/>
  <c r="KIP76" i="1"/>
  <c r="KIQ76" i="1"/>
  <c r="KIR76" i="1"/>
  <c r="KIS76" i="1"/>
  <c r="KIT76" i="1"/>
  <c r="KIU76" i="1"/>
  <c r="KIV76" i="1"/>
  <c r="KIW76" i="1"/>
  <c r="KIX76" i="1"/>
  <c r="KIY76" i="1"/>
  <c r="KIZ76" i="1"/>
  <c r="KJA76" i="1"/>
  <c r="KJB76" i="1"/>
  <c r="KJC76" i="1"/>
  <c r="KJD76" i="1"/>
  <c r="KJE76" i="1"/>
  <c r="KJF76" i="1"/>
  <c r="KJG76" i="1"/>
  <c r="KJH76" i="1"/>
  <c r="KJI76" i="1"/>
  <c r="KJJ76" i="1"/>
  <c r="KJK76" i="1"/>
  <c r="KJL76" i="1"/>
  <c r="KJM76" i="1"/>
  <c r="KJN76" i="1"/>
  <c r="KJO76" i="1"/>
  <c r="KJP76" i="1"/>
  <c r="KJQ76" i="1"/>
  <c r="KJR76" i="1"/>
  <c r="KJS76" i="1"/>
  <c r="KJT76" i="1"/>
  <c r="KJU76" i="1"/>
  <c r="KJV76" i="1"/>
  <c r="KJW76" i="1"/>
  <c r="KJX76" i="1"/>
  <c r="KJY76" i="1"/>
  <c r="KJZ76" i="1"/>
  <c r="KKA76" i="1"/>
  <c r="KKB76" i="1"/>
  <c r="KKC76" i="1"/>
  <c r="KKD76" i="1"/>
  <c r="KKE76" i="1"/>
  <c r="KKF76" i="1"/>
  <c r="KKG76" i="1"/>
  <c r="KKH76" i="1"/>
  <c r="KKI76" i="1"/>
  <c r="KKJ76" i="1"/>
  <c r="KKK76" i="1"/>
  <c r="KKL76" i="1"/>
  <c r="KKM76" i="1"/>
  <c r="KKN76" i="1"/>
  <c r="KKO76" i="1"/>
  <c r="KKP76" i="1"/>
  <c r="KGV77" i="1"/>
  <c r="KKR77" i="1" s="1"/>
  <c r="KKU77" i="1" s="1"/>
  <c r="KGW77" i="1"/>
  <c r="KGX77" i="1"/>
  <c r="KGY77" i="1"/>
  <c r="KGZ77" i="1"/>
  <c r="KHA77" i="1"/>
  <c r="KHB77" i="1"/>
  <c r="KHC77" i="1"/>
  <c r="KHD77" i="1"/>
  <c r="KHE77" i="1"/>
  <c r="KHF77" i="1"/>
  <c r="KHG77" i="1"/>
  <c r="KHH77" i="1"/>
  <c r="KHI77" i="1"/>
  <c r="KHJ77" i="1"/>
  <c r="KHK77" i="1"/>
  <c r="KHL77" i="1"/>
  <c r="KHM77" i="1"/>
  <c r="KHN77" i="1"/>
  <c r="KHO77" i="1"/>
  <c r="KHP77" i="1"/>
  <c r="KHQ77" i="1"/>
  <c r="KHR77" i="1"/>
  <c r="KHS77" i="1"/>
  <c r="KHT77" i="1"/>
  <c r="KHU77" i="1"/>
  <c r="KHV77" i="1"/>
  <c r="KHW77" i="1"/>
  <c r="KHX77" i="1"/>
  <c r="KHY77" i="1"/>
  <c r="KHZ77" i="1"/>
  <c r="KIA77" i="1"/>
  <c r="KIB77" i="1"/>
  <c r="KIC77" i="1"/>
  <c r="KID77" i="1"/>
  <c r="KIE77" i="1"/>
  <c r="KIF77" i="1"/>
  <c r="KIG77" i="1"/>
  <c r="KIH77" i="1"/>
  <c r="KII77" i="1"/>
  <c r="KIJ77" i="1"/>
  <c r="KIK77" i="1"/>
  <c r="KIL77" i="1"/>
  <c r="KIM77" i="1"/>
  <c r="KIN77" i="1"/>
  <c r="KIO77" i="1"/>
  <c r="KIP77" i="1"/>
  <c r="KIQ77" i="1"/>
  <c r="KIR77" i="1"/>
  <c r="KIS77" i="1"/>
  <c r="KIT77" i="1"/>
  <c r="KIU77" i="1"/>
  <c r="KIV77" i="1"/>
  <c r="KIW77" i="1"/>
  <c r="KIX77" i="1"/>
  <c r="KIY77" i="1"/>
  <c r="KIZ77" i="1"/>
  <c r="KJA77" i="1"/>
  <c r="KJB77" i="1"/>
  <c r="KJC77" i="1"/>
  <c r="KJD77" i="1"/>
  <c r="KJE77" i="1"/>
  <c r="KJF77" i="1"/>
  <c r="KJG77" i="1"/>
  <c r="KJH77" i="1"/>
  <c r="KJI77" i="1"/>
  <c r="KJJ77" i="1"/>
  <c r="KJK77" i="1"/>
  <c r="KJL77" i="1"/>
  <c r="KJM77" i="1"/>
  <c r="KJN77" i="1"/>
  <c r="KJO77" i="1"/>
  <c r="KJP77" i="1"/>
  <c r="KJQ77" i="1"/>
  <c r="KJR77" i="1"/>
  <c r="KJS77" i="1"/>
  <c r="KJT77" i="1"/>
  <c r="KJU77" i="1"/>
  <c r="KJV77" i="1"/>
  <c r="KJW77" i="1"/>
  <c r="KJX77" i="1"/>
  <c r="KJY77" i="1"/>
  <c r="KJZ77" i="1"/>
  <c r="KKA77" i="1"/>
  <c r="KKB77" i="1"/>
  <c r="KKC77" i="1"/>
  <c r="KKD77" i="1"/>
  <c r="KKE77" i="1"/>
  <c r="KKF77" i="1"/>
  <c r="KKG77" i="1"/>
  <c r="KKH77" i="1"/>
  <c r="KKI77" i="1"/>
  <c r="KKJ77" i="1"/>
  <c r="KKK77" i="1"/>
  <c r="KKL77" i="1"/>
  <c r="KKM77" i="1"/>
  <c r="KKN77" i="1"/>
  <c r="KKO77" i="1"/>
  <c r="KKP77" i="1"/>
  <c r="KGV78" i="1"/>
  <c r="KGW78" i="1"/>
  <c r="KGX78" i="1"/>
  <c r="KGY78" i="1"/>
  <c r="KGZ78" i="1"/>
  <c r="KHA78" i="1"/>
  <c r="KHB78" i="1"/>
  <c r="KHC78" i="1"/>
  <c r="KHD78" i="1"/>
  <c r="KHE78" i="1"/>
  <c r="KHF78" i="1"/>
  <c r="KHG78" i="1"/>
  <c r="KHH78" i="1"/>
  <c r="KHI78" i="1"/>
  <c r="KHJ78" i="1"/>
  <c r="KHK78" i="1"/>
  <c r="KHL78" i="1"/>
  <c r="KHM78" i="1"/>
  <c r="KHN78" i="1"/>
  <c r="KHO78" i="1"/>
  <c r="KHP78" i="1"/>
  <c r="KHQ78" i="1"/>
  <c r="KHR78" i="1"/>
  <c r="KHS78" i="1"/>
  <c r="KHT78" i="1"/>
  <c r="KHU78" i="1"/>
  <c r="KHV78" i="1"/>
  <c r="KHW78" i="1"/>
  <c r="KHX78" i="1"/>
  <c r="KHY78" i="1"/>
  <c r="KHZ78" i="1"/>
  <c r="KIA78" i="1"/>
  <c r="KIB78" i="1"/>
  <c r="KIC78" i="1"/>
  <c r="KID78" i="1"/>
  <c r="KIE78" i="1"/>
  <c r="KIF78" i="1"/>
  <c r="KIG78" i="1"/>
  <c r="KIH78" i="1"/>
  <c r="KII78" i="1"/>
  <c r="KIJ78" i="1"/>
  <c r="KIK78" i="1"/>
  <c r="KIL78" i="1"/>
  <c r="KIM78" i="1"/>
  <c r="KIN78" i="1"/>
  <c r="KIO78" i="1"/>
  <c r="KIP78" i="1"/>
  <c r="KIQ78" i="1"/>
  <c r="KIR78" i="1"/>
  <c r="KIS78" i="1"/>
  <c r="KIT78" i="1"/>
  <c r="KIU78" i="1"/>
  <c r="KIV78" i="1"/>
  <c r="KIW78" i="1"/>
  <c r="KIX78" i="1"/>
  <c r="KIY78" i="1"/>
  <c r="KIZ78" i="1"/>
  <c r="KJA78" i="1"/>
  <c r="KJB78" i="1"/>
  <c r="KJC78" i="1"/>
  <c r="KJD78" i="1"/>
  <c r="KJE78" i="1"/>
  <c r="KJF78" i="1"/>
  <c r="KJG78" i="1"/>
  <c r="KJH78" i="1"/>
  <c r="KJI78" i="1"/>
  <c r="KJJ78" i="1"/>
  <c r="KJK78" i="1"/>
  <c r="KJL78" i="1"/>
  <c r="KJM78" i="1"/>
  <c r="KJN78" i="1"/>
  <c r="KJO78" i="1"/>
  <c r="KJP78" i="1"/>
  <c r="KJQ78" i="1"/>
  <c r="KJR78" i="1"/>
  <c r="KJS78" i="1"/>
  <c r="KJT78" i="1"/>
  <c r="KJU78" i="1"/>
  <c r="KJV78" i="1"/>
  <c r="KJW78" i="1"/>
  <c r="KJX78" i="1"/>
  <c r="KJY78" i="1"/>
  <c r="KJZ78" i="1"/>
  <c r="KKA78" i="1"/>
  <c r="KKB78" i="1"/>
  <c r="KKC78" i="1"/>
  <c r="KKD78" i="1"/>
  <c r="KKE78" i="1"/>
  <c r="KKF78" i="1"/>
  <c r="KKG78" i="1"/>
  <c r="KKH78" i="1"/>
  <c r="KKI78" i="1"/>
  <c r="KKJ78" i="1"/>
  <c r="KKK78" i="1"/>
  <c r="KKL78" i="1"/>
  <c r="KKM78" i="1"/>
  <c r="KKN78" i="1"/>
  <c r="KKO78" i="1"/>
  <c r="KKP78" i="1"/>
  <c r="KGV79" i="1"/>
  <c r="KGW79" i="1"/>
  <c r="KGX79" i="1"/>
  <c r="KKR79" i="1" s="1"/>
  <c r="KKU79" i="1" s="1"/>
  <c r="KGY79" i="1"/>
  <c r="KGZ79" i="1"/>
  <c r="KHA79" i="1"/>
  <c r="KHB79" i="1"/>
  <c r="KHC79" i="1"/>
  <c r="KHD79" i="1"/>
  <c r="KHE79" i="1"/>
  <c r="KHF79" i="1"/>
  <c r="KHG79" i="1"/>
  <c r="KHH79" i="1"/>
  <c r="KHI79" i="1"/>
  <c r="KHJ79" i="1"/>
  <c r="KHK79" i="1"/>
  <c r="KHL79" i="1"/>
  <c r="KHM79" i="1"/>
  <c r="KHN79" i="1"/>
  <c r="KHO79" i="1"/>
  <c r="KHP79" i="1"/>
  <c r="KHQ79" i="1"/>
  <c r="KHR79" i="1"/>
  <c r="KHS79" i="1"/>
  <c r="KHT79" i="1"/>
  <c r="KHU79" i="1"/>
  <c r="KHV79" i="1"/>
  <c r="KHW79" i="1"/>
  <c r="KHX79" i="1"/>
  <c r="KHY79" i="1"/>
  <c r="KHZ79" i="1"/>
  <c r="KIA79" i="1"/>
  <c r="KIB79" i="1"/>
  <c r="KIC79" i="1"/>
  <c r="KID79" i="1"/>
  <c r="KIE79" i="1"/>
  <c r="KIF79" i="1"/>
  <c r="KIG79" i="1"/>
  <c r="KIH79" i="1"/>
  <c r="KII79" i="1"/>
  <c r="KIJ79" i="1"/>
  <c r="KIK79" i="1"/>
  <c r="KIL79" i="1"/>
  <c r="KIM79" i="1"/>
  <c r="KIN79" i="1"/>
  <c r="KIO79" i="1"/>
  <c r="KIP79" i="1"/>
  <c r="KIQ79" i="1"/>
  <c r="KIR79" i="1"/>
  <c r="KIS79" i="1"/>
  <c r="KIT79" i="1"/>
  <c r="KIU79" i="1"/>
  <c r="KIV79" i="1"/>
  <c r="KIW79" i="1"/>
  <c r="KIX79" i="1"/>
  <c r="KIY79" i="1"/>
  <c r="KIZ79" i="1"/>
  <c r="KJA79" i="1"/>
  <c r="KJB79" i="1"/>
  <c r="KJC79" i="1"/>
  <c r="KJD79" i="1"/>
  <c r="KJE79" i="1"/>
  <c r="KJF79" i="1"/>
  <c r="KJG79" i="1"/>
  <c r="KJH79" i="1"/>
  <c r="KJI79" i="1"/>
  <c r="KJJ79" i="1"/>
  <c r="KJK79" i="1"/>
  <c r="KJL79" i="1"/>
  <c r="KJM79" i="1"/>
  <c r="KJN79" i="1"/>
  <c r="KJO79" i="1"/>
  <c r="KJP79" i="1"/>
  <c r="KJQ79" i="1"/>
  <c r="KJR79" i="1"/>
  <c r="KJS79" i="1"/>
  <c r="KJT79" i="1"/>
  <c r="KJU79" i="1"/>
  <c r="KJV79" i="1"/>
  <c r="KJW79" i="1"/>
  <c r="KJX79" i="1"/>
  <c r="KJY79" i="1"/>
  <c r="KJZ79" i="1"/>
  <c r="KKA79" i="1"/>
  <c r="KKB79" i="1"/>
  <c r="KKC79" i="1"/>
  <c r="KKD79" i="1"/>
  <c r="KKE79" i="1"/>
  <c r="KKF79" i="1"/>
  <c r="KKG79" i="1"/>
  <c r="KKH79" i="1"/>
  <c r="KKI79" i="1"/>
  <c r="KKJ79" i="1"/>
  <c r="KKK79" i="1"/>
  <c r="KKL79" i="1"/>
  <c r="KKM79" i="1"/>
  <c r="KKN79" i="1"/>
  <c r="KKO79" i="1"/>
  <c r="KKP79" i="1"/>
  <c r="KGV80" i="1"/>
  <c r="KGW80" i="1"/>
  <c r="KGX80" i="1"/>
  <c r="KGY80" i="1"/>
  <c r="KGZ80" i="1"/>
  <c r="KHA80" i="1"/>
  <c r="KHB80" i="1"/>
  <c r="KHC80" i="1"/>
  <c r="KHD80" i="1"/>
  <c r="KHE80" i="1"/>
  <c r="KHF80" i="1"/>
  <c r="KHG80" i="1"/>
  <c r="KHH80" i="1"/>
  <c r="KHI80" i="1"/>
  <c r="KHJ80" i="1"/>
  <c r="KHK80" i="1"/>
  <c r="KHL80" i="1"/>
  <c r="KHM80" i="1"/>
  <c r="KHN80" i="1"/>
  <c r="KHO80" i="1"/>
  <c r="KHP80" i="1"/>
  <c r="KHQ80" i="1"/>
  <c r="KHR80" i="1"/>
  <c r="KHS80" i="1"/>
  <c r="KHT80" i="1"/>
  <c r="KHU80" i="1"/>
  <c r="KHV80" i="1"/>
  <c r="KHW80" i="1"/>
  <c r="KHX80" i="1"/>
  <c r="KHY80" i="1"/>
  <c r="KHZ80" i="1"/>
  <c r="KIA80" i="1"/>
  <c r="KIB80" i="1"/>
  <c r="KIC80" i="1"/>
  <c r="KID80" i="1"/>
  <c r="KIE80" i="1"/>
  <c r="KIF80" i="1"/>
  <c r="KIG80" i="1"/>
  <c r="KIH80" i="1"/>
  <c r="KII80" i="1"/>
  <c r="KIJ80" i="1"/>
  <c r="KIK80" i="1"/>
  <c r="KIL80" i="1"/>
  <c r="KIM80" i="1"/>
  <c r="KIN80" i="1"/>
  <c r="KIO80" i="1"/>
  <c r="KIP80" i="1"/>
  <c r="KIQ80" i="1"/>
  <c r="KIR80" i="1"/>
  <c r="KIS80" i="1"/>
  <c r="KIT80" i="1"/>
  <c r="KIU80" i="1"/>
  <c r="KIV80" i="1"/>
  <c r="KIW80" i="1"/>
  <c r="KIX80" i="1"/>
  <c r="KIY80" i="1"/>
  <c r="KIZ80" i="1"/>
  <c r="KJA80" i="1"/>
  <c r="KJB80" i="1"/>
  <c r="KJC80" i="1"/>
  <c r="KJD80" i="1"/>
  <c r="KJE80" i="1"/>
  <c r="KJF80" i="1"/>
  <c r="KJG80" i="1"/>
  <c r="KJH80" i="1"/>
  <c r="KJI80" i="1"/>
  <c r="KJJ80" i="1"/>
  <c r="KJK80" i="1"/>
  <c r="KJL80" i="1"/>
  <c r="KJM80" i="1"/>
  <c r="KJN80" i="1"/>
  <c r="KJO80" i="1"/>
  <c r="KJP80" i="1"/>
  <c r="KJQ80" i="1"/>
  <c r="KJR80" i="1"/>
  <c r="KJS80" i="1"/>
  <c r="KJT80" i="1"/>
  <c r="KJU80" i="1"/>
  <c r="KJV80" i="1"/>
  <c r="KJW80" i="1"/>
  <c r="KJX80" i="1"/>
  <c r="KJY80" i="1"/>
  <c r="KJZ80" i="1"/>
  <c r="KKA80" i="1"/>
  <c r="KKB80" i="1"/>
  <c r="KKC80" i="1"/>
  <c r="KKD80" i="1"/>
  <c r="KKE80" i="1"/>
  <c r="KKF80" i="1"/>
  <c r="KKG80" i="1"/>
  <c r="KKH80" i="1"/>
  <c r="KKI80" i="1"/>
  <c r="KKJ80" i="1"/>
  <c r="KKK80" i="1"/>
  <c r="KKL80" i="1"/>
  <c r="KKM80" i="1"/>
  <c r="KKN80" i="1"/>
  <c r="KKO80" i="1"/>
  <c r="KKP80" i="1"/>
  <c r="KGV81" i="1"/>
  <c r="KGW81" i="1"/>
  <c r="KGX81" i="1"/>
  <c r="KGY81" i="1"/>
  <c r="KGZ81" i="1"/>
  <c r="KHA81" i="1"/>
  <c r="KHB81" i="1"/>
  <c r="KHC81" i="1"/>
  <c r="KHD81" i="1"/>
  <c r="KHE81" i="1"/>
  <c r="KHF81" i="1"/>
  <c r="KHG81" i="1"/>
  <c r="KHH81" i="1"/>
  <c r="KHI81" i="1"/>
  <c r="KHJ81" i="1"/>
  <c r="KHK81" i="1"/>
  <c r="KHL81" i="1"/>
  <c r="KHM81" i="1"/>
  <c r="KHN81" i="1"/>
  <c r="KHO81" i="1"/>
  <c r="KHP81" i="1"/>
  <c r="KHQ81" i="1"/>
  <c r="KHR81" i="1"/>
  <c r="KHS81" i="1"/>
  <c r="KHT81" i="1"/>
  <c r="KHU81" i="1"/>
  <c r="KHV81" i="1"/>
  <c r="KHW81" i="1"/>
  <c r="KHX81" i="1"/>
  <c r="KHY81" i="1"/>
  <c r="KHZ81" i="1"/>
  <c r="KIA81" i="1"/>
  <c r="KIB81" i="1"/>
  <c r="KIC81" i="1"/>
  <c r="KID81" i="1"/>
  <c r="KIE81" i="1"/>
  <c r="KIF81" i="1"/>
  <c r="KIG81" i="1"/>
  <c r="KIH81" i="1"/>
  <c r="KII81" i="1"/>
  <c r="KIJ81" i="1"/>
  <c r="KIK81" i="1"/>
  <c r="KIL81" i="1"/>
  <c r="KIM81" i="1"/>
  <c r="KIN81" i="1"/>
  <c r="KIO81" i="1"/>
  <c r="KIP81" i="1"/>
  <c r="KIQ81" i="1"/>
  <c r="KIR81" i="1"/>
  <c r="KIS81" i="1"/>
  <c r="KIT81" i="1"/>
  <c r="KIU81" i="1"/>
  <c r="KIV81" i="1"/>
  <c r="KIW81" i="1"/>
  <c r="KIX81" i="1"/>
  <c r="KIY81" i="1"/>
  <c r="KIZ81" i="1"/>
  <c r="KJA81" i="1"/>
  <c r="KJB81" i="1"/>
  <c r="KJC81" i="1"/>
  <c r="KJD81" i="1"/>
  <c r="KJE81" i="1"/>
  <c r="KJF81" i="1"/>
  <c r="KJG81" i="1"/>
  <c r="KJH81" i="1"/>
  <c r="KJI81" i="1"/>
  <c r="KJJ81" i="1"/>
  <c r="KJK81" i="1"/>
  <c r="KJL81" i="1"/>
  <c r="KJM81" i="1"/>
  <c r="KJN81" i="1"/>
  <c r="KJO81" i="1"/>
  <c r="KJP81" i="1"/>
  <c r="KJQ81" i="1"/>
  <c r="KJR81" i="1"/>
  <c r="KJS81" i="1"/>
  <c r="KJT81" i="1"/>
  <c r="KJU81" i="1"/>
  <c r="KJV81" i="1"/>
  <c r="KJW81" i="1"/>
  <c r="KJX81" i="1"/>
  <c r="KJY81" i="1"/>
  <c r="KJZ81" i="1"/>
  <c r="KKA81" i="1"/>
  <c r="KKB81" i="1"/>
  <c r="KKC81" i="1"/>
  <c r="KKD81" i="1"/>
  <c r="KKE81" i="1"/>
  <c r="KKF81" i="1"/>
  <c r="KKG81" i="1"/>
  <c r="KKH81" i="1"/>
  <c r="KKI81" i="1"/>
  <c r="KKJ81" i="1"/>
  <c r="KKK81" i="1"/>
  <c r="KKL81" i="1"/>
  <c r="KKM81" i="1"/>
  <c r="KKN81" i="1"/>
  <c r="KKO81" i="1"/>
  <c r="KKP81" i="1"/>
  <c r="KGU16" i="1"/>
  <c r="KGU17" i="1"/>
  <c r="KGU18" i="1"/>
  <c r="KGU19" i="1"/>
  <c r="KGU20" i="1"/>
  <c r="KGU21" i="1"/>
  <c r="KGU22" i="1"/>
  <c r="KKR22" i="1" s="1"/>
  <c r="KGU23" i="1"/>
  <c r="KGU24" i="1"/>
  <c r="KGU25" i="1"/>
  <c r="KGU26" i="1"/>
  <c r="KGU27" i="1"/>
  <c r="KGU28" i="1"/>
  <c r="KGU29" i="1"/>
  <c r="KGU30" i="1"/>
  <c r="KKR30" i="1" s="1"/>
  <c r="KGU31" i="1"/>
  <c r="KGU32" i="1"/>
  <c r="KGU33" i="1"/>
  <c r="KGU34" i="1"/>
  <c r="KGU35" i="1"/>
  <c r="KGU36" i="1"/>
  <c r="KGU37" i="1"/>
  <c r="KGU38" i="1"/>
  <c r="KKR38" i="1" s="1"/>
  <c r="KKU38" i="1" s="1"/>
  <c r="KGU39" i="1"/>
  <c r="KGU40" i="1"/>
  <c r="KGU41" i="1"/>
  <c r="KGU42" i="1"/>
  <c r="KGU43" i="1"/>
  <c r="KGU44" i="1"/>
  <c r="KGU45" i="1"/>
  <c r="KGU46" i="1"/>
  <c r="KKT46" i="1" s="1"/>
  <c r="KGU47" i="1"/>
  <c r="KGU48" i="1"/>
  <c r="KGU49" i="1"/>
  <c r="KGU50" i="1"/>
  <c r="KGU51" i="1"/>
  <c r="KGU52" i="1"/>
  <c r="KGU53" i="1"/>
  <c r="KGU54" i="1"/>
  <c r="KKT54" i="1" s="1"/>
  <c r="KGU55" i="1"/>
  <c r="KGU56" i="1"/>
  <c r="KGU57" i="1"/>
  <c r="KGU58" i="1"/>
  <c r="KGU59" i="1"/>
  <c r="KGU60" i="1"/>
  <c r="KGU61" i="1"/>
  <c r="KGU62" i="1"/>
  <c r="KKT62" i="1" s="1"/>
  <c r="KGU63" i="1"/>
  <c r="KGU64" i="1"/>
  <c r="KGU65" i="1"/>
  <c r="KGU66" i="1"/>
  <c r="KGU67" i="1"/>
  <c r="KGU68" i="1"/>
  <c r="KGU69" i="1"/>
  <c r="KGU70" i="1"/>
  <c r="KGU71" i="1"/>
  <c r="KGU72" i="1"/>
  <c r="KGU73" i="1"/>
  <c r="KGU74" i="1"/>
  <c r="KGU75" i="1"/>
  <c r="KGU76" i="1"/>
  <c r="KGU77" i="1"/>
  <c r="KGU78" i="1"/>
  <c r="KGU79" i="1"/>
  <c r="KGU80" i="1"/>
  <c r="KGU81" i="1"/>
  <c r="KKR16" i="1"/>
  <c r="KKU16" i="1" s="1"/>
  <c r="KKT16" i="1"/>
  <c r="KKR17" i="1"/>
  <c r="KKU17" i="1" s="1"/>
  <c r="KKT17" i="1"/>
  <c r="KKR18" i="1"/>
  <c r="KKU18" i="1" s="1"/>
  <c r="KKT18" i="1"/>
  <c r="KKR19" i="1"/>
  <c r="KKU19" i="1" s="1"/>
  <c r="KKT19" i="1"/>
  <c r="KKR20" i="1"/>
  <c r="KKU20" i="1" s="1"/>
  <c r="KKT20" i="1"/>
  <c r="KKR21" i="1"/>
  <c r="KKU21" i="1" s="1"/>
  <c r="KKT21" i="1"/>
  <c r="KKR23" i="1"/>
  <c r="KKU23" i="1" s="1"/>
  <c r="KKT23" i="1"/>
  <c r="KKW23" i="1"/>
  <c r="KKR24" i="1"/>
  <c r="KKU24" i="1" s="1"/>
  <c r="KKT24" i="1"/>
  <c r="KKR25" i="1"/>
  <c r="KKU25" i="1" s="1"/>
  <c r="KKT25" i="1"/>
  <c r="KKR26" i="1"/>
  <c r="KKU26" i="1" s="1"/>
  <c r="KKT26" i="1"/>
  <c r="KKR27" i="1"/>
  <c r="KKU27" i="1" s="1"/>
  <c r="KKT27" i="1"/>
  <c r="KKR28" i="1"/>
  <c r="KKU28" i="1" s="1"/>
  <c r="KKT28" i="1"/>
  <c r="KKR29" i="1"/>
  <c r="KKU29" i="1" s="1"/>
  <c r="KKT29" i="1"/>
  <c r="KKR31" i="1"/>
  <c r="KKU31" i="1" s="1"/>
  <c r="KKT31" i="1"/>
  <c r="KKW31" i="1"/>
  <c r="KKR32" i="1"/>
  <c r="KKU32" i="1" s="1"/>
  <c r="KKT32" i="1"/>
  <c r="KKR33" i="1"/>
  <c r="KKU33" i="1" s="1"/>
  <c r="KKT33" i="1"/>
  <c r="KKR34" i="1"/>
  <c r="KKU34" i="1" s="1"/>
  <c r="KKT34" i="1"/>
  <c r="KKR35" i="1"/>
  <c r="KKU35" i="1" s="1"/>
  <c r="KKT35" i="1"/>
  <c r="KKR36" i="1"/>
  <c r="KKU36" i="1" s="1"/>
  <c r="KKT36" i="1"/>
  <c r="KKR37" i="1"/>
  <c r="KKU37" i="1" s="1"/>
  <c r="KKT37" i="1"/>
  <c r="KKW37" i="1"/>
  <c r="KKR39" i="1"/>
  <c r="KKU39" i="1" s="1"/>
  <c r="KKT39" i="1"/>
  <c r="KKR40" i="1"/>
  <c r="KKU40" i="1" s="1"/>
  <c r="KKT40" i="1"/>
  <c r="KKR41" i="1"/>
  <c r="KKU41" i="1" s="1"/>
  <c r="KKT41" i="1"/>
  <c r="KKR42" i="1"/>
  <c r="KKU42" i="1" s="1"/>
  <c r="KKT42" i="1"/>
  <c r="KKR43" i="1"/>
  <c r="KKU43" i="1" s="1"/>
  <c r="KKT43" i="1"/>
  <c r="KKR44" i="1"/>
  <c r="KKU44" i="1" s="1"/>
  <c r="KKT44" i="1"/>
  <c r="KKR45" i="1"/>
  <c r="KKU45" i="1" s="1"/>
  <c r="KKT45" i="1"/>
  <c r="KKR46" i="1"/>
  <c r="KKU46" i="1" s="1"/>
  <c r="KKR47" i="1"/>
  <c r="KKU47" i="1" s="1"/>
  <c r="KKT47" i="1"/>
  <c r="KKR48" i="1"/>
  <c r="KKU48" i="1" s="1"/>
  <c r="KKT48" i="1"/>
  <c r="KKR49" i="1"/>
  <c r="KKU49" i="1" s="1"/>
  <c r="KKT49" i="1"/>
  <c r="KKR50" i="1"/>
  <c r="KKU50" i="1" s="1"/>
  <c r="KKT50" i="1"/>
  <c r="KKR51" i="1"/>
  <c r="KKU51" i="1" s="1"/>
  <c r="KKT51" i="1"/>
  <c r="KKR52" i="1"/>
  <c r="KKU52" i="1" s="1"/>
  <c r="KKT52" i="1"/>
  <c r="KKR53" i="1"/>
  <c r="KKU53" i="1" s="1"/>
  <c r="KKT53" i="1"/>
  <c r="KKR54" i="1"/>
  <c r="KKU54" i="1" s="1"/>
  <c r="KKR55" i="1"/>
  <c r="KKU55" i="1" s="1"/>
  <c r="KKT55" i="1"/>
  <c r="KKR56" i="1"/>
  <c r="KKU56" i="1" s="1"/>
  <c r="KKT56" i="1"/>
  <c r="KKR57" i="1"/>
  <c r="KKU57" i="1" s="1"/>
  <c r="KKT57" i="1"/>
  <c r="KKR58" i="1"/>
  <c r="KKU58" i="1" s="1"/>
  <c r="KKT58" i="1"/>
  <c r="KKR59" i="1"/>
  <c r="KKU59" i="1" s="1"/>
  <c r="KKT59" i="1"/>
  <c r="KKR60" i="1"/>
  <c r="KKU60" i="1" s="1"/>
  <c r="KKT60" i="1"/>
  <c r="KKR61" i="1"/>
  <c r="KKU61" i="1" s="1"/>
  <c r="KKT61" i="1"/>
  <c r="KKR62" i="1"/>
  <c r="KKU62" i="1" s="1"/>
  <c r="KKR63" i="1"/>
  <c r="KKU63" i="1" s="1"/>
  <c r="KKT63" i="1"/>
  <c r="KKR64" i="1"/>
  <c r="KKU64" i="1" s="1"/>
  <c r="KKT64" i="1"/>
  <c r="KKT65" i="1"/>
  <c r="KKT68" i="1"/>
  <c r="KKT74" i="1"/>
  <c r="KKT79" i="1"/>
  <c r="KKT67" i="1" l="1"/>
  <c r="KKR81" i="1"/>
  <c r="KKU81" i="1" s="1"/>
  <c r="KKT77" i="1"/>
  <c r="KKT73" i="1"/>
  <c r="KKW33" i="1"/>
  <c r="KKW25" i="1"/>
  <c r="KKW17" i="1"/>
  <c r="KKR78" i="1"/>
  <c r="KKU78" i="1" s="1"/>
  <c r="KKR70" i="1"/>
  <c r="KKU70" i="1" s="1"/>
  <c r="KKT76" i="1"/>
  <c r="KKR72" i="1"/>
  <c r="KKU72" i="1" s="1"/>
  <c r="KKR80" i="1"/>
  <c r="KKU80" i="1" s="1"/>
  <c r="KKT75" i="1"/>
  <c r="KKT69" i="1"/>
  <c r="KKW39" i="1"/>
  <c r="KKU22" i="1"/>
  <c r="KKW22" i="1"/>
  <c r="KKU30" i="1"/>
  <c r="KKW30" i="1"/>
  <c r="KKT78" i="1"/>
  <c r="KKT70" i="1"/>
  <c r="KKT81" i="1"/>
  <c r="KKW45" i="1"/>
  <c r="KKT30" i="1"/>
  <c r="KKW27" i="1"/>
  <c r="KKT22" i="1"/>
  <c r="KKW19" i="1"/>
  <c r="KKW35" i="1"/>
  <c r="KKW32" i="1"/>
  <c r="KKW24" i="1"/>
  <c r="KKW16" i="1"/>
  <c r="KKT80" i="1"/>
  <c r="KKT72" i="1"/>
  <c r="KKW41" i="1"/>
  <c r="KKT38" i="1"/>
  <c r="KKW29" i="1"/>
  <c r="KKW21" i="1"/>
  <c r="KKW26" i="1"/>
  <c r="KKW18" i="1"/>
  <c r="KKW43" i="1"/>
  <c r="KKW28" i="1"/>
  <c r="KKW20" i="1"/>
  <c r="KKW81" i="1"/>
  <c r="KKW79" i="1"/>
  <c r="KKW77" i="1"/>
  <c r="KKW75" i="1"/>
  <c r="KKW73" i="1"/>
  <c r="KKW71" i="1"/>
  <c r="KKW69" i="1"/>
  <c r="KKW67" i="1"/>
  <c r="KKW65" i="1"/>
  <c r="KKW63" i="1"/>
  <c r="KKW61" i="1"/>
  <c r="KKW59" i="1"/>
  <c r="KKW57" i="1"/>
  <c r="KKW55" i="1"/>
  <c r="KKW53" i="1"/>
  <c r="KKW51" i="1"/>
  <c r="KKW49" i="1"/>
  <c r="KKW47" i="1"/>
  <c r="KKW80" i="1"/>
  <c r="KKW74" i="1"/>
  <c r="KKW70" i="1"/>
  <c r="KKW64" i="1"/>
  <c r="KKW60" i="1"/>
  <c r="KKW54" i="1"/>
  <c r="KKW50" i="1"/>
  <c r="KKW46" i="1"/>
  <c r="KKW42" i="1"/>
  <c r="KKW36" i="1"/>
  <c r="KKW76" i="1"/>
  <c r="KKW72" i="1"/>
  <c r="KKW68" i="1"/>
  <c r="KKW66" i="1"/>
  <c r="KKW62" i="1"/>
  <c r="KKW58" i="1"/>
  <c r="KKW56" i="1"/>
  <c r="KKW52" i="1"/>
  <c r="KKW48" i="1"/>
  <c r="KKW44" i="1"/>
  <c r="KKW40" i="1"/>
  <c r="KKW38" i="1"/>
  <c r="KKW34" i="1"/>
  <c r="KKW78" i="1" l="1"/>
  <c r="AJ84" i="1"/>
  <c r="AJ83" i="1"/>
  <c r="AK84" i="1"/>
  <c r="AK83" i="1"/>
  <c r="AL84" i="1"/>
  <c r="AL83" i="1"/>
  <c r="AM84" i="1"/>
  <c r="AM83" i="1"/>
  <c r="AN84" i="1"/>
  <c r="AO84" i="1"/>
  <c r="AN83" i="1"/>
  <c r="AO83" i="1"/>
  <c r="AP84" i="1"/>
  <c r="AQ84" i="1"/>
  <c r="AR84" i="1"/>
  <c r="AP83" i="1"/>
  <c r="AQ83" i="1"/>
  <c r="AR83" i="1"/>
  <c r="AS84" i="1"/>
  <c r="AS83" i="1"/>
  <c r="AT84" i="1"/>
  <c r="AT83" i="1"/>
  <c r="AU84" i="1"/>
  <c r="AU83" i="1"/>
  <c r="AV84" i="1"/>
  <c r="AV83" i="1"/>
  <c r="AW84" i="1"/>
  <c r="AW83" i="1"/>
  <c r="AX84" i="1"/>
  <c r="AX83" i="1"/>
  <c r="AY84" i="1"/>
  <c r="AY83" i="1"/>
  <c r="AZ84" i="1"/>
  <c r="AZ83" i="1"/>
  <c r="BA84" i="1"/>
  <c r="BA83" i="1"/>
  <c r="BB84" i="1"/>
  <c r="BB83" i="1"/>
  <c r="BC84" i="1"/>
  <c r="BC83" i="1"/>
  <c r="BD84" i="1"/>
  <c r="BE84" i="1"/>
  <c r="BF84" i="1"/>
  <c r="BD83" i="1"/>
  <c r="BE83" i="1"/>
  <c r="BF83" i="1"/>
  <c r="BG84" i="1"/>
  <c r="BG83" i="1"/>
  <c r="BI83" i="1" l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KKP15" i="1"/>
  <c r="KKO15" i="1"/>
  <c r="KKN15" i="1"/>
  <c r="KKM15" i="1"/>
  <c r="KKL15" i="1"/>
  <c r="KKK15" i="1"/>
  <c r="KKJ15" i="1"/>
  <c r="KKI15" i="1"/>
  <c r="KKH15" i="1"/>
  <c r="KKG15" i="1"/>
  <c r="KKF15" i="1"/>
  <c r="KKE15" i="1"/>
  <c r="KKD15" i="1"/>
  <c r="KKC15" i="1"/>
  <c r="KKB15" i="1"/>
  <c r="KKA15" i="1"/>
  <c r="KJZ15" i="1"/>
  <c r="KJY15" i="1"/>
  <c r="KJX15" i="1"/>
  <c r="KJW15" i="1"/>
  <c r="KJV15" i="1"/>
  <c r="KJU15" i="1"/>
  <c r="KJT15" i="1"/>
  <c r="KJS15" i="1"/>
  <c r="KJR15" i="1"/>
  <c r="KJQ15" i="1"/>
  <c r="KJP15" i="1"/>
  <c r="KJO15" i="1"/>
  <c r="KJN15" i="1"/>
  <c r="KJM15" i="1"/>
  <c r="KJL15" i="1"/>
  <c r="KJK15" i="1"/>
  <c r="KJJ15" i="1"/>
  <c r="KJI15" i="1"/>
  <c r="KJH15" i="1"/>
  <c r="KJG15" i="1"/>
  <c r="KJF15" i="1"/>
  <c r="KJE15" i="1"/>
  <c r="KJD15" i="1"/>
  <c r="KJC15" i="1"/>
  <c r="KJB15" i="1"/>
  <c r="KJA15" i="1"/>
  <c r="KIZ15" i="1"/>
  <c r="KIY15" i="1"/>
  <c r="KIX15" i="1"/>
  <c r="KIW15" i="1"/>
  <c r="KIV15" i="1"/>
  <c r="KIU15" i="1"/>
  <c r="KIT15" i="1"/>
  <c r="KIS15" i="1"/>
  <c r="KIR15" i="1"/>
  <c r="KIQ15" i="1"/>
  <c r="KIP15" i="1"/>
  <c r="KIO15" i="1"/>
  <c r="KIN15" i="1"/>
  <c r="KIM15" i="1"/>
  <c r="KIL15" i="1"/>
  <c r="KIK15" i="1"/>
  <c r="KIJ15" i="1"/>
  <c r="KII15" i="1"/>
  <c r="KIH15" i="1"/>
  <c r="KIG15" i="1"/>
  <c r="KIF15" i="1"/>
  <c r="KIE15" i="1"/>
  <c r="KID15" i="1"/>
  <c r="KIC15" i="1"/>
  <c r="KIB15" i="1"/>
  <c r="KIA15" i="1"/>
  <c r="KHZ15" i="1"/>
  <c r="KHY15" i="1"/>
  <c r="KHX15" i="1"/>
  <c r="KHW15" i="1"/>
  <c r="KHV15" i="1"/>
  <c r="KHU15" i="1"/>
  <c r="KHT15" i="1"/>
  <c r="KHS15" i="1"/>
  <c r="KHR15" i="1"/>
  <c r="KHQ15" i="1"/>
  <c r="KHP15" i="1"/>
  <c r="KHO15" i="1"/>
  <c r="KHN15" i="1"/>
  <c r="KHM15" i="1"/>
  <c r="KHL15" i="1"/>
  <c r="KHK15" i="1"/>
  <c r="KHJ15" i="1"/>
  <c r="KHI15" i="1"/>
  <c r="KHH15" i="1"/>
  <c r="KHG15" i="1"/>
  <c r="KHF15" i="1"/>
  <c r="KHE15" i="1"/>
  <c r="KHD15" i="1"/>
  <c r="KHC15" i="1"/>
  <c r="KHB15" i="1"/>
  <c r="KHA15" i="1"/>
  <c r="KGZ15" i="1"/>
  <c r="KGY15" i="1"/>
  <c r="KGX15" i="1"/>
  <c r="KGW15" i="1"/>
  <c r="KGV15" i="1"/>
  <c r="KGU15" i="1"/>
  <c r="KKP14" i="1"/>
  <c r="KKO14" i="1"/>
  <c r="KKN14" i="1"/>
  <c r="KKM14" i="1"/>
  <c r="KKL14" i="1"/>
  <c r="KKK14" i="1"/>
  <c r="KKJ14" i="1"/>
  <c r="KKI14" i="1"/>
  <c r="KKH14" i="1"/>
  <c r="KKG14" i="1"/>
  <c r="KKF14" i="1"/>
  <c r="KKE14" i="1"/>
  <c r="KKD14" i="1"/>
  <c r="KKC14" i="1"/>
  <c r="KKB14" i="1"/>
  <c r="KKA14" i="1"/>
  <c r="KJZ14" i="1"/>
  <c r="KJY14" i="1"/>
  <c r="KJX14" i="1"/>
  <c r="KJW14" i="1"/>
  <c r="KJV14" i="1"/>
  <c r="KJU14" i="1"/>
  <c r="KJT14" i="1"/>
  <c r="KJS14" i="1"/>
  <c r="KJR14" i="1"/>
  <c r="KJQ14" i="1"/>
  <c r="KJP14" i="1"/>
  <c r="KJO14" i="1"/>
  <c r="KJN14" i="1"/>
  <c r="KJM14" i="1"/>
  <c r="KJL14" i="1"/>
  <c r="KJK14" i="1"/>
  <c r="KJJ14" i="1"/>
  <c r="KJI14" i="1"/>
  <c r="KJH14" i="1"/>
  <c r="KJG14" i="1"/>
  <c r="KJF14" i="1"/>
  <c r="KJE14" i="1"/>
  <c r="KJD14" i="1"/>
  <c r="KJC14" i="1"/>
  <c r="KJB14" i="1"/>
  <c r="KJA14" i="1"/>
  <c r="KIZ14" i="1"/>
  <c r="KIY14" i="1"/>
  <c r="KIX14" i="1"/>
  <c r="KIW14" i="1"/>
  <c r="KIV14" i="1"/>
  <c r="KIU14" i="1"/>
  <c r="KIT14" i="1"/>
  <c r="KIS14" i="1"/>
  <c r="KIR14" i="1"/>
  <c r="KIQ14" i="1"/>
  <c r="KIP14" i="1"/>
  <c r="KIO14" i="1"/>
  <c r="KIN14" i="1"/>
  <c r="KIM14" i="1"/>
  <c r="KIL14" i="1"/>
  <c r="KIK14" i="1"/>
  <c r="KIJ14" i="1"/>
  <c r="KII14" i="1"/>
  <c r="KIH14" i="1"/>
  <c r="KIG14" i="1"/>
  <c r="KIF14" i="1"/>
  <c r="KIE14" i="1"/>
  <c r="KID14" i="1"/>
  <c r="KIC14" i="1"/>
  <c r="KIB14" i="1"/>
  <c r="KIA14" i="1"/>
  <c r="KHZ14" i="1"/>
  <c r="KHY14" i="1"/>
  <c r="KHX14" i="1"/>
  <c r="KHW14" i="1"/>
  <c r="KHV14" i="1"/>
  <c r="KHU14" i="1"/>
  <c r="KHT14" i="1"/>
  <c r="KHS14" i="1"/>
  <c r="KHR14" i="1"/>
  <c r="KHQ14" i="1"/>
  <c r="KHP14" i="1"/>
  <c r="KHO14" i="1"/>
  <c r="KHN14" i="1"/>
  <c r="KHM14" i="1"/>
  <c r="KHL14" i="1"/>
  <c r="KHK14" i="1"/>
  <c r="KHJ14" i="1"/>
  <c r="KHI14" i="1"/>
  <c r="KHH14" i="1"/>
  <c r="KHG14" i="1"/>
  <c r="KHF14" i="1"/>
  <c r="KHE14" i="1"/>
  <c r="KHD14" i="1"/>
  <c r="KHC14" i="1"/>
  <c r="KHB14" i="1"/>
  <c r="KHA14" i="1"/>
  <c r="KGZ14" i="1"/>
  <c r="KGY14" i="1"/>
  <c r="KGX14" i="1"/>
  <c r="KGW14" i="1"/>
  <c r="KGV14" i="1"/>
  <c r="KGU14" i="1"/>
  <c r="KKP13" i="1"/>
  <c r="KKO13" i="1"/>
  <c r="KKN13" i="1"/>
  <c r="KKM13" i="1"/>
  <c r="KKL13" i="1"/>
  <c r="KKK13" i="1"/>
  <c r="KKJ13" i="1"/>
  <c r="KKI13" i="1"/>
  <c r="KKH13" i="1"/>
  <c r="KKG13" i="1"/>
  <c r="KKF13" i="1"/>
  <c r="KKE13" i="1"/>
  <c r="KKD13" i="1"/>
  <c r="KKC13" i="1"/>
  <c r="KKB13" i="1"/>
  <c r="KKA13" i="1"/>
  <c r="KJZ13" i="1"/>
  <c r="KJY13" i="1"/>
  <c r="KJX13" i="1"/>
  <c r="KJW13" i="1"/>
  <c r="KJV13" i="1"/>
  <c r="KJU13" i="1"/>
  <c r="KJT13" i="1"/>
  <c r="KJS13" i="1"/>
  <c r="KJR13" i="1"/>
  <c r="KJQ13" i="1"/>
  <c r="KJP13" i="1"/>
  <c r="KJO13" i="1"/>
  <c r="KJN13" i="1"/>
  <c r="KJM13" i="1"/>
  <c r="KJL13" i="1"/>
  <c r="KJK13" i="1"/>
  <c r="KJJ13" i="1"/>
  <c r="KJI13" i="1"/>
  <c r="KJH13" i="1"/>
  <c r="KJG13" i="1"/>
  <c r="KJF13" i="1"/>
  <c r="KJE13" i="1"/>
  <c r="KJD13" i="1"/>
  <c r="KJC13" i="1"/>
  <c r="KJB13" i="1"/>
  <c r="KJA13" i="1"/>
  <c r="KIZ13" i="1"/>
  <c r="KIY13" i="1"/>
  <c r="KIX13" i="1"/>
  <c r="KIW13" i="1"/>
  <c r="KIV13" i="1"/>
  <c r="KIU13" i="1"/>
  <c r="KIT13" i="1"/>
  <c r="KIS13" i="1"/>
  <c r="KIR13" i="1"/>
  <c r="KIQ13" i="1"/>
  <c r="KIP13" i="1"/>
  <c r="KIO13" i="1"/>
  <c r="KIN13" i="1"/>
  <c r="KIM13" i="1"/>
  <c r="KIL13" i="1"/>
  <c r="KIK13" i="1"/>
  <c r="KIJ13" i="1"/>
  <c r="KII13" i="1"/>
  <c r="KIH13" i="1"/>
  <c r="KIG13" i="1"/>
  <c r="KIF13" i="1"/>
  <c r="KIE13" i="1"/>
  <c r="KID13" i="1"/>
  <c r="KIC13" i="1"/>
  <c r="KIB13" i="1"/>
  <c r="KIA13" i="1"/>
  <c r="KHZ13" i="1"/>
  <c r="KHY13" i="1"/>
  <c r="KHX13" i="1"/>
  <c r="KHW13" i="1"/>
  <c r="KHV13" i="1"/>
  <c r="KHU13" i="1"/>
  <c r="KHT13" i="1"/>
  <c r="KHS13" i="1"/>
  <c r="KHR13" i="1"/>
  <c r="KHQ13" i="1"/>
  <c r="KHP13" i="1"/>
  <c r="KHO13" i="1"/>
  <c r="KHN13" i="1"/>
  <c r="KHM13" i="1"/>
  <c r="KHL13" i="1"/>
  <c r="KHK13" i="1"/>
  <c r="KHJ13" i="1"/>
  <c r="KHI13" i="1"/>
  <c r="KHH13" i="1"/>
  <c r="KHG13" i="1"/>
  <c r="KHF13" i="1"/>
  <c r="KHE13" i="1"/>
  <c r="KHD13" i="1"/>
  <c r="KHC13" i="1"/>
  <c r="KHB13" i="1"/>
  <c r="KHA13" i="1"/>
  <c r="KGZ13" i="1"/>
  <c r="KGY13" i="1"/>
  <c r="KGX13" i="1"/>
  <c r="KGW13" i="1"/>
  <c r="KGV13" i="1"/>
  <c r="KGU13" i="1"/>
  <c r="KKP12" i="1"/>
  <c r="KKO12" i="1"/>
  <c r="KKN12" i="1"/>
  <c r="KKM12" i="1"/>
  <c r="KKL12" i="1"/>
  <c r="KKK12" i="1"/>
  <c r="KKJ12" i="1"/>
  <c r="KKI12" i="1"/>
  <c r="KKH12" i="1"/>
  <c r="KKG12" i="1"/>
  <c r="KKF12" i="1"/>
  <c r="KKE12" i="1"/>
  <c r="KKD12" i="1"/>
  <c r="KKC12" i="1"/>
  <c r="KKB12" i="1"/>
  <c r="KKA12" i="1"/>
  <c r="KJZ12" i="1"/>
  <c r="KJY12" i="1"/>
  <c r="KJX12" i="1"/>
  <c r="KJW12" i="1"/>
  <c r="KJV12" i="1"/>
  <c r="KJU12" i="1"/>
  <c r="KJT12" i="1"/>
  <c r="KJS12" i="1"/>
  <c r="KJR12" i="1"/>
  <c r="KJQ12" i="1"/>
  <c r="KJP12" i="1"/>
  <c r="KJO12" i="1"/>
  <c r="KJN12" i="1"/>
  <c r="KJM12" i="1"/>
  <c r="KJL12" i="1"/>
  <c r="KJK12" i="1"/>
  <c r="KJJ12" i="1"/>
  <c r="KJI12" i="1"/>
  <c r="KJH12" i="1"/>
  <c r="KJG12" i="1"/>
  <c r="KJF12" i="1"/>
  <c r="KJE12" i="1"/>
  <c r="KJD12" i="1"/>
  <c r="KJC12" i="1"/>
  <c r="KJB12" i="1"/>
  <c r="KJA12" i="1"/>
  <c r="KIZ12" i="1"/>
  <c r="KIY12" i="1"/>
  <c r="KIX12" i="1"/>
  <c r="KIW12" i="1"/>
  <c r="KIV12" i="1"/>
  <c r="KIU12" i="1"/>
  <c r="KIT12" i="1"/>
  <c r="KIS12" i="1"/>
  <c r="KIR12" i="1"/>
  <c r="KIQ12" i="1"/>
  <c r="KIP12" i="1"/>
  <c r="KIO12" i="1"/>
  <c r="KIN12" i="1"/>
  <c r="KIM12" i="1"/>
  <c r="KIL12" i="1"/>
  <c r="KIK12" i="1"/>
  <c r="KIJ12" i="1"/>
  <c r="KII12" i="1"/>
  <c r="KIH12" i="1"/>
  <c r="KIG12" i="1"/>
  <c r="KIF12" i="1"/>
  <c r="KIE12" i="1"/>
  <c r="KID12" i="1"/>
  <c r="KIC12" i="1"/>
  <c r="KIB12" i="1"/>
  <c r="KIA12" i="1"/>
  <c r="KHZ12" i="1"/>
  <c r="KHY12" i="1"/>
  <c r="KHX12" i="1"/>
  <c r="KHW12" i="1"/>
  <c r="KHV12" i="1"/>
  <c r="KHU12" i="1"/>
  <c r="KHT12" i="1"/>
  <c r="KHS12" i="1"/>
  <c r="KHR12" i="1"/>
  <c r="KHQ12" i="1"/>
  <c r="KHP12" i="1"/>
  <c r="KHO12" i="1"/>
  <c r="KHN12" i="1"/>
  <c r="KHM12" i="1"/>
  <c r="KHL12" i="1"/>
  <c r="KHK12" i="1"/>
  <c r="KHJ12" i="1"/>
  <c r="KHI12" i="1"/>
  <c r="KHH12" i="1"/>
  <c r="KHG12" i="1"/>
  <c r="KHF12" i="1"/>
  <c r="KHE12" i="1"/>
  <c r="KHD12" i="1"/>
  <c r="KHC12" i="1"/>
  <c r="KHB12" i="1"/>
  <c r="KHA12" i="1"/>
  <c r="KGZ12" i="1"/>
  <c r="KGY12" i="1"/>
  <c r="KGX12" i="1"/>
  <c r="KGW12" i="1"/>
  <c r="KGV12" i="1"/>
  <c r="KGU12" i="1"/>
  <c r="KKP11" i="1"/>
  <c r="KKO11" i="1"/>
  <c r="KKN11" i="1"/>
  <c r="KKM11" i="1"/>
  <c r="KKL11" i="1"/>
  <c r="KKK11" i="1"/>
  <c r="KKJ11" i="1"/>
  <c r="KKI11" i="1"/>
  <c r="KKH11" i="1"/>
  <c r="KKG11" i="1"/>
  <c r="KKF11" i="1"/>
  <c r="KKE11" i="1"/>
  <c r="KKD11" i="1"/>
  <c r="KKC11" i="1"/>
  <c r="KKB11" i="1"/>
  <c r="KKA11" i="1"/>
  <c r="KJZ11" i="1"/>
  <c r="KJY11" i="1"/>
  <c r="KJX11" i="1"/>
  <c r="KJW11" i="1"/>
  <c r="KJV11" i="1"/>
  <c r="KJU11" i="1"/>
  <c r="KJT11" i="1"/>
  <c r="KJS11" i="1"/>
  <c r="KJR11" i="1"/>
  <c r="KJQ11" i="1"/>
  <c r="KJP11" i="1"/>
  <c r="KJO11" i="1"/>
  <c r="KJN11" i="1"/>
  <c r="KJM11" i="1"/>
  <c r="KJL11" i="1"/>
  <c r="KJK11" i="1"/>
  <c r="KJJ11" i="1"/>
  <c r="KJI11" i="1"/>
  <c r="KJH11" i="1"/>
  <c r="KJG11" i="1"/>
  <c r="KJF11" i="1"/>
  <c r="KJE11" i="1"/>
  <c r="KJD11" i="1"/>
  <c r="KJC11" i="1"/>
  <c r="KJB11" i="1"/>
  <c r="KJA11" i="1"/>
  <c r="KIZ11" i="1"/>
  <c r="KIY11" i="1"/>
  <c r="KIX11" i="1"/>
  <c r="KIW11" i="1"/>
  <c r="KIV11" i="1"/>
  <c r="KIU11" i="1"/>
  <c r="KIT11" i="1"/>
  <c r="KIS11" i="1"/>
  <c r="KIR11" i="1"/>
  <c r="KIQ11" i="1"/>
  <c r="KIP11" i="1"/>
  <c r="KIO11" i="1"/>
  <c r="KIN11" i="1"/>
  <c r="KIM11" i="1"/>
  <c r="KIL11" i="1"/>
  <c r="KIK11" i="1"/>
  <c r="KIJ11" i="1"/>
  <c r="KII11" i="1"/>
  <c r="KIH11" i="1"/>
  <c r="KIG11" i="1"/>
  <c r="KIF11" i="1"/>
  <c r="KIE11" i="1"/>
  <c r="KID11" i="1"/>
  <c r="KIC11" i="1"/>
  <c r="KIB11" i="1"/>
  <c r="KIA11" i="1"/>
  <c r="KHZ11" i="1"/>
  <c r="KHY11" i="1"/>
  <c r="KHX11" i="1"/>
  <c r="KHW11" i="1"/>
  <c r="KHV11" i="1"/>
  <c r="KHU11" i="1"/>
  <c r="KHT11" i="1"/>
  <c r="KHS11" i="1"/>
  <c r="KHR11" i="1"/>
  <c r="KHQ11" i="1"/>
  <c r="KHP11" i="1"/>
  <c r="KHO11" i="1"/>
  <c r="KHN11" i="1"/>
  <c r="KHM11" i="1"/>
  <c r="KHL11" i="1"/>
  <c r="KHK11" i="1"/>
  <c r="KHJ11" i="1"/>
  <c r="KHI11" i="1"/>
  <c r="KHH11" i="1"/>
  <c r="KHG11" i="1"/>
  <c r="KHF11" i="1"/>
  <c r="KHE11" i="1"/>
  <c r="KHD11" i="1"/>
  <c r="KHC11" i="1"/>
  <c r="KHB11" i="1"/>
  <c r="KHA11" i="1"/>
  <c r="KGZ11" i="1"/>
  <c r="KGY11" i="1"/>
  <c r="KGX11" i="1"/>
  <c r="KGW11" i="1"/>
  <c r="KGV11" i="1"/>
  <c r="KGU11" i="1"/>
  <c r="KKP10" i="1"/>
  <c r="KKO10" i="1"/>
  <c r="KKN10" i="1"/>
  <c r="KKM10" i="1"/>
  <c r="KKL10" i="1"/>
  <c r="KKK10" i="1"/>
  <c r="KKJ10" i="1"/>
  <c r="KKI10" i="1"/>
  <c r="KKH10" i="1"/>
  <c r="KKG10" i="1"/>
  <c r="KKF10" i="1"/>
  <c r="KKE10" i="1"/>
  <c r="KKD10" i="1"/>
  <c r="KKC10" i="1"/>
  <c r="KKB10" i="1"/>
  <c r="KKA10" i="1"/>
  <c r="KJZ10" i="1"/>
  <c r="KJY10" i="1"/>
  <c r="KJX10" i="1"/>
  <c r="KJW10" i="1"/>
  <c r="KJV10" i="1"/>
  <c r="KJU10" i="1"/>
  <c r="KJT10" i="1"/>
  <c r="KJS10" i="1"/>
  <c r="KJR10" i="1"/>
  <c r="KJQ10" i="1"/>
  <c r="KJP10" i="1"/>
  <c r="KJO10" i="1"/>
  <c r="KJN10" i="1"/>
  <c r="KJM10" i="1"/>
  <c r="KJL10" i="1"/>
  <c r="KJK10" i="1"/>
  <c r="KJJ10" i="1"/>
  <c r="KJI10" i="1"/>
  <c r="KJH10" i="1"/>
  <c r="KJG10" i="1"/>
  <c r="KJF10" i="1"/>
  <c r="KJE10" i="1"/>
  <c r="KJD10" i="1"/>
  <c r="KJC10" i="1"/>
  <c r="KJB10" i="1"/>
  <c r="KJA10" i="1"/>
  <c r="KIZ10" i="1"/>
  <c r="KIY10" i="1"/>
  <c r="KIX10" i="1"/>
  <c r="KIW10" i="1"/>
  <c r="KIV10" i="1"/>
  <c r="KIU10" i="1"/>
  <c r="KIT10" i="1"/>
  <c r="KIS10" i="1"/>
  <c r="KIR10" i="1"/>
  <c r="KIQ10" i="1"/>
  <c r="KIP10" i="1"/>
  <c r="KIO10" i="1"/>
  <c r="KIN10" i="1"/>
  <c r="KIM10" i="1"/>
  <c r="KIL10" i="1"/>
  <c r="KIK10" i="1"/>
  <c r="KIJ10" i="1"/>
  <c r="KII10" i="1"/>
  <c r="KIH10" i="1"/>
  <c r="KIG10" i="1"/>
  <c r="KIF10" i="1"/>
  <c r="KIE10" i="1"/>
  <c r="KID10" i="1"/>
  <c r="KIC10" i="1"/>
  <c r="KIB10" i="1"/>
  <c r="KIA10" i="1"/>
  <c r="KHZ10" i="1"/>
  <c r="KHY10" i="1"/>
  <c r="KHX10" i="1"/>
  <c r="KHW10" i="1"/>
  <c r="KHV10" i="1"/>
  <c r="KHU10" i="1"/>
  <c r="KHT10" i="1"/>
  <c r="KHS10" i="1"/>
  <c r="KHR10" i="1"/>
  <c r="KHQ10" i="1"/>
  <c r="KHP10" i="1"/>
  <c r="KHO10" i="1"/>
  <c r="KHN10" i="1"/>
  <c r="KHM10" i="1"/>
  <c r="KHL10" i="1"/>
  <c r="KHK10" i="1"/>
  <c r="KHJ10" i="1"/>
  <c r="KHI10" i="1"/>
  <c r="KHH10" i="1"/>
  <c r="KHG10" i="1"/>
  <c r="KHF10" i="1"/>
  <c r="KHE10" i="1"/>
  <c r="KHD10" i="1"/>
  <c r="KHC10" i="1"/>
  <c r="KHB10" i="1"/>
  <c r="KHA10" i="1"/>
  <c r="KGZ10" i="1"/>
  <c r="KGY10" i="1"/>
  <c r="KGX10" i="1"/>
  <c r="KGW10" i="1"/>
  <c r="KGV10" i="1"/>
  <c r="KGU10" i="1"/>
  <c r="KKP9" i="1"/>
  <c r="KKO9" i="1"/>
  <c r="KKN9" i="1"/>
  <c r="KKM9" i="1"/>
  <c r="KKL9" i="1"/>
  <c r="KKK9" i="1"/>
  <c r="KKJ9" i="1"/>
  <c r="KKI9" i="1"/>
  <c r="KKH9" i="1"/>
  <c r="KKG9" i="1"/>
  <c r="KKF9" i="1"/>
  <c r="KKE9" i="1"/>
  <c r="KKD9" i="1"/>
  <c r="KKC9" i="1"/>
  <c r="KKB9" i="1"/>
  <c r="KKA9" i="1"/>
  <c r="KJZ9" i="1"/>
  <c r="KJY9" i="1"/>
  <c r="KJX9" i="1"/>
  <c r="KJW9" i="1"/>
  <c r="KJV9" i="1"/>
  <c r="KJU9" i="1"/>
  <c r="KJT9" i="1"/>
  <c r="KJS9" i="1"/>
  <c r="KJR9" i="1"/>
  <c r="KJQ9" i="1"/>
  <c r="KJP9" i="1"/>
  <c r="KJO9" i="1"/>
  <c r="KJN9" i="1"/>
  <c r="KJM9" i="1"/>
  <c r="KJL9" i="1"/>
  <c r="KJK9" i="1"/>
  <c r="KJJ9" i="1"/>
  <c r="KJI9" i="1"/>
  <c r="KJH9" i="1"/>
  <c r="KJG9" i="1"/>
  <c r="KJF9" i="1"/>
  <c r="KJE9" i="1"/>
  <c r="KJD9" i="1"/>
  <c r="KJC9" i="1"/>
  <c r="KJB9" i="1"/>
  <c r="KJA9" i="1"/>
  <c r="KIZ9" i="1"/>
  <c r="KIY9" i="1"/>
  <c r="KIX9" i="1"/>
  <c r="KIW9" i="1"/>
  <c r="KIV9" i="1"/>
  <c r="KIU9" i="1"/>
  <c r="KIT9" i="1"/>
  <c r="KIS9" i="1"/>
  <c r="KIR9" i="1"/>
  <c r="KIQ9" i="1"/>
  <c r="KIP9" i="1"/>
  <c r="KIO9" i="1"/>
  <c r="KIN9" i="1"/>
  <c r="KIM9" i="1"/>
  <c r="KIL9" i="1"/>
  <c r="KIK9" i="1"/>
  <c r="KIJ9" i="1"/>
  <c r="KII9" i="1"/>
  <c r="KIH9" i="1"/>
  <c r="KIG9" i="1"/>
  <c r="KIF9" i="1"/>
  <c r="KIE9" i="1"/>
  <c r="KID9" i="1"/>
  <c r="KIC9" i="1"/>
  <c r="KIB9" i="1"/>
  <c r="KIA9" i="1"/>
  <c r="KHZ9" i="1"/>
  <c r="KHY9" i="1"/>
  <c r="KHX9" i="1"/>
  <c r="KHW9" i="1"/>
  <c r="KHV9" i="1"/>
  <c r="KHU9" i="1"/>
  <c r="KHT9" i="1"/>
  <c r="KHS9" i="1"/>
  <c r="KHR9" i="1"/>
  <c r="KHQ9" i="1"/>
  <c r="KHP9" i="1"/>
  <c r="KHO9" i="1"/>
  <c r="KHN9" i="1"/>
  <c r="KHM9" i="1"/>
  <c r="KHL9" i="1"/>
  <c r="KHK9" i="1"/>
  <c r="KHJ9" i="1"/>
  <c r="KHI9" i="1"/>
  <c r="KHH9" i="1"/>
  <c r="KHG9" i="1"/>
  <c r="KHF9" i="1"/>
  <c r="KHE9" i="1"/>
  <c r="KHD9" i="1"/>
  <c r="KHC9" i="1"/>
  <c r="KHB9" i="1"/>
  <c r="KHA9" i="1"/>
  <c r="KGZ9" i="1"/>
  <c r="KGY9" i="1"/>
  <c r="KGX9" i="1"/>
  <c r="KGW9" i="1"/>
  <c r="KGV9" i="1"/>
  <c r="KGU9" i="1"/>
  <c r="KKP8" i="1"/>
  <c r="KKO8" i="1"/>
  <c r="KKN8" i="1"/>
  <c r="KKM8" i="1"/>
  <c r="KKL8" i="1"/>
  <c r="KKK8" i="1"/>
  <c r="KKJ8" i="1"/>
  <c r="KKI8" i="1"/>
  <c r="KKH8" i="1"/>
  <c r="KKG8" i="1"/>
  <c r="KKF8" i="1"/>
  <c r="KKE8" i="1"/>
  <c r="KKD8" i="1"/>
  <c r="KKC8" i="1"/>
  <c r="KKB8" i="1"/>
  <c r="KKA8" i="1"/>
  <c r="KJZ8" i="1"/>
  <c r="KJY8" i="1"/>
  <c r="KJX8" i="1"/>
  <c r="KJW8" i="1"/>
  <c r="KJV8" i="1"/>
  <c r="KJU8" i="1"/>
  <c r="KJT8" i="1"/>
  <c r="KJS8" i="1"/>
  <c r="KJR8" i="1"/>
  <c r="KJQ8" i="1"/>
  <c r="KJP8" i="1"/>
  <c r="KJO8" i="1"/>
  <c r="KJN8" i="1"/>
  <c r="KJM8" i="1"/>
  <c r="KJL8" i="1"/>
  <c r="KJK8" i="1"/>
  <c r="KJJ8" i="1"/>
  <c r="KJI8" i="1"/>
  <c r="KJH8" i="1"/>
  <c r="KJG8" i="1"/>
  <c r="KJF8" i="1"/>
  <c r="KJE8" i="1"/>
  <c r="KJD8" i="1"/>
  <c r="KJC8" i="1"/>
  <c r="KJB8" i="1"/>
  <c r="KJA8" i="1"/>
  <c r="KIZ8" i="1"/>
  <c r="KIY8" i="1"/>
  <c r="KIX8" i="1"/>
  <c r="KIW8" i="1"/>
  <c r="KIV8" i="1"/>
  <c r="KIU8" i="1"/>
  <c r="KIT8" i="1"/>
  <c r="KIS8" i="1"/>
  <c r="KIR8" i="1"/>
  <c r="KIQ8" i="1"/>
  <c r="KIP8" i="1"/>
  <c r="KIO8" i="1"/>
  <c r="KIN8" i="1"/>
  <c r="KIM8" i="1"/>
  <c r="KIL8" i="1"/>
  <c r="KIK8" i="1"/>
  <c r="KIJ8" i="1"/>
  <c r="KII8" i="1"/>
  <c r="KIH8" i="1"/>
  <c r="KIG8" i="1"/>
  <c r="KIF8" i="1"/>
  <c r="KIE8" i="1"/>
  <c r="KID8" i="1"/>
  <c r="KIC8" i="1"/>
  <c r="KIB8" i="1"/>
  <c r="KIA8" i="1"/>
  <c r="KHZ8" i="1"/>
  <c r="KHY8" i="1"/>
  <c r="KHX8" i="1"/>
  <c r="KHW8" i="1"/>
  <c r="KHV8" i="1"/>
  <c r="KHU8" i="1"/>
  <c r="KHT8" i="1"/>
  <c r="KHS8" i="1"/>
  <c r="KHR8" i="1"/>
  <c r="KHQ8" i="1"/>
  <c r="KHP8" i="1"/>
  <c r="KHO8" i="1"/>
  <c r="KHN8" i="1"/>
  <c r="KHM8" i="1"/>
  <c r="KHL8" i="1"/>
  <c r="KHK8" i="1"/>
  <c r="KHJ8" i="1"/>
  <c r="KHI8" i="1"/>
  <c r="KHH8" i="1"/>
  <c r="KHG8" i="1"/>
  <c r="KHF8" i="1"/>
  <c r="KHE8" i="1"/>
  <c r="KHD8" i="1"/>
  <c r="KHC8" i="1"/>
  <c r="KHB8" i="1"/>
  <c r="KHA8" i="1"/>
  <c r="KGZ8" i="1"/>
  <c r="KGY8" i="1"/>
  <c r="KGX8" i="1"/>
  <c r="KGW8" i="1"/>
  <c r="KGV8" i="1"/>
  <c r="KGU8" i="1"/>
  <c r="KKP7" i="1"/>
  <c r="KKO7" i="1"/>
  <c r="KKN7" i="1"/>
  <c r="KKM7" i="1"/>
  <c r="KKL7" i="1"/>
  <c r="KKK7" i="1"/>
  <c r="KKJ7" i="1"/>
  <c r="KKI7" i="1"/>
  <c r="KKH7" i="1"/>
  <c r="KKG7" i="1"/>
  <c r="KKF7" i="1"/>
  <c r="KKE7" i="1"/>
  <c r="KKD7" i="1"/>
  <c r="KKC7" i="1"/>
  <c r="KKB7" i="1"/>
  <c r="KKA7" i="1"/>
  <c r="KJZ7" i="1"/>
  <c r="KJY7" i="1"/>
  <c r="KJX7" i="1"/>
  <c r="KJW7" i="1"/>
  <c r="KJV7" i="1"/>
  <c r="KJU7" i="1"/>
  <c r="KJT7" i="1"/>
  <c r="KJS7" i="1"/>
  <c r="KJR7" i="1"/>
  <c r="KJQ7" i="1"/>
  <c r="KJP7" i="1"/>
  <c r="KJO7" i="1"/>
  <c r="KJN7" i="1"/>
  <c r="KJM7" i="1"/>
  <c r="KJL7" i="1"/>
  <c r="KJK7" i="1"/>
  <c r="KJJ7" i="1"/>
  <c r="KJI7" i="1"/>
  <c r="KJH7" i="1"/>
  <c r="KJG7" i="1"/>
  <c r="KJF7" i="1"/>
  <c r="KJE7" i="1"/>
  <c r="KJD7" i="1"/>
  <c r="KJC7" i="1"/>
  <c r="KJB7" i="1"/>
  <c r="KJA7" i="1"/>
  <c r="KIZ7" i="1"/>
  <c r="KIY7" i="1"/>
  <c r="KIX7" i="1"/>
  <c r="KIW7" i="1"/>
  <c r="KIV7" i="1"/>
  <c r="KIU7" i="1"/>
  <c r="KIT7" i="1"/>
  <c r="KIS7" i="1"/>
  <c r="KIR7" i="1"/>
  <c r="KIQ7" i="1"/>
  <c r="KIP7" i="1"/>
  <c r="KIO7" i="1"/>
  <c r="KIN7" i="1"/>
  <c r="KIM7" i="1"/>
  <c r="KIL7" i="1"/>
  <c r="KIK7" i="1"/>
  <c r="KIJ7" i="1"/>
  <c r="KII7" i="1"/>
  <c r="KIH7" i="1"/>
  <c r="KIG7" i="1"/>
  <c r="KIF7" i="1"/>
  <c r="KIE7" i="1"/>
  <c r="KID7" i="1"/>
  <c r="KIC7" i="1"/>
  <c r="KIB7" i="1"/>
  <c r="KIA7" i="1"/>
  <c r="KHZ7" i="1"/>
  <c r="KHY7" i="1"/>
  <c r="KHX7" i="1"/>
  <c r="KHW7" i="1"/>
  <c r="KHV7" i="1"/>
  <c r="KHU7" i="1"/>
  <c r="KHT7" i="1"/>
  <c r="KHS7" i="1"/>
  <c r="KHR7" i="1"/>
  <c r="KHQ7" i="1"/>
  <c r="KHP7" i="1"/>
  <c r="KHO7" i="1"/>
  <c r="KHN7" i="1"/>
  <c r="KHM7" i="1"/>
  <c r="KHL7" i="1"/>
  <c r="KHK7" i="1"/>
  <c r="KHJ7" i="1"/>
  <c r="KHI7" i="1"/>
  <c r="KHH7" i="1"/>
  <c r="KHG7" i="1"/>
  <c r="KHF7" i="1"/>
  <c r="KHE7" i="1"/>
  <c r="KHD7" i="1"/>
  <c r="KHC7" i="1"/>
  <c r="KHB7" i="1"/>
  <c r="KHA7" i="1"/>
  <c r="KGZ7" i="1"/>
  <c r="KGY7" i="1"/>
  <c r="KGX7" i="1"/>
  <c r="KGW7" i="1"/>
  <c r="KGV7" i="1"/>
  <c r="KGU7" i="1"/>
  <c r="KKP6" i="1"/>
  <c r="KKO6" i="1"/>
  <c r="KKN6" i="1"/>
  <c r="KKM6" i="1"/>
  <c r="KKL6" i="1"/>
  <c r="KKK6" i="1"/>
  <c r="KKJ6" i="1"/>
  <c r="KKI6" i="1"/>
  <c r="KKH6" i="1"/>
  <c r="KKG6" i="1"/>
  <c r="KKF6" i="1"/>
  <c r="KKE6" i="1"/>
  <c r="KKD6" i="1"/>
  <c r="KKC6" i="1"/>
  <c r="KKB6" i="1"/>
  <c r="KKA6" i="1"/>
  <c r="KJZ6" i="1"/>
  <c r="KJY6" i="1"/>
  <c r="KJX6" i="1"/>
  <c r="KJW6" i="1"/>
  <c r="KJV6" i="1"/>
  <c r="KJU6" i="1"/>
  <c r="KJT6" i="1"/>
  <c r="KJS6" i="1"/>
  <c r="KJR6" i="1"/>
  <c r="KJQ6" i="1"/>
  <c r="KJP6" i="1"/>
  <c r="KJO6" i="1"/>
  <c r="KJN6" i="1"/>
  <c r="KJM6" i="1"/>
  <c r="KJL6" i="1"/>
  <c r="KJK6" i="1"/>
  <c r="KJJ6" i="1"/>
  <c r="KJI6" i="1"/>
  <c r="KJH6" i="1"/>
  <c r="KJG6" i="1"/>
  <c r="KJF6" i="1"/>
  <c r="KJE6" i="1"/>
  <c r="KJD6" i="1"/>
  <c r="KJC6" i="1"/>
  <c r="KJB6" i="1"/>
  <c r="KJA6" i="1"/>
  <c r="KIZ6" i="1"/>
  <c r="KIY6" i="1"/>
  <c r="KIX6" i="1"/>
  <c r="KIW6" i="1"/>
  <c r="KIV6" i="1"/>
  <c r="KIU6" i="1"/>
  <c r="KIT6" i="1"/>
  <c r="KIS6" i="1"/>
  <c r="KIR6" i="1"/>
  <c r="KIQ6" i="1"/>
  <c r="KIP6" i="1"/>
  <c r="KIO6" i="1"/>
  <c r="KIN6" i="1"/>
  <c r="KIM6" i="1"/>
  <c r="KIL6" i="1"/>
  <c r="KIK6" i="1"/>
  <c r="KIJ6" i="1"/>
  <c r="KII6" i="1"/>
  <c r="KIH6" i="1"/>
  <c r="KIG6" i="1"/>
  <c r="KIF6" i="1"/>
  <c r="KIE6" i="1"/>
  <c r="KID6" i="1"/>
  <c r="KIC6" i="1"/>
  <c r="KIB6" i="1"/>
  <c r="KIA6" i="1"/>
  <c r="KHZ6" i="1"/>
  <c r="KHY6" i="1"/>
  <c r="KHX6" i="1"/>
  <c r="KHW6" i="1"/>
  <c r="KHV6" i="1"/>
  <c r="KHU6" i="1"/>
  <c r="KHT6" i="1"/>
  <c r="KHS6" i="1"/>
  <c r="KHR6" i="1"/>
  <c r="KHQ6" i="1"/>
  <c r="KHP6" i="1"/>
  <c r="KHO6" i="1"/>
  <c r="KHN6" i="1"/>
  <c r="KHM6" i="1"/>
  <c r="KHL6" i="1"/>
  <c r="KHK6" i="1"/>
  <c r="KHJ6" i="1"/>
  <c r="KHI6" i="1"/>
  <c r="KHH6" i="1"/>
  <c r="KHG6" i="1"/>
  <c r="KHF6" i="1"/>
  <c r="KHE6" i="1"/>
  <c r="KHD6" i="1"/>
  <c r="KHC6" i="1"/>
  <c r="KHB6" i="1"/>
  <c r="KHA6" i="1"/>
  <c r="KGZ6" i="1"/>
  <c r="KGY6" i="1"/>
  <c r="KGX6" i="1"/>
  <c r="KGW6" i="1"/>
  <c r="KGV6" i="1"/>
  <c r="KGU6" i="1"/>
  <c r="KKP5" i="1"/>
  <c r="KKO5" i="1"/>
  <c r="KKN5" i="1"/>
  <c r="KKM5" i="1"/>
  <c r="KKL5" i="1"/>
  <c r="KKK5" i="1"/>
  <c r="KKJ5" i="1"/>
  <c r="KKI5" i="1"/>
  <c r="KKH5" i="1"/>
  <c r="KKG5" i="1"/>
  <c r="KKF5" i="1"/>
  <c r="KKE5" i="1"/>
  <c r="KKD5" i="1"/>
  <c r="KKC5" i="1"/>
  <c r="KKB5" i="1"/>
  <c r="KKA5" i="1"/>
  <c r="KJZ5" i="1"/>
  <c r="KJY5" i="1"/>
  <c r="KJX5" i="1"/>
  <c r="KJW5" i="1"/>
  <c r="KJV5" i="1"/>
  <c r="KJU5" i="1"/>
  <c r="KJT5" i="1"/>
  <c r="KJS5" i="1"/>
  <c r="KJR5" i="1"/>
  <c r="KJQ5" i="1"/>
  <c r="KJP5" i="1"/>
  <c r="KJO5" i="1"/>
  <c r="KJN5" i="1"/>
  <c r="KJM5" i="1"/>
  <c r="KJL5" i="1"/>
  <c r="KJK5" i="1"/>
  <c r="KJJ5" i="1"/>
  <c r="KJI5" i="1"/>
  <c r="KJH5" i="1"/>
  <c r="KJG5" i="1"/>
  <c r="KJF5" i="1"/>
  <c r="KJE5" i="1"/>
  <c r="KJD5" i="1"/>
  <c r="KJC5" i="1"/>
  <c r="KJB5" i="1"/>
  <c r="KJA5" i="1"/>
  <c r="KIZ5" i="1"/>
  <c r="KIY5" i="1"/>
  <c r="KIX5" i="1"/>
  <c r="KIW5" i="1"/>
  <c r="KIV5" i="1"/>
  <c r="KIU5" i="1"/>
  <c r="KIT5" i="1"/>
  <c r="KIS5" i="1"/>
  <c r="KIR5" i="1"/>
  <c r="KIQ5" i="1"/>
  <c r="KIP5" i="1"/>
  <c r="KIO5" i="1"/>
  <c r="KIN5" i="1"/>
  <c r="KIM5" i="1"/>
  <c r="KIL5" i="1"/>
  <c r="KIK5" i="1"/>
  <c r="KIJ5" i="1"/>
  <c r="KII5" i="1"/>
  <c r="KIH5" i="1"/>
  <c r="KIG5" i="1"/>
  <c r="KIF5" i="1"/>
  <c r="KIE5" i="1"/>
  <c r="KID5" i="1"/>
  <c r="KIC5" i="1"/>
  <c r="KIB5" i="1"/>
  <c r="KIA5" i="1"/>
  <c r="KHZ5" i="1"/>
  <c r="KHY5" i="1"/>
  <c r="KHX5" i="1"/>
  <c r="KHW5" i="1"/>
  <c r="KHV5" i="1"/>
  <c r="KHU5" i="1"/>
  <c r="KHT5" i="1"/>
  <c r="KHS5" i="1"/>
  <c r="KHR5" i="1"/>
  <c r="KHQ5" i="1"/>
  <c r="KHP5" i="1"/>
  <c r="KHO5" i="1"/>
  <c r="KHN5" i="1"/>
  <c r="KHM5" i="1"/>
  <c r="KHL5" i="1"/>
  <c r="KHK5" i="1"/>
  <c r="KHJ5" i="1"/>
  <c r="KHI5" i="1"/>
  <c r="KHH5" i="1"/>
  <c r="KHG5" i="1"/>
  <c r="KHF5" i="1"/>
  <c r="KHE5" i="1"/>
  <c r="KHD5" i="1"/>
  <c r="KHC5" i="1"/>
  <c r="KHB5" i="1"/>
  <c r="KHA5" i="1"/>
  <c r="KGZ5" i="1"/>
  <c r="KGY5" i="1"/>
  <c r="KGX5" i="1"/>
  <c r="KGW5" i="1"/>
  <c r="KGV5" i="1"/>
  <c r="KGU5" i="1"/>
  <c r="KKP4" i="1"/>
  <c r="KKO4" i="1"/>
  <c r="KKN4" i="1"/>
  <c r="KKM4" i="1"/>
  <c r="KKL4" i="1"/>
  <c r="KKK4" i="1"/>
  <c r="KKJ4" i="1"/>
  <c r="KKI4" i="1"/>
  <c r="KKH4" i="1"/>
  <c r="KKG4" i="1"/>
  <c r="KKF4" i="1"/>
  <c r="KKE4" i="1"/>
  <c r="KKD4" i="1"/>
  <c r="KKC4" i="1"/>
  <c r="KKB4" i="1"/>
  <c r="KKA4" i="1"/>
  <c r="KJZ4" i="1"/>
  <c r="KJY4" i="1"/>
  <c r="KJX4" i="1"/>
  <c r="KJW4" i="1"/>
  <c r="KJV4" i="1"/>
  <c r="KJU4" i="1"/>
  <c r="KJT4" i="1"/>
  <c r="KJS4" i="1"/>
  <c r="KJR4" i="1"/>
  <c r="KJQ4" i="1"/>
  <c r="KJP4" i="1"/>
  <c r="KJO4" i="1"/>
  <c r="KJN4" i="1"/>
  <c r="KJM4" i="1"/>
  <c r="KJL4" i="1"/>
  <c r="KJK4" i="1"/>
  <c r="KJJ4" i="1"/>
  <c r="KJI4" i="1"/>
  <c r="KJH4" i="1"/>
  <c r="KJG4" i="1"/>
  <c r="KJF4" i="1"/>
  <c r="KJE4" i="1"/>
  <c r="KJD4" i="1"/>
  <c r="KJC4" i="1"/>
  <c r="KJB4" i="1"/>
  <c r="KJA4" i="1"/>
  <c r="KIZ4" i="1"/>
  <c r="KIY4" i="1"/>
  <c r="KIX4" i="1"/>
  <c r="KIW4" i="1"/>
  <c r="KIV4" i="1"/>
  <c r="KIU4" i="1"/>
  <c r="KIT4" i="1"/>
  <c r="KIS4" i="1"/>
  <c r="KIR4" i="1"/>
  <c r="KIQ4" i="1"/>
  <c r="KIP4" i="1"/>
  <c r="KIO4" i="1"/>
  <c r="KIN4" i="1"/>
  <c r="KIM4" i="1"/>
  <c r="KIL4" i="1"/>
  <c r="KIK4" i="1"/>
  <c r="KIJ4" i="1"/>
  <c r="KII4" i="1"/>
  <c r="KIH4" i="1"/>
  <c r="KIG4" i="1"/>
  <c r="KIF4" i="1"/>
  <c r="KIE4" i="1"/>
  <c r="KID4" i="1"/>
  <c r="KIC4" i="1"/>
  <c r="KIB4" i="1"/>
  <c r="KIA4" i="1"/>
  <c r="KHZ4" i="1"/>
  <c r="KHY4" i="1"/>
  <c r="KHX4" i="1"/>
  <c r="KHW4" i="1"/>
  <c r="KHV4" i="1"/>
  <c r="KHU4" i="1"/>
  <c r="KHT4" i="1"/>
  <c r="KHS4" i="1"/>
  <c r="KHR4" i="1"/>
  <c r="KHQ4" i="1"/>
  <c r="KHP4" i="1"/>
  <c r="KHO4" i="1"/>
  <c r="KHN4" i="1"/>
  <c r="KHM4" i="1"/>
  <c r="KHL4" i="1"/>
  <c r="KHK4" i="1"/>
  <c r="KHJ4" i="1"/>
  <c r="KHI4" i="1"/>
  <c r="KHH4" i="1"/>
  <c r="KHG4" i="1"/>
  <c r="KHF4" i="1"/>
  <c r="KHE4" i="1"/>
  <c r="KHD4" i="1"/>
  <c r="KHC4" i="1"/>
  <c r="KHB4" i="1"/>
  <c r="KHA4" i="1"/>
  <c r="KGZ4" i="1"/>
  <c r="KGY4" i="1"/>
  <c r="KGX4" i="1"/>
  <c r="KGW4" i="1"/>
  <c r="KGV4" i="1"/>
  <c r="KGU4" i="1"/>
  <c r="KKP3" i="1"/>
  <c r="KKO3" i="1"/>
  <c r="KKN3" i="1"/>
  <c r="KKM3" i="1"/>
  <c r="KKL3" i="1"/>
  <c r="KKK3" i="1"/>
  <c r="KKJ3" i="1"/>
  <c r="KKI3" i="1"/>
  <c r="KKH3" i="1"/>
  <c r="KKG3" i="1"/>
  <c r="KKF3" i="1"/>
  <c r="KKE3" i="1"/>
  <c r="KKD3" i="1"/>
  <c r="KKC3" i="1"/>
  <c r="KKB3" i="1"/>
  <c r="KKA3" i="1"/>
  <c r="KJZ3" i="1"/>
  <c r="KJY3" i="1"/>
  <c r="KJX3" i="1"/>
  <c r="KJW3" i="1"/>
  <c r="KJV3" i="1"/>
  <c r="KJU3" i="1"/>
  <c r="KJT3" i="1"/>
  <c r="KJS3" i="1"/>
  <c r="KJR3" i="1"/>
  <c r="KJQ3" i="1"/>
  <c r="KJP3" i="1"/>
  <c r="KJO3" i="1"/>
  <c r="KJN3" i="1"/>
  <c r="KJM3" i="1"/>
  <c r="KJL3" i="1"/>
  <c r="KJK3" i="1"/>
  <c r="KJJ3" i="1"/>
  <c r="KJI3" i="1"/>
  <c r="KJH3" i="1"/>
  <c r="KJG3" i="1"/>
  <c r="KJF3" i="1"/>
  <c r="KJE3" i="1"/>
  <c r="KJD3" i="1"/>
  <c r="KJC3" i="1"/>
  <c r="KJB3" i="1"/>
  <c r="KJA3" i="1"/>
  <c r="KIZ3" i="1"/>
  <c r="KIY3" i="1"/>
  <c r="KIX3" i="1"/>
  <c r="KIW3" i="1"/>
  <c r="KIV3" i="1"/>
  <c r="KIU3" i="1"/>
  <c r="KIT3" i="1"/>
  <c r="KIS3" i="1"/>
  <c r="KIR3" i="1"/>
  <c r="KIQ3" i="1"/>
  <c r="KIP3" i="1"/>
  <c r="KIO3" i="1"/>
  <c r="KIN3" i="1"/>
  <c r="KIM3" i="1"/>
  <c r="KIL3" i="1"/>
  <c r="KIK3" i="1"/>
  <c r="KIJ3" i="1"/>
  <c r="KII3" i="1"/>
  <c r="KIH3" i="1"/>
  <c r="KIG3" i="1"/>
  <c r="KIF3" i="1"/>
  <c r="KIE3" i="1"/>
  <c r="KID3" i="1"/>
  <c r="KIC3" i="1"/>
  <c r="KIB3" i="1"/>
  <c r="KIA3" i="1"/>
  <c r="KHZ3" i="1"/>
  <c r="KHY3" i="1"/>
  <c r="KHX3" i="1"/>
  <c r="KHW3" i="1"/>
  <c r="KHV3" i="1"/>
  <c r="KHU3" i="1"/>
  <c r="KHT3" i="1"/>
  <c r="KHS3" i="1"/>
  <c r="KHR3" i="1"/>
  <c r="KHQ3" i="1"/>
  <c r="KHP3" i="1"/>
  <c r="KHO3" i="1"/>
  <c r="KHN3" i="1"/>
  <c r="KHM3" i="1"/>
  <c r="KHL3" i="1"/>
  <c r="KHK3" i="1"/>
  <c r="KHJ3" i="1"/>
  <c r="KHI3" i="1"/>
  <c r="KHH3" i="1"/>
  <c r="KHG3" i="1"/>
  <c r="KHF3" i="1"/>
  <c r="KHE3" i="1"/>
  <c r="KHD3" i="1"/>
  <c r="KHC3" i="1"/>
  <c r="KHB3" i="1"/>
  <c r="KHA3" i="1"/>
  <c r="KGZ3" i="1"/>
  <c r="KGY3" i="1"/>
  <c r="KGX3" i="1"/>
  <c r="KGW3" i="1"/>
  <c r="KGV3" i="1"/>
  <c r="KGU3" i="1"/>
  <c r="KKP2" i="1"/>
  <c r="KKO2" i="1"/>
  <c r="KKN2" i="1"/>
  <c r="KKM2" i="1"/>
  <c r="KKL2" i="1"/>
  <c r="KKK2" i="1"/>
  <c r="KKJ2" i="1"/>
  <c r="KKI2" i="1"/>
  <c r="KKH2" i="1"/>
  <c r="KKG2" i="1"/>
  <c r="KKF2" i="1"/>
  <c r="KKE2" i="1"/>
  <c r="KKD2" i="1"/>
  <c r="KKC2" i="1"/>
  <c r="KKB2" i="1"/>
  <c r="KKA2" i="1"/>
  <c r="KJZ2" i="1"/>
  <c r="KJY2" i="1"/>
  <c r="KJX2" i="1"/>
  <c r="KJW2" i="1"/>
  <c r="KJV2" i="1"/>
  <c r="KJU2" i="1"/>
  <c r="KJT2" i="1"/>
  <c r="KJS2" i="1"/>
  <c r="KJR2" i="1"/>
  <c r="KJQ2" i="1"/>
  <c r="KJP2" i="1"/>
  <c r="KJO2" i="1"/>
  <c r="KJN2" i="1"/>
  <c r="KJM2" i="1"/>
  <c r="KJL2" i="1"/>
  <c r="KJK2" i="1"/>
  <c r="KJJ2" i="1"/>
  <c r="KJI2" i="1"/>
  <c r="KJH2" i="1"/>
  <c r="KJG2" i="1"/>
  <c r="KJF2" i="1"/>
  <c r="KJE2" i="1"/>
  <c r="KJD2" i="1"/>
  <c r="KJC2" i="1"/>
  <c r="KJB2" i="1"/>
  <c r="KJA2" i="1"/>
  <c r="KIZ2" i="1"/>
  <c r="KIY2" i="1"/>
  <c r="KIX2" i="1"/>
  <c r="KIW2" i="1"/>
  <c r="KIV2" i="1"/>
  <c r="KIU2" i="1"/>
  <c r="KIT2" i="1"/>
  <c r="KIS2" i="1"/>
  <c r="KIR2" i="1"/>
  <c r="KIQ2" i="1"/>
  <c r="KIP2" i="1"/>
  <c r="KIO2" i="1"/>
  <c r="KIN2" i="1"/>
  <c r="KIM2" i="1"/>
  <c r="KIL2" i="1"/>
  <c r="KIK2" i="1"/>
  <c r="KIJ2" i="1"/>
  <c r="KII2" i="1"/>
  <c r="KIH2" i="1"/>
  <c r="KIG2" i="1"/>
  <c r="KIF2" i="1"/>
  <c r="KIE2" i="1"/>
  <c r="KID2" i="1"/>
  <c r="KIC2" i="1"/>
  <c r="KIB2" i="1"/>
  <c r="KIA2" i="1"/>
  <c r="KHZ2" i="1"/>
  <c r="KHY2" i="1"/>
  <c r="KHX2" i="1"/>
  <c r="KHW2" i="1"/>
  <c r="KHV2" i="1"/>
  <c r="KHU2" i="1"/>
  <c r="KHT2" i="1"/>
  <c r="KHS2" i="1"/>
  <c r="KHR2" i="1"/>
  <c r="KHQ2" i="1"/>
  <c r="KHP2" i="1"/>
  <c r="KHO2" i="1"/>
  <c r="KHN2" i="1"/>
  <c r="KHM2" i="1"/>
  <c r="KHL2" i="1"/>
  <c r="KHK2" i="1"/>
  <c r="KHJ2" i="1"/>
  <c r="KHI2" i="1"/>
  <c r="KHH2" i="1"/>
  <c r="KHG2" i="1"/>
  <c r="KHF2" i="1"/>
  <c r="KHE2" i="1"/>
  <c r="KHD2" i="1"/>
  <c r="KHC2" i="1"/>
  <c r="KHB2" i="1"/>
  <c r="KHA2" i="1"/>
  <c r="KGZ2" i="1"/>
  <c r="KGY2" i="1"/>
  <c r="KGX2" i="1"/>
  <c r="KGW2" i="1"/>
  <c r="KGV2" i="1"/>
  <c r="KGU2" i="1"/>
  <c r="KGT84" i="1" l="1"/>
  <c r="KGS84" i="1"/>
  <c r="KGR84" i="1"/>
  <c r="KGQ84" i="1"/>
  <c r="KGP84" i="1"/>
  <c r="KGO84" i="1"/>
  <c r="KGN84" i="1"/>
  <c r="KGM84" i="1"/>
  <c r="KGL84" i="1"/>
  <c r="KGK84" i="1"/>
  <c r="KGJ84" i="1"/>
  <c r="KGI84" i="1"/>
  <c r="KGH84" i="1"/>
  <c r="KGG84" i="1"/>
  <c r="KGF84" i="1"/>
  <c r="KGE84" i="1"/>
  <c r="KGD84" i="1"/>
  <c r="KGC84" i="1"/>
  <c r="KGB84" i="1"/>
  <c r="KGA84" i="1"/>
  <c r="KFZ84" i="1"/>
  <c r="KFY84" i="1"/>
  <c r="KFX84" i="1"/>
  <c r="KFW84" i="1"/>
  <c r="KFV84" i="1"/>
  <c r="KFU84" i="1"/>
  <c r="KFT84" i="1"/>
  <c r="KFS84" i="1"/>
  <c r="KFR84" i="1"/>
  <c r="KFQ84" i="1"/>
  <c r="KFP84" i="1"/>
  <c r="KFO84" i="1"/>
  <c r="KFN84" i="1"/>
  <c r="KFM84" i="1"/>
  <c r="KFL84" i="1"/>
  <c r="KFK84" i="1"/>
  <c r="KFJ84" i="1"/>
  <c r="KFI84" i="1"/>
  <c r="KFH84" i="1"/>
  <c r="KFG84" i="1"/>
  <c r="KFF84" i="1"/>
  <c r="KFE84" i="1"/>
  <c r="KFD84" i="1"/>
  <c r="KFC84" i="1"/>
  <c r="KFB84" i="1"/>
  <c r="KFA84" i="1"/>
  <c r="KEZ84" i="1"/>
  <c r="KEY84" i="1"/>
  <c r="KEX84" i="1"/>
  <c r="KEW84" i="1"/>
  <c r="KEV84" i="1"/>
  <c r="KEU84" i="1"/>
  <c r="KET84" i="1"/>
  <c r="KES84" i="1"/>
  <c r="KER84" i="1"/>
  <c r="KEQ84" i="1"/>
  <c r="KEP84" i="1"/>
  <c r="KEO84" i="1"/>
  <c r="KEN84" i="1"/>
  <c r="KEM84" i="1"/>
  <c r="KEL84" i="1"/>
  <c r="KEK84" i="1"/>
  <c r="KEJ84" i="1"/>
  <c r="KEI84" i="1"/>
  <c r="KEH84" i="1"/>
  <c r="KEG84" i="1"/>
  <c r="KEF84" i="1"/>
  <c r="KEE84" i="1"/>
  <c r="KED84" i="1"/>
  <c r="KEC84" i="1"/>
  <c r="KEB84" i="1"/>
  <c r="KEA84" i="1"/>
  <c r="KDZ84" i="1"/>
  <c r="KDY84" i="1"/>
  <c r="KDX84" i="1"/>
  <c r="KDW84" i="1"/>
  <c r="KDV84" i="1"/>
  <c r="KDU84" i="1"/>
  <c r="KDT84" i="1"/>
  <c r="KDS84" i="1"/>
  <c r="KDR84" i="1"/>
  <c r="KDQ84" i="1"/>
  <c r="KDP84" i="1"/>
  <c r="KDO84" i="1"/>
  <c r="KDN84" i="1"/>
  <c r="KDM84" i="1"/>
  <c r="KDL84" i="1"/>
  <c r="KDK84" i="1"/>
  <c r="KDJ84" i="1"/>
  <c r="KDI84" i="1"/>
  <c r="KDH84" i="1"/>
  <c r="KDG84" i="1"/>
  <c r="KDF84" i="1"/>
  <c r="KDE84" i="1"/>
  <c r="KDD84" i="1"/>
  <c r="KDC84" i="1"/>
  <c r="KDB84" i="1"/>
  <c r="KDA84" i="1"/>
  <c r="KCZ84" i="1"/>
  <c r="KCY84" i="1"/>
  <c r="KCX84" i="1"/>
  <c r="KCW84" i="1"/>
  <c r="KCV84" i="1"/>
  <c r="KCU84" i="1"/>
  <c r="KCT84" i="1"/>
  <c r="KCS84" i="1"/>
  <c r="KCR84" i="1"/>
  <c r="KCQ84" i="1"/>
  <c r="KCP84" i="1"/>
  <c r="KCO84" i="1"/>
  <c r="KCN84" i="1"/>
  <c r="KCM84" i="1"/>
  <c r="KCL84" i="1"/>
  <c r="KCK84" i="1"/>
  <c r="KCJ84" i="1"/>
  <c r="KCI84" i="1"/>
  <c r="KCH84" i="1"/>
  <c r="KCG84" i="1"/>
  <c r="KCF84" i="1"/>
  <c r="KCE84" i="1"/>
  <c r="KCD84" i="1"/>
  <c r="KCC84" i="1"/>
  <c r="KCB84" i="1"/>
  <c r="KCA84" i="1"/>
  <c r="KBZ84" i="1"/>
  <c r="KBY84" i="1"/>
  <c r="KBX84" i="1"/>
  <c r="KBW84" i="1"/>
  <c r="KBV84" i="1"/>
  <c r="KBU84" i="1"/>
  <c r="KBT84" i="1"/>
  <c r="KBS84" i="1"/>
  <c r="KBR84" i="1"/>
  <c r="KBQ84" i="1"/>
  <c r="KBP84" i="1"/>
  <c r="KBO84" i="1"/>
  <c r="KBN84" i="1"/>
  <c r="KBM84" i="1"/>
  <c r="KBL84" i="1"/>
  <c r="KBK84" i="1"/>
  <c r="KBJ84" i="1"/>
  <c r="KBI84" i="1"/>
  <c r="KBH84" i="1"/>
  <c r="KBG84" i="1"/>
  <c r="KBF84" i="1"/>
  <c r="KBE84" i="1"/>
  <c r="KBD84" i="1"/>
  <c r="KBC84" i="1"/>
  <c r="KBB84" i="1"/>
  <c r="KBA84" i="1"/>
  <c r="KAZ84" i="1"/>
  <c r="KAY84" i="1"/>
  <c r="KAX84" i="1"/>
  <c r="KAW84" i="1"/>
  <c r="KAV84" i="1"/>
  <c r="KAU84" i="1"/>
  <c r="KAT84" i="1"/>
  <c r="KAS84" i="1"/>
  <c r="KAR84" i="1"/>
  <c r="KAQ84" i="1"/>
  <c r="KAP84" i="1"/>
  <c r="KAO84" i="1"/>
  <c r="KAN84" i="1"/>
  <c r="KAM84" i="1"/>
  <c r="KAL84" i="1"/>
  <c r="KAK84" i="1"/>
  <c r="KAJ84" i="1"/>
  <c r="KAI84" i="1"/>
  <c r="KAH84" i="1"/>
  <c r="KAG84" i="1"/>
  <c r="KAF84" i="1"/>
  <c r="KAE84" i="1"/>
  <c r="KAD84" i="1"/>
  <c r="KAC84" i="1"/>
  <c r="KAB84" i="1"/>
  <c r="KAA84" i="1"/>
  <c r="JZZ84" i="1"/>
  <c r="JZY84" i="1"/>
  <c r="JZX84" i="1"/>
  <c r="JZW84" i="1"/>
  <c r="JZV84" i="1"/>
  <c r="JZU84" i="1"/>
  <c r="JZT84" i="1"/>
  <c r="JZS84" i="1"/>
  <c r="JZR84" i="1"/>
  <c r="JZQ84" i="1"/>
  <c r="JZP84" i="1"/>
  <c r="JZO84" i="1"/>
  <c r="JZN84" i="1"/>
  <c r="JZM84" i="1"/>
  <c r="JZL84" i="1"/>
  <c r="JZK84" i="1"/>
  <c r="JZJ84" i="1"/>
  <c r="JZI84" i="1"/>
  <c r="JZH84" i="1"/>
  <c r="JZG84" i="1"/>
  <c r="JZF84" i="1"/>
  <c r="JZE84" i="1"/>
  <c r="JZD84" i="1"/>
  <c r="JZC84" i="1"/>
  <c r="JZB84" i="1"/>
  <c r="JZA84" i="1"/>
  <c r="JYZ84" i="1"/>
  <c r="JYY84" i="1"/>
  <c r="JYX84" i="1"/>
  <c r="JYW84" i="1"/>
  <c r="JYV84" i="1"/>
  <c r="JYU84" i="1"/>
  <c r="JYT84" i="1"/>
  <c r="JYS84" i="1"/>
  <c r="JYR84" i="1"/>
  <c r="JYQ84" i="1"/>
  <c r="JYP84" i="1"/>
  <c r="JYO84" i="1"/>
  <c r="JYN84" i="1"/>
  <c r="JYM84" i="1"/>
  <c r="JYL84" i="1"/>
  <c r="JYK84" i="1"/>
  <c r="JYJ84" i="1"/>
  <c r="JYI84" i="1"/>
  <c r="JYH84" i="1"/>
  <c r="JYG84" i="1"/>
  <c r="JYF84" i="1"/>
  <c r="JYE84" i="1"/>
  <c r="JYD84" i="1"/>
  <c r="JYC84" i="1"/>
  <c r="JYB84" i="1"/>
  <c r="JYA84" i="1"/>
  <c r="JXZ84" i="1"/>
  <c r="JXY84" i="1"/>
  <c r="JXX84" i="1"/>
  <c r="JXW84" i="1"/>
  <c r="JXV84" i="1"/>
  <c r="JXU84" i="1"/>
  <c r="JXT84" i="1"/>
  <c r="JXS84" i="1"/>
  <c r="JXR84" i="1"/>
  <c r="JXQ84" i="1"/>
  <c r="JXP84" i="1"/>
  <c r="JXO84" i="1"/>
  <c r="JXN84" i="1"/>
  <c r="JXM84" i="1"/>
  <c r="JXL84" i="1"/>
  <c r="JXK84" i="1"/>
  <c r="JXJ84" i="1"/>
  <c r="JXI84" i="1"/>
  <c r="JXH84" i="1"/>
  <c r="JXG84" i="1"/>
  <c r="JXF84" i="1"/>
  <c r="JXE84" i="1"/>
  <c r="JXD84" i="1"/>
  <c r="JXC84" i="1"/>
  <c r="JXB84" i="1"/>
  <c r="JXA84" i="1"/>
  <c r="JWZ84" i="1"/>
  <c r="JWY84" i="1"/>
  <c r="JWX84" i="1"/>
  <c r="JWW84" i="1"/>
  <c r="JWV84" i="1"/>
  <c r="JWU84" i="1"/>
  <c r="JWT84" i="1"/>
  <c r="JWS84" i="1"/>
  <c r="JWR84" i="1"/>
  <c r="JWQ84" i="1"/>
  <c r="JWP84" i="1"/>
  <c r="JWO84" i="1"/>
  <c r="JWN84" i="1"/>
  <c r="JWM84" i="1"/>
  <c r="JWL84" i="1"/>
  <c r="JWK84" i="1"/>
  <c r="JWJ84" i="1"/>
  <c r="JWI84" i="1"/>
  <c r="JWH84" i="1"/>
  <c r="JWG84" i="1"/>
  <c r="JWF84" i="1"/>
  <c r="JWE84" i="1"/>
  <c r="JWD84" i="1"/>
  <c r="JWC84" i="1"/>
  <c r="JWB84" i="1"/>
  <c r="JWA84" i="1"/>
  <c r="JVZ84" i="1"/>
  <c r="JVY84" i="1"/>
  <c r="JVX84" i="1"/>
  <c r="JVW84" i="1"/>
  <c r="JVV84" i="1"/>
  <c r="JVU84" i="1"/>
  <c r="JVT84" i="1"/>
  <c r="JVS84" i="1"/>
  <c r="JVR84" i="1"/>
  <c r="JVQ84" i="1"/>
  <c r="JVP84" i="1"/>
  <c r="JVO84" i="1"/>
  <c r="JVN84" i="1"/>
  <c r="JVM84" i="1"/>
  <c r="JVL84" i="1"/>
  <c r="JVK84" i="1"/>
  <c r="JVJ84" i="1"/>
  <c r="JVI84" i="1"/>
  <c r="JVH84" i="1"/>
  <c r="JVG84" i="1"/>
  <c r="JVF84" i="1"/>
  <c r="JVE84" i="1"/>
  <c r="JVD84" i="1"/>
  <c r="JVC84" i="1"/>
  <c r="JVB84" i="1"/>
  <c r="JVA84" i="1"/>
  <c r="JUZ84" i="1"/>
  <c r="JUY84" i="1"/>
  <c r="JUX84" i="1"/>
  <c r="JUW84" i="1"/>
  <c r="JUV84" i="1"/>
  <c r="JUU84" i="1"/>
  <c r="JUT84" i="1"/>
  <c r="JUS84" i="1"/>
  <c r="JUR84" i="1"/>
  <c r="JUQ84" i="1"/>
  <c r="JUP84" i="1"/>
  <c r="JUO84" i="1"/>
  <c r="JUN84" i="1"/>
  <c r="JUM84" i="1"/>
  <c r="JUL84" i="1"/>
  <c r="JUK84" i="1"/>
  <c r="JUJ84" i="1"/>
  <c r="JUI84" i="1"/>
  <c r="JUH84" i="1"/>
  <c r="JUG84" i="1"/>
  <c r="JUF84" i="1"/>
  <c r="JUE84" i="1"/>
  <c r="JUD84" i="1"/>
  <c r="JUC84" i="1"/>
  <c r="JUB84" i="1"/>
  <c r="JUA84" i="1"/>
  <c r="JTZ84" i="1"/>
  <c r="JTY84" i="1"/>
  <c r="JTX84" i="1"/>
  <c r="JTW84" i="1"/>
  <c r="JTV84" i="1"/>
  <c r="JTU84" i="1"/>
  <c r="JTT84" i="1"/>
  <c r="JTS84" i="1"/>
  <c r="JTR84" i="1"/>
  <c r="JTQ84" i="1"/>
  <c r="JTP84" i="1"/>
  <c r="JTO84" i="1"/>
  <c r="JTN84" i="1"/>
  <c r="JTM84" i="1"/>
  <c r="JTL84" i="1"/>
  <c r="JTK84" i="1"/>
  <c r="JTJ84" i="1"/>
  <c r="JTI84" i="1"/>
  <c r="JTH84" i="1"/>
  <c r="JTG84" i="1"/>
  <c r="JTF84" i="1"/>
  <c r="JTE84" i="1"/>
  <c r="JTD84" i="1"/>
  <c r="JTC84" i="1"/>
  <c r="JTB84" i="1"/>
  <c r="JTA84" i="1"/>
  <c r="JSZ84" i="1"/>
  <c r="JSY84" i="1"/>
  <c r="JSX84" i="1"/>
  <c r="JSW84" i="1"/>
  <c r="JSV84" i="1"/>
  <c r="JSU84" i="1"/>
  <c r="JST84" i="1"/>
  <c r="JSS84" i="1"/>
  <c r="JSR84" i="1"/>
  <c r="JSQ84" i="1"/>
  <c r="JSP84" i="1"/>
  <c r="JSO84" i="1"/>
  <c r="JSN84" i="1"/>
  <c r="JSM84" i="1"/>
  <c r="JSL84" i="1"/>
  <c r="JSK84" i="1"/>
  <c r="JSJ84" i="1"/>
  <c r="JSI84" i="1"/>
  <c r="JSH84" i="1"/>
  <c r="JSG84" i="1"/>
  <c r="JSF84" i="1"/>
  <c r="JSE84" i="1"/>
  <c r="JSD84" i="1"/>
  <c r="JSC84" i="1"/>
  <c r="JSB84" i="1"/>
  <c r="JSA84" i="1"/>
  <c r="JRZ84" i="1"/>
  <c r="JRY84" i="1"/>
  <c r="JRX84" i="1"/>
  <c r="JRW84" i="1"/>
  <c r="JRV84" i="1"/>
  <c r="JRU84" i="1"/>
  <c r="JRT84" i="1"/>
  <c r="JRS84" i="1"/>
  <c r="JRR84" i="1"/>
  <c r="JRQ84" i="1"/>
  <c r="JRP84" i="1"/>
  <c r="JRO84" i="1"/>
  <c r="JRN84" i="1"/>
  <c r="JRM84" i="1"/>
  <c r="JRL84" i="1"/>
  <c r="JRK84" i="1"/>
  <c r="JRJ84" i="1"/>
  <c r="JRI84" i="1"/>
  <c r="JRH84" i="1"/>
  <c r="JRG84" i="1"/>
  <c r="JRF84" i="1"/>
  <c r="JRE84" i="1"/>
  <c r="JRD84" i="1"/>
  <c r="JRC84" i="1"/>
  <c r="JRB84" i="1"/>
  <c r="JRA84" i="1"/>
  <c r="JQZ84" i="1"/>
  <c r="JQY84" i="1"/>
  <c r="JQX84" i="1"/>
  <c r="JQW84" i="1"/>
  <c r="JQV84" i="1"/>
  <c r="JQU84" i="1"/>
  <c r="JQT84" i="1"/>
  <c r="JQS84" i="1"/>
  <c r="JQR84" i="1"/>
  <c r="JQQ84" i="1"/>
  <c r="JQP84" i="1"/>
  <c r="JQO84" i="1"/>
  <c r="JQN84" i="1"/>
  <c r="JQM84" i="1"/>
  <c r="JQL84" i="1"/>
  <c r="JQK84" i="1"/>
  <c r="JQJ84" i="1"/>
  <c r="JQI84" i="1"/>
  <c r="JQH84" i="1"/>
  <c r="JQG84" i="1"/>
  <c r="JQF84" i="1"/>
  <c r="JQE84" i="1"/>
  <c r="JQD84" i="1"/>
  <c r="JQC84" i="1"/>
  <c r="JQB84" i="1"/>
  <c r="JQA84" i="1"/>
  <c r="JPZ84" i="1"/>
  <c r="JPY84" i="1"/>
  <c r="JPX84" i="1"/>
  <c r="JPW84" i="1"/>
  <c r="JPV84" i="1"/>
  <c r="JPU84" i="1"/>
  <c r="JPT84" i="1"/>
  <c r="JPS84" i="1"/>
  <c r="JPR84" i="1"/>
  <c r="JPQ84" i="1"/>
  <c r="JPP84" i="1"/>
  <c r="JPO84" i="1"/>
  <c r="JPN84" i="1"/>
  <c r="JPM84" i="1"/>
  <c r="JPL84" i="1"/>
  <c r="JPK84" i="1"/>
  <c r="JPJ84" i="1"/>
  <c r="JPI84" i="1"/>
  <c r="JPH84" i="1"/>
  <c r="JPG84" i="1"/>
  <c r="JPF84" i="1"/>
  <c r="JPE84" i="1"/>
  <c r="JPD84" i="1"/>
  <c r="JPC84" i="1"/>
  <c r="JPB84" i="1"/>
  <c r="JPA84" i="1"/>
  <c r="JOZ84" i="1"/>
  <c r="JOY84" i="1"/>
  <c r="JOX84" i="1"/>
  <c r="JOW84" i="1"/>
  <c r="JOV84" i="1"/>
  <c r="JOU84" i="1"/>
  <c r="JOT84" i="1"/>
  <c r="JOS84" i="1"/>
  <c r="JOR84" i="1"/>
  <c r="JOQ84" i="1"/>
  <c r="JOP84" i="1"/>
  <c r="JOO84" i="1"/>
  <c r="JON84" i="1"/>
  <c r="JOM84" i="1"/>
  <c r="JOL84" i="1"/>
  <c r="JOK84" i="1"/>
  <c r="JOJ84" i="1"/>
  <c r="JOI84" i="1"/>
  <c r="JOH84" i="1"/>
  <c r="JOG84" i="1"/>
  <c r="JOF84" i="1"/>
  <c r="JOE84" i="1"/>
  <c r="JOD84" i="1"/>
  <c r="JOC84" i="1"/>
  <c r="JOB84" i="1"/>
  <c r="JOA84" i="1"/>
  <c r="JNZ84" i="1"/>
  <c r="JNY84" i="1"/>
  <c r="JNX84" i="1"/>
  <c r="JNW84" i="1"/>
  <c r="JNV84" i="1"/>
  <c r="JNU84" i="1"/>
  <c r="JNT84" i="1"/>
  <c r="JNS84" i="1"/>
  <c r="JNR84" i="1"/>
  <c r="JNQ84" i="1"/>
  <c r="JNP84" i="1"/>
  <c r="JNO84" i="1"/>
  <c r="JNN84" i="1"/>
  <c r="JNM84" i="1"/>
  <c r="JNL84" i="1"/>
  <c r="JNK84" i="1"/>
  <c r="JNJ84" i="1"/>
  <c r="JNI84" i="1"/>
  <c r="JNH84" i="1"/>
  <c r="JNG84" i="1"/>
  <c r="JNF84" i="1"/>
  <c r="JNE84" i="1"/>
  <c r="JND84" i="1"/>
  <c r="JNC84" i="1"/>
  <c r="JNB84" i="1"/>
  <c r="JNA84" i="1"/>
  <c r="JMZ84" i="1"/>
  <c r="JMY84" i="1"/>
  <c r="JMX84" i="1"/>
  <c r="JMW84" i="1"/>
  <c r="JMV84" i="1"/>
  <c r="JMU84" i="1"/>
  <c r="JMT84" i="1"/>
  <c r="JMS84" i="1"/>
  <c r="JMR84" i="1"/>
  <c r="JMQ84" i="1"/>
  <c r="JMP84" i="1"/>
  <c r="JMO84" i="1"/>
  <c r="JMN84" i="1"/>
  <c r="JMM84" i="1"/>
  <c r="JML84" i="1"/>
  <c r="JMK84" i="1"/>
  <c r="JMJ84" i="1"/>
  <c r="JMI84" i="1"/>
  <c r="JMH84" i="1"/>
  <c r="JMG84" i="1"/>
  <c r="JMF84" i="1"/>
  <c r="JME84" i="1"/>
  <c r="JMD84" i="1"/>
  <c r="JMC84" i="1"/>
  <c r="JMB84" i="1"/>
  <c r="JMA84" i="1"/>
  <c r="JLZ84" i="1"/>
  <c r="JLY84" i="1"/>
  <c r="JLX84" i="1"/>
  <c r="JLW84" i="1"/>
  <c r="JLV84" i="1"/>
  <c r="JLU84" i="1"/>
  <c r="JLT84" i="1"/>
  <c r="JLS84" i="1"/>
  <c r="JLR84" i="1"/>
  <c r="JLQ84" i="1"/>
  <c r="JLP84" i="1"/>
  <c r="JLO84" i="1"/>
  <c r="JLN84" i="1"/>
  <c r="JLM84" i="1"/>
  <c r="JLL84" i="1"/>
  <c r="JLK84" i="1"/>
  <c r="JLJ84" i="1"/>
  <c r="JLI84" i="1"/>
  <c r="JLH84" i="1"/>
  <c r="JLG84" i="1"/>
  <c r="JLF84" i="1"/>
  <c r="JLE84" i="1"/>
  <c r="JLD84" i="1"/>
  <c r="JLC84" i="1"/>
  <c r="JLB84" i="1"/>
  <c r="JLA84" i="1"/>
  <c r="JKZ84" i="1"/>
  <c r="JKY84" i="1"/>
  <c r="JKX84" i="1"/>
  <c r="JKW84" i="1"/>
  <c r="JKV84" i="1"/>
  <c r="JKU84" i="1"/>
  <c r="JKT84" i="1"/>
  <c r="JKS84" i="1"/>
  <c r="JKR84" i="1"/>
  <c r="JKQ84" i="1"/>
  <c r="JKP84" i="1"/>
  <c r="JKO84" i="1"/>
  <c r="JKN84" i="1"/>
  <c r="JKM84" i="1"/>
  <c r="JKL84" i="1"/>
  <c r="JKK84" i="1"/>
  <c r="JKJ84" i="1"/>
  <c r="JKI84" i="1"/>
  <c r="JKH84" i="1"/>
  <c r="JKG84" i="1"/>
  <c r="JKF84" i="1"/>
  <c r="JKE84" i="1"/>
  <c r="JKD84" i="1"/>
  <c r="JKC84" i="1"/>
  <c r="JKB84" i="1"/>
  <c r="JKA84" i="1"/>
  <c r="JJZ84" i="1"/>
  <c r="JJY84" i="1"/>
  <c r="JJX84" i="1"/>
  <c r="JJW84" i="1"/>
  <c r="JJV84" i="1"/>
  <c r="JJU84" i="1"/>
  <c r="JJT84" i="1"/>
  <c r="JJS84" i="1"/>
  <c r="JJR84" i="1"/>
  <c r="JJQ84" i="1"/>
  <c r="JJP84" i="1"/>
  <c r="JJO84" i="1"/>
  <c r="JJN84" i="1"/>
  <c r="JJM84" i="1"/>
  <c r="JJL84" i="1"/>
  <c r="JJK84" i="1"/>
  <c r="JJJ84" i="1"/>
  <c r="JJI84" i="1"/>
  <c r="JJH84" i="1"/>
  <c r="JJG84" i="1"/>
  <c r="JJF84" i="1"/>
  <c r="JJE84" i="1"/>
  <c r="JJD84" i="1"/>
  <c r="JJC84" i="1"/>
  <c r="JJB84" i="1"/>
  <c r="JJA84" i="1"/>
  <c r="JIZ84" i="1"/>
  <c r="JIY84" i="1"/>
  <c r="JIX84" i="1"/>
  <c r="JIW84" i="1"/>
  <c r="JIV84" i="1"/>
  <c r="JIU84" i="1"/>
  <c r="JIT84" i="1"/>
  <c r="JIS84" i="1"/>
  <c r="JIR84" i="1"/>
  <c r="JIQ84" i="1"/>
  <c r="JIP84" i="1"/>
  <c r="JIO84" i="1"/>
  <c r="JIN84" i="1"/>
  <c r="JIM84" i="1"/>
  <c r="JIL84" i="1"/>
  <c r="JIK84" i="1"/>
  <c r="JIJ84" i="1"/>
  <c r="JII84" i="1"/>
  <c r="JIH84" i="1"/>
  <c r="JIG84" i="1"/>
  <c r="JIF84" i="1"/>
  <c r="JIE84" i="1"/>
  <c r="JID84" i="1"/>
  <c r="JIC84" i="1"/>
  <c r="JIB84" i="1"/>
  <c r="JIA84" i="1"/>
  <c r="JHZ84" i="1"/>
  <c r="JHY84" i="1"/>
  <c r="JHX84" i="1"/>
  <c r="JHW84" i="1"/>
  <c r="JHV84" i="1"/>
  <c r="JHU84" i="1"/>
  <c r="JHT84" i="1"/>
  <c r="JHS84" i="1"/>
  <c r="JHR84" i="1"/>
  <c r="JHQ84" i="1"/>
  <c r="JHP84" i="1"/>
  <c r="JHO84" i="1"/>
  <c r="JHN84" i="1"/>
  <c r="JHM84" i="1"/>
  <c r="JHL84" i="1"/>
  <c r="JHK84" i="1"/>
  <c r="JHJ84" i="1"/>
  <c r="JHI84" i="1"/>
  <c r="JHH84" i="1"/>
  <c r="JHG84" i="1"/>
  <c r="JHF84" i="1"/>
  <c r="JHE84" i="1"/>
  <c r="JHD84" i="1"/>
  <c r="JHC84" i="1"/>
  <c r="JHB84" i="1"/>
  <c r="JHA84" i="1"/>
  <c r="JGZ84" i="1"/>
  <c r="JGY84" i="1"/>
  <c r="JGX84" i="1"/>
  <c r="JGW84" i="1"/>
  <c r="JGV84" i="1"/>
  <c r="JGU84" i="1"/>
  <c r="JGT84" i="1"/>
  <c r="JGS84" i="1"/>
  <c r="JGR84" i="1"/>
  <c r="JGQ84" i="1"/>
  <c r="JGP84" i="1"/>
  <c r="JGO84" i="1"/>
  <c r="JGN84" i="1"/>
  <c r="JGM84" i="1"/>
  <c r="JGL84" i="1"/>
  <c r="JGK84" i="1"/>
  <c r="JGJ84" i="1"/>
  <c r="JGI84" i="1"/>
  <c r="JGH84" i="1"/>
  <c r="JGG84" i="1"/>
  <c r="JGF84" i="1"/>
  <c r="JGE84" i="1"/>
  <c r="JGD84" i="1"/>
  <c r="JGC84" i="1"/>
  <c r="JGB84" i="1"/>
  <c r="JGA84" i="1"/>
  <c r="JFZ84" i="1"/>
  <c r="JFY84" i="1"/>
  <c r="JFX84" i="1"/>
  <c r="JFW84" i="1"/>
  <c r="JFV84" i="1"/>
  <c r="JFU84" i="1"/>
  <c r="JFT84" i="1"/>
  <c r="JFS84" i="1"/>
  <c r="JFR84" i="1"/>
  <c r="JFQ84" i="1"/>
  <c r="JFP84" i="1"/>
  <c r="JFO84" i="1"/>
  <c r="JFN84" i="1"/>
  <c r="JFM84" i="1"/>
  <c r="JFL84" i="1"/>
  <c r="JFK84" i="1"/>
  <c r="JFJ84" i="1"/>
  <c r="JFI84" i="1"/>
  <c r="JFH84" i="1"/>
  <c r="JFG84" i="1"/>
  <c r="JFF84" i="1"/>
  <c r="JFE84" i="1"/>
  <c r="JFD84" i="1"/>
  <c r="JFC84" i="1"/>
  <c r="JFB84" i="1"/>
  <c r="JFA84" i="1"/>
  <c r="JEZ84" i="1"/>
  <c r="JEY84" i="1"/>
  <c r="JEX84" i="1"/>
  <c r="JEW84" i="1"/>
  <c r="JEV84" i="1"/>
  <c r="JEU84" i="1"/>
  <c r="JET84" i="1"/>
  <c r="JES84" i="1"/>
  <c r="JER84" i="1"/>
  <c r="JEQ84" i="1"/>
  <c r="JEP84" i="1"/>
  <c r="JEO84" i="1"/>
  <c r="JEN84" i="1"/>
  <c r="JEM84" i="1"/>
  <c r="JEL84" i="1"/>
  <c r="JEK84" i="1"/>
  <c r="JEJ84" i="1"/>
  <c r="JEI84" i="1"/>
  <c r="JEH84" i="1"/>
  <c r="JEG84" i="1"/>
  <c r="JEF84" i="1"/>
  <c r="JEE84" i="1"/>
  <c r="JED84" i="1"/>
  <c r="JEC84" i="1"/>
  <c r="JEB84" i="1"/>
  <c r="JEA84" i="1"/>
  <c r="JDZ84" i="1"/>
  <c r="JDY84" i="1"/>
  <c r="JDX84" i="1"/>
  <c r="JDW84" i="1"/>
  <c r="JDV84" i="1"/>
  <c r="JDU84" i="1"/>
  <c r="JDT84" i="1"/>
  <c r="JDS84" i="1"/>
  <c r="JDR84" i="1"/>
  <c r="JDQ84" i="1"/>
  <c r="JDP84" i="1"/>
  <c r="JDO84" i="1"/>
  <c r="JDN84" i="1"/>
  <c r="JDM84" i="1"/>
  <c r="JDL84" i="1"/>
  <c r="JDK84" i="1"/>
  <c r="JDJ84" i="1"/>
  <c r="JDI84" i="1"/>
  <c r="JDH84" i="1"/>
  <c r="JDG84" i="1"/>
  <c r="JDF84" i="1"/>
  <c r="JDE84" i="1"/>
  <c r="JDD84" i="1"/>
  <c r="JDC84" i="1"/>
  <c r="JDB84" i="1"/>
  <c r="JDA84" i="1"/>
  <c r="JCZ84" i="1"/>
  <c r="JCY84" i="1"/>
  <c r="JCX84" i="1"/>
  <c r="JCW84" i="1"/>
  <c r="JCV84" i="1"/>
  <c r="JCU84" i="1"/>
  <c r="JCT84" i="1"/>
  <c r="JCS84" i="1"/>
  <c r="JCR84" i="1"/>
  <c r="JCQ84" i="1"/>
  <c r="JCP84" i="1"/>
  <c r="JCO84" i="1"/>
  <c r="JCN84" i="1"/>
  <c r="JCM84" i="1"/>
  <c r="JCL84" i="1"/>
  <c r="JCK84" i="1"/>
  <c r="JCJ84" i="1"/>
  <c r="JCI84" i="1"/>
  <c r="JCH84" i="1"/>
  <c r="JCG84" i="1"/>
  <c r="JCF84" i="1"/>
  <c r="JCE84" i="1"/>
  <c r="JCD84" i="1"/>
  <c r="JCC84" i="1"/>
  <c r="JCB84" i="1"/>
  <c r="JCA84" i="1"/>
  <c r="JBZ84" i="1"/>
  <c r="JBY84" i="1"/>
  <c r="JBX84" i="1"/>
  <c r="JBW84" i="1"/>
  <c r="JBV84" i="1"/>
  <c r="JBU84" i="1"/>
  <c r="JBT84" i="1"/>
  <c r="JBS84" i="1"/>
  <c r="JBR84" i="1"/>
  <c r="JBQ84" i="1"/>
  <c r="JBP84" i="1"/>
  <c r="JBO84" i="1"/>
  <c r="JBN84" i="1"/>
  <c r="JBM84" i="1"/>
  <c r="JBL84" i="1"/>
  <c r="JBK84" i="1"/>
  <c r="JBJ84" i="1"/>
  <c r="JBI84" i="1"/>
  <c r="JBH84" i="1"/>
  <c r="JBG84" i="1"/>
  <c r="JBF84" i="1"/>
  <c r="JBE84" i="1"/>
  <c r="JBD84" i="1"/>
  <c r="JBC84" i="1"/>
  <c r="JBB84" i="1"/>
  <c r="JBA84" i="1"/>
  <c r="JAZ84" i="1"/>
  <c r="JAY84" i="1"/>
  <c r="JAX84" i="1"/>
  <c r="JAW84" i="1"/>
  <c r="JAV84" i="1"/>
  <c r="JAU84" i="1"/>
  <c r="JAT84" i="1"/>
  <c r="JAS84" i="1"/>
  <c r="JAR84" i="1"/>
  <c r="JAQ84" i="1"/>
  <c r="JAP84" i="1"/>
  <c r="JAO84" i="1"/>
  <c r="JAN84" i="1"/>
  <c r="JAM84" i="1"/>
  <c r="JAL84" i="1"/>
  <c r="JAK84" i="1"/>
  <c r="JAJ84" i="1"/>
  <c r="JAI84" i="1"/>
  <c r="JAH84" i="1"/>
  <c r="JAG84" i="1"/>
  <c r="JAF84" i="1"/>
  <c r="JAE84" i="1"/>
  <c r="JAD84" i="1"/>
  <c r="JAC84" i="1"/>
  <c r="JAB84" i="1"/>
  <c r="JAA84" i="1"/>
  <c r="IZZ84" i="1"/>
  <c r="IZY84" i="1"/>
  <c r="IZX84" i="1"/>
  <c r="IZW84" i="1"/>
  <c r="IZV84" i="1"/>
  <c r="IZU84" i="1"/>
  <c r="IZT84" i="1"/>
  <c r="IZS84" i="1"/>
  <c r="IZR84" i="1"/>
  <c r="IZQ84" i="1"/>
  <c r="IZP84" i="1"/>
  <c r="IZO84" i="1"/>
  <c r="IZN84" i="1"/>
  <c r="IZM84" i="1"/>
  <c r="IZL84" i="1"/>
  <c r="IZK84" i="1"/>
  <c r="IZJ84" i="1"/>
  <c r="IZI84" i="1"/>
  <c r="IZH84" i="1"/>
  <c r="IZG84" i="1"/>
  <c r="IZF84" i="1"/>
  <c r="IZE84" i="1"/>
  <c r="IZD84" i="1"/>
  <c r="IZC84" i="1"/>
  <c r="IZB84" i="1"/>
  <c r="IZA84" i="1"/>
  <c r="IYZ84" i="1"/>
  <c r="IYY84" i="1"/>
  <c r="IYX84" i="1"/>
  <c r="IYW84" i="1"/>
  <c r="IYV84" i="1"/>
  <c r="IYU84" i="1"/>
  <c r="IYT84" i="1"/>
  <c r="IYS84" i="1"/>
  <c r="IYR84" i="1"/>
  <c r="IYQ84" i="1"/>
  <c r="IYP84" i="1"/>
  <c r="IYO84" i="1"/>
  <c r="IYN84" i="1"/>
  <c r="IYM84" i="1"/>
  <c r="IYL84" i="1"/>
  <c r="IYK84" i="1"/>
  <c r="IYJ84" i="1"/>
  <c r="IYI84" i="1"/>
  <c r="IYH84" i="1"/>
  <c r="IYG84" i="1"/>
  <c r="IYF84" i="1"/>
  <c r="IYE84" i="1"/>
  <c r="IYD84" i="1"/>
  <c r="IYC84" i="1"/>
  <c r="IYB84" i="1"/>
  <c r="IYA84" i="1"/>
  <c r="IXZ84" i="1"/>
  <c r="IXY84" i="1"/>
  <c r="IXX84" i="1"/>
  <c r="IXW84" i="1"/>
  <c r="IXV84" i="1"/>
  <c r="IXU84" i="1"/>
  <c r="IXT84" i="1"/>
  <c r="IXS84" i="1"/>
  <c r="IXR84" i="1"/>
  <c r="IXQ84" i="1"/>
  <c r="IXP84" i="1"/>
  <c r="IXO84" i="1"/>
  <c r="IXN84" i="1"/>
  <c r="IXM84" i="1"/>
  <c r="IXL84" i="1"/>
  <c r="IXK84" i="1"/>
  <c r="IXJ84" i="1"/>
  <c r="IXI84" i="1"/>
  <c r="IXH84" i="1"/>
  <c r="IXG84" i="1"/>
  <c r="IXF84" i="1"/>
  <c r="IXE84" i="1"/>
  <c r="IXD84" i="1"/>
  <c r="IXC84" i="1"/>
  <c r="IXB84" i="1"/>
  <c r="IXA84" i="1"/>
  <c r="IWZ84" i="1"/>
  <c r="IWY84" i="1"/>
  <c r="IWX84" i="1"/>
  <c r="IWW84" i="1"/>
  <c r="IWV84" i="1"/>
  <c r="IWU84" i="1"/>
  <c r="IWT84" i="1"/>
  <c r="IWS84" i="1"/>
  <c r="IWR84" i="1"/>
  <c r="IWQ84" i="1"/>
  <c r="IWP84" i="1"/>
  <c r="IWO84" i="1"/>
  <c r="IWN84" i="1"/>
  <c r="IWM84" i="1"/>
  <c r="IWL84" i="1"/>
  <c r="IWK84" i="1"/>
  <c r="IWJ84" i="1"/>
  <c r="IWI84" i="1"/>
  <c r="IWH84" i="1"/>
  <c r="IWG84" i="1"/>
  <c r="IWF84" i="1"/>
  <c r="IWE84" i="1"/>
  <c r="IWD84" i="1"/>
  <c r="IWC84" i="1"/>
  <c r="IWB84" i="1"/>
  <c r="IWA84" i="1"/>
  <c r="IVZ84" i="1"/>
  <c r="IVY84" i="1"/>
  <c r="IVX84" i="1"/>
  <c r="IVW84" i="1"/>
  <c r="IVV84" i="1"/>
  <c r="IVU84" i="1"/>
  <c r="IVT84" i="1"/>
  <c r="IVS84" i="1"/>
  <c r="IVR84" i="1"/>
  <c r="IVQ84" i="1"/>
  <c r="IVP84" i="1"/>
  <c r="IVO84" i="1"/>
  <c r="IVN84" i="1"/>
  <c r="IVM84" i="1"/>
  <c r="IVL84" i="1"/>
  <c r="IVK84" i="1"/>
  <c r="IVJ84" i="1"/>
  <c r="IVI84" i="1"/>
  <c r="IVH84" i="1"/>
  <c r="IVG84" i="1"/>
  <c r="IVF84" i="1"/>
  <c r="IVE84" i="1"/>
  <c r="IVD84" i="1"/>
  <c r="IVC84" i="1"/>
  <c r="IVB84" i="1"/>
  <c r="IVA84" i="1"/>
  <c r="IUZ84" i="1"/>
  <c r="IUY84" i="1"/>
  <c r="IUX84" i="1"/>
  <c r="IUW84" i="1"/>
  <c r="IUV84" i="1"/>
  <c r="IUU84" i="1"/>
  <c r="IUT84" i="1"/>
  <c r="IUS84" i="1"/>
  <c r="IUR84" i="1"/>
  <c r="IUQ84" i="1"/>
  <c r="IUP84" i="1"/>
  <c r="IUO84" i="1"/>
  <c r="IUN84" i="1"/>
  <c r="IUM84" i="1"/>
  <c r="IUL84" i="1"/>
  <c r="IUK84" i="1"/>
  <c r="IUJ84" i="1"/>
  <c r="IUI84" i="1"/>
  <c r="IUH84" i="1"/>
  <c r="IUG84" i="1"/>
  <c r="IUF84" i="1"/>
  <c r="IUE84" i="1"/>
  <c r="IUD84" i="1"/>
  <c r="IUC84" i="1"/>
  <c r="IUB84" i="1"/>
  <c r="IUA84" i="1"/>
  <c r="ITZ84" i="1"/>
  <c r="ITY84" i="1"/>
  <c r="ITX84" i="1"/>
  <c r="ITW84" i="1"/>
  <c r="ITV84" i="1"/>
  <c r="ITU84" i="1"/>
  <c r="ITT84" i="1"/>
  <c r="ITS84" i="1"/>
  <c r="ITR84" i="1"/>
  <c r="ITQ84" i="1"/>
  <c r="ITP84" i="1"/>
  <c r="ITO84" i="1"/>
  <c r="ITN84" i="1"/>
  <c r="ITM84" i="1"/>
  <c r="ITL84" i="1"/>
  <c r="ITK84" i="1"/>
  <c r="ITJ84" i="1"/>
  <c r="ITI84" i="1"/>
  <c r="ITH84" i="1"/>
  <c r="ITG84" i="1"/>
  <c r="ITF84" i="1"/>
  <c r="ITE84" i="1"/>
  <c r="ITD84" i="1"/>
  <c r="ITC84" i="1"/>
  <c r="ITB84" i="1"/>
  <c r="ITA84" i="1"/>
  <c r="ISZ84" i="1"/>
  <c r="ISY84" i="1"/>
  <c r="ISX84" i="1"/>
  <c r="ISW84" i="1"/>
  <c r="ISV84" i="1"/>
  <c r="ISU84" i="1"/>
  <c r="IST84" i="1"/>
  <c r="ISS84" i="1"/>
  <c r="ISR84" i="1"/>
  <c r="ISQ84" i="1"/>
  <c r="ISP84" i="1"/>
  <c r="ISO84" i="1"/>
  <c r="ISN84" i="1"/>
  <c r="ISM84" i="1"/>
  <c r="ISL84" i="1"/>
  <c r="ISK84" i="1"/>
  <c r="ISJ84" i="1"/>
  <c r="ISI84" i="1"/>
  <c r="ISH84" i="1"/>
  <c r="ISG84" i="1"/>
  <c r="ISF84" i="1"/>
  <c r="ISE84" i="1"/>
  <c r="ISD84" i="1"/>
  <c r="ISC84" i="1"/>
  <c r="ISB84" i="1"/>
  <c r="ISA84" i="1"/>
  <c r="IRZ84" i="1"/>
  <c r="IRY84" i="1"/>
  <c r="IRX84" i="1"/>
  <c r="IRW84" i="1"/>
  <c r="IRV84" i="1"/>
  <c r="IRU84" i="1"/>
  <c r="IRT84" i="1"/>
  <c r="IRS84" i="1"/>
  <c r="IRR84" i="1"/>
  <c r="IRQ84" i="1"/>
  <c r="IRP84" i="1"/>
  <c r="IRO84" i="1"/>
  <c r="IRN84" i="1"/>
  <c r="IRM84" i="1"/>
  <c r="IRL84" i="1"/>
  <c r="IRK84" i="1"/>
  <c r="IRJ84" i="1"/>
  <c r="IRI84" i="1"/>
  <c r="IRH84" i="1"/>
  <c r="IRG84" i="1"/>
  <c r="IRF84" i="1"/>
  <c r="IRE84" i="1"/>
  <c r="IRD84" i="1"/>
  <c r="IRC84" i="1"/>
  <c r="IRB84" i="1"/>
  <c r="IRA84" i="1"/>
  <c r="IQZ84" i="1"/>
  <c r="IQY84" i="1"/>
  <c r="IQX84" i="1"/>
  <c r="IQW84" i="1"/>
  <c r="IQV84" i="1"/>
  <c r="IQU84" i="1"/>
  <c r="IQT84" i="1"/>
  <c r="IQS84" i="1"/>
  <c r="IQR84" i="1"/>
  <c r="IQQ84" i="1"/>
  <c r="IQP84" i="1"/>
  <c r="IQO84" i="1"/>
  <c r="IQN84" i="1"/>
  <c r="IQM84" i="1"/>
  <c r="IQL84" i="1"/>
  <c r="IQK84" i="1"/>
  <c r="IQJ84" i="1"/>
  <c r="IQI84" i="1"/>
  <c r="IQH84" i="1"/>
  <c r="IQG84" i="1"/>
  <c r="IQF84" i="1"/>
  <c r="IQE84" i="1"/>
  <c r="IQD84" i="1"/>
  <c r="IQC84" i="1"/>
  <c r="IQB84" i="1"/>
  <c r="IQA84" i="1"/>
  <c r="IPZ84" i="1"/>
  <c r="IPY84" i="1"/>
  <c r="IPX84" i="1"/>
  <c r="IPW84" i="1"/>
  <c r="IPV84" i="1"/>
  <c r="IPU84" i="1"/>
  <c r="IPT84" i="1"/>
  <c r="IPS84" i="1"/>
  <c r="IPR84" i="1"/>
  <c r="IPQ84" i="1"/>
  <c r="IPP84" i="1"/>
  <c r="IPO84" i="1"/>
  <c r="IPN84" i="1"/>
  <c r="IPM84" i="1"/>
  <c r="IPL84" i="1"/>
  <c r="IPK84" i="1"/>
  <c r="IPJ84" i="1"/>
  <c r="IPI84" i="1"/>
  <c r="IPH84" i="1"/>
  <c r="IPG84" i="1"/>
  <c r="IPF84" i="1"/>
  <c r="IPE84" i="1"/>
  <c r="IPD84" i="1"/>
  <c r="IPC84" i="1"/>
  <c r="IPB84" i="1"/>
  <c r="IPA84" i="1"/>
  <c r="IOZ84" i="1"/>
  <c r="IOY84" i="1"/>
  <c r="IOX84" i="1"/>
  <c r="IOW84" i="1"/>
  <c r="IOV84" i="1"/>
  <c r="IOU84" i="1"/>
  <c r="IOT84" i="1"/>
  <c r="IOS84" i="1"/>
  <c r="IOR84" i="1"/>
  <c r="IOQ84" i="1"/>
  <c r="IOP84" i="1"/>
  <c r="IOO84" i="1"/>
  <c r="ION84" i="1"/>
  <c r="IOM84" i="1"/>
  <c r="IOL84" i="1"/>
  <c r="IOK84" i="1"/>
  <c r="IOJ84" i="1"/>
  <c r="IOI84" i="1"/>
  <c r="IOH84" i="1"/>
  <c r="IOG84" i="1"/>
  <c r="IOF84" i="1"/>
  <c r="IOE84" i="1"/>
  <c r="IOD84" i="1"/>
  <c r="IOC84" i="1"/>
  <c r="IOB84" i="1"/>
  <c r="IOA84" i="1"/>
  <c r="INZ84" i="1"/>
  <c r="INY84" i="1"/>
  <c r="INX84" i="1"/>
  <c r="INW84" i="1"/>
  <c r="INV84" i="1"/>
  <c r="INU84" i="1"/>
  <c r="INT84" i="1"/>
  <c r="INS84" i="1"/>
  <c r="INR84" i="1"/>
  <c r="INQ84" i="1"/>
  <c r="INP84" i="1"/>
  <c r="INO84" i="1"/>
  <c r="INN84" i="1"/>
  <c r="INM84" i="1"/>
  <c r="INL84" i="1"/>
  <c r="INK84" i="1"/>
  <c r="INJ84" i="1"/>
  <c r="INI84" i="1"/>
  <c r="INH84" i="1"/>
  <c r="ING84" i="1"/>
  <c r="INF84" i="1"/>
  <c r="INE84" i="1"/>
  <c r="IND84" i="1"/>
  <c r="INC84" i="1"/>
  <c r="INB84" i="1"/>
  <c r="INA84" i="1"/>
  <c r="IMZ84" i="1"/>
  <c r="IMY84" i="1"/>
  <c r="IMX84" i="1"/>
  <c r="IMW84" i="1"/>
  <c r="IMV84" i="1"/>
  <c r="IMU84" i="1"/>
  <c r="IMT84" i="1"/>
  <c r="IMS84" i="1"/>
  <c r="IMR84" i="1"/>
  <c r="IMQ84" i="1"/>
  <c r="IMP84" i="1"/>
  <c r="IMO84" i="1"/>
  <c r="IMN84" i="1"/>
  <c r="IMM84" i="1"/>
  <c r="IML84" i="1"/>
  <c r="IMK84" i="1"/>
  <c r="IMJ84" i="1"/>
  <c r="IMI84" i="1"/>
  <c r="IMH84" i="1"/>
  <c r="IMG84" i="1"/>
  <c r="IMF84" i="1"/>
  <c r="IME84" i="1"/>
  <c r="IMD84" i="1"/>
  <c r="IMC84" i="1"/>
  <c r="IMB84" i="1"/>
  <c r="IMA84" i="1"/>
  <c r="ILZ84" i="1"/>
  <c r="ILY84" i="1"/>
  <c r="ILX84" i="1"/>
  <c r="ILW84" i="1"/>
  <c r="ILV84" i="1"/>
  <c r="ILU84" i="1"/>
  <c r="ILT84" i="1"/>
  <c r="ILS84" i="1"/>
  <c r="ILR84" i="1"/>
  <c r="ILQ84" i="1"/>
  <c r="ILP84" i="1"/>
  <c r="ILO84" i="1"/>
  <c r="ILN84" i="1"/>
  <c r="ILM84" i="1"/>
  <c r="ILL84" i="1"/>
  <c r="ILK84" i="1"/>
  <c r="ILJ84" i="1"/>
  <c r="ILI84" i="1"/>
  <c r="ILH84" i="1"/>
  <c r="ILG84" i="1"/>
  <c r="ILF84" i="1"/>
  <c r="ILE84" i="1"/>
  <c r="ILD84" i="1"/>
  <c r="ILC84" i="1"/>
  <c r="ILB84" i="1"/>
  <c r="ILA84" i="1"/>
  <c r="IKZ84" i="1"/>
  <c r="IKY84" i="1"/>
  <c r="IKX84" i="1"/>
  <c r="IKW84" i="1"/>
  <c r="IKV84" i="1"/>
  <c r="IKU84" i="1"/>
  <c r="IKT84" i="1"/>
  <c r="IKS84" i="1"/>
  <c r="IKR84" i="1"/>
  <c r="IKQ84" i="1"/>
  <c r="IKP84" i="1"/>
  <c r="IKO84" i="1"/>
  <c r="IKN84" i="1"/>
  <c r="IKM84" i="1"/>
  <c r="IKL84" i="1"/>
  <c r="IKK84" i="1"/>
  <c r="IKJ84" i="1"/>
  <c r="IKI84" i="1"/>
  <c r="IKH84" i="1"/>
  <c r="IKG84" i="1"/>
  <c r="IKF84" i="1"/>
  <c r="IKE84" i="1"/>
  <c r="IKD84" i="1"/>
  <c r="IKC84" i="1"/>
  <c r="IKB84" i="1"/>
  <c r="IKA84" i="1"/>
  <c r="IJZ84" i="1"/>
  <c r="IJY84" i="1"/>
  <c r="IJX84" i="1"/>
  <c r="IJW84" i="1"/>
  <c r="IJV84" i="1"/>
  <c r="IJU84" i="1"/>
  <c r="IJT84" i="1"/>
  <c r="IJS84" i="1"/>
  <c r="IJR84" i="1"/>
  <c r="IJQ84" i="1"/>
  <c r="IJP84" i="1"/>
  <c r="IJO84" i="1"/>
  <c r="IJN84" i="1"/>
  <c r="IJM84" i="1"/>
  <c r="IJL84" i="1"/>
  <c r="IJK84" i="1"/>
  <c r="IJJ84" i="1"/>
  <c r="IJI84" i="1"/>
  <c r="IJH84" i="1"/>
  <c r="IJG84" i="1"/>
  <c r="IJF84" i="1"/>
  <c r="IJE84" i="1"/>
  <c r="IJD84" i="1"/>
  <c r="IJC84" i="1"/>
  <c r="IJB84" i="1"/>
  <c r="IJA84" i="1"/>
  <c r="IIZ84" i="1"/>
  <c r="IIY84" i="1"/>
  <c r="IIX84" i="1"/>
  <c r="IIW84" i="1"/>
  <c r="IIV84" i="1"/>
  <c r="IIU84" i="1"/>
  <c r="IIT84" i="1"/>
  <c r="IIS84" i="1"/>
  <c r="IIR84" i="1"/>
  <c r="IIQ84" i="1"/>
  <c r="IIP84" i="1"/>
  <c r="IIO84" i="1"/>
  <c r="IIN84" i="1"/>
  <c r="IIM84" i="1"/>
  <c r="IIL84" i="1"/>
  <c r="IIK84" i="1"/>
  <c r="IIJ84" i="1"/>
  <c r="III84" i="1"/>
  <c r="IIH84" i="1"/>
  <c r="IIG84" i="1"/>
  <c r="IIF84" i="1"/>
  <c r="IIE84" i="1"/>
  <c r="IID84" i="1"/>
  <c r="IIC84" i="1"/>
  <c r="IIB84" i="1"/>
  <c r="IIA84" i="1"/>
  <c r="IHZ84" i="1"/>
  <c r="IHY84" i="1"/>
  <c r="IHX84" i="1"/>
  <c r="IHW84" i="1"/>
  <c r="IHV84" i="1"/>
  <c r="IHU84" i="1"/>
  <c r="IHT84" i="1"/>
  <c r="IHS84" i="1"/>
  <c r="IHR84" i="1"/>
  <c r="IHQ84" i="1"/>
  <c r="IHP84" i="1"/>
  <c r="IHO84" i="1"/>
  <c r="IHN84" i="1"/>
  <c r="IHM84" i="1"/>
  <c r="IHL84" i="1"/>
  <c r="IHK84" i="1"/>
  <c r="IHJ84" i="1"/>
  <c r="IHI84" i="1"/>
  <c r="IHH84" i="1"/>
  <c r="IHG84" i="1"/>
  <c r="IHF84" i="1"/>
  <c r="IHE84" i="1"/>
  <c r="IHD84" i="1"/>
  <c r="IHC84" i="1"/>
  <c r="IHB84" i="1"/>
  <c r="IHA84" i="1"/>
  <c r="IGZ84" i="1"/>
  <c r="IGY84" i="1"/>
  <c r="IGX84" i="1"/>
  <c r="IGW84" i="1"/>
  <c r="IGV84" i="1"/>
  <c r="IGU84" i="1"/>
  <c r="IGT84" i="1"/>
  <c r="IGS84" i="1"/>
  <c r="IGR84" i="1"/>
  <c r="IGQ84" i="1"/>
  <c r="IGP84" i="1"/>
  <c r="IGO84" i="1"/>
  <c r="IGN84" i="1"/>
  <c r="IGM84" i="1"/>
  <c r="IGL84" i="1"/>
  <c r="IGK84" i="1"/>
  <c r="IGJ84" i="1"/>
  <c r="IGI84" i="1"/>
  <c r="IGH84" i="1"/>
  <c r="IGG84" i="1"/>
  <c r="IGF84" i="1"/>
  <c r="IGE84" i="1"/>
  <c r="IGD84" i="1"/>
  <c r="IGC84" i="1"/>
  <c r="IGB84" i="1"/>
  <c r="IGA84" i="1"/>
  <c r="IFZ84" i="1"/>
  <c r="IFY84" i="1"/>
  <c r="IFX84" i="1"/>
  <c r="IFW84" i="1"/>
  <c r="IFV84" i="1"/>
  <c r="IFU84" i="1"/>
  <c r="IFT84" i="1"/>
  <c r="IFS84" i="1"/>
  <c r="IFR84" i="1"/>
  <c r="IFQ84" i="1"/>
  <c r="IFP84" i="1"/>
  <c r="IFO84" i="1"/>
  <c r="IFN84" i="1"/>
  <c r="IFM84" i="1"/>
  <c r="IFL84" i="1"/>
  <c r="IFK84" i="1"/>
  <c r="IFJ84" i="1"/>
  <c r="IFI84" i="1"/>
  <c r="IFH84" i="1"/>
  <c r="IFG84" i="1"/>
  <c r="IFF84" i="1"/>
  <c r="IFE84" i="1"/>
  <c r="IFD84" i="1"/>
  <c r="IFC84" i="1"/>
  <c r="IFB84" i="1"/>
  <c r="IFA84" i="1"/>
  <c r="IEZ84" i="1"/>
  <c r="IEY84" i="1"/>
  <c r="IEX84" i="1"/>
  <c r="IEW84" i="1"/>
  <c r="IEV84" i="1"/>
  <c r="IEU84" i="1"/>
  <c r="IET84" i="1"/>
  <c r="IES84" i="1"/>
  <c r="IER84" i="1"/>
  <c r="IEQ84" i="1"/>
  <c r="IEP84" i="1"/>
  <c r="IEO84" i="1"/>
  <c r="IEN84" i="1"/>
  <c r="IEM84" i="1"/>
  <c r="IEL84" i="1"/>
  <c r="IEK84" i="1"/>
  <c r="IEJ84" i="1"/>
  <c r="IEI84" i="1"/>
  <c r="IEH84" i="1"/>
  <c r="IEG84" i="1"/>
  <c r="IEF84" i="1"/>
  <c r="IEE84" i="1"/>
  <c r="IED84" i="1"/>
  <c r="IEC84" i="1"/>
  <c r="IEB84" i="1"/>
  <c r="IEA84" i="1"/>
  <c r="IDZ84" i="1"/>
  <c r="IDY84" i="1"/>
  <c r="IDX84" i="1"/>
  <c r="IDW84" i="1"/>
  <c r="IDV84" i="1"/>
  <c r="IDU84" i="1"/>
  <c r="IDT84" i="1"/>
  <c r="IDS84" i="1"/>
  <c r="IDR84" i="1"/>
  <c r="IDQ84" i="1"/>
  <c r="IDP84" i="1"/>
  <c r="IDO84" i="1"/>
  <c r="IDN84" i="1"/>
  <c r="IDM84" i="1"/>
  <c r="IDL84" i="1"/>
  <c r="IDK84" i="1"/>
  <c r="IDJ84" i="1"/>
  <c r="IDI84" i="1"/>
  <c r="IDH84" i="1"/>
  <c r="IDG84" i="1"/>
  <c r="IDF84" i="1"/>
  <c r="IDE84" i="1"/>
  <c r="IDD84" i="1"/>
  <c r="IDC84" i="1"/>
  <c r="IDB84" i="1"/>
  <c r="IDA84" i="1"/>
  <c r="ICZ84" i="1"/>
  <c r="ICY84" i="1"/>
  <c r="ICX84" i="1"/>
  <c r="ICW84" i="1"/>
  <c r="ICV84" i="1"/>
  <c r="ICU84" i="1"/>
  <c r="ICT84" i="1"/>
  <c r="ICS84" i="1"/>
  <c r="ICR84" i="1"/>
  <c r="ICQ84" i="1"/>
  <c r="ICP84" i="1"/>
  <c r="ICO84" i="1"/>
  <c r="ICN84" i="1"/>
  <c r="ICM84" i="1"/>
  <c r="ICL84" i="1"/>
  <c r="ICK84" i="1"/>
  <c r="ICJ84" i="1"/>
  <c r="ICI84" i="1"/>
  <c r="ICH84" i="1"/>
  <c r="ICG84" i="1"/>
  <c r="ICF84" i="1"/>
  <c r="ICE84" i="1"/>
  <c r="ICD84" i="1"/>
  <c r="ICC84" i="1"/>
  <c r="ICB84" i="1"/>
  <c r="ICA84" i="1"/>
  <c r="IBZ84" i="1"/>
  <c r="IBY84" i="1"/>
  <c r="IBX84" i="1"/>
  <c r="IBW84" i="1"/>
  <c r="IBV84" i="1"/>
  <c r="IBU84" i="1"/>
  <c r="IBT84" i="1"/>
  <c r="IBS84" i="1"/>
  <c r="IBR84" i="1"/>
  <c r="IBQ84" i="1"/>
  <c r="IBP84" i="1"/>
  <c r="IBO84" i="1"/>
  <c r="IBN84" i="1"/>
  <c r="IBM84" i="1"/>
  <c r="IBL84" i="1"/>
  <c r="IBK84" i="1"/>
  <c r="IBJ84" i="1"/>
  <c r="IBI84" i="1"/>
  <c r="IBH84" i="1"/>
  <c r="IBG84" i="1"/>
  <c r="IBF84" i="1"/>
  <c r="IBE84" i="1"/>
  <c r="IBD84" i="1"/>
  <c r="IBC84" i="1"/>
  <c r="IBB84" i="1"/>
  <c r="IBA84" i="1"/>
  <c r="IAZ84" i="1"/>
  <c r="IAY84" i="1"/>
  <c r="IAX84" i="1"/>
  <c r="IAW84" i="1"/>
  <c r="IAV84" i="1"/>
  <c r="IAU84" i="1"/>
  <c r="IAT84" i="1"/>
  <c r="IAS84" i="1"/>
  <c r="IAR84" i="1"/>
  <c r="IAQ84" i="1"/>
  <c r="IAP84" i="1"/>
  <c r="IAO84" i="1"/>
  <c r="IAN84" i="1"/>
  <c r="IAM84" i="1"/>
  <c r="IAL84" i="1"/>
  <c r="IAK84" i="1"/>
  <c r="IAJ84" i="1"/>
  <c r="IAI84" i="1"/>
  <c r="IAH84" i="1"/>
  <c r="IAG84" i="1"/>
  <c r="IAF84" i="1"/>
  <c r="IAE84" i="1"/>
  <c r="IAD84" i="1"/>
  <c r="IAC84" i="1"/>
  <c r="IAB84" i="1"/>
  <c r="IAA84" i="1"/>
  <c r="HZZ84" i="1"/>
  <c r="HZY84" i="1"/>
  <c r="HZX84" i="1"/>
  <c r="HZW84" i="1"/>
  <c r="HZV84" i="1"/>
  <c r="HZU84" i="1"/>
  <c r="HZT84" i="1"/>
  <c r="HZS84" i="1"/>
  <c r="HZR84" i="1"/>
  <c r="HZQ84" i="1"/>
  <c r="HZP84" i="1"/>
  <c r="HZO84" i="1"/>
  <c r="HZN84" i="1"/>
  <c r="HZM84" i="1"/>
  <c r="HZL84" i="1"/>
  <c r="HZK84" i="1"/>
  <c r="HZJ84" i="1"/>
  <c r="HZI84" i="1"/>
  <c r="HZH84" i="1"/>
  <c r="HZG84" i="1"/>
  <c r="HZF84" i="1"/>
  <c r="HZE84" i="1"/>
  <c r="HZD84" i="1"/>
  <c r="HZC84" i="1"/>
  <c r="HZB84" i="1"/>
  <c r="HZA84" i="1"/>
  <c r="HYZ84" i="1"/>
  <c r="HYY84" i="1"/>
  <c r="HYX84" i="1"/>
  <c r="HYW84" i="1"/>
  <c r="HYV84" i="1"/>
  <c r="HYU84" i="1"/>
  <c r="HYT84" i="1"/>
  <c r="HYS84" i="1"/>
  <c r="HYR84" i="1"/>
  <c r="HYQ84" i="1"/>
  <c r="HYP84" i="1"/>
  <c r="HYO84" i="1"/>
  <c r="HYN84" i="1"/>
  <c r="HYM84" i="1"/>
  <c r="HYL84" i="1"/>
  <c r="HYK84" i="1"/>
  <c r="HYJ84" i="1"/>
  <c r="HYI84" i="1"/>
  <c r="HYH84" i="1"/>
  <c r="HYG84" i="1"/>
  <c r="HYF84" i="1"/>
  <c r="HYE84" i="1"/>
  <c r="HYD84" i="1"/>
  <c r="HYC84" i="1"/>
  <c r="HYB84" i="1"/>
  <c r="HYA84" i="1"/>
  <c r="HXZ84" i="1"/>
  <c r="HXY84" i="1"/>
  <c r="HXX84" i="1"/>
  <c r="HXW84" i="1"/>
  <c r="HXV84" i="1"/>
  <c r="HXU84" i="1"/>
  <c r="HXT84" i="1"/>
  <c r="HXS84" i="1"/>
  <c r="HXR84" i="1"/>
  <c r="HXQ84" i="1"/>
  <c r="HXP84" i="1"/>
  <c r="HXO84" i="1"/>
  <c r="HXN84" i="1"/>
  <c r="HXM84" i="1"/>
  <c r="HXL84" i="1"/>
  <c r="HXK84" i="1"/>
  <c r="HXJ84" i="1"/>
  <c r="HXI84" i="1"/>
  <c r="HXH84" i="1"/>
  <c r="HXG84" i="1"/>
  <c r="HXF84" i="1"/>
  <c r="HXE84" i="1"/>
  <c r="HXD84" i="1"/>
  <c r="HXC84" i="1"/>
  <c r="HXB84" i="1"/>
  <c r="HXA84" i="1"/>
  <c r="HWZ84" i="1"/>
  <c r="HWY84" i="1"/>
  <c r="HWX84" i="1"/>
  <c r="HWW84" i="1"/>
  <c r="HWV84" i="1"/>
  <c r="HWU84" i="1"/>
  <c r="HWT84" i="1"/>
  <c r="HWS84" i="1"/>
  <c r="HWR84" i="1"/>
  <c r="HWQ84" i="1"/>
  <c r="HWP84" i="1"/>
  <c r="HWO84" i="1"/>
  <c r="HWN84" i="1"/>
  <c r="HWM84" i="1"/>
  <c r="HWL84" i="1"/>
  <c r="HWK84" i="1"/>
  <c r="HWJ84" i="1"/>
  <c r="HWI84" i="1"/>
  <c r="HWH84" i="1"/>
  <c r="HWG84" i="1"/>
  <c r="HWF84" i="1"/>
  <c r="HWE84" i="1"/>
  <c r="HWD84" i="1"/>
  <c r="HWC84" i="1"/>
  <c r="HWB84" i="1"/>
  <c r="HWA84" i="1"/>
  <c r="HVZ84" i="1"/>
  <c r="HVY84" i="1"/>
  <c r="HVX84" i="1"/>
  <c r="HVW84" i="1"/>
  <c r="HVV84" i="1"/>
  <c r="HVU84" i="1"/>
  <c r="HVT84" i="1"/>
  <c r="HVS84" i="1"/>
  <c r="HVR84" i="1"/>
  <c r="HVQ84" i="1"/>
  <c r="HVP84" i="1"/>
  <c r="HVO84" i="1"/>
  <c r="HVN84" i="1"/>
  <c r="HVM84" i="1"/>
  <c r="HVL84" i="1"/>
  <c r="HVK84" i="1"/>
  <c r="HVJ84" i="1"/>
  <c r="HVI84" i="1"/>
  <c r="HVH84" i="1"/>
  <c r="HVG84" i="1"/>
  <c r="HVF84" i="1"/>
  <c r="HVE84" i="1"/>
  <c r="HVD84" i="1"/>
  <c r="HVC84" i="1"/>
  <c r="HVB84" i="1"/>
  <c r="HVA84" i="1"/>
  <c r="HUZ84" i="1"/>
  <c r="HUY84" i="1"/>
  <c r="HUX84" i="1"/>
  <c r="HUW84" i="1"/>
  <c r="HUV84" i="1"/>
  <c r="HUU84" i="1"/>
  <c r="HUT84" i="1"/>
  <c r="HUS84" i="1"/>
  <c r="HUR84" i="1"/>
  <c r="HUQ84" i="1"/>
  <c r="HUP84" i="1"/>
  <c r="HUO84" i="1"/>
  <c r="HUN84" i="1"/>
  <c r="HUM84" i="1"/>
  <c r="HUL84" i="1"/>
  <c r="HUK84" i="1"/>
  <c r="HUJ84" i="1"/>
  <c r="HUI84" i="1"/>
  <c r="HUH84" i="1"/>
  <c r="HUG84" i="1"/>
  <c r="HUF84" i="1"/>
  <c r="HUE84" i="1"/>
  <c r="HUD84" i="1"/>
  <c r="HUC84" i="1"/>
  <c r="HUB84" i="1"/>
  <c r="HUA84" i="1"/>
  <c r="HTZ84" i="1"/>
  <c r="HTY84" i="1"/>
  <c r="HTX84" i="1"/>
  <c r="HTW84" i="1"/>
  <c r="HTV84" i="1"/>
  <c r="HTU84" i="1"/>
  <c r="HTT84" i="1"/>
  <c r="HTS84" i="1"/>
  <c r="HTR84" i="1"/>
  <c r="HTQ84" i="1"/>
  <c r="HTP84" i="1"/>
  <c r="HTO84" i="1"/>
  <c r="HTN84" i="1"/>
  <c r="HTM84" i="1"/>
  <c r="HTL84" i="1"/>
  <c r="HTK84" i="1"/>
  <c r="HTJ84" i="1"/>
  <c r="HTI84" i="1"/>
  <c r="HTH84" i="1"/>
  <c r="HTG84" i="1"/>
  <c r="HTF84" i="1"/>
  <c r="HTE84" i="1"/>
  <c r="HTD84" i="1"/>
  <c r="HTC84" i="1"/>
  <c r="HTB84" i="1"/>
  <c r="HTA84" i="1"/>
  <c r="HSZ84" i="1"/>
  <c r="HSY84" i="1"/>
  <c r="HSX84" i="1"/>
  <c r="HSW84" i="1"/>
  <c r="HSV84" i="1"/>
  <c r="HSU84" i="1"/>
  <c r="HST84" i="1"/>
  <c r="HSS84" i="1"/>
  <c r="HSR84" i="1"/>
  <c r="HSQ84" i="1"/>
  <c r="HSP84" i="1"/>
  <c r="HSO84" i="1"/>
  <c r="HSN84" i="1"/>
  <c r="HSM84" i="1"/>
  <c r="HSL84" i="1"/>
  <c r="HSK84" i="1"/>
  <c r="HSJ84" i="1"/>
  <c r="HSI84" i="1"/>
  <c r="HSH84" i="1"/>
  <c r="HSG84" i="1"/>
  <c r="HSF84" i="1"/>
  <c r="HSE84" i="1"/>
  <c r="HSD84" i="1"/>
  <c r="HSC84" i="1"/>
  <c r="HSB84" i="1"/>
  <c r="HSA84" i="1"/>
  <c r="HRZ84" i="1"/>
  <c r="HRY84" i="1"/>
  <c r="HRX84" i="1"/>
  <c r="HRW84" i="1"/>
  <c r="HRV84" i="1"/>
  <c r="HRU84" i="1"/>
  <c r="HRT84" i="1"/>
  <c r="HRS84" i="1"/>
  <c r="HRR84" i="1"/>
  <c r="HRQ84" i="1"/>
  <c r="HRP84" i="1"/>
  <c r="HRO84" i="1"/>
  <c r="HRN84" i="1"/>
  <c r="HRM84" i="1"/>
  <c r="HRL84" i="1"/>
  <c r="HRK84" i="1"/>
  <c r="HRJ84" i="1"/>
  <c r="HRI84" i="1"/>
  <c r="HRH84" i="1"/>
  <c r="HRG84" i="1"/>
  <c r="HRF84" i="1"/>
  <c r="HRE84" i="1"/>
  <c r="HRD84" i="1"/>
  <c r="HRC84" i="1"/>
  <c r="HRB84" i="1"/>
  <c r="HRA84" i="1"/>
  <c r="HQZ84" i="1"/>
  <c r="HQY84" i="1"/>
  <c r="HQX84" i="1"/>
  <c r="HQW84" i="1"/>
  <c r="HQV84" i="1"/>
  <c r="HQU84" i="1"/>
  <c r="HQT84" i="1"/>
  <c r="HQS84" i="1"/>
  <c r="HQR84" i="1"/>
  <c r="HQQ84" i="1"/>
  <c r="HQP84" i="1"/>
  <c r="HQO84" i="1"/>
  <c r="HQN84" i="1"/>
  <c r="HQM84" i="1"/>
  <c r="HQL84" i="1"/>
  <c r="HQK84" i="1"/>
  <c r="HQJ84" i="1"/>
  <c r="HQI84" i="1"/>
  <c r="HQH84" i="1"/>
  <c r="HQG84" i="1"/>
  <c r="HQF84" i="1"/>
  <c r="HQE84" i="1"/>
  <c r="HQD84" i="1"/>
  <c r="HQC84" i="1"/>
  <c r="HQB84" i="1"/>
  <c r="HQA84" i="1"/>
  <c r="HPZ84" i="1"/>
  <c r="HPY84" i="1"/>
  <c r="HPX84" i="1"/>
  <c r="HPW84" i="1"/>
  <c r="HPV84" i="1"/>
  <c r="HPU84" i="1"/>
  <c r="HPT84" i="1"/>
  <c r="HPS84" i="1"/>
  <c r="HPR84" i="1"/>
  <c r="HPQ84" i="1"/>
  <c r="HPP84" i="1"/>
  <c r="HPO84" i="1"/>
  <c r="HPN84" i="1"/>
  <c r="HPM84" i="1"/>
  <c r="HPL84" i="1"/>
  <c r="HPK84" i="1"/>
  <c r="HPJ84" i="1"/>
  <c r="HPI84" i="1"/>
  <c r="HPH84" i="1"/>
  <c r="HPG84" i="1"/>
  <c r="HPF84" i="1"/>
  <c r="HPE84" i="1"/>
  <c r="HPD84" i="1"/>
  <c r="HPC84" i="1"/>
  <c r="HPB84" i="1"/>
  <c r="HPA84" i="1"/>
  <c r="HOZ84" i="1"/>
  <c r="HOY84" i="1"/>
  <c r="HOX84" i="1"/>
  <c r="HOW84" i="1"/>
  <c r="HOV84" i="1"/>
  <c r="HOU84" i="1"/>
  <c r="HOT84" i="1"/>
  <c r="HOS84" i="1"/>
  <c r="HOR84" i="1"/>
  <c r="HOQ84" i="1"/>
  <c r="HOP84" i="1"/>
  <c r="HOO84" i="1"/>
  <c r="HON84" i="1"/>
  <c r="HOM84" i="1"/>
  <c r="HOL84" i="1"/>
  <c r="HOK84" i="1"/>
  <c r="HOJ84" i="1"/>
  <c r="HOI84" i="1"/>
  <c r="HOH84" i="1"/>
  <c r="HOG84" i="1"/>
  <c r="HOF84" i="1"/>
  <c r="HOE84" i="1"/>
  <c r="HOD84" i="1"/>
  <c r="HOC84" i="1"/>
  <c r="HOB84" i="1"/>
  <c r="HOA84" i="1"/>
  <c r="HNZ84" i="1"/>
  <c r="HNY84" i="1"/>
  <c r="HNX84" i="1"/>
  <c r="HNW84" i="1"/>
  <c r="HNV84" i="1"/>
  <c r="HNU84" i="1"/>
  <c r="HNT84" i="1"/>
  <c r="HNS84" i="1"/>
  <c r="HNR84" i="1"/>
  <c r="HNQ84" i="1"/>
  <c r="HNP84" i="1"/>
  <c r="HNO84" i="1"/>
  <c r="HNN84" i="1"/>
  <c r="HNM84" i="1"/>
  <c r="HNL84" i="1"/>
  <c r="HNK84" i="1"/>
  <c r="HNJ84" i="1"/>
  <c r="HNI84" i="1"/>
  <c r="HNH84" i="1"/>
  <c r="HNG84" i="1"/>
  <c r="HNF84" i="1"/>
  <c r="HNE84" i="1"/>
  <c r="HND84" i="1"/>
  <c r="HNC84" i="1"/>
  <c r="HNB84" i="1"/>
  <c r="HNA84" i="1"/>
  <c r="HMZ84" i="1"/>
  <c r="HMY84" i="1"/>
  <c r="HMX84" i="1"/>
  <c r="HMW84" i="1"/>
  <c r="HMV84" i="1"/>
  <c r="HMU84" i="1"/>
  <c r="HMT84" i="1"/>
  <c r="HMS84" i="1"/>
  <c r="HMR84" i="1"/>
  <c r="HMQ84" i="1"/>
  <c r="HMP84" i="1"/>
  <c r="HMO84" i="1"/>
  <c r="HMN84" i="1"/>
  <c r="HMM84" i="1"/>
  <c r="HML84" i="1"/>
  <c r="HMK84" i="1"/>
  <c r="HMJ84" i="1"/>
  <c r="HMI84" i="1"/>
  <c r="HMH84" i="1"/>
  <c r="HMG84" i="1"/>
  <c r="HMF84" i="1"/>
  <c r="HME84" i="1"/>
  <c r="HMD84" i="1"/>
  <c r="HMC84" i="1"/>
  <c r="HMB84" i="1"/>
  <c r="HMA84" i="1"/>
  <c r="HLZ84" i="1"/>
  <c r="HLY84" i="1"/>
  <c r="HLX84" i="1"/>
  <c r="HLW84" i="1"/>
  <c r="HLV84" i="1"/>
  <c r="HLU84" i="1"/>
  <c r="HLT84" i="1"/>
  <c r="HLS84" i="1"/>
  <c r="HLR84" i="1"/>
  <c r="HLQ84" i="1"/>
  <c r="HLP84" i="1"/>
  <c r="HLO84" i="1"/>
  <c r="HLN84" i="1"/>
  <c r="HLM84" i="1"/>
  <c r="HLL84" i="1"/>
  <c r="HLK84" i="1"/>
  <c r="HLJ84" i="1"/>
  <c r="HLI84" i="1"/>
  <c r="HLH84" i="1"/>
  <c r="HLG84" i="1"/>
  <c r="HLF84" i="1"/>
  <c r="HLE84" i="1"/>
  <c r="HLD84" i="1"/>
  <c r="HLC84" i="1"/>
  <c r="HLB84" i="1"/>
  <c r="HLA84" i="1"/>
  <c r="HKZ84" i="1"/>
  <c r="HKY84" i="1"/>
  <c r="HKX84" i="1"/>
  <c r="HKW84" i="1"/>
  <c r="HKV84" i="1"/>
  <c r="HKU84" i="1"/>
  <c r="HKT84" i="1"/>
  <c r="HKS84" i="1"/>
  <c r="HKR84" i="1"/>
  <c r="HKQ84" i="1"/>
  <c r="HKP84" i="1"/>
  <c r="HKO84" i="1"/>
  <c r="HKN84" i="1"/>
  <c r="HKM84" i="1"/>
  <c r="HKL84" i="1"/>
  <c r="HKK84" i="1"/>
  <c r="HKJ84" i="1"/>
  <c r="HKI84" i="1"/>
  <c r="HKH84" i="1"/>
  <c r="HKG84" i="1"/>
  <c r="HKF84" i="1"/>
  <c r="HKE84" i="1"/>
  <c r="HKD84" i="1"/>
  <c r="HKC84" i="1"/>
  <c r="HKB84" i="1"/>
  <c r="HKA84" i="1"/>
  <c r="HJZ84" i="1"/>
  <c r="HJY84" i="1"/>
  <c r="HJX84" i="1"/>
  <c r="HJW84" i="1"/>
  <c r="HJV84" i="1"/>
  <c r="HJU84" i="1"/>
  <c r="HJT84" i="1"/>
  <c r="HJS84" i="1"/>
  <c r="HJR84" i="1"/>
  <c r="HJQ84" i="1"/>
  <c r="HJP84" i="1"/>
  <c r="HJO84" i="1"/>
  <c r="HJN84" i="1"/>
  <c r="HJM84" i="1"/>
  <c r="HJL84" i="1"/>
  <c r="HJK84" i="1"/>
  <c r="HJJ84" i="1"/>
  <c r="HJI84" i="1"/>
  <c r="HJH84" i="1"/>
  <c r="HJG84" i="1"/>
  <c r="HJF84" i="1"/>
  <c r="HJE84" i="1"/>
  <c r="HJD84" i="1"/>
  <c r="HJC84" i="1"/>
  <c r="HJB84" i="1"/>
  <c r="HJA84" i="1"/>
  <c r="HIZ84" i="1"/>
  <c r="HIY84" i="1"/>
  <c r="HIX84" i="1"/>
  <c r="HIW84" i="1"/>
  <c r="HIV84" i="1"/>
  <c r="HIU84" i="1"/>
  <c r="HIT84" i="1"/>
  <c r="HIS84" i="1"/>
  <c r="HIR84" i="1"/>
  <c r="HIQ84" i="1"/>
  <c r="HIP84" i="1"/>
  <c r="HIO84" i="1"/>
  <c r="HIN84" i="1"/>
  <c r="HIM84" i="1"/>
  <c r="HIL84" i="1"/>
  <c r="HIK84" i="1"/>
  <c r="HIJ84" i="1"/>
  <c r="HII84" i="1"/>
  <c r="HIH84" i="1"/>
  <c r="HIG84" i="1"/>
  <c r="HIF84" i="1"/>
  <c r="HIE84" i="1"/>
  <c r="HID84" i="1"/>
  <c r="HIC84" i="1"/>
  <c r="HIB84" i="1"/>
  <c r="HIA84" i="1"/>
  <c r="HHZ84" i="1"/>
  <c r="HHY84" i="1"/>
  <c r="HHX84" i="1"/>
  <c r="HHW84" i="1"/>
  <c r="HHV84" i="1"/>
  <c r="HHU84" i="1"/>
  <c r="HHT84" i="1"/>
  <c r="HHS84" i="1"/>
  <c r="HHR84" i="1"/>
  <c r="HHQ84" i="1"/>
  <c r="HHP84" i="1"/>
  <c r="HHO84" i="1"/>
  <c r="HHN84" i="1"/>
  <c r="HHM84" i="1"/>
  <c r="HHL84" i="1"/>
  <c r="HHK84" i="1"/>
  <c r="HHJ84" i="1"/>
  <c r="HHI84" i="1"/>
  <c r="HHH84" i="1"/>
  <c r="HHG84" i="1"/>
  <c r="HHF84" i="1"/>
  <c r="HHE84" i="1"/>
  <c r="HHD84" i="1"/>
  <c r="HHC84" i="1"/>
  <c r="HHB84" i="1"/>
  <c r="HHA84" i="1"/>
  <c r="HGZ84" i="1"/>
  <c r="HGY84" i="1"/>
  <c r="HGX84" i="1"/>
  <c r="HGW84" i="1"/>
  <c r="HGV84" i="1"/>
  <c r="HGU84" i="1"/>
  <c r="HGT84" i="1"/>
  <c r="HGS84" i="1"/>
  <c r="HGR84" i="1"/>
  <c r="HGQ84" i="1"/>
  <c r="HGP84" i="1"/>
  <c r="HGO84" i="1"/>
  <c r="HGN84" i="1"/>
  <c r="HGM84" i="1"/>
  <c r="HGL84" i="1"/>
  <c r="HGK84" i="1"/>
  <c r="HGJ84" i="1"/>
  <c r="HGI84" i="1"/>
  <c r="HGH84" i="1"/>
  <c r="HGG84" i="1"/>
  <c r="HGF84" i="1"/>
  <c r="HGE84" i="1"/>
  <c r="HGD84" i="1"/>
  <c r="HGC84" i="1"/>
  <c r="HGB84" i="1"/>
  <c r="HGA84" i="1"/>
  <c r="HFZ84" i="1"/>
  <c r="HFY84" i="1"/>
  <c r="HFX84" i="1"/>
  <c r="HFW84" i="1"/>
  <c r="HFV84" i="1"/>
  <c r="HFU84" i="1"/>
  <c r="HFT84" i="1"/>
  <c r="HFS84" i="1"/>
  <c r="HFR84" i="1"/>
  <c r="HFQ84" i="1"/>
  <c r="HFP84" i="1"/>
  <c r="HFO84" i="1"/>
  <c r="HFN84" i="1"/>
  <c r="HFM84" i="1"/>
  <c r="HFL84" i="1"/>
  <c r="HFK84" i="1"/>
  <c r="HFJ84" i="1"/>
  <c r="HFI84" i="1"/>
  <c r="HFH84" i="1"/>
  <c r="HFG84" i="1"/>
  <c r="HFF84" i="1"/>
  <c r="HFE84" i="1"/>
  <c r="HFD84" i="1"/>
  <c r="HFC84" i="1"/>
  <c r="HFB84" i="1"/>
  <c r="HFA84" i="1"/>
  <c r="HEZ84" i="1"/>
  <c r="HEY84" i="1"/>
  <c r="HEX84" i="1"/>
  <c r="HEW84" i="1"/>
  <c r="HEV84" i="1"/>
  <c r="HEU84" i="1"/>
  <c r="HET84" i="1"/>
  <c r="HES84" i="1"/>
  <c r="HER84" i="1"/>
  <c r="HEQ84" i="1"/>
  <c r="HEP84" i="1"/>
  <c r="HEO84" i="1"/>
  <c r="HEN84" i="1"/>
  <c r="HEM84" i="1"/>
  <c r="HEL84" i="1"/>
  <c r="HEK84" i="1"/>
  <c r="HEJ84" i="1"/>
  <c r="HEI84" i="1"/>
  <c r="HEH84" i="1"/>
  <c r="HEG84" i="1"/>
  <c r="HEF84" i="1"/>
  <c r="HEE84" i="1"/>
  <c r="HED84" i="1"/>
  <c r="HEC84" i="1"/>
  <c r="HEB84" i="1"/>
  <c r="HEA84" i="1"/>
  <c r="HDZ84" i="1"/>
  <c r="HDY84" i="1"/>
  <c r="HDX84" i="1"/>
  <c r="HDW84" i="1"/>
  <c r="HDV84" i="1"/>
  <c r="HDU84" i="1"/>
  <c r="HDT84" i="1"/>
  <c r="HDS84" i="1"/>
  <c r="HDR84" i="1"/>
  <c r="HDQ84" i="1"/>
  <c r="HDP84" i="1"/>
  <c r="HDO84" i="1"/>
  <c r="HDN84" i="1"/>
  <c r="HDM84" i="1"/>
  <c r="HDL84" i="1"/>
  <c r="HDK84" i="1"/>
  <c r="HDJ84" i="1"/>
  <c r="HDI84" i="1"/>
  <c r="HDH84" i="1"/>
  <c r="HDG84" i="1"/>
  <c r="HDF84" i="1"/>
  <c r="HDE84" i="1"/>
  <c r="HDD84" i="1"/>
  <c r="HDC84" i="1"/>
  <c r="HDB84" i="1"/>
  <c r="HDA84" i="1"/>
  <c r="HCZ84" i="1"/>
  <c r="HCY84" i="1"/>
  <c r="HCX84" i="1"/>
  <c r="HCW84" i="1"/>
  <c r="HCV84" i="1"/>
  <c r="HCU84" i="1"/>
  <c r="HCT84" i="1"/>
  <c r="HCS84" i="1"/>
  <c r="HCR84" i="1"/>
  <c r="HCQ84" i="1"/>
  <c r="HCP84" i="1"/>
  <c r="HCO84" i="1"/>
  <c r="HCN84" i="1"/>
  <c r="HCM84" i="1"/>
  <c r="HCL84" i="1"/>
  <c r="HCK84" i="1"/>
  <c r="HCJ84" i="1"/>
  <c r="HCI84" i="1"/>
  <c r="HCH84" i="1"/>
  <c r="HCG84" i="1"/>
  <c r="HCF84" i="1"/>
  <c r="HCE84" i="1"/>
  <c r="HCD84" i="1"/>
  <c r="HCC84" i="1"/>
  <c r="HCB84" i="1"/>
  <c r="HCA84" i="1"/>
  <c r="HBZ84" i="1"/>
  <c r="HBY84" i="1"/>
  <c r="HBX84" i="1"/>
  <c r="HBW84" i="1"/>
  <c r="HBV84" i="1"/>
  <c r="HBU84" i="1"/>
  <c r="HBT84" i="1"/>
  <c r="HBS84" i="1"/>
  <c r="HBR84" i="1"/>
  <c r="HBQ84" i="1"/>
  <c r="HBP84" i="1"/>
  <c r="HBO84" i="1"/>
  <c r="HBN84" i="1"/>
  <c r="HBM84" i="1"/>
  <c r="HBL84" i="1"/>
  <c r="HBK84" i="1"/>
  <c r="HBJ84" i="1"/>
  <c r="HBI84" i="1"/>
  <c r="HBH84" i="1"/>
  <c r="HBG84" i="1"/>
  <c r="HBF84" i="1"/>
  <c r="HBE84" i="1"/>
  <c r="HBD84" i="1"/>
  <c r="HBC84" i="1"/>
  <c r="HBB84" i="1"/>
  <c r="HBA84" i="1"/>
  <c r="HAZ84" i="1"/>
  <c r="HAY84" i="1"/>
  <c r="HAX84" i="1"/>
  <c r="HAW84" i="1"/>
  <c r="HAV84" i="1"/>
  <c r="HAU84" i="1"/>
  <c r="HAT84" i="1"/>
  <c r="HAS84" i="1"/>
  <c r="HAR84" i="1"/>
  <c r="HAQ84" i="1"/>
  <c r="HAP84" i="1"/>
  <c r="HAO84" i="1"/>
  <c r="HAN84" i="1"/>
  <c r="HAM84" i="1"/>
  <c r="HAL84" i="1"/>
  <c r="HAK84" i="1"/>
  <c r="HAJ84" i="1"/>
  <c r="HAI84" i="1"/>
  <c r="HAH84" i="1"/>
  <c r="HAG84" i="1"/>
  <c r="HAF84" i="1"/>
  <c r="HAE84" i="1"/>
  <c r="HAD84" i="1"/>
  <c r="HAC84" i="1"/>
  <c r="HAB84" i="1"/>
  <c r="HAA84" i="1"/>
  <c r="GZZ84" i="1"/>
  <c r="GZY84" i="1"/>
  <c r="GZX84" i="1"/>
  <c r="GZW84" i="1"/>
  <c r="GZV84" i="1"/>
  <c r="GZU84" i="1"/>
  <c r="GZT84" i="1"/>
  <c r="GZS84" i="1"/>
  <c r="GZR84" i="1"/>
  <c r="GZQ84" i="1"/>
  <c r="GZP84" i="1"/>
  <c r="GZO84" i="1"/>
  <c r="GZN84" i="1"/>
  <c r="GZM84" i="1"/>
  <c r="GZL84" i="1"/>
  <c r="GZK84" i="1"/>
  <c r="GZJ84" i="1"/>
  <c r="GZI84" i="1"/>
  <c r="GZH84" i="1"/>
  <c r="GZG84" i="1"/>
  <c r="GZF84" i="1"/>
  <c r="GZE84" i="1"/>
  <c r="GZD84" i="1"/>
  <c r="GZC84" i="1"/>
  <c r="GZB84" i="1"/>
  <c r="GZA84" i="1"/>
  <c r="GYZ84" i="1"/>
  <c r="GYY84" i="1"/>
  <c r="GYX84" i="1"/>
  <c r="GYW84" i="1"/>
  <c r="GYV84" i="1"/>
  <c r="GYU84" i="1"/>
  <c r="GYT84" i="1"/>
  <c r="GYS84" i="1"/>
  <c r="GYR84" i="1"/>
  <c r="GYQ84" i="1"/>
  <c r="GYP84" i="1"/>
  <c r="GYO84" i="1"/>
  <c r="GYN84" i="1"/>
  <c r="GYM84" i="1"/>
  <c r="GYL84" i="1"/>
  <c r="GYK84" i="1"/>
  <c r="GYJ84" i="1"/>
  <c r="GYI84" i="1"/>
  <c r="GYH84" i="1"/>
  <c r="GYG84" i="1"/>
  <c r="GYF84" i="1"/>
  <c r="GYE84" i="1"/>
  <c r="GYD84" i="1"/>
  <c r="GYC84" i="1"/>
  <c r="GYB84" i="1"/>
  <c r="GYA84" i="1"/>
  <c r="GXZ84" i="1"/>
  <c r="GXY84" i="1"/>
  <c r="GXX84" i="1"/>
  <c r="GXW84" i="1"/>
  <c r="GXV84" i="1"/>
  <c r="GXU84" i="1"/>
  <c r="GXT84" i="1"/>
  <c r="GXS84" i="1"/>
  <c r="GXR84" i="1"/>
  <c r="GXQ84" i="1"/>
  <c r="GXP84" i="1"/>
  <c r="GXO84" i="1"/>
  <c r="GXN84" i="1"/>
  <c r="GXM84" i="1"/>
  <c r="GXL84" i="1"/>
  <c r="GXK84" i="1"/>
  <c r="GXJ84" i="1"/>
  <c r="GXI84" i="1"/>
  <c r="GXH84" i="1"/>
  <c r="GXG84" i="1"/>
  <c r="GXF84" i="1"/>
  <c r="GXE84" i="1"/>
  <c r="GXD84" i="1"/>
  <c r="GXC84" i="1"/>
  <c r="GXB84" i="1"/>
  <c r="GXA84" i="1"/>
  <c r="GWZ84" i="1"/>
  <c r="GWY84" i="1"/>
  <c r="GWX84" i="1"/>
  <c r="GWW84" i="1"/>
  <c r="GWV84" i="1"/>
  <c r="GWU84" i="1"/>
  <c r="GWT84" i="1"/>
  <c r="GWS84" i="1"/>
  <c r="GWR84" i="1"/>
  <c r="GWQ84" i="1"/>
  <c r="GWP84" i="1"/>
  <c r="GWO84" i="1"/>
  <c r="GWN84" i="1"/>
  <c r="GWM84" i="1"/>
  <c r="GWL84" i="1"/>
  <c r="GWK84" i="1"/>
  <c r="GWJ84" i="1"/>
  <c r="GWI84" i="1"/>
  <c r="GWH84" i="1"/>
  <c r="GWG84" i="1"/>
  <c r="GWF84" i="1"/>
  <c r="GWE84" i="1"/>
  <c r="GWD84" i="1"/>
  <c r="GWC84" i="1"/>
  <c r="GWB84" i="1"/>
  <c r="GWA84" i="1"/>
  <c r="GVZ84" i="1"/>
  <c r="GVY84" i="1"/>
  <c r="GVX84" i="1"/>
  <c r="GVW84" i="1"/>
  <c r="GVV84" i="1"/>
  <c r="GVU84" i="1"/>
  <c r="GVT84" i="1"/>
  <c r="GVS84" i="1"/>
  <c r="GVR84" i="1"/>
  <c r="GVQ84" i="1"/>
  <c r="GVP84" i="1"/>
  <c r="GVO84" i="1"/>
  <c r="GVN84" i="1"/>
  <c r="GVM84" i="1"/>
  <c r="GVL84" i="1"/>
  <c r="GVK84" i="1"/>
  <c r="GVJ84" i="1"/>
  <c r="GVI84" i="1"/>
  <c r="GVH84" i="1"/>
  <c r="GVG84" i="1"/>
  <c r="GVF84" i="1"/>
  <c r="GVE84" i="1"/>
  <c r="GVD84" i="1"/>
  <c r="GVC84" i="1"/>
  <c r="GVB84" i="1"/>
  <c r="GVA84" i="1"/>
  <c r="GUZ84" i="1"/>
  <c r="GUY84" i="1"/>
  <c r="GUX84" i="1"/>
  <c r="GUW84" i="1"/>
  <c r="GUV84" i="1"/>
  <c r="GUU84" i="1"/>
  <c r="GUT84" i="1"/>
  <c r="GUS84" i="1"/>
  <c r="GUR84" i="1"/>
  <c r="GUQ84" i="1"/>
  <c r="GUP84" i="1"/>
  <c r="GUO84" i="1"/>
  <c r="GUN84" i="1"/>
  <c r="GUM84" i="1"/>
  <c r="GUL84" i="1"/>
  <c r="GUK84" i="1"/>
  <c r="GUJ84" i="1"/>
  <c r="GUI84" i="1"/>
  <c r="GUH84" i="1"/>
  <c r="GUG84" i="1"/>
  <c r="GUF84" i="1"/>
  <c r="GUE84" i="1"/>
  <c r="GUD84" i="1"/>
  <c r="GUC84" i="1"/>
  <c r="GUB84" i="1"/>
  <c r="GUA84" i="1"/>
  <c r="GTZ84" i="1"/>
  <c r="GTY84" i="1"/>
  <c r="GTX84" i="1"/>
  <c r="GTW84" i="1"/>
  <c r="GTV84" i="1"/>
  <c r="GTU84" i="1"/>
  <c r="GTT84" i="1"/>
  <c r="GTS84" i="1"/>
  <c r="GTR84" i="1"/>
  <c r="GTQ84" i="1"/>
  <c r="GTP84" i="1"/>
  <c r="GTO84" i="1"/>
  <c r="GTN84" i="1"/>
  <c r="GTM84" i="1"/>
  <c r="GTL84" i="1"/>
  <c r="GTK84" i="1"/>
  <c r="GTJ84" i="1"/>
  <c r="GTI84" i="1"/>
  <c r="GTH84" i="1"/>
  <c r="GTG84" i="1"/>
  <c r="GTF84" i="1"/>
  <c r="GTE84" i="1"/>
  <c r="GTD84" i="1"/>
  <c r="GTC84" i="1"/>
  <c r="GTB84" i="1"/>
  <c r="GTA84" i="1"/>
  <c r="GSZ84" i="1"/>
  <c r="GSY84" i="1"/>
  <c r="GSX84" i="1"/>
  <c r="GSW84" i="1"/>
  <c r="GSV84" i="1"/>
  <c r="GSU84" i="1"/>
  <c r="GST84" i="1"/>
  <c r="GSS84" i="1"/>
  <c r="GSR84" i="1"/>
  <c r="GSQ84" i="1"/>
  <c r="GSP84" i="1"/>
  <c r="GSO84" i="1"/>
  <c r="GSN84" i="1"/>
  <c r="GSM84" i="1"/>
  <c r="GSL84" i="1"/>
  <c r="GSK84" i="1"/>
  <c r="GSJ84" i="1"/>
  <c r="GSI84" i="1"/>
  <c r="GSH84" i="1"/>
  <c r="GSG84" i="1"/>
  <c r="GSF84" i="1"/>
  <c r="GSE84" i="1"/>
  <c r="GSD84" i="1"/>
  <c r="GSC84" i="1"/>
  <c r="GSB84" i="1"/>
  <c r="GSA84" i="1"/>
  <c r="GRZ84" i="1"/>
  <c r="GRY84" i="1"/>
  <c r="GRX84" i="1"/>
  <c r="GRW84" i="1"/>
  <c r="GRV84" i="1"/>
  <c r="GRU84" i="1"/>
  <c r="GRT84" i="1"/>
  <c r="GRS84" i="1"/>
  <c r="GRR84" i="1"/>
  <c r="GRQ84" i="1"/>
  <c r="GRP84" i="1"/>
  <c r="GRO84" i="1"/>
  <c r="GRN84" i="1"/>
  <c r="GRM84" i="1"/>
  <c r="GRL84" i="1"/>
  <c r="GRK84" i="1"/>
  <c r="GRJ84" i="1"/>
  <c r="GRI84" i="1"/>
  <c r="GRH84" i="1"/>
  <c r="GRG84" i="1"/>
  <c r="GRF84" i="1"/>
  <c r="GRE84" i="1"/>
  <c r="GRD84" i="1"/>
  <c r="GRC84" i="1"/>
  <c r="GRB84" i="1"/>
  <c r="GRA84" i="1"/>
  <c r="GQZ84" i="1"/>
  <c r="GQY84" i="1"/>
  <c r="GQX84" i="1"/>
  <c r="GQW84" i="1"/>
  <c r="GQV84" i="1"/>
  <c r="GQU84" i="1"/>
  <c r="GQT84" i="1"/>
  <c r="GQS84" i="1"/>
  <c r="GQR84" i="1"/>
  <c r="GQQ84" i="1"/>
  <c r="GQP84" i="1"/>
  <c r="GQO84" i="1"/>
  <c r="GQN84" i="1"/>
  <c r="GQM84" i="1"/>
  <c r="GQL84" i="1"/>
  <c r="GQK84" i="1"/>
  <c r="GQJ84" i="1"/>
  <c r="GQI84" i="1"/>
  <c r="GQH84" i="1"/>
  <c r="GQG84" i="1"/>
  <c r="GQF84" i="1"/>
  <c r="GQE84" i="1"/>
  <c r="GQD84" i="1"/>
  <c r="GQC84" i="1"/>
  <c r="GQB84" i="1"/>
  <c r="GQA84" i="1"/>
  <c r="GPZ84" i="1"/>
  <c r="GPY84" i="1"/>
  <c r="GPX84" i="1"/>
  <c r="GPW84" i="1"/>
  <c r="GPV84" i="1"/>
  <c r="GPU84" i="1"/>
  <c r="GPT84" i="1"/>
  <c r="GPS84" i="1"/>
  <c r="GPR84" i="1"/>
  <c r="GPQ84" i="1"/>
  <c r="GPP84" i="1"/>
  <c r="GPO84" i="1"/>
  <c r="GPN84" i="1"/>
  <c r="GPM84" i="1"/>
  <c r="GPL84" i="1"/>
  <c r="GPK84" i="1"/>
  <c r="GPJ84" i="1"/>
  <c r="GPI84" i="1"/>
  <c r="GPH84" i="1"/>
  <c r="GPG84" i="1"/>
  <c r="GPF84" i="1"/>
  <c r="GPE84" i="1"/>
  <c r="GPD84" i="1"/>
  <c r="GPC84" i="1"/>
  <c r="GPB84" i="1"/>
  <c r="GPA84" i="1"/>
  <c r="GOZ84" i="1"/>
  <c r="GOY84" i="1"/>
  <c r="GOX84" i="1"/>
  <c r="GOW84" i="1"/>
  <c r="GOV84" i="1"/>
  <c r="GOU84" i="1"/>
  <c r="GOT84" i="1"/>
  <c r="GOS84" i="1"/>
  <c r="GOR84" i="1"/>
  <c r="GOQ84" i="1"/>
  <c r="GOP84" i="1"/>
  <c r="GOO84" i="1"/>
  <c r="GON84" i="1"/>
  <c r="GOM84" i="1"/>
  <c r="GOL84" i="1"/>
  <c r="GOK84" i="1"/>
  <c r="GOJ84" i="1"/>
  <c r="GOI84" i="1"/>
  <c r="GOH84" i="1"/>
  <c r="GOG84" i="1"/>
  <c r="GOF84" i="1"/>
  <c r="GOE84" i="1"/>
  <c r="GOD84" i="1"/>
  <c r="GOC84" i="1"/>
  <c r="GOB84" i="1"/>
  <c r="GOA84" i="1"/>
  <c r="GNZ84" i="1"/>
  <c r="GNY84" i="1"/>
  <c r="GNX84" i="1"/>
  <c r="GNW84" i="1"/>
  <c r="GNV84" i="1"/>
  <c r="GNU84" i="1"/>
  <c r="GNT84" i="1"/>
  <c r="GNS84" i="1"/>
  <c r="GNR84" i="1"/>
  <c r="GNQ84" i="1"/>
  <c r="GNP84" i="1"/>
  <c r="GNO84" i="1"/>
  <c r="GNN84" i="1"/>
  <c r="GNM84" i="1"/>
  <c r="GNL84" i="1"/>
  <c r="GNK84" i="1"/>
  <c r="GNJ84" i="1"/>
  <c r="GNI84" i="1"/>
  <c r="GNH84" i="1"/>
  <c r="GNG84" i="1"/>
  <c r="GNF84" i="1"/>
  <c r="GNE84" i="1"/>
  <c r="GND84" i="1"/>
  <c r="GNC84" i="1"/>
  <c r="GNB84" i="1"/>
  <c r="GNA84" i="1"/>
  <c r="GMZ84" i="1"/>
  <c r="GMY84" i="1"/>
  <c r="GMX84" i="1"/>
  <c r="GMW84" i="1"/>
  <c r="GMV84" i="1"/>
  <c r="GMU84" i="1"/>
  <c r="GMT84" i="1"/>
  <c r="GMS84" i="1"/>
  <c r="GMR84" i="1"/>
  <c r="GMQ84" i="1"/>
  <c r="GMP84" i="1"/>
  <c r="GMO84" i="1"/>
  <c r="GMN84" i="1"/>
  <c r="GMM84" i="1"/>
  <c r="GML84" i="1"/>
  <c r="GMK84" i="1"/>
  <c r="GMJ84" i="1"/>
  <c r="GMI84" i="1"/>
  <c r="GMH84" i="1"/>
  <c r="GMG84" i="1"/>
  <c r="GMF84" i="1"/>
  <c r="GME84" i="1"/>
  <c r="GMD84" i="1"/>
  <c r="GMC84" i="1"/>
  <c r="GMB84" i="1"/>
  <c r="GMA84" i="1"/>
  <c r="GLZ84" i="1"/>
  <c r="GLY84" i="1"/>
  <c r="GLX84" i="1"/>
  <c r="GLW84" i="1"/>
  <c r="GLV84" i="1"/>
  <c r="GLU84" i="1"/>
  <c r="GLT84" i="1"/>
  <c r="GLS84" i="1"/>
  <c r="GLR84" i="1"/>
  <c r="GLQ84" i="1"/>
  <c r="GLP84" i="1"/>
  <c r="GLO84" i="1"/>
  <c r="GLN84" i="1"/>
  <c r="GLM84" i="1"/>
  <c r="GLL84" i="1"/>
  <c r="GLK84" i="1"/>
  <c r="GLJ84" i="1"/>
  <c r="GLI84" i="1"/>
  <c r="GLH84" i="1"/>
  <c r="GLG84" i="1"/>
  <c r="GLF84" i="1"/>
  <c r="GLE84" i="1"/>
  <c r="GLD84" i="1"/>
  <c r="GLC84" i="1"/>
  <c r="GLB84" i="1"/>
  <c r="GLA84" i="1"/>
  <c r="GKZ84" i="1"/>
  <c r="GKY84" i="1"/>
  <c r="GKX84" i="1"/>
  <c r="GKW84" i="1"/>
  <c r="GKV84" i="1"/>
  <c r="GKU84" i="1"/>
  <c r="GKT84" i="1"/>
  <c r="GKS84" i="1"/>
  <c r="GKR84" i="1"/>
  <c r="GKQ84" i="1"/>
  <c r="GKP84" i="1"/>
  <c r="GKO84" i="1"/>
  <c r="GKN84" i="1"/>
  <c r="GKM84" i="1"/>
  <c r="GKL84" i="1"/>
  <c r="GKK84" i="1"/>
  <c r="GKJ84" i="1"/>
  <c r="GKI84" i="1"/>
  <c r="GKH84" i="1"/>
  <c r="GKG84" i="1"/>
  <c r="GKF84" i="1"/>
  <c r="GKE84" i="1"/>
  <c r="GKD84" i="1"/>
  <c r="GKC84" i="1"/>
  <c r="GKB84" i="1"/>
  <c r="GKA84" i="1"/>
  <c r="GJZ84" i="1"/>
  <c r="GJY84" i="1"/>
  <c r="GJX84" i="1"/>
  <c r="GJW84" i="1"/>
  <c r="GJV84" i="1"/>
  <c r="GJU84" i="1"/>
  <c r="GJT84" i="1"/>
  <c r="GJS84" i="1"/>
  <c r="GJR84" i="1"/>
  <c r="GJQ84" i="1"/>
  <c r="GJP84" i="1"/>
  <c r="GJO84" i="1"/>
  <c r="GJN84" i="1"/>
  <c r="GJM84" i="1"/>
  <c r="GJL84" i="1"/>
  <c r="GJK84" i="1"/>
  <c r="GJJ84" i="1"/>
  <c r="GJI84" i="1"/>
  <c r="GJH84" i="1"/>
  <c r="GJG84" i="1"/>
  <c r="GJF84" i="1"/>
  <c r="GJE84" i="1"/>
  <c r="GJD84" i="1"/>
  <c r="GJC84" i="1"/>
  <c r="GJB84" i="1"/>
  <c r="GJA84" i="1"/>
  <c r="GIZ84" i="1"/>
  <c r="GIY84" i="1"/>
  <c r="GIX84" i="1"/>
  <c r="GIW84" i="1"/>
  <c r="GIV84" i="1"/>
  <c r="GIU84" i="1"/>
  <c r="GIT84" i="1"/>
  <c r="GIS84" i="1"/>
  <c r="GIR84" i="1"/>
  <c r="GIQ84" i="1"/>
  <c r="GIP84" i="1"/>
  <c r="GIO84" i="1"/>
  <c r="GIN84" i="1"/>
  <c r="GIM84" i="1"/>
  <c r="GIL84" i="1"/>
  <c r="GIK84" i="1"/>
  <c r="GIJ84" i="1"/>
  <c r="GII84" i="1"/>
  <c r="GIH84" i="1"/>
  <c r="GIG84" i="1"/>
  <c r="GIF84" i="1"/>
  <c r="GIE84" i="1"/>
  <c r="GID84" i="1"/>
  <c r="GIC84" i="1"/>
  <c r="GIB84" i="1"/>
  <c r="GIA84" i="1"/>
  <c r="GHZ84" i="1"/>
  <c r="GHY84" i="1"/>
  <c r="GHX84" i="1"/>
  <c r="GHW84" i="1"/>
  <c r="GHV84" i="1"/>
  <c r="GHU84" i="1"/>
  <c r="GHT84" i="1"/>
  <c r="GHS84" i="1"/>
  <c r="GHR84" i="1"/>
  <c r="GHQ84" i="1"/>
  <c r="GHP84" i="1"/>
  <c r="GHO84" i="1"/>
  <c r="GHN84" i="1"/>
  <c r="GHM84" i="1"/>
  <c r="GHL84" i="1"/>
  <c r="GHK84" i="1"/>
  <c r="GHJ84" i="1"/>
  <c r="GHI84" i="1"/>
  <c r="GHH84" i="1"/>
  <c r="GHG84" i="1"/>
  <c r="GHF84" i="1"/>
  <c r="GHE84" i="1"/>
  <c r="GHD84" i="1"/>
  <c r="GHC84" i="1"/>
  <c r="GHB84" i="1"/>
  <c r="GHA84" i="1"/>
  <c r="GGZ84" i="1"/>
  <c r="GGY84" i="1"/>
  <c r="GGX84" i="1"/>
  <c r="GGW84" i="1"/>
  <c r="GGV84" i="1"/>
  <c r="GGU84" i="1"/>
  <c r="GGT84" i="1"/>
  <c r="GGS84" i="1"/>
  <c r="GGR84" i="1"/>
  <c r="GGQ84" i="1"/>
  <c r="GGP84" i="1"/>
  <c r="GGO84" i="1"/>
  <c r="GGN84" i="1"/>
  <c r="GGM84" i="1"/>
  <c r="GGL84" i="1"/>
  <c r="GGK84" i="1"/>
  <c r="GGJ84" i="1"/>
  <c r="GGI84" i="1"/>
  <c r="GGH84" i="1"/>
  <c r="GGG84" i="1"/>
  <c r="GGF84" i="1"/>
  <c r="GGE84" i="1"/>
  <c r="GGD84" i="1"/>
  <c r="GGC84" i="1"/>
  <c r="GGB84" i="1"/>
  <c r="GGA84" i="1"/>
  <c r="GFZ84" i="1"/>
  <c r="GFY84" i="1"/>
  <c r="GFX84" i="1"/>
  <c r="GFW84" i="1"/>
  <c r="GFV84" i="1"/>
  <c r="GFU84" i="1"/>
  <c r="GFT84" i="1"/>
  <c r="GFS84" i="1"/>
  <c r="GFR84" i="1"/>
  <c r="GFQ84" i="1"/>
  <c r="GFP84" i="1"/>
  <c r="GFO84" i="1"/>
  <c r="GFN84" i="1"/>
  <c r="GFM84" i="1"/>
  <c r="GFL84" i="1"/>
  <c r="GFK84" i="1"/>
  <c r="GFJ84" i="1"/>
  <c r="GFI84" i="1"/>
  <c r="GFH84" i="1"/>
  <c r="GFG84" i="1"/>
  <c r="GFF84" i="1"/>
  <c r="GFE84" i="1"/>
  <c r="GFD84" i="1"/>
  <c r="GFC84" i="1"/>
  <c r="GFB84" i="1"/>
  <c r="GFA84" i="1"/>
  <c r="GEZ84" i="1"/>
  <c r="GEY84" i="1"/>
  <c r="GEX84" i="1"/>
  <c r="GEW84" i="1"/>
  <c r="GEV84" i="1"/>
  <c r="GEU84" i="1"/>
  <c r="GET84" i="1"/>
  <c r="GES84" i="1"/>
  <c r="GER84" i="1"/>
  <c r="GEQ84" i="1"/>
  <c r="GEP84" i="1"/>
  <c r="GEO84" i="1"/>
  <c r="GEN84" i="1"/>
  <c r="GEM84" i="1"/>
  <c r="GEL84" i="1"/>
  <c r="GEK84" i="1"/>
  <c r="GEJ84" i="1"/>
  <c r="GEI84" i="1"/>
  <c r="GEH84" i="1"/>
  <c r="GEG84" i="1"/>
  <c r="GEF84" i="1"/>
  <c r="GEE84" i="1"/>
  <c r="GED84" i="1"/>
  <c r="GEC84" i="1"/>
  <c r="GEB84" i="1"/>
  <c r="GEA84" i="1"/>
  <c r="GDZ84" i="1"/>
  <c r="GDY84" i="1"/>
  <c r="GDX84" i="1"/>
  <c r="GDW84" i="1"/>
  <c r="GDV84" i="1"/>
  <c r="GDU84" i="1"/>
  <c r="GDT84" i="1"/>
  <c r="GDS84" i="1"/>
  <c r="GDR84" i="1"/>
  <c r="GDQ84" i="1"/>
  <c r="GDP84" i="1"/>
  <c r="GDO84" i="1"/>
  <c r="GDN84" i="1"/>
  <c r="GDM84" i="1"/>
  <c r="GDL84" i="1"/>
  <c r="GDK84" i="1"/>
  <c r="GDJ84" i="1"/>
  <c r="GDI84" i="1"/>
  <c r="GDH84" i="1"/>
  <c r="GDG84" i="1"/>
  <c r="GDF84" i="1"/>
  <c r="GDE84" i="1"/>
  <c r="GDD84" i="1"/>
  <c r="GDC84" i="1"/>
  <c r="GDB84" i="1"/>
  <c r="GDA84" i="1"/>
  <c r="GCZ84" i="1"/>
  <c r="GCY84" i="1"/>
  <c r="GCX84" i="1"/>
  <c r="GCW84" i="1"/>
  <c r="GCV84" i="1"/>
  <c r="GCU84" i="1"/>
  <c r="GCT84" i="1"/>
  <c r="GCS84" i="1"/>
  <c r="GCR84" i="1"/>
  <c r="GCQ84" i="1"/>
  <c r="GCP84" i="1"/>
  <c r="GCO84" i="1"/>
  <c r="GCN84" i="1"/>
  <c r="GCM84" i="1"/>
  <c r="GCL84" i="1"/>
  <c r="GCK84" i="1"/>
  <c r="GCJ84" i="1"/>
  <c r="GCI84" i="1"/>
  <c r="GCH84" i="1"/>
  <c r="GCG84" i="1"/>
  <c r="GCF84" i="1"/>
  <c r="GCE84" i="1"/>
  <c r="GCD84" i="1"/>
  <c r="GCC84" i="1"/>
  <c r="GCB84" i="1"/>
  <c r="GCA84" i="1"/>
  <c r="GBZ84" i="1"/>
  <c r="GBY84" i="1"/>
  <c r="GBX84" i="1"/>
  <c r="GBW84" i="1"/>
  <c r="GBV84" i="1"/>
  <c r="GBU84" i="1"/>
  <c r="GBT84" i="1"/>
  <c r="GBS84" i="1"/>
  <c r="GBR84" i="1"/>
  <c r="GBQ84" i="1"/>
  <c r="GBP84" i="1"/>
  <c r="GBO84" i="1"/>
  <c r="GBN84" i="1"/>
  <c r="GBM84" i="1"/>
  <c r="GBL84" i="1"/>
  <c r="GBK84" i="1"/>
  <c r="GBJ84" i="1"/>
  <c r="GBI84" i="1"/>
  <c r="GBH84" i="1"/>
  <c r="GBG84" i="1"/>
  <c r="GBF84" i="1"/>
  <c r="GBE84" i="1"/>
  <c r="GBD84" i="1"/>
  <c r="GBC84" i="1"/>
  <c r="GBB84" i="1"/>
  <c r="GBA84" i="1"/>
  <c r="GAZ84" i="1"/>
  <c r="GAY84" i="1"/>
  <c r="GAX84" i="1"/>
  <c r="GAW84" i="1"/>
  <c r="GAV84" i="1"/>
  <c r="GAU84" i="1"/>
  <c r="GAT84" i="1"/>
  <c r="GAS84" i="1"/>
  <c r="GAR84" i="1"/>
  <c r="GAQ84" i="1"/>
  <c r="GAP84" i="1"/>
  <c r="GAO84" i="1"/>
  <c r="GAN84" i="1"/>
  <c r="GAM84" i="1"/>
  <c r="GAL84" i="1"/>
  <c r="GAK84" i="1"/>
  <c r="GAJ84" i="1"/>
  <c r="GAI84" i="1"/>
  <c r="GAH84" i="1"/>
  <c r="GAG84" i="1"/>
  <c r="GAF84" i="1"/>
  <c r="GAE84" i="1"/>
  <c r="GAD84" i="1"/>
  <c r="GAC84" i="1"/>
  <c r="GAB84" i="1"/>
  <c r="GAA84" i="1"/>
  <c r="FZZ84" i="1"/>
  <c r="FZY84" i="1"/>
  <c r="FZX84" i="1"/>
  <c r="FZW84" i="1"/>
  <c r="FZV84" i="1"/>
  <c r="FZU84" i="1"/>
  <c r="FZT84" i="1"/>
  <c r="FZS84" i="1"/>
  <c r="FZR84" i="1"/>
  <c r="FZQ84" i="1"/>
  <c r="FZP84" i="1"/>
  <c r="FZO84" i="1"/>
  <c r="FZN84" i="1"/>
  <c r="FZM84" i="1"/>
  <c r="FZL84" i="1"/>
  <c r="FZK84" i="1"/>
  <c r="FZJ84" i="1"/>
  <c r="FZI84" i="1"/>
  <c r="FZH84" i="1"/>
  <c r="FZG84" i="1"/>
  <c r="FZF84" i="1"/>
  <c r="FZE84" i="1"/>
  <c r="FZD84" i="1"/>
  <c r="FZC84" i="1"/>
  <c r="FZB84" i="1"/>
  <c r="FZA84" i="1"/>
  <c r="FYZ84" i="1"/>
  <c r="FYY84" i="1"/>
  <c r="FYX84" i="1"/>
  <c r="FYW84" i="1"/>
  <c r="FYV84" i="1"/>
  <c r="FYU84" i="1"/>
  <c r="FYT84" i="1"/>
  <c r="FYS84" i="1"/>
  <c r="FYR84" i="1"/>
  <c r="FYQ84" i="1"/>
  <c r="FYP84" i="1"/>
  <c r="FYO84" i="1"/>
  <c r="FYN84" i="1"/>
  <c r="FYM84" i="1"/>
  <c r="FYL84" i="1"/>
  <c r="FYK84" i="1"/>
  <c r="FYJ84" i="1"/>
  <c r="FYI84" i="1"/>
  <c r="FYH84" i="1"/>
  <c r="FYG84" i="1"/>
  <c r="FYF84" i="1"/>
  <c r="FYE84" i="1"/>
  <c r="FYD84" i="1"/>
  <c r="FYC84" i="1"/>
  <c r="FYB84" i="1"/>
  <c r="FYA84" i="1"/>
  <c r="FXZ84" i="1"/>
  <c r="FXY84" i="1"/>
  <c r="FXX84" i="1"/>
  <c r="FXW84" i="1"/>
  <c r="FXV84" i="1"/>
  <c r="FXU84" i="1"/>
  <c r="FXT84" i="1"/>
  <c r="FXS84" i="1"/>
  <c r="FXR84" i="1"/>
  <c r="FXQ84" i="1"/>
  <c r="FXP84" i="1"/>
  <c r="FXO84" i="1"/>
  <c r="FXN84" i="1"/>
  <c r="FXM84" i="1"/>
  <c r="FXL84" i="1"/>
  <c r="FXK84" i="1"/>
  <c r="FXJ84" i="1"/>
  <c r="FXI84" i="1"/>
  <c r="FXH84" i="1"/>
  <c r="FXG84" i="1"/>
  <c r="FXF84" i="1"/>
  <c r="FXE84" i="1"/>
  <c r="FXD84" i="1"/>
  <c r="FXC84" i="1"/>
  <c r="FXB84" i="1"/>
  <c r="FXA84" i="1"/>
  <c r="FWZ84" i="1"/>
  <c r="FWY84" i="1"/>
  <c r="FWX84" i="1"/>
  <c r="FWW84" i="1"/>
  <c r="FWV84" i="1"/>
  <c r="FWU84" i="1"/>
  <c r="FWT84" i="1"/>
  <c r="FWS84" i="1"/>
  <c r="FWR84" i="1"/>
  <c r="FWQ84" i="1"/>
  <c r="FWP84" i="1"/>
  <c r="FWO84" i="1"/>
  <c r="FWN84" i="1"/>
  <c r="FWM84" i="1"/>
  <c r="FWL84" i="1"/>
  <c r="FWK84" i="1"/>
  <c r="FWJ84" i="1"/>
  <c r="FWI84" i="1"/>
  <c r="FWH84" i="1"/>
  <c r="FWG84" i="1"/>
  <c r="FWF84" i="1"/>
  <c r="FWE84" i="1"/>
  <c r="FWD84" i="1"/>
  <c r="FWC84" i="1"/>
  <c r="FWB84" i="1"/>
  <c r="FWA84" i="1"/>
  <c r="FVZ84" i="1"/>
  <c r="FVY84" i="1"/>
  <c r="FVX84" i="1"/>
  <c r="FVW84" i="1"/>
  <c r="FVV84" i="1"/>
  <c r="FVU84" i="1"/>
  <c r="FVT84" i="1"/>
  <c r="FVS84" i="1"/>
  <c r="FVR84" i="1"/>
  <c r="FVQ84" i="1"/>
  <c r="FVP84" i="1"/>
  <c r="FVO84" i="1"/>
  <c r="FVN84" i="1"/>
  <c r="FVM84" i="1"/>
  <c r="FVL84" i="1"/>
  <c r="FVK84" i="1"/>
  <c r="FVJ84" i="1"/>
  <c r="FVI84" i="1"/>
  <c r="FVH84" i="1"/>
  <c r="FVG84" i="1"/>
  <c r="FVF84" i="1"/>
  <c r="FVE84" i="1"/>
  <c r="FVD84" i="1"/>
  <c r="FVC84" i="1"/>
  <c r="FVB84" i="1"/>
  <c r="FVA84" i="1"/>
  <c r="FUZ84" i="1"/>
  <c r="FUY84" i="1"/>
  <c r="FUX84" i="1"/>
  <c r="FUW84" i="1"/>
  <c r="FUV84" i="1"/>
  <c r="FUU84" i="1"/>
  <c r="FUT84" i="1"/>
  <c r="FUS84" i="1"/>
  <c r="FUR84" i="1"/>
  <c r="FUQ84" i="1"/>
  <c r="FUP84" i="1"/>
  <c r="FUO84" i="1"/>
  <c r="FUN84" i="1"/>
  <c r="FUM84" i="1"/>
  <c r="FUL84" i="1"/>
  <c r="FUK84" i="1"/>
  <c r="FUJ84" i="1"/>
  <c r="FUI84" i="1"/>
  <c r="FUH84" i="1"/>
  <c r="FUG84" i="1"/>
  <c r="FUF84" i="1"/>
  <c r="FUE84" i="1"/>
  <c r="FUD84" i="1"/>
  <c r="FUC84" i="1"/>
  <c r="FUB84" i="1"/>
  <c r="FUA84" i="1"/>
  <c r="FTZ84" i="1"/>
  <c r="FTY84" i="1"/>
  <c r="FTX84" i="1"/>
  <c r="FTW84" i="1"/>
  <c r="FTV84" i="1"/>
  <c r="FTU84" i="1"/>
  <c r="FTT84" i="1"/>
  <c r="FTS84" i="1"/>
  <c r="FTR84" i="1"/>
  <c r="FTQ84" i="1"/>
  <c r="FTP84" i="1"/>
  <c r="FTO84" i="1"/>
  <c r="FTN84" i="1"/>
  <c r="FTM84" i="1"/>
  <c r="FTL84" i="1"/>
  <c r="FTK84" i="1"/>
  <c r="FTJ84" i="1"/>
  <c r="FTI84" i="1"/>
  <c r="FTH84" i="1"/>
  <c r="FTG84" i="1"/>
  <c r="FTF84" i="1"/>
  <c r="FTE84" i="1"/>
  <c r="FTD84" i="1"/>
  <c r="FTC84" i="1"/>
  <c r="FTB84" i="1"/>
  <c r="FTA84" i="1"/>
  <c r="FSZ84" i="1"/>
  <c r="FSY84" i="1"/>
  <c r="FSX84" i="1"/>
  <c r="FSW84" i="1"/>
  <c r="FSV84" i="1"/>
  <c r="FSU84" i="1"/>
  <c r="FST84" i="1"/>
  <c r="FSS84" i="1"/>
  <c r="FSR84" i="1"/>
  <c r="FSQ84" i="1"/>
  <c r="FSP84" i="1"/>
  <c r="FSO84" i="1"/>
  <c r="FSN84" i="1"/>
  <c r="FSM84" i="1"/>
  <c r="FSL84" i="1"/>
  <c r="FSK84" i="1"/>
  <c r="FSJ84" i="1"/>
  <c r="FSI84" i="1"/>
  <c r="FSH84" i="1"/>
  <c r="FSG84" i="1"/>
  <c r="FSF84" i="1"/>
  <c r="FSE84" i="1"/>
  <c r="FSD84" i="1"/>
  <c r="FSC84" i="1"/>
  <c r="FSB84" i="1"/>
  <c r="FSA84" i="1"/>
  <c r="FRZ84" i="1"/>
  <c r="FRY84" i="1"/>
  <c r="FRX84" i="1"/>
  <c r="FRW84" i="1"/>
  <c r="FRV84" i="1"/>
  <c r="FRU84" i="1"/>
  <c r="FRT84" i="1"/>
  <c r="FRS84" i="1"/>
  <c r="FRR84" i="1"/>
  <c r="FRQ84" i="1"/>
  <c r="FRP84" i="1"/>
  <c r="FRO84" i="1"/>
  <c r="FRN84" i="1"/>
  <c r="FRM84" i="1"/>
  <c r="FRL84" i="1"/>
  <c r="FRK84" i="1"/>
  <c r="FRJ84" i="1"/>
  <c r="FRI84" i="1"/>
  <c r="FRH84" i="1"/>
  <c r="FRG84" i="1"/>
  <c r="FRF84" i="1"/>
  <c r="FRE84" i="1"/>
  <c r="FRD84" i="1"/>
  <c r="FRC84" i="1"/>
  <c r="FRB84" i="1"/>
  <c r="FRA84" i="1"/>
  <c r="FQZ84" i="1"/>
  <c r="FQY84" i="1"/>
  <c r="FQX84" i="1"/>
  <c r="FQW84" i="1"/>
  <c r="FQV84" i="1"/>
  <c r="FQU84" i="1"/>
  <c r="FQT84" i="1"/>
  <c r="FQS84" i="1"/>
  <c r="FQR84" i="1"/>
  <c r="FQQ84" i="1"/>
  <c r="FQP84" i="1"/>
  <c r="FQO84" i="1"/>
  <c r="FQN84" i="1"/>
  <c r="FQM84" i="1"/>
  <c r="FQL84" i="1"/>
  <c r="FQK84" i="1"/>
  <c r="FQJ84" i="1"/>
  <c r="FQI84" i="1"/>
  <c r="FQH84" i="1"/>
  <c r="FQG84" i="1"/>
  <c r="FQF84" i="1"/>
  <c r="FQE84" i="1"/>
  <c r="FQD84" i="1"/>
  <c r="FQC84" i="1"/>
  <c r="FQB84" i="1"/>
  <c r="FQA84" i="1"/>
  <c r="FPZ84" i="1"/>
  <c r="FPY84" i="1"/>
  <c r="FPX84" i="1"/>
  <c r="FPW84" i="1"/>
  <c r="FPV84" i="1"/>
  <c r="FPU84" i="1"/>
  <c r="FPT84" i="1"/>
  <c r="FPS84" i="1"/>
  <c r="FPR84" i="1"/>
  <c r="FPQ84" i="1"/>
  <c r="FPP84" i="1"/>
  <c r="FPO84" i="1"/>
  <c r="FPN84" i="1"/>
  <c r="FPM84" i="1"/>
  <c r="FPL84" i="1"/>
  <c r="FPK84" i="1"/>
  <c r="FPJ84" i="1"/>
  <c r="FPI84" i="1"/>
  <c r="FPH84" i="1"/>
  <c r="FPG84" i="1"/>
  <c r="FPF84" i="1"/>
  <c r="FPE84" i="1"/>
  <c r="FPD84" i="1"/>
  <c r="FPC84" i="1"/>
  <c r="FPB84" i="1"/>
  <c r="FPA84" i="1"/>
  <c r="FOZ84" i="1"/>
  <c r="FOY84" i="1"/>
  <c r="FOX84" i="1"/>
  <c r="FOW84" i="1"/>
  <c r="FOV84" i="1"/>
  <c r="FOU84" i="1"/>
  <c r="FOT84" i="1"/>
  <c r="FOS84" i="1"/>
  <c r="FOR84" i="1"/>
  <c r="FOQ84" i="1"/>
  <c r="FOP84" i="1"/>
  <c r="FOO84" i="1"/>
  <c r="FON84" i="1"/>
  <c r="FOM84" i="1"/>
  <c r="FOL84" i="1"/>
  <c r="FOK84" i="1"/>
  <c r="FOJ84" i="1"/>
  <c r="FOI84" i="1"/>
  <c r="FOH84" i="1"/>
  <c r="FOG84" i="1"/>
  <c r="FOF84" i="1"/>
  <c r="FOE84" i="1"/>
  <c r="FOD84" i="1"/>
  <c r="FOC84" i="1"/>
  <c r="FOB84" i="1"/>
  <c r="FOA84" i="1"/>
  <c r="FNZ84" i="1"/>
  <c r="FNY84" i="1"/>
  <c r="FNX84" i="1"/>
  <c r="FNW84" i="1"/>
  <c r="FNV84" i="1"/>
  <c r="FNU84" i="1"/>
  <c r="FNT84" i="1"/>
  <c r="FNS84" i="1"/>
  <c r="FNR84" i="1"/>
  <c r="FNQ84" i="1"/>
  <c r="FNP84" i="1"/>
  <c r="FNO84" i="1"/>
  <c r="FNN84" i="1"/>
  <c r="FNM84" i="1"/>
  <c r="FNL84" i="1"/>
  <c r="FNK84" i="1"/>
  <c r="FNJ84" i="1"/>
  <c r="FNI84" i="1"/>
  <c r="FNH84" i="1"/>
  <c r="FNG84" i="1"/>
  <c r="FNF84" i="1"/>
  <c r="FNE84" i="1"/>
  <c r="FND84" i="1"/>
  <c r="FNC84" i="1"/>
  <c r="FNB84" i="1"/>
  <c r="FNA84" i="1"/>
  <c r="FMZ84" i="1"/>
  <c r="FMY84" i="1"/>
  <c r="FMX84" i="1"/>
  <c r="FMW84" i="1"/>
  <c r="FMV84" i="1"/>
  <c r="FMU84" i="1"/>
  <c r="FMT84" i="1"/>
  <c r="FMS84" i="1"/>
  <c r="FMR84" i="1"/>
  <c r="FMQ84" i="1"/>
  <c r="FMP84" i="1"/>
  <c r="FMO84" i="1"/>
  <c r="FMN84" i="1"/>
  <c r="FMM84" i="1"/>
  <c r="FML84" i="1"/>
  <c r="FMK84" i="1"/>
  <c r="FMJ84" i="1"/>
  <c r="FMI84" i="1"/>
  <c r="FMH84" i="1"/>
  <c r="FMG84" i="1"/>
  <c r="FMF84" i="1"/>
  <c r="FME84" i="1"/>
  <c r="FMD84" i="1"/>
  <c r="FMC84" i="1"/>
  <c r="FMB84" i="1"/>
  <c r="FMA84" i="1"/>
  <c r="FLZ84" i="1"/>
  <c r="FLY84" i="1"/>
  <c r="FLX84" i="1"/>
  <c r="FLW84" i="1"/>
  <c r="FLV84" i="1"/>
  <c r="FLU84" i="1"/>
  <c r="FLT84" i="1"/>
  <c r="FLS84" i="1"/>
  <c r="FLR84" i="1"/>
  <c r="FLQ84" i="1"/>
  <c r="FLP84" i="1"/>
  <c r="FLO84" i="1"/>
  <c r="FLN84" i="1"/>
  <c r="FLM84" i="1"/>
  <c r="FLL84" i="1"/>
  <c r="FLK84" i="1"/>
  <c r="FLJ84" i="1"/>
  <c r="FLI84" i="1"/>
  <c r="FLH84" i="1"/>
  <c r="FLG84" i="1"/>
  <c r="FLF84" i="1"/>
  <c r="FLE84" i="1"/>
  <c r="FLD84" i="1"/>
  <c r="FLC84" i="1"/>
  <c r="FLB84" i="1"/>
  <c r="FLA84" i="1"/>
  <c r="FKZ84" i="1"/>
  <c r="FKY84" i="1"/>
  <c r="FKX84" i="1"/>
  <c r="FKW84" i="1"/>
  <c r="FKV84" i="1"/>
  <c r="FKU84" i="1"/>
  <c r="FKT84" i="1"/>
  <c r="FKS84" i="1"/>
  <c r="FKR84" i="1"/>
  <c r="FKQ84" i="1"/>
  <c r="FKP84" i="1"/>
  <c r="FKO84" i="1"/>
  <c r="FKN84" i="1"/>
  <c r="FKM84" i="1"/>
  <c r="FKL84" i="1"/>
  <c r="FKK84" i="1"/>
  <c r="FKJ84" i="1"/>
  <c r="FKI84" i="1"/>
  <c r="FKH84" i="1"/>
  <c r="FKG84" i="1"/>
  <c r="FKF84" i="1"/>
  <c r="FKE84" i="1"/>
  <c r="FKD84" i="1"/>
  <c r="FKC84" i="1"/>
  <c r="FKB84" i="1"/>
  <c r="FKA84" i="1"/>
  <c r="FJZ84" i="1"/>
  <c r="FJY84" i="1"/>
  <c r="FJX84" i="1"/>
  <c r="FJW84" i="1"/>
  <c r="FJV84" i="1"/>
  <c r="FJU84" i="1"/>
  <c r="FJT84" i="1"/>
  <c r="FJS84" i="1"/>
  <c r="FJR84" i="1"/>
  <c r="FJQ84" i="1"/>
  <c r="FJP84" i="1"/>
  <c r="FJO84" i="1"/>
  <c r="FJN84" i="1"/>
  <c r="FJM84" i="1"/>
  <c r="FJL84" i="1"/>
  <c r="FJK84" i="1"/>
  <c r="FJJ84" i="1"/>
  <c r="FJI84" i="1"/>
  <c r="FJH84" i="1"/>
  <c r="FJG84" i="1"/>
  <c r="FJF84" i="1"/>
  <c r="FJE84" i="1"/>
  <c r="FJD84" i="1"/>
  <c r="FJC84" i="1"/>
  <c r="FJB84" i="1"/>
  <c r="FJA84" i="1"/>
  <c r="FIZ84" i="1"/>
  <c r="FIY84" i="1"/>
  <c r="FIX84" i="1"/>
  <c r="FIW84" i="1"/>
  <c r="FIV84" i="1"/>
  <c r="FIU84" i="1"/>
  <c r="FIT84" i="1"/>
  <c r="FIS84" i="1"/>
  <c r="FIR84" i="1"/>
  <c r="FIQ84" i="1"/>
  <c r="FIP84" i="1"/>
  <c r="FIO84" i="1"/>
  <c r="FIN84" i="1"/>
  <c r="FIM84" i="1"/>
  <c r="FIL84" i="1"/>
  <c r="FIK84" i="1"/>
  <c r="FIJ84" i="1"/>
  <c r="FII84" i="1"/>
  <c r="FIH84" i="1"/>
  <c r="FIG84" i="1"/>
  <c r="FIF84" i="1"/>
  <c r="FIE84" i="1"/>
  <c r="FID84" i="1"/>
  <c r="FIC84" i="1"/>
  <c r="FIB84" i="1"/>
  <c r="FIA84" i="1"/>
  <c r="FHZ84" i="1"/>
  <c r="FHY84" i="1"/>
  <c r="FHX84" i="1"/>
  <c r="FHW84" i="1"/>
  <c r="FHV84" i="1"/>
  <c r="FHU84" i="1"/>
  <c r="FHT84" i="1"/>
  <c r="FHS84" i="1"/>
  <c r="FHR84" i="1"/>
  <c r="FHQ84" i="1"/>
  <c r="FHP84" i="1"/>
  <c r="FHO84" i="1"/>
  <c r="FHN84" i="1"/>
  <c r="FHM84" i="1"/>
  <c r="FHL84" i="1"/>
  <c r="FHK84" i="1"/>
  <c r="FHJ84" i="1"/>
  <c r="FHI84" i="1"/>
  <c r="FHH84" i="1"/>
  <c r="FHG84" i="1"/>
  <c r="FHF84" i="1"/>
  <c r="FHE84" i="1"/>
  <c r="FHD84" i="1"/>
  <c r="FHC84" i="1"/>
  <c r="FHB84" i="1"/>
  <c r="FHA84" i="1"/>
  <c r="FGZ84" i="1"/>
  <c r="FGY84" i="1"/>
  <c r="FGX84" i="1"/>
  <c r="FGW84" i="1"/>
  <c r="FGV84" i="1"/>
  <c r="FGU84" i="1"/>
  <c r="FGT84" i="1"/>
  <c r="FGS84" i="1"/>
  <c r="FGR84" i="1"/>
  <c r="FGQ84" i="1"/>
  <c r="FGP84" i="1"/>
  <c r="FGO84" i="1"/>
  <c r="FGN84" i="1"/>
  <c r="FGM84" i="1"/>
  <c r="FGL84" i="1"/>
  <c r="FGK84" i="1"/>
  <c r="FGJ84" i="1"/>
  <c r="FGI84" i="1"/>
  <c r="FGH84" i="1"/>
  <c r="FGG84" i="1"/>
  <c r="FGF84" i="1"/>
  <c r="FGE84" i="1"/>
  <c r="FGD84" i="1"/>
  <c r="FGC84" i="1"/>
  <c r="FGB84" i="1"/>
  <c r="FGA84" i="1"/>
  <c r="FFZ84" i="1"/>
  <c r="FFY84" i="1"/>
  <c r="FFX84" i="1"/>
  <c r="FFW84" i="1"/>
  <c r="FFV84" i="1"/>
  <c r="FFU84" i="1"/>
  <c r="FFT84" i="1"/>
  <c r="FFS84" i="1"/>
  <c r="FFR84" i="1"/>
  <c r="FFQ84" i="1"/>
  <c r="FFP84" i="1"/>
  <c r="FFO84" i="1"/>
  <c r="FFN84" i="1"/>
  <c r="FFM84" i="1"/>
  <c r="FFL84" i="1"/>
  <c r="FFK84" i="1"/>
  <c r="FFJ84" i="1"/>
  <c r="FFI84" i="1"/>
  <c r="FFH84" i="1"/>
  <c r="FFG84" i="1"/>
  <c r="FFF84" i="1"/>
  <c r="FFE84" i="1"/>
  <c r="FFD84" i="1"/>
  <c r="FFC84" i="1"/>
  <c r="FFB84" i="1"/>
  <c r="FFA84" i="1"/>
  <c r="FEZ84" i="1"/>
  <c r="FEY84" i="1"/>
  <c r="FEX84" i="1"/>
  <c r="FEW84" i="1"/>
  <c r="FEV84" i="1"/>
  <c r="FEU84" i="1"/>
  <c r="FET84" i="1"/>
  <c r="FES84" i="1"/>
  <c r="FER84" i="1"/>
  <c r="FEQ84" i="1"/>
  <c r="FEP84" i="1"/>
  <c r="FEO84" i="1"/>
  <c r="FEN84" i="1"/>
  <c r="FEM84" i="1"/>
  <c r="FEL84" i="1"/>
  <c r="FEK84" i="1"/>
  <c r="FEJ84" i="1"/>
  <c r="FEI84" i="1"/>
  <c r="FEH84" i="1"/>
  <c r="FEG84" i="1"/>
  <c r="FEF84" i="1"/>
  <c r="FEE84" i="1"/>
  <c r="FED84" i="1"/>
  <c r="FEC84" i="1"/>
  <c r="FEB84" i="1"/>
  <c r="FEA84" i="1"/>
  <c r="FDZ84" i="1"/>
  <c r="FDY84" i="1"/>
  <c r="FDX84" i="1"/>
  <c r="FDW84" i="1"/>
  <c r="FDV84" i="1"/>
  <c r="FDU84" i="1"/>
  <c r="FDT84" i="1"/>
  <c r="FDS84" i="1"/>
  <c r="FDR84" i="1"/>
  <c r="FDQ84" i="1"/>
  <c r="FDP84" i="1"/>
  <c r="FDO84" i="1"/>
  <c r="FDN84" i="1"/>
  <c r="FDM84" i="1"/>
  <c r="FDL84" i="1"/>
  <c r="FDK84" i="1"/>
  <c r="FDJ84" i="1"/>
  <c r="FDI84" i="1"/>
  <c r="FDH84" i="1"/>
  <c r="FDG84" i="1"/>
  <c r="FDF84" i="1"/>
  <c r="FDE84" i="1"/>
  <c r="FDD84" i="1"/>
  <c r="FDC84" i="1"/>
  <c r="FDB84" i="1"/>
  <c r="FDA84" i="1"/>
  <c r="FCZ84" i="1"/>
  <c r="FCY84" i="1"/>
  <c r="FCX84" i="1"/>
  <c r="FCW84" i="1"/>
  <c r="FCV84" i="1"/>
  <c r="FCU84" i="1"/>
  <c r="FCT84" i="1"/>
  <c r="FCS84" i="1"/>
  <c r="FCR84" i="1"/>
  <c r="FCQ84" i="1"/>
  <c r="FCP84" i="1"/>
  <c r="FCO84" i="1"/>
  <c r="FCN84" i="1"/>
  <c r="FCM84" i="1"/>
  <c r="FCL84" i="1"/>
  <c r="FCK84" i="1"/>
  <c r="FCJ84" i="1"/>
  <c r="FCI84" i="1"/>
  <c r="FCH84" i="1"/>
  <c r="FCG84" i="1"/>
  <c r="FCF84" i="1"/>
  <c r="FCE84" i="1"/>
  <c r="FCD84" i="1"/>
  <c r="FCC84" i="1"/>
  <c r="FCB84" i="1"/>
  <c r="FCA84" i="1"/>
  <c r="FBZ84" i="1"/>
  <c r="FBY84" i="1"/>
  <c r="FBX84" i="1"/>
  <c r="FBW84" i="1"/>
  <c r="FBV84" i="1"/>
  <c r="FBU84" i="1"/>
  <c r="FBT84" i="1"/>
  <c r="FBS84" i="1"/>
  <c r="FBR84" i="1"/>
  <c r="FBQ84" i="1"/>
  <c r="FBP84" i="1"/>
  <c r="FBO84" i="1"/>
  <c r="FBN84" i="1"/>
  <c r="FBM84" i="1"/>
  <c r="FBL84" i="1"/>
  <c r="FBK84" i="1"/>
  <c r="FBJ84" i="1"/>
  <c r="FBI84" i="1"/>
  <c r="FBH84" i="1"/>
  <c r="FBG84" i="1"/>
  <c r="FBF84" i="1"/>
  <c r="FBE84" i="1"/>
  <c r="FBD84" i="1"/>
  <c r="FBC84" i="1"/>
  <c r="FBB84" i="1"/>
  <c r="FBA84" i="1"/>
  <c r="FAZ84" i="1"/>
  <c r="FAY84" i="1"/>
  <c r="FAX84" i="1"/>
  <c r="FAW84" i="1"/>
  <c r="FAV84" i="1"/>
  <c r="FAU84" i="1"/>
  <c r="FAT84" i="1"/>
  <c r="FAS84" i="1"/>
  <c r="FAR84" i="1"/>
  <c r="FAQ84" i="1"/>
  <c r="FAP84" i="1"/>
  <c r="FAO84" i="1"/>
  <c r="FAN84" i="1"/>
  <c r="FAM84" i="1"/>
  <c r="FAL84" i="1"/>
  <c r="FAK84" i="1"/>
  <c r="FAJ84" i="1"/>
  <c r="FAI84" i="1"/>
  <c r="FAH84" i="1"/>
  <c r="FAG84" i="1"/>
  <c r="FAF84" i="1"/>
  <c r="FAE84" i="1"/>
  <c r="FAD84" i="1"/>
  <c r="FAC84" i="1"/>
  <c r="FAB84" i="1"/>
  <c r="FAA84" i="1"/>
  <c r="EZZ84" i="1"/>
  <c r="EZY84" i="1"/>
  <c r="EZX84" i="1"/>
  <c r="EZW84" i="1"/>
  <c r="EZV84" i="1"/>
  <c r="EZU84" i="1"/>
  <c r="EZT84" i="1"/>
  <c r="EZS84" i="1"/>
  <c r="EZR84" i="1"/>
  <c r="EZQ84" i="1"/>
  <c r="EZP84" i="1"/>
  <c r="EZO84" i="1"/>
  <c r="EZN84" i="1"/>
  <c r="EZM84" i="1"/>
  <c r="EZL84" i="1"/>
  <c r="EZK84" i="1"/>
  <c r="EZJ84" i="1"/>
  <c r="EZI84" i="1"/>
  <c r="EZH84" i="1"/>
  <c r="EZG84" i="1"/>
  <c r="EZF84" i="1"/>
  <c r="EZE84" i="1"/>
  <c r="EZD84" i="1"/>
  <c r="EZC84" i="1"/>
  <c r="EZB84" i="1"/>
  <c r="EZA84" i="1"/>
  <c r="EYZ84" i="1"/>
  <c r="EYY84" i="1"/>
  <c r="EYX84" i="1"/>
  <c r="EYW84" i="1"/>
  <c r="EYV84" i="1"/>
  <c r="EYU84" i="1"/>
  <c r="EYT84" i="1"/>
  <c r="EYS84" i="1"/>
  <c r="EYR84" i="1"/>
  <c r="EYQ84" i="1"/>
  <c r="EYP84" i="1"/>
  <c r="EYO84" i="1"/>
  <c r="EYN84" i="1"/>
  <c r="EYM84" i="1"/>
  <c r="EYL84" i="1"/>
  <c r="EYK84" i="1"/>
  <c r="EYJ84" i="1"/>
  <c r="EYI84" i="1"/>
  <c r="EYH84" i="1"/>
  <c r="EYG84" i="1"/>
  <c r="EYF84" i="1"/>
  <c r="EYE84" i="1"/>
  <c r="EYD84" i="1"/>
  <c r="EYC84" i="1"/>
  <c r="EYB84" i="1"/>
  <c r="EYA84" i="1"/>
  <c r="EXZ84" i="1"/>
  <c r="EXY84" i="1"/>
  <c r="EXX84" i="1"/>
  <c r="EXW84" i="1"/>
  <c r="EXV84" i="1"/>
  <c r="EXU84" i="1"/>
  <c r="EXT84" i="1"/>
  <c r="EXS84" i="1"/>
  <c r="EXR84" i="1"/>
  <c r="EXQ84" i="1"/>
  <c r="EXP84" i="1"/>
  <c r="EXO84" i="1"/>
  <c r="EXN84" i="1"/>
  <c r="EXM84" i="1"/>
  <c r="EXL84" i="1"/>
  <c r="EXK84" i="1"/>
  <c r="EXJ84" i="1"/>
  <c r="EXI84" i="1"/>
  <c r="EXH84" i="1"/>
  <c r="EXG84" i="1"/>
  <c r="EXF84" i="1"/>
  <c r="EXE84" i="1"/>
  <c r="EXD84" i="1"/>
  <c r="EXC84" i="1"/>
  <c r="EXB84" i="1"/>
  <c r="EXA84" i="1"/>
  <c r="EWZ84" i="1"/>
  <c r="EWY84" i="1"/>
  <c r="EWX84" i="1"/>
  <c r="EWW84" i="1"/>
  <c r="EWV84" i="1"/>
  <c r="EWU84" i="1"/>
  <c r="EWT84" i="1"/>
  <c r="EWS84" i="1"/>
  <c r="EWR84" i="1"/>
  <c r="EWQ84" i="1"/>
  <c r="EWP84" i="1"/>
  <c r="EWO84" i="1"/>
  <c r="EWN84" i="1"/>
  <c r="EWM84" i="1"/>
  <c r="EWL84" i="1"/>
  <c r="EWK84" i="1"/>
  <c r="EWJ84" i="1"/>
  <c r="EWI84" i="1"/>
  <c r="EWH84" i="1"/>
  <c r="EWG84" i="1"/>
  <c r="EWF84" i="1"/>
  <c r="EWE84" i="1"/>
  <c r="EWD84" i="1"/>
  <c r="EWC84" i="1"/>
  <c r="EWB84" i="1"/>
  <c r="EWA84" i="1"/>
  <c r="EVZ84" i="1"/>
  <c r="EVY84" i="1"/>
  <c r="EVX84" i="1"/>
  <c r="EVW84" i="1"/>
  <c r="EVV84" i="1"/>
  <c r="EVU84" i="1"/>
  <c r="EVT84" i="1"/>
  <c r="EVS84" i="1"/>
  <c r="EVR84" i="1"/>
  <c r="EVQ84" i="1"/>
  <c r="EVP84" i="1"/>
  <c r="EVO84" i="1"/>
  <c r="EVN84" i="1"/>
  <c r="EVM84" i="1"/>
  <c r="EVL84" i="1"/>
  <c r="EVK84" i="1"/>
  <c r="EVJ84" i="1"/>
  <c r="EVI84" i="1"/>
  <c r="EVH84" i="1"/>
  <c r="EVG84" i="1"/>
  <c r="EVF84" i="1"/>
  <c r="EVE84" i="1"/>
  <c r="EVD84" i="1"/>
  <c r="EVC84" i="1"/>
  <c r="EVB84" i="1"/>
  <c r="EVA84" i="1"/>
  <c r="EUZ84" i="1"/>
  <c r="EUY84" i="1"/>
  <c r="EUX84" i="1"/>
  <c r="EUW84" i="1"/>
  <c r="EUV84" i="1"/>
  <c r="EUU84" i="1"/>
  <c r="EUT84" i="1"/>
  <c r="EUS84" i="1"/>
  <c r="EUR84" i="1"/>
  <c r="EUQ84" i="1"/>
  <c r="EUP84" i="1"/>
  <c r="EUO84" i="1"/>
  <c r="EUN84" i="1"/>
  <c r="EUM84" i="1"/>
  <c r="EUL84" i="1"/>
  <c r="EUK84" i="1"/>
  <c r="EUJ84" i="1"/>
  <c r="EUI84" i="1"/>
  <c r="EUH84" i="1"/>
  <c r="EUG84" i="1"/>
  <c r="EUF84" i="1"/>
  <c r="EUE84" i="1"/>
  <c r="EUD84" i="1"/>
  <c r="EUC84" i="1"/>
  <c r="EUB84" i="1"/>
  <c r="EUA84" i="1"/>
  <c r="ETZ84" i="1"/>
  <c r="ETY84" i="1"/>
  <c r="ETX84" i="1"/>
  <c r="ETW84" i="1"/>
  <c r="ETV84" i="1"/>
  <c r="ETU84" i="1"/>
  <c r="ETT84" i="1"/>
  <c r="ETS84" i="1"/>
  <c r="ETR84" i="1"/>
  <c r="ETQ84" i="1"/>
  <c r="ETP84" i="1"/>
  <c r="ETO84" i="1"/>
  <c r="ETN84" i="1"/>
  <c r="ETM84" i="1"/>
  <c r="ETL84" i="1"/>
  <c r="ETK84" i="1"/>
  <c r="ETJ84" i="1"/>
  <c r="ETI84" i="1"/>
  <c r="ETH84" i="1"/>
  <c r="ETG84" i="1"/>
  <c r="ETF84" i="1"/>
  <c r="ETE84" i="1"/>
  <c r="ETD84" i="1"/>
  <c r="ETC84" i="1"/>
  <c r="ETB84" i="1"/>
  <c r="ETA84" i="1"/>
  <c r="ESZ84" i="1"/>
  <c r="ESY84" i="1"/>
  <c r="ESX84" i="1"/>
  <c r="ESW84" i="1"/>
  <c r="ESV84" i="1"/>
  <c r="ESU84" i="1"/>
  <c r="EST84" i="1"/>
  <c r="ESS84" i="1"/>
  <c r="ESR84" i="1"/>
  <c r="ESQ84" i="1"/>
  <c r="ESP84" i="1"/>
  <c r="ESO84" i="1"/>
  <c r="ESN84" i="1"/>
  <c r="ESM84" i="1"/>
  <c r="ESL84" i="1"/>
  <c r="ESK84" i="1"/>
  <c r="ESJ84" i="1"/>
  <c r="ESI84" i="1"/>
  <c r="ESH84" i="1"/>
  <c r="ESG84" i="1"/>
  <c r="ESF84" i="1"/>
  <c r="ESE84" i="1"/>
  <c r="ESD84" i="1"/>
  <c r="ESC84" i="1"/>
  <c r="ESB84" i="1"/>
  <c r="ESA84" i="1"/>
  <c r="ERZ84" i="1"/>
  <c r="ERY84" i="1"/>
  <c r="ERX84" i="1"/>
  <c r="ERW84" i="1"/>
  <c r="ERV84" i="1"/>
  <c r="ERU84" i="1"/>
  <c r="ERT84" i="1"/>
  <c r="ERS84" i="1"/>
  <c r="ERR84" i="1"/>
  <c r="ERQ84" i="1"/>
  <c r="ERP84" i="1"/>
  <c r="ERO84" i="1"/>
  <c r="ERN84" i="1"/>
  <c r="ERM84" i="1"/>
  <c r="ERL84" i="1"/>
  <c r="ERK84" i="1"/>
  <c r="ERJ84" i="1"/>
  <c r="ERI84" i="1"/>
  <c r="ERH84" i="1"/>
  <c r="ERG84" i="1"/>
  <c r="ERF84" i="1"/>
  <c r="ERE84" i="1"/>
  <c r="ERD84" i="1"/>
  <c r="ERC84" i="1"/>
  <c r="ERB84" i="1"/>
  <c r="ERA84" i="1"/>
  <c r="EQZ84" i="1"/>
  <c r="EQY84" i="1"/>
  <c r="EQX84" i="1"/>
  <c r="EQW84" i="1"/>
  <c r="EQV84" i="1"/>
  <c r="EQU84" i="1"/>
  <c r="EQT84" i="1"/>
  <c r="EQS84" i="1"/>
  <c r="EQR84" i="1"/>
  <c r="EQQ84" i="1"/>
  <c r="EQP84" i="1"/>
  <c r="EQO84" i="1"/>
  <c r="EQN84" i="1"/>
  <c r="EQM84" i="1"/>
  <c r="EQL84" i="1"/>
  <c r="EQK84" i="1"/>
  <c r="EQJ84" i="1"/>
  <c r="EQI84" i="1"/>
  <c r="EQH84" i="1"/>
  <c r="EQG84" i="1"/>
  <c r="EQF84" i="1"/>
  <c r="EQE84" i="1"/>
  <c r="EQD84" i="1"/>
  <c r="EQC84" i="1"/>
  <c r="EQB84" i="1"/>
  <c r="EQA84" i="1"/>
  <c r="EPZ84" i="1"/>
  <c r="EPY84" i="1"/>
  <c r="EPX84" i="1"/>
  <c r="EPW84" i="1"/>
  <c r="EPV84" i="1"/>
  <c r="EPU84" i="1"/>
  <c r="EPT84" i="1"/>
  <c r="EPS84" i="1"/>
  <c r="EPR84" i="1"/>
  <c r="EPQ84" i="1"/>
  <c r="EPP84" i="1"/>
  <c r="EPO84" i="1"/>
  <c r="EPN84" i="1"/>
  <c r="EPM84" i="1"/>
  <c r="EPL84" i="1"/>
  <c r="EPK84" i="1"/>
  <c r="EPJ84" i="1"/>
  <c r="EPI84" i="1"/>
  <c r="EPH84" i="1"/>
  <c r="EPG84" i="1"/>
  <c r="EPF84" i="1"/>
  <c r="EPE84" i="1"/>
  <c r="EPD84" i="1"/>
  <c r="EPC84" i="1"/>
  <c r="EPB84" i="1"/>
  <c r="EPA84" i="1"/>
  <c r="EOZ84" i="1"/>
  <c r="EOY84" i="1"/>
  <c r="EOX84" i="1"/>
  <c r="EOW84" i="1"/>
  <c r="EOV84" i="1"/>
  <c r="EOU84" i="1"/>
  <c r="EOT84" i="1"/>
  <c r="EOS84" i="1"/>
  <c r="EOR84" i="1"/>
  <c r="EOQ84" i="1"/>
  <c r="EOP84" i="1"/>
  <c r="EOO84" i="1"/>
  <c r="EON84" i="1"/>
  <c r="EOM84" i="1"/>
  <c r="EOL84" i="1"/>
  <c r="EOK84" i="1"/>
  <c r="EOJ84" i="1"/>
  <c r="EOI84" i="1"/>
  <c r="EOH84" i="1"/>
  <c r="EOG84" i="1"/>
  <c r="EOF84" i="1"/>
  <c r="EOE84" i="1"/>
  <c r="EOD84" i="1"/>
  <c r="EOC84" i="1"/>
  <c r="EOB84" i="1"/>
  <c r="EOA84" i="1"/>
  <c r="ENZ84" i="1"/>
  <c r="ENY84" i="1"/>
  <c r="ENX84" i="1"/>
  <c r="ENW84" i="1"/>
  <c r="ENV84" i="1"/>
  <c r="ENU84" i="1"/>
  <c r="ENT84" i="1"/>
  <c r="ENS84" i="1"/>
  <c r="ENR84" i="1"/>
  <c r="ENQ84" i="1"/>
  <c r="ENP84" i="1"/>
  <c r="ENO84" i="1"/>
  <c r="ENN84" i="1"/>
  <c r="ENM84" i="1"/>
  <c r="ENL84" i="1"/>
  <c r="ENK84" i="1"/>
  <c r="ENJ84" i="1"/>
  <c r="ENI84" i="1"/>
  <c r="ENH84" i="1"/>
  <c r="ENG84" i="1"/>
  <c r="ENF84" i="1"/>
  <c r="ENE84" i="1"/>
  <c r="END84" i="1"/>
  <c r="ENC84" i="1"/>
  <c r="ENB84" i="1"/>
  <c r="ENA84" i="1"/>
  <c r="EMZ84" i="1"/>
  <c r="EMY84" i="1"/>
  <c r="EMX84" i="1"/>
  <c r="EMW84" i="1"/>
  <c r="EMV84" i="1"/>
  <c r="EMU84" i="1"/>
  <c r="EMT84" i="1"/>
  <c r="EMS84" i="1"/>
  <c r="EMR84" i="1"/>
  <c r="EMQ84" i="1"/>
  <c r="EMP84" i="1"/>
  <c r="EMO84" i="1"/>
  <c r="EMN84" i="1"/>
  <c r="EMM84" i="1"/>
  <c r="EML84" i="1"/>
  <c r="EMK84" i="1"/>
  <c r="EMJ84" i="1"/>
  <c r="EMI84" i="1"/>
  <c r="EMH84" i="1"/>
  <c r="EMG84" i="1"/>
  <c r="EMF84" i="1"/>
  <c r="EME84" i="1"/>
  <c r="EMD84" i="1"/>
  <c r="EMC84" i="1"/>
  <c r="EMB84" i="1"/>
  <c r="EMA84" i="1"/>
  <c r="ELZ84" i="1"/>
  <c r="ELY84" i="1"/>
  <c r="ELX84" i="1"/>
  <c r="ELW84" i="1"/>
  <c r="ELV84" i="1"/>
  <c r="ELU84" i="1"/>
  <c r="ELT84" i="1"/>
  <c r="ELS84" i="1"/>
  <c r="ELR84" i="1"/>
  <c r="ELQ84" i="1"/>
  <c r="ELP84" i="1"/>
  <c r="ELO84" i="1"/>
  <c r="ELN84" i="1"/>
  <c r="ELM84" i="1"/>
  <c r="ELL84" i="1"/>
  <c r="ELK84" i="1"/>
  <c r="ELJ84" i="1"/>
  <c r="ELI84" i="1"/>
  <c r="ELH84" i="1"/>
  <c r="ELG84" i="1"/>
  <c r="ELF84" i="1"/>
  <c r="ELE84" i="1"/>
  <c r="ELD84" i="1"/>
  <c r="ELC84" i="1"/>
  <c r="ELB84" i="1"/>
  <c r="ELA84" i="1"/>
  <c r="EKZ84" i="1"/>
  <c r="EKY84" i="1"/>
  <c r="EKX84" i="1"/>
  <c r="EKW84" i="1"/>
  <c r="EKV84" i="1"/>
  <c r="EKU84" i="1"/>
  <c r="EKT84" i="1"/>
  <c r="EKS84" i="1"/>
  <c r="EKR84" i="1"/>
  <c r="EKQ84" i="1"/>
  <c r="EKP84" i="1"/>
  <c r="EKO84" i="1"/>
  <c r="EKN84" i="1"/>
  <c r="EKM84" i="1"/>
  <c r="EKL84" i="1"/>
  <c r="EKK84" i="1"/>
  <c r="EKJ84" i="1"/>
  <c r="EKI84" i="1"/>
  <c r="EKH84" i="1"/>
  <c r="EKG84" i="1"/>
  <c r="EKF84" i="1"/>
  <c r="EKE84" i="1"/>
  <c r="EKD84" i="1"/>
  <c r="EKC84" i="1"/>
  <c r="EKB84" i="1"/>
  <c r="EKA84" i="1"/>
  <c r="EJZ84" i="1"/>
  <c r="EJY84" i="1"/>
  <c r="EJX84" i="1"/>
  <c r="EJW84" i="1"/>
  <c r="EJV84" i="1"/>
  <c r="EJU84" i="1"/>
  <c r="EJT84" i="1"/>
  <c r="EJS84" i="1"/>
  <c r="EJR84" i="1"/>
  <c r="EJQ84" i="1"/>
  <c r="EJP84" i="1"/>
  <c r="EJO84" i="1"/>
  <c r="EJN84" i="1"/>
  <c r="EJM84" i="1"/>
  <c r="EJL84" i="1"/>
  <c r="EJK84" i="1"/>
  <c r="EJJ84" i="1"/>
  <c r="EJI84" i="1"/>
  <c r="EJH84" i="1"/>
  <c r="EJG84" i="1"/>
  <c r="EJF84" i="1"/>
  <c r="EJE84" i="1"/>
  <c r="EJD84" i="1"/>
  <c r="EJC84" i="1"/>
  <c r="EJB84" i="1"/>
  <c r="EJA84" i="1"/>
  <c r="EIZ84" i="1"/>
  <c r="EIY84" i="1"/>
  <c r="EIX84" i="1"/>
  <c r="EIW84" i="1"/>
  <c r="EIV84" i="1"/>
  <c r="EIU84" i="1"/>
  <c r="EIT84" i="1"/>
  <c r="EIS84" i="1"/>
  <c r="EIR84" i="1"/>
  <c r="EIQ84" i="1"/>
  <c r="EIP84" i="1"/>
  <c r="EIO84" i="1"/>
  <c r="EIN84" i="1"/>
  <c r="EIM84" i="1"/>
  <c r="EIL84" i="1"/>
  <c r="EIK84" i="1"/>
  <c r="EIJ84" i="1"/>
  <c r="EII84" i="1"/>
  <c r="EIH84" i="1"/>
  <c r="EIG84" i="1"/>
  <c r="EIF84" i="1"/>
  <c r="EIE84" i="1"/>
  <c r="EID84" i="1"/>
  <c r="EIC84" i="1"/>
  <c r="EIB84" i="1"/>
  <c r="EIA84" i="1"/>
  <c r="EHZ84" i="1"/>
  <c r="EHY84" i="1"/>
  <c r="EHX84" i="1"/>
  <c r="EHW84" i="1"/>
  <c r="EHV84" i="1"/>
  <c r="EHU84" i="1"/>
  <c r="EHT84" i="1"/>
  <c r="EHS84" i="1"/>
  <c r="EHR84" i="1"/>
  <c r="EHQ84" i="1"/>
  <c r="EHP84" i="1"/>
  <c r="EHO84" i="1"/>
  <c r="EHN84" i="1"/>
  <c r="EHM84" i="1"/>
  <c r="EHL84" i="1"/>
  <c r="EHK84" i="1"/>
  <c r="EHJ84" i="1"/>
  <c r="EHI84" i="1"/>
  <c r="EHH84" i="1"/>
  <c r="EHG84" i="1"/>
  <c r="EHF84" i="1"/>
  <c r="EHE84" i="1"/>
  <c r="EHD84" i="1"/>
  <c r="EHC84" i="1"/>
  <c r="EHB84" i="1"/>
  <c r="EHA84" i="1"/>
  <c r="EGZ84" i="1"/>
  <c r="EGY84" i="1"/>
  <c r="EGX84" i="1"/>
  <c r="EGW84" i="1"/>
  <c r="EGV84" i="1"/>
  <c r="EGU84" i="1"/>
  <c r="EGT84" i="1"/>
  <c r="EGS84" i="1"/>
  <c r="EGR84" i="1"/>
  <c r="EGQ84" i="1"/>
  <c r="EGP84" i="1"/>
  <c r="EGO84" i="1"/>
  <c r="EGN84" i="1"/>
  <c r="EGM84" i="1"/>
  <c r="EGL84" i="1"/>
  <c r="EGK84" i="1"/>
  <c r="EGJ84" i="1"/>
  <c r="EGI84" i="1"/>
  <c r="EGH84" i="1"/>
  <c r="EGG84" i="1"/>
  <c r="EGF84" i="1"/>
  <c r="EGE84" i="1"/>
  <c r="EGD84" i="1"/>
  <c r="EGC84" i="1"/>
  <c r="EGB84" i="1"/>
  <c r="EGA84" i="1"/>
  <c r="EFZ84" i="1"/>
  <c r="EFY84" i="1"/>
  <c r="EFX84" i="1"/>
  <c r="EFW84" i="1"/>
  <c r="EFV84" i="1"/>
  <c r="EFU84" i="1"/>
  <c r="EFT84" i="1"/>
  <c r="EFS84" i="1"/>
  <c r="EFR84" i="1"/>
  <c r="EFQ84" i="1"/>
  <c r="EFP84" i="1"/>
  <c r="EFO84" i="1"/>
  <c r="EFN84" i="1"/>
  <c r="EFM84" i="1"/>
  <c r="EFL84" i="1"/>
  <c r="EFK84" i="1"/>
  <c r="EFJ84" i="1"/>
  <c r="EFI84" i="1"/>
  <c r="EFH84" i="1"/>
  <c r="EFG84" i="1"/>
  <c r="EFF84" i="1"/>
  <c r="EFE84" i="1"/>
  <c r="EFD84" i="1"/>
  <c r="EFC84" i="1"/>
  <c r="EFB84" i="1"/>
  <c r="EFA84" i="1"/>
  <c r="EEZ84" i="1"/>
  <c r="EEY84" i="1"/>
  <c r="EEX84" i="1"/>
  <c r="EEW84" i="1"/>
  <c r="EEV84" i="1"/>
  <c r="EEU84" i="1"/>
  <c r="EET84" i="1"/>
  <c r="EES84" i="1"/>
  <c r="EER84" i="1"/>
  <c r="EEQ84" i="1"/>
  <c r="EEP84" i="1"/>
  <c r="EEO84" i="1"/>
  <c r="EEN84" i="1"/>
  <c r="EEM84" i="1"/>
  <c r="EEL84" i="1"/>
  <c r="EEK84" i="1"/>
  <c r="EEJ84" i="1"/>
  <c r="EEI84" i="1"/>
  <c r="EEH84" i="1"/>
  <c r="EEG84" i="1"/>
  <c r="EEF84" i="1"/>
  <c r="EEE84" i="1"/>
  <c r="EED84" i="1"/>
  <c r="EEC84" i="1"/>
  <c r="EEB84" i="1"/>
  <c r="EEA84" i="1"/>
  <c r="EDZ84" i="1"/>
  <c r="EDY84" i="1"/>
  <c r="EDX84" i="1"/>
  <c r="EDW84" i="1"/>
  <c r="EDV84" i="1"/>
  <c r="EDU84" i="1"/>
  <c r="EDT84" i="1"/>
  <c r="EDS84" i="1"/>
  <c r="EDR84" i="1"/>
  <c r="EDQ84" i="1"/>
  <c r="EDP84" i="1"/>
  <c r="EDO84" i="1"/>
  <c r="EDN84" i="1"/>
  <c r="EDM84" i="1"/>
  <c r="EDL84" i="1"/>
  <c r="EDK84" i="1"/>
  <c r="EDJ84" i="1"/>
  <c r="EDI84" i="1"/>
  <c r="EDH84" i="1"/>
  <c r="EDG84" i="1"/>
  <c r="EDF84" i="1"/>
  <c r="EDE84" i="1"/>
  <c r="EDD84" i="1"/>
  <c r="EDC84" i="1"/>
  <c r="EDB84" i="1"/>
  <c r="EDA84" i="1"/>
  <c r="ECZ84" i="1"/>
  <c r="ECY84" i="1"/>
  <c r="ECX84" i="1"/>
  <c r="ECW84" i="1"/>
  <c r="ECV84" i="1"/>
  <c r="ECU84" i="1"/>
  <c r="ECT84" i="1"/>
  <c r="ECS84" i="1"/>
  <c r="ECR84" i="1"/>
  <c r="ECQ84" i="1"/>
  <c r="ECP84" i="1"/>
  <c r="ECO84" i="1"/>
  <c r="ECN84" i="1"/>
  <c r="ECM84" i="1"/>
  <c r="ECL84" i="1"/>
  <c r="ECK84" i="1"/>
  <c r="ECJ84" i="1"/>
  <c r="ECI84" i="1"/>
  <c r="ECH84" i="1"/>
  <c r="ECG84" i="1"/>
  <c r="ECF84" i="1"/>
  <c r="ECE84" i="1"/>
  <c r="ECD84" i="1"/>
  <c r="ECC84" i="1"/>
  <c r="ECB84" i="1"/>
  <c r="ECA84" i="1"/>
  <c r="EBZ84" i="1"/>
  <c r="EBY84" i="1"/>
  <c r="EBX84" i="1"/>
  <c r="EBW84" i="1"/>
  <c r="EBV84" i="1"/>
  <c r="EBU84" i="1"/>
  <c r="EBT84" i="1"/>
  <c r="EBS84" i="1"/>
  <c r="EBR84" i="1"/>
  <c r="EBQ84" i="1"/>
  <c r="EBP84" i="1"/>
  <c r="EBO84" i="1"/>
  <c r="EBN84" i="1"/>
  <c r="EBM84" i="1"/>
  <c r="EBL84" i="1"/>
  <c r="EBK84" i="1"/>
  <c r="EBJ84" i="1"/>
  <c r="EBI84" i="1"/>
  <c r="EBH84" i="1"/>
  <c r="EBG84" i="1"/>
  <c r="EBF84" i="1"/>
  <c r="EBE84" i="1"/>
  <c r="EBD84" i="1"/>
  <c r="EBC84" i="1"/>
  <c r="EBB84" i="1"/>
  <c r="EBA84" i="1"/>
  <c r="EAZ84" i="1"/>
  <c r="EAY84" i="1"/>
  <c r="EAX84" i="1"/>
  <c r="EAW84" i="1"/>
  <c r="EAV84" i="1"/>
  <c r="EAU84" i="1"/>
  <c r="EAT84" i="1"/>
  <c r="EAS84" i="1"/>
  <c r="EAR84" i="1"/>
  <c r="EAQ84" i="1"/>
  <c r="EAP84" i="1"/>
  <c r="EAO84" i="1"/>
  <c r="EAN84" i="1"/>
  <c r="EAM84" i="1"/>
  <c r="EAL84" i="1"/>
  <c r="EAK84" i="1"/>
  <c r="EAJ84" i="1"/>
  <c r="EAI84" i="1"/>
  <c r="EAH84" i="1"/>
  <c r="EAG84" i="1"/>
  <c r="EAF84" i="1"/>
  <c r="EAE84" i="1"/>
  <c r="EAD84" i="1"/>
  <c r="EAC84" i="1"/>
  <c r="EAB84" i="1"/>
  <c r="EAA84" i="1"/>
  <c r="DZZ84" i="1"/>
  <c r="DZY84" i="1"/>
  <c r="DZX84" i="1"/>
  <c r="DZW84" i="1"/>
  <c r="DZV84" i="1"/>
  <c r="DZU84" i="1"/>
  <c r="DZT84" i="1"/>
  <c r="DZS84" i="1"/>
  <c r="DZR84" i="1"/>
  <c r="DZQ84" i="1"/>
  <c r="DZP84" i="1"/>
  <c r="DZO84" i="1"/>
  <c r="DZN84" i="1"/>
  <c r="DZM84" i="1"/>
  <c r="DZL84" i="1"/>
  <c r="DZK84" i="1"/>
  <c r="DZJ84" i="1"/>
  <c r="DZI84" i="1"/>
  <c r="DZH84" i="1"/>
  <c r="DZG84" i="1"/>
  <c r="DZF84" i="1"/>
  <c r="DZE84" i="1"/>
  <c r="DZD84" i="1"/>
  <c r="DZC84" i="1"/>
  <c r="DZB84" i="1"/>
  <c r="DZA84" i="1"/>
  <c r="DYZ84" i="1"/>
  <c r="DYY84" i="1"/>
  <c r="DYX84" i="1"/>
  <c r="DYW84" i="1"/>
  <c r="DYV84" i="1"/>
  <c r="DYU84" i="1"/>
  <c r="DYT84" i="1"/>
  <c r="DYS84" i="1"/>
  <c r="DYR84" i="1"/>
  <c r="DYQ84" i="1"/>
  <c r="DYP84" i="1"/>
  <c r="DYO84" i="1"/>
  <c r="DYN84" i="1"/>
  <c r="DYM84" i="1"/>
  <c r="DYL84" i="1"/>
  <c r="DYK84" i="1"/>
  <c r="DYJ84" i="1"/>
  <c r="DYI84" i="1"/>
  <c r="DYH84" i="1"/>
  <c r="DYG84" i="1"/>
  <c r="DYF84" i="1"/>
  <c r="DYE84" i="1"/>
  <c r="DYD84" i="1"/>
  <c r="DYC84" i="1"/>
  <c r="DYB84" i="1"/>
  <c r="DYA84" i="1"/>
  <c r="DXZ84" i="1"/>
  <c r="DXY84" i="1"/>
  <c r="DXX84" i="1"/>
  <c r="DXW84" i="1"/>
  <c r="DXV84" i="1"/>
  <c r="DXU84" i="1"/>
  <c r="DXT84" i="1"/>
  <c r="DXS84" i="1"/>
  <c r="DXR84" i="1"/>
  <c r="DXQ84" i="1"/>
  <c r="DXP84" i="1"/>
  <c r="DXO84" i="1"/>
  <c r="DXN84" i="1"/>
  <c r="DXM84" i="1"/>
  <c r="DXL84" i="1"/>
  <c r="DXK84" i="1"/>
  <c r="DXJ84" i="1"/>
  <c r="DXI84" i="1"/>
  <c r="DXH84" i="1"/>
  <c r="DXG84" i="1"/>
  <c r="DXF84" i="1"/>
  <c r="DXE84" i="1"/>
  <c r="DXD84" i="1"/>
  <c r="DXC84" i="1"/>
  <c r="DXB84" i="1"/>
  <c r="DXA84" i="1"/>
  <c r="DWZ84" i="1"/>
  <c r="DWY84" i="1"/>
  <c r="DWX84" i="1"/>
  <c r="DWW84" i="1"/>
  <c r="DWV84" i="1"/>
  <c r="DWU84" i="1"/>
  <c r="DWT84" i="1"/>
  <c r="DWS84" i="1"/>
  <c r="DWR84" i="1"/>
  <c r="DWQ84" i="1"/>
  <c r="DWP84" i="1"/>
  <c r="DWO84" i="1"/>
  <c r="DWN84" i="1"/>
  <c r="DWM84" i="1"/>
  <c r="DWL84" i="1"/>
  <c r="DWK84" i="1"/>
  <c r="DWJ84" i="1"/>
  <c r="DWI84" i="1"/>
  <c r="DWH84" i="1"/>
  <c r="DWG84" i="1"/>
  <c r="DWF84" i="1"/>
  <c r="DWE84" i="1"/>
  <c r="DWD84" i="1"/>
  <c r="DWC84" i="1"/>
  <c r="DWB84" i="1"/>
  <c r="DWA84" i="1"/>
  <c r="DVZ84" i="1"/>
  <c r="DVY84" i="1"/>
  <c r="DVX84" i="1"/>
  <c r="DVW84" i="1"/>
  <c r="DVV84" i="1"/>
  <c r="DVU84" i="1"/>
  <c r="DVT84" i="1"/>
  <c r="DVS84" i="1"/>
  <c r="DVR84" i="1"/>
  <c r="DVQ84" i="1"/>
  <c r="DVP84" i="1"/>
  <c r="DVO84" i="1"/>
  <c r="DVN84" i="1"/>
  <c r="DVM84" i="1"/>
  <c r="DVL84" i="1"/>
  <c r="DVK84" i="1"/>
  <c r="DVJ84" i="1"/>
  <c r="DVI84" i="1"/>
  <c r="DVH84" i="1"/>
  <c r="DVG84" i="1"/>
  <c r="DVF84" i="1"/>
  <c r="DVE84" i="1"/>
  <c r="DVD84" i="1"/>
  <c r="DVC84" i="1"/>
  <c r="DVB84" i="1"/>
  <c r="DVA84" i="1"/>
  <c r="DUZ84" i="1"/>
  <c r="DUY84" i="1"/>
  <c r="DUX84" i="1"/>
  <c r="DUW84" i="1"/>
  <c r="DUV84" i="1"/>
  <c r="DUU84" i="1"/>
  <c r="DUT84" i="1"/>
  <c r="DUS84" i="1"/>
  <c r="DUR84" i="1"/>
  <c r="DUQ84" i="1"/>
  <c r="DUP84" i="1"/>
  <c r="DUO84" i="1"/>
  <c r="DUN84" i="1"/>
  <c r="DUM84" i="1"/>
  <c r="DUL84" i="1"/>
  <c r="DUK84" i="1"/>
  <c r="DUJ84" i="1"/>
  <c r="DUI84" i="1"/>
  <c r="DUH84" i="1"/>
  <c r="DUG84" i="1"/>
  <c r="DUF84" i="1"/>
  <c r="DUE84" i="1"/>
  <c r="DUD84" i="1"/>
  <c r="DUC84" i="1"/>
  <c r="DUB84" i="1"/>
  <c r="DUA84" i="1"/>
  <c r="DTZ84" i="1"/>
  <c r="DTY84" i="1"/>
  <c r="DTX84" i="1"/>
  <c r="DTW84" i="1"/>
  <c r="DTV84" i="1"/>
  <c r="DTU84" i="1"/>
  <c r="DTT84" i="1"/>
  <c r="DTS84" i="1"/>
  <c r="DTR84" i="1"/>
  <c r="DTQ84" i="1"/>
  <c r="DTP84" i="1"/>
  <c r="DTO84" i="1"/>
  <c r="DTN84" i="1"/>
  <c r="DTM84" i="1"/>
  <c r="DTL84" i="1"/>
  <c r="DTK84" i="1"/>
  <c r="DTJ84" i="1"/>
  <c r="DTI84" i="1"/>
  <c r="DTH84" i="1"/>
  <c r="DTG84" i="1"/>
  <c r="DTF84" i="1"/>
  <c r="DTE84" i="1"/>
  <c r="DTD84" i="1"/>
  <c r="DTC84" i="1"/>
  <c r="DTB84" i="1"/>
  <c r="DTA84" i="1"/>
  <c r="DSZ84" i="1"/>
  <c r="DSY84" i="1"/>
  <c r="DSX84" i="1"/>
  <c r="DSW84" i="1"/>
  <c r="DSV84" i="1"/>
  <c r="DSU84" i="1"/>
  <c r="DST84" i="1"/>
  <c r="DSS84" i="1"/>
  <c r="DSR84" i="1"/>
  <c r="DSQ84" i="1"/>
  <c r="DSP84" i="1"/>
  <c r="DSO84" i="1"/>
  <c r="DSN84" i="1"/>
  <c r="DSM84" i="1"/>
  <c r="DSL84" i="1"/>
  <c r="DSK84" i="1"/>
  <c r="DSJ84" i="1"/>
  <c r="DSI84" i="1"/>
  <c r="DSH84" i="1"/>
  <c r="DSG84" i="1"/>
  <c r="DSF84" i="1"/>
  <c r="DSE84" i="1"/>
  <c r="DSD84" i="1"/>
  <c r="DSC84" i="1"/>
  <c r="DSB84" i="1"/>
  <c r="DSA84" i="1"/>
  <c r="DRZ84" i="1"/>
  <c r="DRY84" i="1"/>
  <c r="DRX84" i="1"/>
  <c r="DRW84" i="1"/>
  <c r="DRV84" i="1"/>
  <c r="DRU84" i="1"/>
  <c r="DRT84" i="1"/>
  <c r="DRS84" i="1"/>
  <c r="DRR84" i="1"/>
  <c r="DRQ84" i="1"/>
  <c r="DRP84" i="1"/>
  <c r="DRO84" i="1"/>
  <c r="DRN84" i="1"/>
  <c r="DRM84" i="1"/>
  <c r="DRL84" i="1"/>
  <c r="DRK84" i="1"/>
  <c r="DRJ84" i="1"/>
  <c r="DRI84" i="1"/>
  <c r="DRH84" i="1"/>
  <c r="DRG84" i="1"/>
  <c r="DRF84" i="1"/>
  <c r="DRE84" i="1"/>
  <c r="DRD84" i="1"/>
  <c r="DRC84" i="1"/>
  <c r="DRB84" i="1"/>
  <c r="DRA84" i="1"/>
  <c r="DQZ84" i="1"/>
  <c r="DQY84" i="1"/>
  <c r="DQX84" i="1"/>
  <c r="DQW84" i="1"/>
  <c r="DQV84" i="1"/>
  <c r="DQU84" i="1"/>
  <c r="DQT84" i="1"/>
  <c r="DQS84" i="1"/>
  <c r="DQR84" i="1"/>
  <c r="DQQ84" i="1"/>
  <c r="DQP84" i="1"/>
  <c r="DQO84" i="1"/>
  <c r="DQN84" i="1"/>
  <c r="DQM84" i="1"/>
  <c r="DQL84" i="1"/>
  <c r="DQK84" i="1"/>
  <c r="DQJ84" i="1"/>
  <c r="DQI84" i="1"/>
  <c r="DQH84" i="1"/>
  <c r="DQG84" i="1"/>
  <c r="DQF84" i="1"/>
  <c r="DQE84" i="1"/>
  <c r="DQD84" i="1"/>
  <c r="DQC84" i="1"/>
  <c r="DQB84" i="1"/>
  <c r="DQA84" i="1"/>
  <c r="DPZ84" i="1"/>
  <c r="DPY84" i="1"/>
  <c r="DPX84" i="1"/>
  <c r="DPW84" i="1"/>
  <c r="DPV84" i="1"/>
  <c r="DPU84" i="1"/>
  <c r="DPT84" i="1"/>
  <c r="DPS84" i="1"/>
  <c r="DPR84" i="1"/>
  <c r="DPQ84" i="1"/>
  <c r="DPP84" i="1"/>
  <c r="DPO84" i="1"/>
  <c r="DPN84" i="1"/>
  <c r="DPM84" i="1"/>
  <c r="DPL84" i="1"/>
  <c r="DPK84" i="1"/>
  <c r="DPJ84" i="1"/>
  <c r="DPI84" i="1"/>
  <c r="DPH84" i="1"/>
  <c r="DPG84" i="1"/>
  <c r="DPF84" i="1"/>
  <c r="DPE84" i="1"/>
  <c r="DPD84" i="1"/>
  <c r="DPC84" i="1"/>
  <c r="DPB84" i="1"/>
  <c r="DPA84" i="1"/>
  <c r="DOZ84" i="1"/>
  <c r="DOY84" i="1"/>
  <c r="DOX84" i="1"/>
  <c r="DOW84" i="1"/>
  <c r="DOV84" i="1"/>
  <c r="DOU84" i="1"/>
  <c r="DOT84" i="1"/>
  <c r="DOS84" i="1"/>
  <c r="DOR84" i="1"/>
  <c r="DOQ84" i="1"/>
  <c r="DOP84" i="1"/>
  <c r="DOO84" i="1"/>
  <c r="DON84" i="1"/>
  <c r="DOM84" i="1"/>
  <c r="DOL84" i="1"/>
  <c r="DOK84" i="1"/>
  <c r="DOJ84" i="1"/>
  <c r="DOI84" i="1"/>
  <c r="DOH84" i="1"/>
  <c r="DOG84" i="1"/>
  <c r="DOF84" i="1"/>
  <c r="DOE84" i="1"/>
  <c r="DOD84" i="1"/>
  <c r="DOC84" i="1"/>
  <c r="DOB84" i="1"/>
  <c r="DOA84" i="1"/>
  <c r="DNZ84" i="1"/>
  <c r="DNY84" i="1"/>
  <c r="DNX84" i="1"/>
  <c r="DNW84" i="1"/>
  <c r="DNV84" i="1"/>
  <c r="DNU84" i="1"/>
  <c r="DNT84" i="1"/>
  <c r="DNS84" i="1"/>
  <c r="DNR84" i="1"/>
  <c r="DNQ84" i="1"/>
  <c r="DNP84" i="1"/>
  <c r="DNO84" i="1"/>
  <c r="DNN84" i="1"/>
  <c r="DNM84" i="1"/>
  <c r="DNL84" i="1"/>
  <c r="DNK84" i="1"/>
  <c r="DNJ84" i="1"/>
  <c r="DNI84" i="1"/>
  <c r="DNH84" i="1"/>
  <c r="DNG84" i="1"/>
  <c r="DNF84" i="1"/>
  <c r="DNE84" i="1"/>
  <c r="DND84" i="1"/>
  <c r="DNC84" i="1"/>
  <c r="DNB84" i="1"/>
  <c r="DNA84" i="1"/>
  <c r="DMZ84" i="1"/>
  <c r="DMY84" i="1"/>
  <c r="DMX84" i="1"/>
  <c r="DMW84" i="1"/>
  <c r="DMV84" i="1"/>
  <c r="DMU84" i="1"/>
  <c r="DMT84" i="1"/>
  <c r="DMS84" i="1"/>
  <c r="DMR84" i="1"/>
  <c r="DMQ84" i="1"/>
  <c r="DMP84" i="1"/>
  <c r="DMO84" i="1"/>
  <c r="DMN84" i="1"/>
  <c r="DMM84" i="1"/>
  <c r="DML84" i="1"/>
  <c r="DMK84" i="1"/>
  <c r="DMJ84" i="1"/>
  <c r="DMI84" i="1"/>
  <c r="DMH84" i="1"/>
  <c r="DMG84" i="1"/>
  <c r="DMF84" i="1"/>
  <c r="DME84" i="1"/>
  <c r="DMD84" i="1"/>
  <c r="DMC84" i="1"/>
  <c r="DMB84" i="1"/>
  <c r="DMA84" i="1"/>
  <c r="DLZ84" i="1"/>
  <c r="DLY84" i="1"/>
  <c r="DLX84" i="1"/>
  <c r="DLW84" i="1"/>
  <c r="DLV84" i="1"/>
  <c r="DLU84" i="1"/>
  <c r="DLT84" i="1"/>
  <c r="DLS84" i="1"/>
  <c r="DLR84" i="1"/>
  <c r="DLQ84" i="1"/>
  <c r="DLP84" i="1"/>
  <c r="DLO84" i="1"/>
  <c r="DLN84" i="1"/>
  <c r="DLM84" i="1"/>
  <c r="DLL84" i="1"/>
  <c r="DLK84" i="1"/>
  <c r="DLJ84" i="1"/>
  <c r="DLI84" i="1"/>
  <c r="DLH84" i="1"/>
  <c r="DLG84" i="1"/>
  <c r="DLF84" i="1"/>
  <c r="DLE84" i="1"/>
  <c r="DLD84" i="1"/>
  <c r="DLC84" i="1"/>
  <c r="DLB84" i="1"/>
  <c r="DLA84" i="1"/>
  <c r="DKZ84" i="1"/>
  <c r="DKY84" i="1"/>
  <c r="DKX84" i="1"/>
  <c r="DKW84" i="1"/>
  <c r="DKV84" i="1"/>
  <c r="DKU84" i="1"/>
  <c r="DKT84" i="1"/>
  <c r="DKS84" i="1"/>
  <c r="DKR84" i="1"/>
  <c r="DKQ84" i="1"/>
  <c r="DKP84" i="1"/>
  <c r="DKO84" i="1"/>
  <c r="DKN84" i="1"/>
  <c r="DKM84" i="1"/>
  <c r="DKL84" i="1"/>
  <c r="DKK84" i="1"/>
  <c r="DKJ84" i="1"/>
  <c r="DKI84" i="1"/>
  <c r="DKH84" i="1"/>
  <c r="DKG84" i="1"/>
  <c r="DKF84" i="1"/>
  <c r="DKE84" i="1"/>
  <c r="DKD84" i="1"/>
  <c r="DKC84" i="1"/>
  <c r="DKB84" i="1"/>
  <c r="DKA84" i="1"/>
  <c r="DJZ84" i="1"/>
  <c r="DJY84" i="1"/>
  <c r="DJX84" i="1"/>
  <c r="DJW84" i="1"/>
  <c r="DJV84" i="1"/>
  <c r="DJU84" i="1"/>
  <c r="DJT84" i="1"/>
  <c r="DJS84" i="1"/>
  <c r="DJR84" i="1"/>
  <c r="DJQ84" i="1"/>
  <c r="DJP84" i="1"/>
  <c r="DJO84" i="1"/>
  <c r="DJN84" i="1"/>
  <c r="DJM84" i="1"/>
  <c r="DJL84" i="1"/>
  <c r="DJK84" i="1"/>
  <c r="DJJ84" i="1"/>
  <c r="DJI84" i="1"/>
  <c r="DJH84" i="1"/>
  <c r="DJG84" i="1"/>
  <c r="DJF84" i="1"/>
  <c r="DJE84" i="1"/>
  <c r="DJD84" i="1"/>
  <c r="DJC84" i="1"/>
  <c r="DJB84" i="1"/>
  <c r="DJA84" i="1"/>
  <c r="DIZ84" i="1"/>
  <c r="DIY84" i="1"/>
  <c r="DIX84" i="1"/>
  <c r="DIW84" i="1"/>
  <c r="DIV84" i="1"/>
  <c r="DIU84" i="1"/>
  <c r="DIT84" i="1"/>
  <c r="DIS84" i="1"/>
  <c r="DIR84" i="1"/>
  <c r="DIQ84" i="1"/>
  <c r="DIP84" i="1"/>
  <c r="DIO84" i="1"/>
  <c r="DIN84" i="1"/>
  <c r="DIM84" i="1"/>
  <c r="DIL84" i="1"/>
  <c r="DIK84" i="1"/>
  <c r="DIJ84" i="1"/>
  <c r="DII84" i="1"/>
  <c r="DIH84" i="1"/>
  <c r="DIG84" i="1"/>
  <c r="DIF84" i="1"/>
  <c r="DIE84" i="1"/>
  <c r="DID84" i="1"/>
  <c r="DIC84" i="1"/>
  <c r="DIB84" i="1"/>
  <c r="DIA84" i="1"/>
  <c r="DHZ84" i="1"/>
  <c r="DHY84" i="1"/>
  <c r="DHX84" i="1"/>
  <c r="DHW84" i="1"/>
  <c r="DHV84" i="1"/>
  <c r="DHU84" i="1"/>
  <c r="DHT84" i="1"/>
  <c r="DHS84" i="1"/>
  <c r="DHR84" i="1"/>
  <c r="DHQ84" i="1"/>
  <c r="DHP84" i="1"/>
  <c r="DHO84" i="1"/>
  <c r="DHN84" i="1"/>
  <c r="DHM84" i="1"/>
  <c r="DHL84" i="1"/>
  <c r="DHK84" i="1"/>
  <c r="DHJ84" i="1"/>
  <c r="DHI84" i="1"/>
  <c r="DHH84" i="1"/>
  <c r="DHG84" i="1"/>
  <c r="DHF84" i="1"/>
  <c r="DHE84" i="1"/>
  <c r="DHD84" i="1"/>
  <c r="DHC84" i="1"/>
  <c r="DHB84" i="1"/>
  <c r="DHA84" i="1"/>
  <c r="DGZ84" i="1"/>
  <c r="DGY84" i="1"/>
  <c r="DGX84" i="1"/>
  <c r="DGW84" i="1"/>
  <c r="DGV84" i="1"/>
  <c r="DGU84" i="1"/>
  <c r="DGT84" i="1"/>
  <c r="DGS84" i="1"/>
  <c r="DGR84" i="1"/>
  <c r="DGQ84" i="1"/>
  <c r="DGP84" i="1"/>
  <c r="DGO84" i="1"/>
  <c r="DGN84" i="1"/>
  <c r="DGM84" i="1"/>
  <c r="DGL84" i="1"/>
  <c r="DGK84" i="1"/>
  <c r="DGJ84" i="1"/>
  <c r="DGI84" i="1"/>
  <c r="DGH84" i="1"/>
  <c r="DGG84" i="1"/>
  <c r="DGF84" i="1"/>
  <c r="DGE84" i="1"/>
  <c r="DGD84" i="1"/>
  <c r="DGC84" i="1"/>
  <c r="DGB84" i="1"/>
  <c r="DGA84" i="1"/>
  <c r="DFZ84" i="1"/>
  <c r="DFY84" i="1"/>
  <c r="DFX84" i="1"/>
  <c r="DFW84" i="1"/>
  <c r="DFV84" i="1"/>
  <c r="DFU84" i="1"/>
  <c r="DFT84" i="1"/>
  <c r="DFS84" i="1"/>
  <c r="DFR84" i="1"/>
  <c r="DFQ84" i="1"/>
  <c r="DFP84" i="1"/>
  <c r="DFO84" i="1"/>
  <c r="DFN84" i="1"/>
  <c r="DFM84" i="1"/>
  <c r="DFL84" i="1"/>
  <c r="DFK84" i="1"/>
  <c r="DFJ84" i="1"/>
  <c r="DFI84" i="1"/>
  <c r="DFH84" i="1"/>
  <c r="DFG84" i="1"/>
  <c r="DFF84" i="1"/>
  <c r="DFE84" i="1"/>
  <c r="DFD84" i="1"/>
  <c r="DFC84" i="1"/>
  <c r="DFB84" i="1"/>
  <c r="DFA84" i="1"/>
  <c r="DEZ84" i="1"/>
  <c r="DEY84" i="1"/>
  <c r="DEX84" i="1"/>
  <c r="DEW84" i="1"/>
  <c r="DEV84" i="1"/>
  <c r="DEU84" i="1"/>
  <c r="DET84" i="1"/>
  <c r="DES84" i="1"/>
  <c r="DER84" i="1"/>
  <c r="DEQ84" i="1"/>
  <c r="DEP84" i="1"/>
  <c r="DEO84" i="1"/>
  <c r="DEN84" i="1"/>
  <c r="DEM84" i="1"/>
  <c r="DEL84" i="1"/>
  <c r="DEK84" i="1"/>
  <c r="DEJ84" i="1"/>
  <c r="DEI84" i="1"/>
  <c r="DEH84" i="1"/>
  <c r="DEG84" i="1"/>
  <c r="DEF84" i="1"/>
  <c r="DEE84" i="1"/>
  <c r="DED84" i="1"/>
  <c r="DEC84" i="1"/>
  <c r="DEB84" i="1"/>
  <c r="DEA84" i="1"/>
  <c r="DDZ84" i="1"/>
  <c r="DDY84" i="1"/>
  <c r="DDX84" i="1"/>
  <c r="DDW84" i="1"/>
  <c r="DDV84" i="1"/>
  <c r="DDU84" i="1"/>
  <c r="DDT84" i="1"/>
  <c r="DDS84" i="1"/>
  <c r="DDR84" i="1"/>
  <c r="DDQ84" i="1"/>
  <c r="DDP84" i="1"/>
  <c r="DDO84" i="1"/>
  <c r="DDN84" i="1"/>
  <c r="DDM84" i="1"/>
  <c r="DDL84" i="1"/>
  <c r="DDK84" i="1"/>
  <c r="DDJ84" i="1"/>
  <c r="DDI84" i="1"/>
  <c r="DDH84" i="1"/>
  <c r="DDG84" i="1"/>
  <c r="DDF84" i="1"/>
  <c r="DDE84" i="1"/>
  <c r="DDD84" i="1"/>
  <c r="DDC84" i="1"/>
  <c r="DDB84" i="1"/>
  <c r="DDA84" i="1"/>
  <c r="DCZ84" i="1"/>
  <c r="DCY84" i="1"/>
  <c r="DCX84" i="1"/>
  <c r="DCW84" i="1"/>
  <c r="DCV84" i="1"/>
  <c r="DCU84" i="1"/>
  <c r="DCT84" i="1"/>
  <c r="DCS84" i="1"/>
  <c r="DCR84" i="1"/>
  <c r="DCQ84" i="1"/>
  <c r="DCP84" i="1"/>
  <c r="DCO84" i="1"/>
  <c r="DCN84" i="1"/>
  <c r="DCM84" i="1"/>
  <c r="DCL84" i="1"/>
  <c r="DCK84" i="1"/>
  <c r="DCJ84" i="1"/>
  <c r="DCI84" i="1"/>
  <c r="DCH84" i="1"/>
  <c r="DCG84" i="1"/>
  <c r="DCF84" i="1"/>
  <c r="DCE84" i="1"/>
  <c r="DCD84" i="1"/>
  <c r="DCC84" i="1"/>
  <c r="DCB84" i="1"/>
  <c r="DCA84" i="1"/>
  <c r="DBZ84" i="1"/>
  <c r="DBY84" i="1"/>
  <c r="DBX84" i="1"/>
  <c r="DBW84" i="1"/>
  <c r="DBV84" i="1"/>
  <c r="DBU84" i="1"/>
  <c r="DBT84" i="1"/>
  <c r="DBS84" i="1"/>
  <c r="DBR84" i="1"/>
  <c r="DBQ84" i="1"/>
  <c r="DBP84" i="1"/>
  <c r="DBO84" i="1"/>
  <c r="DBN84" i="1"/>
  <c r="DBM84" i="1"/>
  <c r="DBL84" i="1"/>
  <c r="DBK84" i="1"/>
  <c r="DBJ84" i="1"/>
  <c r="DBI84" i="1"/>
  <c r="DBH84" i="1"/>
  <c r="DBG84" i="1"/>
  <c r="DBF84" i="1"/>
  <c r="DBE84" i="1"/>
  <c r="DBD84" i="1"/>
  <c r="DBC84" i="1"/>
  <c r="DBB84" i="1"/>
  <c r="DBA84" i="1"/>
  <c r="DAZ84" i="1"/>
  <c r="DAY84" i="1"/>
  <c r="DAX84" i="1"/>
  <c r="DAW84" i="1"/>
  <c r="DAV84" i="1"/>
  <c r="DAU84" i="1"/>
  <c r="DAT84" i="1"/>
  <c r="DAS84" i="1"/>
  <c r="DAR84" i="1"/>
  <c r="DAQ84" i="1"/>
  <c r="DAP84" i="1"/>
  <c r="DAO84" i="1"/>
  <c r="DAN84" i="1"/>
  <c r="DAM84" i="1"/>
  <c r="DAL84" i="1"/>
  <c r="DAK84" i="1"/>
  <c r="DAJ84" i="1"/>
  <c r="DAI84" i="1"/>
  <c r="DAH84" i="1"/>
  <c r="DAG84" i="1"/>
  <c r="DAF84" i="1"/>
  <c r="DAE84" i="1"/>
  <c r="DAD84" i="1"/>
  <c r="DAC84" i="1"/>
  <c r="DAB84" i="1"/>
  <c r="DAA84" i="1"/>
  <c r="CZZ84" i="1"/>
  <c r="CZY84" i="1"/>
  <c r="CZX84" i="1"/>
  <c r="CZW84" i="1"/>
  <c r="CZV84" i="1"/>
  <c r="CZU84" i="1"/>
  <c r="CZT84" i="1"/>
  <c r="CZS84" i="1"/>
  <c r="CZR84" i="1"/>
  <c r="CZQ84" i="1"/>
  <c r="CZP84" i="1"/>
  <c r="CZO84" i="1"/>
  <c r="CZN84" i="1"/>
  <c r="CZM84" i="1"/>
  <c r="CZL84" i="1"/>
  <c r="CZK84" i="1"/>
  <c r="CZJ84" i="1"/>
  <c r="CZI84" i="1"/>
  <c r="CZH84" i="1"/>
  <c r="CZG84" i="1"/>
  <c r="CZF84" i="1"/>
  <c r="CZE84" i="1"/>
  <c r="CZD84" i="1"/>
  <c r="CZC84" i="1"/>
  <c r="CZB84" i="1"/>
  <c r="CZA84" i="1"/>
  <c r="CYZ84" i="1"/>
  <c r="CYY84" i="1"/>
  <c r="CYX84" i="1"/>
  <c r="CYW84" i="1"/>
  <c r="CYV84" i="1"/>
  <c r="CYU84" i="1"/>
  <c r="CYT84" i="1"/>
  <c r="CYS84" i="1"/>
  <c r="CYR84" i="1"/>
  <c r="CYQ84" i="1"/>
  <c r="CYP84" i="1"/>
  <c r="CYO84" i="1"/>
  <c r="CYN84" i="1"/>
  <c r="CYM84" i="1"/>
  <c r="CYL84" i="1"/>
  <c r="CYK84" i="1"/>
  <c r="CYJ84" i="1"/>
  <c r="CYI84" i="1"/>
  <c r="CYH84" i="1"/>
  <c r="CYG84" i="1"/>
  <c r="CYF84" i="1"/>
  <c r="CYE84" i="1"/>
  <c r="CYD84" i="1"/>
  <c r="CYC84" i="1"/>
  <c r="CYB84" i="1"/>
  <c r="CYA84" i="1"/>
  <c r="CXZ84" i="1"/>
  <c r="CXY84" i="1"/>
  <c r="CXX84" i="1"/>
  <c r="CXW84" i="1"/>
  <c r="CXV84" i="1"/>
  <c r="CXU84" i="1"/>
  <c r="CXT84" i="1"/>
  <c r="CXS84" i="1"/>
  <c r="CXR84" i="1"/>
  <c r="CXQ84" i="1"/>
  <c r="CXP84" i="1"/>
  <c r="CXO84" i="1"/>
  <c r="CXN84" i="1"/>
  <c r="CXM84" i="1"/>
  <c r="CXL84" i="1"/>
  <c r="CXK84" i="1"/>
  <c r="CXJ84" i="1"/>
  <c r="CXI84" i="1"/>
  <c r="CXH84" i="1"/>
  <c r="CXG84" i="1"/>
  <c r="CXF84" i="1"/>
  <c r="CXE84" i="1"/>
  <c r="CXD84" i="1"/>
  <c r="CXC84" i="1"/>
  <c r="CXB84" i="1"/>
  <c r="CXA84" i="1"/>
  <c r="CWZ84" i="1"/>
  <c r="CWY84" i="1"/>
  <c r="CWX84" i="1"/>
  <c r="CWW84" i="1"/>
  <c r="CWV84" i="1"/>
  <c r="CWU84" i="1"/>
  <c r="CWT84" i="1"/>
  <c r="CWS84" i="1"/>
  <c r="CWR84" i="1"/>
  <c r="CWQ84" i="1"/>
  <c r="CWP84" i="1"/>
  <c r="CWO84" i="1"/>
  <c r="CWN84" i="1"/>
  <c r="CWM84" i="1"/>
  <c r="CWL84" i="1"/>
  <c r="CWK84" i="1"/>
  <c r="CWJ84" i="1"/>
  <c r="CWI84" i="1"/>
  <c r="CWH84" i="1"/>
  <c r="CWG84" i="1"/>
  <c r="CWF84" i="1"/>
  <c r="CWE84" i="1"/>
  <c r="CWD84" i="1"/>
  <c r="CWC84" i="1"/>
  <c r="CWB84" i="1"/>
  <c r="CWA84" i="1"/>
  <c r="CVZ84" i="1"/>
  <c r="CVY84" i="1"/>
  <c r="CVX84" i="1"/>
  <c r="CVW84" i="1"/>
  <c r="CVV84" i="1"/>
  <c r="CVU84" i="1"/>
  <c r="CVT84" i="1"/>
  <c r="CVS84" i="1"/>
  <c r="CVR84" i="1"/>
  <c r="CVQ84" i="1"/>
  <c r="CVP84" i="1"/>
  <c r="CVO84" i="1"/>
  <c r="CVN84" i="1"/>
  <c r="CVM84" i="1"/>
  <c r="CVL84" i="1"/>
  <c r="CVK84" i="1"/>
  <c r="CVJ84" i="1"/>
  <c r="CVI84" i="1"/>
  <c r="CVH84" i="1"/>
  <c r="CVG84" i="1"/>
  <c r="CVF84" i="1"/>
  <c r="CVE84" i="1"/>
  <c r="CVD84" i="1"/>
  <c r="CVC84" i="1"/>
  <c r="CVB84" i="1"/>
  <c r="CVA84" i="1"/>
  <c r="CUZ84" i="1"/>
  <c r="CUY84" i="1"/>
  <c r="CUX84" i="1"/>
  <c r="CUW84" i="1"/>
  <c r="CUV84" i="1"/>
  <c r="CUU84" i="1"/>
  <c r="CUT84" i="1"/>
  <c r="CUS84" i="1"/>
  <c r="CUR84" i="1"/>
  <c r="CUQ84" i="1"/>
  <c r="CUP84" i="1"/>
  <c r="CUO84" i="1"/>
  <c r="CUN84" i="1"/>
  <c r="CUM84" i="1"/>
  <c r="CUL84" i="1"/>
  <c r="CUK84" i="1"/>
  <c r="CUJ84" i="1"/>
  <c r="CUI84" i="1"/>
  <c r="CUH84" i="1"/>
  <c r="CUG84" i="1"/>
  <c r="CUF84" i="1"/>
  <c r="CUE84" i="1"/>
  <c r="CUD84" i="1"/>
  <c r="CUC84" i="1"/>
  <c r="CUB84" i="1"/>
  <c r="CUA84" i="1"/>
  <c r="CTZ84" i="1"/>
  <c r="CTY84" i="1"/>
  <c r="CTX84" i="1"/>
  <c r="CTW84" i="1"/>
  <c r="CTV84" i="1"/>
  <c r="CTU84" i="1"/>
  <c r="CTT84" i="1"/>
  <c r="CTS84" i="1"/>
  <c r="CTR84" i="1"/>
  <c r="CTQ84" i="1"/>
  <c r="CTP84" i="1"/>
  <c r="CTO84" i="1"/>
  <c r="CTN84" i="1"/>
  <c r="CTM84" i="1"/>
  <c r="CTL84" i="1"/>
  <c r="CTK84" i="1"/>
  <c r="CTJ84" i="1"/>
  <c r="CTI84" i="1"/>
  <c r="CTH84" i="1"/>
  <c r="CTG84" i="1"/>
  <c r="CTF84" i="1"/>
  <c r="CTE84" i="1"/>
  <c r="CTD84" i="1"/>
  <c r="CTC84" i="1"/>
  <c r="CTB84" i="1"/>
  <c r="CTA84" i="1"/>
  <c r="CSZ84" i="1"/>
  <c r="CSY84" i="1"/>
  <c r="CSX84" i="1"/>
  <c r="CSW84" i="1"/>
  <c r="CSV84" i="1"/>
  <c r="CSU84" i="1"/>
  <c r="CST84" i="1"/>
  <c r="CSS84" i="1"/>
  <c r="CSR84" i="1"/>
  <c r="CSQ84" i="1"/>
  <c r="CSP84" i="1"/>
  <c r="CSO84" i="1"/>
  <c r="CSN84" i="1"/>
  <c r="CSM84" i="1"/>
  <c r="CSL84" i="1"/>
  <c r="CSK84" i="1"/>
  <c r="CSJ84" i="1"/>
  <c r="CSI84" i="1"/>
  <c r="CSH84" i="1"/>
  <c r="CSG84" i="1"/>
  <c r="CSF84" i="1"/>
  <c r="CSE84" i="1"/>
  <c r="CSD84" i="1"/>
  <c r="CSC84" i="1"/>
  <c r="CSB84" i="1"/>
  <c r="CSA84" i="1"/>
  <c r="CRZ84" i="1"/>
  <c r="CRY84" i="1"/>
  <c r="CRX84" i="1"/>
  <c r="CRW84" i="1"/>
  <c r="CRV84" i="1"/>
  <c r="CRU84" i="1"/>
  <c r="CRT84" i="1"/>
  <c r="CRS84" i="1"/>
  <c r="CRR84" i="1"/>
  <c r="CRQ84" i="1"/>
  <c r="CRP84" i="1"/>
  <c r="CRO84" i="1"/>
  <c r="CRN84" i="1"/>
  <c r="CRM84" i="1"/>
  <c r="CRL84" i="1"/>
  <c r="CRK84" i="1"/>
  <c r="CRJ84" i="1"/>
  <c r="CRI84" i="1"/>
  <c r="CRH84" i="1"/>
  <c r="CRG84" i="1"/>
  <c r="CRF84" i="1"/>
  <c r="CRE84" i="1"/>
  <c r="CRD84" i="1"/>
  <c r="CRC84" i="1"/>
  <c r="CRB84" i="1"/>
  <c r="CRA84" i="1"/>
  <c r="CQZ84" i="1"/>
  <c r="CQY84" i="1"/>
  <c r="CQX84" i="1"/>
  <c r="CQW84" i="1"/>
  <c r="CQV84" i="1"/>
  <c r="CQU84" i="1"/>
  <c r="CQT84" i="1"/>
  <c r="CQS84" i="1"/>
  <c r="CQR84" i="1"/>
  <c r="CQQ84" i="1"/>
  <c r="CQP84" i="1"/>
  <c r="CQO84" i="1"/>
  <c r="CQN84" i="1"/>
  <c r="CQM84" i="1"/>
  <c r="CQL84" i="1"/>
  <c r="CQK84" i="1"/>
  <c r="CQJ84" i="1"/>
  <c r="CQI84" i="1"/>
  <c r="CQH84" i="1"/>
  <c r="CQG84" i="1"/>
  <c r="CQF84" i="1"/>
  <c r="CQE84" i="1"/>
  <c r="CQD84" i="1"/>
  <c r="CQC84" i="1"/>
  <c r="CQB84" i="1"/>
  <c r="CQA84" i="1"/>
  <c r="CPZ84" i="1"/>
  <c r="CPY84" i="1"/>
  <c r="CPX84" i="1"/>
  <c r="CPW84" i="1"/>
  <c r="CPV84" i="1"/>
  <c r="CPU84" i="1"/>
  <c r="CPT84" i="1"/>
  <c r="CPS84" i="1"/>
  <c r="CPR84" i="1"/>
  <c r="CPQ84" i="1"/>
  <c r="CPP84" i="1"/>
  <c r="CPO84" i="1"/>
  <c r="CPN84" i="1"/>
  <c r="CPM84" i="1"/>
  <c r="CPL84" i="1"/>
  <c r="CPK84" i="1"/>
  <c r="CPJ84" i="1"/>
  <c r="CPI84" i="1"/>
  <c r="CPH84" i="1"/>
  <c r="CPG84" i="1"/>
  <c r="CPF84" i="1"/>
  <c r="CPE84" i="1"/>
  <c r="CPD84" i="1"/>
  <c r="CPC84" i="1"/>
  <c r="CPB84" i="1"/>
  <c r="CPA84" i="1"/>
  <c r="COZ84" i="1"/>
  <c r="COY84" i="1"/>
  <c r="COX84" i="1"/>
  <c r="COW84" i="1"/>
  <c r="COV84" i="1"/>
  <c r="COU84" i="1"/>
  <c r="COT84" i="1"/>
  <c r="COS84" i="1"/>
  <c r="COR84" i="1"/>
  <c r="COQ84" i="1"/>
  <c r="COP84" i="1"/>
  <c r="COO84" i="1"/>
  <c r="CON84" i="1"/>
  <c r="COM84" i="1"/>
  <c r="COL84" i="1"/>
  <c r="COK84" i="1"/>
  <c r="COJ84" i="1"/>
  <c r="COI84" i="1"/>
  <c r="COH84" i="1"/>
  <c r="COG84" i="1"/>
  <c r="COF84" i="1"/>
  <c r="COE84" i="1"/>
  <c r="COD84" i="1"/>
  <c r="COC84" i="1"/>
  <c r="COB84" i="1"/>
  <c r="COA84" i="1"/>
  <c r="CNZ84" i="1"/>
  <c r="CNY84" i="1"/>
  <c r="CNX84" i="1"/>
  <c r="CNW84" i="1"/>
  <c r="CNV84" i="1"/>
  <c r="CNU84" i="1"/>
  <c r="CNT84" i="1"/>
  <c r="CNS84" i="1"/>
  <c r="CNR84" i="1"/>
  <c r="CNQ84" i="1"/>
  <c r="CNP84" i="1"/>
  <c r="CNO84" i="1"/>
  <c r="CNN84" i="1"/>
  <c r="CNM84" i="1"/>
  <c r="CNL84" i="1"/>
  <c r="CNK84" i="1"/>
  <c r="CNJ84" i="1"/>
  <c r="CNI84" i="1"/>
  <c r="CNH84" i="1"/>
  <c r="CNG84" i="1"/>
  <c r="CNF84" i="1"/>
  <c r="CNE84" i="1"/>
  <c r="CND84" i="1"/>
  <c r="CNC84" i="1"/>
  <c r="CNB84" i="1"/>
  <c r="CNA84" i="1"/>
  <c r="CMZ84" i="1"/>
  <c r="CMY84" i="1"/>
  <c r="CMX84" i="1"/>
  <c r="CMW84" i="1"/>
  <c r="CMV84" i="1"/>
  <c r="CMU84" i="1"/>
  <c r="CMT84" i="1"/>
  <c r="CMS84" i="1"/>
  <c r="CMR84" i="1"/>
  <c r="CMQ84" i="1"/>
  <c r="CMP84" i="1"/>
  <c r="CMO84" i="1"/>
  <c r="CMN84" i="1"/>
  <c r="CMM84" i="1"/>
  <c r="CML84" i="1"/>
  <c r="CMK84" i="1"/>
  <c r="CMJ84" i="1"/>
  <c r="CMI84" i="1"/>
  <c r="CMH84" i="1"/>
  <c r="CMG84" i="1"/>
  <c r="CMF84" i="1"/>
  <c r="CME84" i="1"/>
  <c r="CMD84" i="1"/>
  <c r="CMC84" i="1"/>
  <c r="CMB84" i="1"/>
  <c r="CMA84" i="1"/>
  <c r="CLZ84" i="1"/>
  <c r="CLY84" i="1"/>
  <c r="CLX84" i="1"/>
  <c r="CLW84" i="1"/>
  <c r="CLV84" i="1"/>
  <c r="CLU84" i="1"/>
  <c r="CLT84" i="1"/>
  <c r="CLS84" i="1"/>
  <c r="CLR84" i="1"/>
  <c r="CLQ84" i="1"/>
  <c r="CLP84" i="1"/>
  <c r="CLO84" i="1"/>
  <c r="CLN84" i="1"/>
  <c r="CLM84" i="1"/>
  <c r="CLL84" i="1"/>
  <c r="CLK84" i="1"/>
  <c r="CLJ84" i="1"/>
  <c r="CLI84" i="1"/>
  <c r="CLH84" i="1"/>
  <c r="CLG84" i="1"/>
  <c r="CLF84" i="1"/>
  <c r="CLE84" i="1"/>
  <c r="CLD84" i="1"/>
  <c r="CLC84" i="1"/>
  <c r="CLB84" i="1"/>
  <c r="CLA84" i="1"/>
  <c r="CKZ84" i="1"/>
  <c r="CKY84" i="1"/>
  <c r="CKX84" i="1"/>
  <c r="CKW84" i="1"/>
  <c r="CKV84" i="1"/>
  <c r="CKU84" i="1"/>
  <c r="CKT84" i="1"/>
  <c r="CKS84" i="1"/>
  <c r="CKR84" i="1"/>
  <c r="CKQ84" i="1"/>
  <c r="CKP84" i="1"/>
  <c r="CKO84" i="1"/>
  <c r="CKN84" i="1"/>
  <c r="CKM84" i="1"/>
  <c r="CKL84" i="1"/>
  <c r="CKK84" i="1"/>
  <c r="CKJ84" i="1"/>
  <c r="CKI84" i="1"/>
  <c r="CKH84" i="1"/>
  <c r="CKG84" i="1"/>
  <c r="CKF84" i="1"/>
  <c r="CKE84" i="1"/>
  <c r="CKD84" i="1"/>
  <c r="CKC84" i="1"/>
  <c r="CKB84" i="1"/>
  <c r="CKA84" i="1"/>
  <c r="CJZ84" i="1"/>
  <c r="CJY84" i="1"/>
  <c r="CJX84" i="1"/>
  <c r="CJW84" i="1"/>
  <c r="CJV84" i="1"/>
  <c r="CJU84" i="1"/>
  <c r="CJT84" i="1"/>
  <c r="CJS84" i="1"/>
  <c r="CJR84" i="1"/>
  <c r="CJQ84" i="1"/>
  <c r="CJP84" i="1"/>
  <c r="CJO84" i="1"/>
  <c r="CJN84" i="1"/>
  <c r="CJM84" i="1"/>
  <c r="CJL84" i="1"/>
  <c r="CJK84" i="1"/>
  <c r="CJJ84" i="1"/>
  <c r="CJI84" i="1"/>
  <c r="CJH84" i="1"/>
  <c r="CJG84" i="1"/>
  <c r="CJF84" i="1"/>
  <c r="CJE84" i="1"/>
  <c r="CJD84" i="1"/>
  <c r="CJC84" i="1"/>
  <c r="CJB84" i="1"/>
  <c r="CJA84" i="1"/>
  <c r="CIZ84" i="1"/>
  <c r="CIY84" i="1"/>
  <c r="CIX84" i="1"/>
  <c r="CIW84" i="1"/>
  <c r="CIV84" i="1"/>
  <c r="CIU84" i="1"/>
  <c r="CIT84" i="1"/>
  <c r="CIS84" i="1"/>
  <c r="CIR84" i="1"/>
  <c r="CIQ84" i="1"/>
  <c r="CIP84" i="1"/>
  <c r="CIO84" i="1"/>
  <c r="CIN84" i="1"/>
  <c r="CIM84" i="1"/>
  <c r="CIL84" i="1"/>
  <c r="CIK84" i="1"/>
  <c r="CIJ84" i="1"/>
  <c r="CII84" i="1"/>
  <c r="CIH84" i="1"/>
  <c r="CIG84" i="1"/>
  <c r="CIF84" i="1"/>
  <c r="CIE84" i="1"/>
  <c r="CID84" i="1"/>
  <c r="CIC84" i="1"/>
  <c r="CIB84" i="1"/>
  <c r="CIA84" i="1"/>
  <c r="CHZ84" i="1"/>
  <c r="CHY84" i="1"/>
  <c r="CHX84" i="1"/>
  <c r="CHW84" i="1"/>
  <c r="CHV84" i="1"/>
  <c r="CHU84" i="1"/>
  <c r="CHT84" i="1"/>
  <c r="CHS84" i="1"/>
  <c r="CHR84" i="1"/>
  <c r="CHQ84" i="1"/>
  <c r="CHP84" i="1"/>
  <c r="CHO84" i="1"/>
  <c r="CHN84" i="1"/>
  <c r="CHM84" i="1"/>
  <c r="CHL84" i="1"/>
  <c r="CHK84" i="1"/>
  <c r="CHJ84" i="1"/>
  <c r="CHI84" i="1"/>
  <c r="CHH84" i="1"/>
  <c r="CHG84" i="1"/>
  <c r="CHF84" i="1"/>
  <c r="CHE84" i="1"/>
  <c r="CHD84" i="1"/>
  <c r="CHC84" i="1"/>
  <c r="CHB84" i="1"/>
  <c r="CHA84" i="1"/>
  <c r="CGZ84" i="1"/>
  <c r="CGY84" i="1"/>
  <c r="CGX84" i="1"/>
  <c r="CGW84" i="1"/>
  <c r="CGV84" i="1"/>
  <c r="CGU84" i="1"/>
  <c r="CGT84" i="1"/>
  <c r="CGS84" i="1"/>
  <c r="CGR84" i="1"/>
  <c r="CGQ84" i="1"/>
  <c r="CGP84" i="1"/>
  <c r="CGO84" i="1"/>
  <c r="CGN84" i="1"/>
  <c r="CGM84" i="1"/>
  <c r="CGL84" i="1"/>
  <c r="CGK84" i="1"/>
  <c r="CGJ84" i="1"/>
  <c r="CGI84" i="1"/>
  <c r="CGH84" i="1"/>
  <c r="CGG84" i="1"/>
  <c r="CGF84" i="1"/>
  <c r="CGE84" i="1"/>
  <c r="CGD84" i="1"/>
  <c r="CGC84" i="1"/>
  <c r="CGB84" i="1"/>
  <c r="CGA84" i="1"/>
  <c r="CFZ84" i="1"/>
  <c r="CFY84" i="1"/>
  <c r="CFX84" i="1"/>
  <c r="CFW84" i="1"/>
  <c r="CFV84" i="1"/>
  <c r="CFU84" i="1"/>
  <c r="CFT84" i="1"/>
  <c r="CFS84" i="1"/>
  <c r="CFR84" i="1"/>
  <c r="CFQ84" i="1"/>
  <c r="CFP84" i="1"/>
  <c r="CFO84" i="1"/>
  <c r="CFN84" i="1"/>
  <c r="CFM84" i="1"/>
  <c r="CFL84" i="1"/>
  <c r="CFK84" i="1"/>
  <c r="CFJ84" i="1"/>
  <c r="CFI84" i="1"/>
  <c r="CFH84" i="1"/>
  <c r="CFG84" i="1"/>
  <c r="CFF84" i="1"/>
  <c r="CFE84" i="1"/>
  <c r="CFD84" i="1"/>
  <c r="CFC84" i="1"/>
  <c r="CFB84" i="1"/>
  <c r="CFA84" i="1"/>
  <c r="CEZ84" i="1"/>
  <c r="CEY84" i="1"/>
  <c r="CEX84" i="1"/>
  <c r="CEW84" i="1"/>
  <c r="CEV84" i="1"/>
  <c r="CEU84" i="1"/>
  <c r="CET84" i="1"/>
  <c r="CES84" i="1"/>
  <c r="CER84" i="1"/>
  <c r="CEQ84" i="1"/>
  <c r="CEP84" i="1"/>
  <c r="CEO84" i="1"/>
  <c r="CEN84" i="1"/>
  <c r="CEM84" i="1"/>
  <c r="CEL84" i="1"/>
  <c r="CEK84" i="1"/>
  <c r="CEJ84" i="1"/>
  <c r="CEI84" i="1"/>
  <c r="CEH84" i="1"/>
  <c r="CEG84" i="1"/>
  <c r="CEF84" i="1"/>
  <c r="CEE84" i="1"/>
  <c r="CED84" i="1"/>
  <c r="CEC84" i="1"/>
  <c r="CEB84" i="1"/>
  <c r="CEA84" i="1"/>
  <c r="CDZ84" i="1"/>
  <c r="CDY84" i="1"/>
  <c r="CDX84" i="1"/>
  <c r="CDW84" i="1"/>
  <c r="CDV84" i="1"/>
  <c r="CDU84" i="1"/>
  <c r="CDT84" i="1"/>
  <c r="CDS84" i="1"/>
  <c r="CDR84" i="1"/>
  <c r="CDQ84" i="1"/>
  <c r="CDP84" i="1"/>
  <c r="CDO84" i="1"/>
  <c r="CDN84" i="1"/>
  <c r="CDM84" i="1"/>
  <c r="CDL84" i="1"/>
  <c r="CDK84" i="1"/>
  <c r="CDJ84" i="1"/>
  <c r="CDI84" i="1"/>
  <c r="CDH84" i="1"/>
  <c r="CDG84" i="1"/>
  <c r="CDF84" i="1"/>
  <c r="CDE84" i="1"/>
  <c r="CDD84" i="1"/>
  <c r="CDC84" i="1"/>
  <c r="CDB84" i="1"/>
  <c r="CDA84" i="1"/>
  <c r="CCZ84" i="1"/>
  <c r="CCY84" i="1"/>
  <c r="CCX84" i="1"/>
  <c r="CCW84" i="1"/>
  <c r="CCV84" i="1"/>
  <c r="CCU84" i="1"/>
  <c r="CCT84" i="1"/>
  <c r="CCS84" i="1"/>
  <c r="CCR84" i="1"/>
  <c r="CCQ84" i="1"/>
  <c r="CCP84" i="1"/>
  <c r="CCO84" i="1"/>
  <c r="CCN84" i="1"/>
  <c r="CCM84" i="1"/>
  <c r="CCL84" i="1"/>
  <c r="CCK84" i="1"/>
  <c r="CCJ84" i="1"/>
  <c r="CCI84" i="1"/>
  <c r="CCH84" i="1"/>
  <c r="CCG84" i="1"/>
  <c r="CCF84" i="1"/>
  <c r="CCE84" i="1"/>
  <c r="CCD84" i="1"/>
  <c r="CCC84" i="1"/>
  <c r="CCB84" i="1"/>
  <c r="CCA84" i="1"/>
  <c r="CBZ84" i="1"/>
  <c r="CBY84" i="1"/>
  <c r="CBX84" i="1"/>
  <c r="CBW84" i="1"/>
  <c r="CBV84" i="1"/>
  <c r="CBU84" i="1"/>
  <c r="CBT84" i="1"/>
  <c r="CBS84" i="1"/>
  <c r="CBR84" i="1"/>
  <c r="CBQ84" i="1"/>
  <c r="CBP84" i="1"/>
  <c r="CBO84" i="1"/>
  <c r="CBN84" i="1"/>
  <c r="CBM84" i="1"/>
  <c r="CBL84" i="1"/>
  <c r="CBK84" i="1"/>
  <c r="CBJ84" i="1"/>
  <c r="CBI84" i="1"/>
  <c r="CBH84" i="1"/>
  <c r="CBG84" i="1"/>
  <c r="CBF84" i="1"/>
  <c r="CBE84" i="1"/>
  <c r="CBD84" i="1"/>
  <c r="CBC84" i="1"/>
  <c r="CBB84" i="1"/>
  <c r="CBA84" i="1"/>
  <c r="CAZ84" i="1"/>
  <c r="CAY84" i="1"/>
  <c r="CAX84" i="1"/>
  <c r="CAW84" i="1"/>
  <c r="CAV84" i="1"/>
  <c r="CAU84" i="1"/>
  <c r="CAT84" i="1"/>
  <c r="CAS84" i="1"/>
  <c r="CAR84" i="1"/>
  <c r="CAQ84" i="1"/>
  <c r="CAP84" i="1"/>
  <c r="CAO84" i="1"/>
  <c r="CAN84" i="1"/>
  <c r="CAM84" i="1"/>
  <c r="CAL84" i="1"/>
  <c r="CAK84" i="1"/>
  <c r="CAJ84" i="1"/>
  <c r="CAI84" i="1"/>
  <c r="CAH84" i="1"/>
  <c r="CAG84" i="1"/>
  <c r="CAF84" i="1"/>
  <c r="CAE84" i="1"/>
  <c r="CAD84" i="1"/>
  <c r="CAC84" i="1"/>
  <c r="CAB84" i="1"/>
  <c r="CAA84" i="1"/>
  <c r="BZZ84" i="1"/>
  <c r="BZY84" i="1"/>
  <c r="BZX84" i="1"/>
  <c r="BZW84" i="1"/>
  <c r="BZV84" i="1"/>
  <c r="BZU84" i="1"/>
  <c r="BZT84" i="1"/>
  <c r="BZS84" i="1"/>
  <c r="BZR84" i="1"/>
  <c r="BZQ84" i="1"/>
  <c r="BZP84" i="1"/>
  <c r="BZO84" i="1"/>
  <c r="BZN84" i="1"/>
  <c r="BZM84" i="1"/>
  <c r="BZL84" i="1"/>
  <c r="BZK84" i="1"/>
  <c r="BZJ84" i="1"/>
  <c r="BZI84" i="1"/>
  <c r="BZH84" i="1"/>
  <c r="BZG84" i="1"/>
  <c r="BZF84" i="1"/>
  <c r="BZE84" i="1"/>
  <c r="BZD84" i="1"/>
  <c r="BZC84" i="1"/>
  <c r="BZB84" i="1"/>
  <c r="BZA84" i="1"/>
  <c r="BYZ84" i="1"/>
  <c r="BYY84" i="1"/>
  <c r="BYX84" i="1"/>
  <c r="BYW84" i="1"/>
  <c r="BYV84" i="1"/>
  <c r="BYU84" i="1"/>
  <c r="BYT84" i="1"/>
  <c r="BYS84" i="1"/>
  <c r="BYR84" i="1"/>
  <c r="BYQ84" i="1"/>
  <c r="BYP84" i="1"/>
  <c r="BYO84" i="1"/>
  <c r="BYN84" i="1"/>
  <c r="BYM84" i="1"/>
  <c r="BYL84" i="1"/>
  <c r="BYK84" i="1"/>
  <c r="BYJ84" i="1"/>
  <c r="BYI84" i="1"/>
  <c r="BYH84" i="1"/>
  <c r="BYG84" i="1"/>
  <c r="BYF84" i="1"/>
  <c r="BYE84" i="1"/>
  <c r="BYD84" i="1"/>
  <c r="BYC84" i="1"/>
  <c r="BYB84" i="1"/>
  <c r="BYA84" i="1"/>
  <c r="BXZ84" i="1"/>
  <c r="BXY84" i="1"/>
  <c r="BXX84" i="1"/>
  <c r="BXW84" i="1"/>
  <c r="BXV84" i="1"/>
  <c r="BXU84" i="1"/>
  <c r="BXT84" i="1"/>
  <c r="BXS84" i="1"/>
  <c r="BXR84" i="1"/>
  <c r="BXQ84" i="1"/>
  <c r="BXP84" i="1"/>
  <c r="BXO84" i="1"/>
  <c r="BXN84" i="1"/>
  <c r="BXM84" i="1"/>
  <c r="BXL84" i="1"/>
  <c r="BXK84" i="1"/>
  <c r="BXJ84" i="1"/>
  <c r="BXI84" i="1"/>
  <c r="BXH84" i="1"/>
  <c r="BXG84" i="1"/>
  <c r="BXF84" i="1"/>
  <c r="BXE84" i="1"/>
  <c r="BXD84" i="1"/>
  <c r="BXC84" i="1"/>
  <c r="BXB84" i="1"/>
  <c r="BXA84" i="1"/>
  <c r="BWZ84" i="1"/>
  <c r="BWY84" i="1"/>
  <c r="BWX84" i="1"/>
  <c r="BWW84" i="1"/>
  <c r="BWV84" i="1"/>
  <c r="BWU84" i="1"/>
  <c r="BWT84" i="1"/>
  <c r="BWS84" i="1"/>
  <c r="BWR84" i="1"/>
  <c r="BWQ84" i="1"/>
  <c r="BWP84" i="1"/>
  <c r="BWO84" i="1"/>
  <c r="BWN84" i="1"/>
  <c r="BWM84" i="1"/>
  <c r="BWL84" i="1"/>
  <c r="BWK84" i="1"/>
  <c r="BWJ84" i="1"/>
  <c r="BWI84" i="1"/>
  <c r="BWH84" i="1"/>
  <c r="BWG84" i="1"/>
  <c r="BWF84" i="1"/>
  <c r="BWE84" i="1"/>
  <c r="BWD84" i="1"/>
  <c r="BWC84" i="1"/>
  <c r="BWB84" i="1"/>
  <c r="BWA84" i="1"/>
  <c r="BVZ84" i="1"/>
  <c r="BVY84" i="1"/>
  <c r="BVX84" i="1"/>
  <c r="BVW84" i="1"/>
  <c r="BVV84" i="1"/>
  <c r="BVU84" i="1"/>
  <c r="BVT84" i="1"/>
  <c r="BVS84" i="1"/>
  <c r="BVR84" i="1"/>
  <c r="BVQ84" i="1"/>
  <c r="BVP84" i="1"/>
  <c r="BVO84" i="1"/>
  <c r="BVN84" i="1"/>
  <c r="BVM84" i="1"/>
  <c r="BVL84" i="1"/>
  <c r="BVK84" i="1"/>
  <c r="BVJ84" i="1"/>
  <c r="BVI84" i="1"/>
  <c r="BVH84" i="1"/>
  <c r="BVG84" i="1"/>
  <c r="BVF84" i="1"/>
  <c r="BVE84" i="1"/>
  <c r="BVD84" i="1"/>
  <c r="BVC84" i="1"/>
  <c r="BVB84" i="1"/>
  <c r="BVA84" i="1"/>
  <c r="BUZ84" i="1"/>
  <c r="BUY84" i="1"/>
  <c r="BUX84" i="1"/>
  <c r="BUW84" i="1"/>
  <c r="BUV84" i="1"/>
  <c r="BUU84" i="1"/>
  <c r="BUT84" i="1"/>
  <c r="BUS84" i="1"/>
  <c r="BUR84" i="1"/>
  <c r="BUQ84" i="1"/>
  <c r="BUP84" i="1"/>
  <c r="BUO84" i="1"/>
  <c r="BUN84" i="1"/>
  <c r="BUM84" i="1"/>
  <c r="BUL84" i="1"/>
  <c r="BUK84" i="1"/>
  <c r="BUJ84" i="1"/>
  <c r="BUI84" i="1"/>
  <c r="BUH84" i="1"/>
  <c r="BUG84" i="1"/>
  <c r="BUF84" i="1"/>
  <c r="BUE84" i="1"/>
  <c r="BUD84" i="1"/>
  <c r="BUC84" i="1"/>
  <c r="BUB84" i="1"/>
  <c r="BUA84" i="1"/>
  <c r="BTZ84" i="1"/>
  <c r="BTY84" i="1"/>
  <c r="BTX84" i="1"/>
  <c r="BTW84" i="1"/>
  <c r="BTV84" i="1"/>
  <c r="BTU84" i="1"/>
  <c r="BTT84" i="1"/>
  <c r="BTS84" i="1"/>
  <c r="BTR84" i="1"/>
  <c r="BTQ84" i="1"/>
  <c r="BTP84" i="1"/>
  <c r="BTO84" i="1"/>
  <c r="BTN84" i="1"/>
  <c r="BTM84" i="1"/>
  <c r="BTL84" i="1"/>
  <c r="BTK84" i="1"/>
  <c r="BTJ84" i="1"/>
  <c r="BTI84" i="1"/>
  <c r="BTH84" i="1"/>
  <c r="BTG84" i="1"/>
  <c r="BTF84" i="1"/>
  <c r="BTE84" i="1"/>
  <c r="BTD84" i="1"/>
  <c r="BTC84" i="1"/>
  <c r="BTB84" i="1"/>
  <c r="BTA84" i="1"/>
  <c r="BSZ84" i="1"/>
  <c r="BSY84" i="1"/>
  <c r="BSX84" i="1"/>
  <c r="BSW84" i="1"/>
  <c r="BSV84" i="1"/>
  <c r="BSU84" i="1"/>
  <c r="BST84" i="1"/>
  <c r="BSS84" i="1"/>
  <c r="BSR84" i="1"/>
  <c r="BSQ84" i="1"/>
  <c r="BSP84" i="1"/>
  <c r="BSO84" i="1"/>
  <c r="BSN84" i="1"/>
  <c r="BSM84" i="1"/>
  <c r="BSL84" i="1"/>
  <c r="BSK84" i="1"/>
  <c r="BSJ84" i="1"/>
  <c r="BSI84" i="1"/>
  <c r="BSH84" i="1"/>
  <c r="BSG84" i="1"/>
  <c r="BSF84" i="1"/>
  <c r="BSE84" i="1"/>
  <c r="BSD84" i="1"/>
  <c r="BSC84" i="1"/>
  <c r="BSB84" i="1"/>
  <c r="BSA84" i="1"/>
  <c r="BRZ84" i="1"/>
  <c r="BRY84" i="1"/>
  <c r="BRX84" i="1"/>
  <c r="BRW84" i="1"/>
  <c r="BRV84" i="1"/>
  <c r="BRU84" i="1"/>
  <c r="BRT84" i="1"/>
  <c r="BRS84" i="1"/>
  <c r="BRR84" i="1"/>
  <c r="BRQ84" i="1"/>
  <c r="BRP84" i="1"/>
  <c r="BRO84" i="1"/>
  <c r="BRN84" i="1"/>
  <c r="BRM84" i="1"/>
  <c r="BRL84" i="1"/>
  <c r="BRK84" i="1"/>
  <c r="BRJ84" i="1"/>
  <c r="BRI84" i="1"/>
  <c r="BRH84" i="1"/>
  <c r="BRG84" i="1"/>
  <c r="BRF84" i="1"/>
  <c r="BRE84" i="1"/>
  <c r="BRD84" i="1"/>
  <c r="BRC84" i="1"/>
  <c r="BRB84" i="1"/>
  <c r="BRA84" i="1"/>
  <c r="BQZ84" i="1"/>
  <c r="BQY84" i="1"/>
  <c r="BQX84" i="1"/>
  <c r="BQW84" i="1"/>
  <c r="BQV84" i="1"/>
  <c r="BQU84" i="1"/>
  <c r="BQT84" i="1"/>
  <c r="BQS84" i="1"/>
  <c r="BQR84" i="1"/>
  <c r="BQQ84" i="1"/>
  <c r="BQP84" i="1"/>
  <c r="BQO84" i="1"/>
  <c r="BQN84" i="1"/>
  <c r="BQM84" i="1"/>
  <c r="BQL84" i="1"/>
  <c r="BQK84" i="1"/>
  <c r="BQJ84" i="1"/>
  <c r="BQI84" i="1"/>
  <c r="BQH84" i="1"/>
  <c r="BQG84" i="1"/>
  <c r="BQF84" i="1"/>
  <c r="BQE84" i="1"/>
  <c r="BQD84" i="1"/>
  <c r="BQC84" i="1"/>
  <c r="BQB84" i="1"/>
  <c r="BQA84" i="1"/>
  <c r="BPZ84" i="1"/>
  <c r="BPY84" i="1"/>
  <c r="BPX84" i="1"/>
  <c r="BPW84" i="1"/>
  <c r="BPV84" i="1"/>
  <c r="BPU84" i="1"/>
  <c r="BPT84" i="1"/>
  <c r="BPS84" i="1"/>
  <c r="BPR84" i="1"/>
  <c r="BPQ84" i="1"/>
  <c r="BPP84" i="1"/>
  <c r="BPO84" i="1"/>
  <c r="BPN84" i="1"/>
  <c r="BPM84" i="1"/>
  <c r="BPL84" i="1"/>
  <c r="BPK84" i="1"/>
  <c r="BPJ84" i="1"/>
  <c r="BPI84" i="1"/>
  <c r="BPH84" i="1"/>
  <c r="BPG84" i="1"/>
  <c r="BPF84" i="1"/>
  <c r="BPE84" i="1"/>
  <c r="BPD84" i="1"/>
  <c r="BPC84" i="1"/>
  <c r="BPB84" i="1"/>
  <c r="BPA84" i="1"/>
  <c r="BOZ84" i="1"/>
  <c r="BOY84" i="1"/>
  <c r="BOX84" i="1"/>
  <c r="BOW84" i="1"/>
  <c r="BOV84" i="1"/>
  <c r="BOU84" i="1"/>
  <c r="BOT84" i="1"/>
  <c r="BOS84" i="1"/>
  <c r="BOR84" i="1"/>
  <c r="BOQ84" i="1"/>
  <c r="BOP84" i="1"/>
  <c r="BOO84" i="1"/>
  <c r="BON84" i="1"/>
  <c r="BOM84" i="1"/>
  <c r="BOL84" i="1"/>
  <c r="BOK84" i="1"/>
  <c r="BOJ84" i="1"/>
  <c r="BOI84" i="1"/>
  <c r="BOH84" i="1"/>
  <c r="BOG84" i="1"/>
  <c r="BOF84" i="1"/>
  <c r="BOE84" i="1"/>
  <c r="BOD84" i="1"/>
  <c r="BOC84" i="1"/>
  <c r="BOB84" i="1"/>
  <c r="BOA84" i="1"/>
  <c r="BNZ84" i="1"/>
  <c r="BNY84" i="1"/>
  <c r="BNX84" i="1"/>
  <c r="BNW84" i="1"/>
  <c r="BNV84" i="1"/>
  <c r="BNU84" i="1"/>
  <c r="BNT84" i="1"/>
  <c r="BNS84" i="1"/>
  <c r="BNR84" i="1"/>
  <c r="BNQ84" i="1"/>
  <c r="BNP84" i="1"/>
  <c r="BNO84" i="1"/>
  <c r="BNN84" i="1"/>
  <c r="BNM84" i="1"/>
  <c r="BNL84" i="1"/>
  <c r="BNK84" i="1"/>
  <c r="BNJ84" i="1"/>
  <c r="BNI84" i="1"/>
  <c r="BNH84" i="1"/>
  <c r="BNG84" i="1"/>
  <c r="BNF84" i="1"/>
  <c r="BNE84" i="1"/>
  <c r="BND84" i="1"/>
  <c r="BNC84" i="1"/>
  <c r="BNB84" i="1"/>
  <c r="BNA84" i="1"/>
  <c r="BMZ84" i="1"/>
  <c r="BMY84" i="1"/>
  <c r="BMX84" i="1"/>
  <c r="BMW84" i="1"/>
  <c r="BMV84" i="1"/>
  <c r="BMU84" i="1"/>
  <c r="BMT84" i="1"/>
  <c r="BMS84" i="1"/>
  <c r="BMR84" i="1"/>
  <c r="BMQ84" i="1"/>
  <c r="BMP84" i="1"/>
  <c r="BMO84" i="1"/>
  <c r="BMN84" i="1"/>
  <c r="BMM84" i="1"/>
  <c r="BML84" i="1"/>
  <c r="BMK84" i="1"/>
  <c r="BMJ84" i="1"/>
  <c r="BMI84" i="1"/>
  <c r="BMH84" i="1"/>
  <c r="BMG84" i="1"/>
  <c r="BMF84" i="1"/>
  <c r="BME84" i="1"/>
  <c r="BMD84" i="1"/>
  <c r="BMC84" i="1"/>
  <c r="BMB84" i="1"/>
  <c r="BMA84" i="1"/>
  <c r="BLZ84" i="1"/>
  <c r="BLY84" i="1"/>
  <c r="BLX84" i="1"/>
  <c r="BLW84" i="1"/>
  <c r="BLV84" i="1"/>
  <c r="BLU84" i="1"/>
  <c r="BLT84" i="1"/>
  <c r="BLS84" i="1"/>
  <c r="BLR84" i="1"/>
  <c r="BLQ84" i="1"/>
  <c r="BLP84" i="1"/>
  <c r="BLO84" i="1"/>
  <c r="BLN84" i="1"/>
  <c r="BLM84" i="1"/>
  <c r="BLL84" i="1"/>
  <c r="BLK84" i="1"/>
  <c r="BLJ84" i="1"/>
  <c r="BLI84" i="1"/>
  <c r="BLH84" i="1"/>
  <c r="BLG84" i="1"/>
  <c r="BLF84" i="1"/>
  <c r="BLE84" i="1"/>
  <c r="BLD84" i="1"/>
  <c r="BLC84" i="1"/>
  <c r="BLB84" i="1"/>
  <c r="BLA84" i="1"/>
  <c r="BKZ84" i="1"/>
  <c r="BKY84" i="1"/>
  <c r="BKX84" i="1"/>
  <c r="BKW84" i="1"/>
  <c r="BKV84" i="1"/>
  <c r="BKU84" i="1"/>
  <c r="BKT84" i="1"/>
  <c r="BKS84" i="1"/>
  <c r="BKR84" i="1"/>
  <c r="BKQ84" i="1"/>
  <c r="BKP84" i="1"/>
  <c r="BKO84" i="1"/>
  <c r="BKN84" i="1"/>
  <c r="BKM84" i="1"/>
  <c r="BKL84" i="1"/>
  <c r="BKK84" i="1"/>
  <c r="BKJ84" i="1"/>
  <c r="BKI84" i="1"/>
  <c r="BKH84" i="1"/>
  <c r="BKG84" i="1"/>
  <c r="BKF84" i="1"/>
  <c r="BKE84" i="1"/>
  <c r="BKD84" i="1"/>
  <c r="BKC84" i="1"/>
  <c r="BKB84" i="1"/>
  <c r="BKA84" i="1"/>
  <c r="BJZ84" i="1"/>
  <c r="BJY84" i="1"/>
  <c r="BJX84" i="1"/>
  <c r="BJW84" i="1"/>
  <c r="BJV84" i="1"/>
  <c r="BJU84" i="1"/>
  <c r="BJT84" i="1"/>
  <c r="BJS84" i="1"/>
  <c r="BJR84" i="1"/>
  <c r="BJQ84" i="1"/>
  <c r="BJP84" i="1"/>
  <c r="BJO84" i="1"/>
  <c r="BJN84" i="1"/>
  <c r="BJM84" i="1"/>
  <c r="BJL84" i="1"/>
  <c r="BJK84" i="1"/>
  <c r="BJJ84" i="1"/>
  <c r="BJI84" i="1"/>
  <c r="BJH84" i="1"/>
  <c r="BJG84" i="1"/>
  <c r="BJF84" i="1"/>
  <c r="BJE84" i="1"/>
  <c r="BJD84" i="1"/>
  <c r="BJC84" i="1"/>
  <c r="BJB84" i="1"/>
  <c r="BJA84" i="1"/>
  <c r="BIZ84" i="1"/>
  <c r="BIY84" i="1"/>
  <c r="BIX84" i="1"/>
  <c r="BIW84" i="1"/>
  <c r="BIV84" i="1"/>
  <c r="BIU84" i="1"/>
  <c r="BIT84" i="1"/>
  <c r="BIS84" i="1"/>
  <c r="BIR84" i="1"/>
  <c r="BIQ84" i="1"/>
  <c r="BIP84" i="1"/>
  <c r="BIO84" i="1"/>
  <c r="BIN84" i="1"/>
  <c r="BIM84" i="1"/>
  <c r="BIL84" i="1"/>
  <c r="BIK84" i="1"/>
  <c r="BIJ84" i="1"/>
  <c r="BII84" i="1"/>
  <c r="BIH84" i="1"/>
  <c r="BIG84" i="1"/>
  <c r="BIF84" i="1"/>
  <c r="BIE84" i="1"/>
  <c r="BID84" i="1"/>
  <c r="BIC84" i="1"/>
  <c r="BIB84" i="1"/>
  <c r="BIA84" i="1"/>
  <c r="BHZ84" i="1"/>
  <c r="BHY84" i="1"/>
  <c r="BHX84" i="1"/>
  <c r="BHW84" i="1"/>
  <c r="BHV84" i="1"/>
  <c r="BHU84" i="1"/>
  <c r="BHT84" i="1"/>
  <c r="BHS84" i="1"/>
  <c r="BHR84" i="1"/>
  <c r="BHQ84" i="1"/>
  <c r="BHP84" i="1"/>
  <c r="BHO84" i="1"/>
  <c r="BHN84" i="1"/>
  <c r="BHM84" i="1"/>
  <c r="BHL84" i="1"/>
  <c r="BHK84" i="1"/>
  <c r="BHJ84" i="1"/>
  <c r="BHI84" i="1"/>
  <c r="BHH84" i="1"/>
  <c r="BHG84" i="1"/>
  <c r="BHF84" i="1"/>
  <c r="BHE84" i="1"/>
  <c r="BHD84" i="1"/>
  <c r="BHC84" i="1"/>
  <c r="BHB84" i="1"/>
  <c r="BHA84" i="1"/>
  <c r="BGZ84" i="1"/>
  <c r="BGY84" i="1"/>
  <c r="BGX84" i="1"/>
  <c r="BGW84" i="1"/>
  <c r="BGV84" i="1"/>
  <c r="BGU84" i="1"/>
  <c r="BGT84" i="1"/>
  <c r="BGS84" i="1"/>
  <c r="BGR84" i="1"/>
  <c r="BGQ84" i="1"/>
  <c r="BGP84" i="1"/>
  <c r="BGO84" i="1"/>
  <c r="BGN84" i="1"/>
  <c r="BGM84" i="1"/>
  <c r="BGL84" i="1"/>
  <c r="BGK84" i="1"/>
  <c r="BGJ84" i="1"/>
  <c r="BGI84" i="1"/>
  <c r="BGH84" i="1"/>
  <c r="BGG84" i="1"/>
  <c r="BGF84" i="1"/>
  <c r="BGE84" i="1"/>
  <c r="BGD84" i="1"/>
  <c r="BGC84" i="1"/>
  <c r="BGB84" i="1"/>
  <c r="BGA84" i="1"/>
  <c r="BFZ84" i="1"/>
  <c r="BFY84" i="1"/>
  <c r="BFX84" i="1"/>
  <c r="BFW84" i="1"/>
  <c r="BFV84" i="1"/>
  <c r="BFU84" i="1"/>
  <c r="BFT84" i="1"/>
  <c r="BFS84" i="1"/>
  <c r="BFR84" i="1"/>
  <c r="BFQ84" i="1"/>
  <c r="BFP84" i="1"/>
  <c r="BFO84" i="1"/>
  <c r="BFN84" i="1"/>
  <c r="BFM84" i="1"/>
  <c r="BFL84" i="1"/>
  <c r="BFK84" i="1"/>
  <c r="BFJ84" i="1"/>
  <c r="BFI84" i="1"/>
  <c r="BFH84" i="1"/>
  <c r="BFG84" i="1"/>
  <c r="BFF84" i="1"/>
  <c r="BFE84" i="1"/>
  <c r="BFD84" i="1"/>
  <c r="BFC84" i="1"/>
  <c r="BFB84" i="1"/>
  <c r="BFA84" i="1"/>
  <c r="BEZ84" i="1"/>
  <c r="BEY84" i="1"/>
  <c r="BEX84" i="1"/>
  <c r="BEW84" i="1"/>
  <c r="BEV84" i="1"/>
  <c r="BEU84" i="1"/>
  <c r="BET84" i="1"/>
  <c r="BES84" i="1"/>
  <c r="BER84" i="1"/>
  <c r="BEQ84" i="1"/>
  <c r="BEP84" i="1"/>
  <c r="BEO84" i="1"/>
  <c r="BEN84" i="1"/>
  <c r="BEM84" i="1"/>
  <c r="BEL84" i="1"/>
  <c r="BEK84" i="1"/>
  <c r="BEJ84" i="1"/>
  <c r="BEI84" i="1"/>
  <c r="BEH84" i="1"/>
  <c r="BEG84" i="1"/>
  <c r="BEF84" i="1"/>
  <c r="BEE84" i="1"/>
  <c r="BED84" i="1"/>
  <c r="BEC84" i="1"/>
  <c r="BEB84" i="1"/>
  <c r="BEA84" i="1"/>
  <c r="BDZ84" i="1"/>
  <c r="BDY84" i="1"/>
  <c r="BDX84" i="1"/>
  <c r="BDW84" i="1"/>
  <c r="BDV84" i="1"/>
  <c r="BDU84" i="1"/>
  <c r="BDT84" i="1"/>
  <c r="BDS84" i="1"/>
  <c r="BDR84" i="1"/>
  <c r="BDQ84" i="1"/>
  <c r="BDP84" i="1"/>
  <c r="BDO84" i="1"/>
  <c r="BDN84" i="1"/>
  <c r="BDM84" i="1"/>
  <c r="BDL84" i="1"/>
  <c r="BDK84" i="1"/>
  <c r="BDJ84" i="1"/>
  <c r="BDI84" i="1"/>
  <c r="BDH84" i="1"/>
  <c r="BDG84" i="1"/>
  <c r="BDF84" i="1"/>
  <c r="BDE84" i="1"/>
  <c r="BDD84" i="1"/>
  <c r="BDC84" i="1"/>
  <c r="BDB84" i="1"/>
  <c r="BDA84" i="1"/>
  <c r="BCZ84" i="1"/>
  <c r="BCY84" i="1"/>
  <c r="BCX84" i="1"/>
  <c r="BCW84" i="1"/>
  <c r="BCV84" i="1"/>
  <c r="BCU84" i="1"/>
  <c r="BCT84" i="1"/>
  <c r="BCS84" i="1"/>
  <c r="BCR84" i="1"/>
  <c r="BCQ84" i="1"/>
  <c r="BCP84" i="1"/>
  <c r="BCO84" i="1"/>
  <c r="BCN84" i="1"/>
  <c r="BCM84" i="1"/>
  <c r="BCL84" i="1"/>
  <c r="BCK84" i="1"/>
  <c r="BCJ84" i="1"/>
  <c r="BCI84" i="1"/>
  <c r="BCH84" i="1"/>
  <c r="BCG84" i="1"/>
  <c r="BCF84" i="1"/>
  <c r="BCE84" i="1"/>
  <c r="BCD84" i="1"/>
  <c r="BCC84" i="1"/>
  <c r="BCB84" i="1"/>
  <c r="BCA84" i="1"/>
  <c r="BBZ84" i="1"/>
  <c r="BBY84" i="1"/>
  <c r="BBX84" i="1"/>
  <c r="BBW84" i="1"/>
  <c r="BBV84" i="1"/>
  <c r="BBU84" i="1"/>
  <c r="BBT84" i="1"/>
  <c r="BBS84" i="1"/>
  <c r="BBR84" i="1"/>
  <c r="BBQ84" i="1"/>
  <c r="BBP84" i="1"/>
  <c r="BBO84" i="1"/>
  <c r="BBN84" i="1"/>
  <c r="BBM84" i="1"/>
  <c r="BBL84" i="1"/>
  <c r="BBK84" i="1"/>
  <c r="BBJ84" i="1"/>
  <c r="BBI84" i="1"/>
  <c r="BBH84" i="1"/>
  <c r="BBG84" i="1"/>
  <c r="BBF84" i="1"/>
  <c r="BBE84" i="1"/>
  <c r="BBD84" i="1"/>
  <c r="BBC84" i="1"/>
  <c r="BBB84" i="1"/>
  <c r="BBA84" i="1"/>
  <c r="BAZ84" i="1"/>
  <c r="BAY84" i="1"/>
  <c r="BAX84" i="1"/>
  <c r="BAW84" i="1"/>
  <c r="BAV84" i="1"/>
  <c r="BAU84" i="1"/>
  <c r="BAT84" i="1"/>
  <c r="BAS84" i="1"/>
  <c r="BAR84" i="1"/>
  <c r="BAQ84" i="1"/>
  <c r="BAP84" i="1"/>
  <c r="BAO84" i="1"/>
  <c r="BAN84" i="1"/>
  <c r="BAM84" i="1"/>
  <c r="BAL84" i="1"/>
  <c r="BAK84" i="1"/>
  <c r="BAJ84" i="1"/>
  <c r="BAI84" i="1"/>
  <c r="BAH84" i="1"/>
  <c r="BAG84" i="1"/>
  <c r="BAF84" i="1"/>
  <c r="BAE84" i="1"/>
  <c r="BAD84" i="1"/>
  <c r="BAC84" i="1"/>
  <c r="BAB84" i="1"/>
  <c r="BAA84" i="1"/>
  <c r="AZZ84" i="1"/>
  <c r="AZY84" i="1"/>
  <c r="AZX84" i="1"/>
  <c r="AZW84" i="1"/>
  <c r="AZV84" i="1"/>
  <c r="AZU84" i="1"/>
  <c r="AZT84" i="1"/>
  <c r="AZS84" i="1"/>
  <c r="AZR84" i="1"/>
  <c r="AZQ84" i="1"/>
  <c r="AZP84" i="1"/>
  <c r="AZO84" i="1"/>
  <c r="AZN84" i="1"/>
  <c r="AZM84" i="1"/>
  <c r="AZL84" i="1"/>
  <c r="AZK84" i="1"/>
  <c r="AZJ84" i="1"/>
  <c r="AZI84" i="1"/>
  <c r="AZH84" i="1"/>
  <c r="AZG84" i="1"/>
  <c r="AZF84" i="1"/>
  <c r="AZE84" i="1"/>
  <c r="AZD84" i="1"/>
  <c r="AZC84" i="1"/>
  <c r="AZB84" i="1"/>
  <c r="AZA84" i="1"/>
  <c r="AYZ84" i="1"/>
  <c r="AYY84" i="1"/>
  <c r="AYX84" i="1"/>
  <c r="AYW84" i="1"/>
  <c r="AYV84" i="1"/>
  <c r="AYU84" i="1"/>
  <c r="AYT84" i="1"/>
  <c r="AYS84" i="1"/>
  <c r="AYR84" i="1"/>
  <c r="AYQ84" i="1"/>
  <c r="AYP84" i="1"/>
  <c r="AYO84" i="1"/>
  <c r="AYN84" i="1"/>
  <c r="AYM84" i="1"/>
  <c r="AYL84" i="1"/>
  <c r="AYK84" i="1"/>
  <c r="AYJ84" i="1"/>
  <c r="AYI84" i="1"/>
  <c r="AYH84" i="1"/>
  <c r="AYG84" i="1"/>
  <c r="AYF84" i="1"/>
  <c r="AYE84" i="1"/>
  <c r="AYD84" i="1"/>
  <c r="AYC84" i="1"/>
  <c r="AYB84" i="1"/>
  <c r="AYA84" i="1"/>
  <c r="AXZ84" i="1"/>
  <c r="AXY84" i="1"/>
  <c r="AXX84" i="1"/>
  <c r="AXW84" i="1"/>
  <c r="AXV84" i="1"/>
  <c r="AXU84" i="1"/>
  <c r="AXT84" i="1"/>
  <c r="AXS84" i="1"/>
  <c r="AXR84" i="1"/>
  <c r="AXQ84" i="1"/>
  <c r="AXP84" i="1"/>
  <c r="AXO84" i="1"/>
  <c r="AXN84" i="1"/>
  <c r="AXM84" i="1"/>
  <c r="AXL84" i="1"/>
  <c r="AXK84" i="1"/>
  <c r="AXJ84" i="1"/>
  <c r="AXI84" i="1"/>
  <c r="AXH84" i="1"/>
  <c r="AXG84" i="1"/>
  <c r="AXF84" i="1"/>
  <c r="AXE84" i="1"/>
  <c r="AXD84" i="1"/>
  <c r="AXC84" i="1"/>
  <c r="AXB84" i="1"/>
  <c r="AXA84" i="1"/>
  <c r="AWZ84" i="1"/>
  <c r="AWY84" i="1"/>
  <c r="AWX84" i="1"/>
  <c r="AWW84" i="1"/>
  <c r="AWV84" i="1"/>
  <c r="AWU84" i="1"/>
  <c r="AWT84" i="1"/>
  <c r="AWS84" i="1"/>
  <c r="AWR84" i="1"/>
  <c r="AWQ84" i="1"/>
  <c r="AWP84" i="1"/>
  <c r="AWO84" i="1"/>
  <c r="AWN84" i="1"/>
  <c r="AWM84" i="1"/>
  <c r="AWL84" i="1"/>
  <c r="AWK84" i="1"/>
  <c r="AWJ84" i="1"/>
  <c r="AWI84" i="1"/>
  <c r="AWH84" i="1"/>
  <c r="AWG84" i="1"/>
  <c r="AWF84" i="1"/>
  <c r="AWE84" i="1"/>
  <c r="AWD84" i="1"/>
  <c r="AWC84" i="1"/>
  <c r="AWB84" i="1"/>
  <c r="AWA84" i="1"/>
  <c r="AVZ84" i="1"/>
  <c r="AVY84" i="1"/>
  <c r="AVX84" i="1"/>
  <c r="AVW84" i="1"/>
  <c r="AVV84" i="1"/>
  <c r="AVU84" i="1"/>
  <c r="AVT84" i="1"/>
  <c r="AVS84" i="1"/>
  <c r="AVR84" i="1"/>
  <c r="AVQ84" i="1"/>
  <c r="AVP84" i="1"/>
  <c r="AVO84" i="1"/>
  <c r="AVN84" i="1"/>
  <c r="AVM84" i="1"/>
  <c r="AVL84" i="1"/>
  <c r="AVK84" i="1"/>
  <c r="AVJ84" i="1"/>
  <c r="AVI84" i="1"/>
  <c r="AVH84" i="1"/>
  <c r="AVG84" i="1"/>
  <c r="AVF84" i="1"/>
  <c r="AVE84" i="1"/>
  <c r="AVD84" i="1"/>
  <c r="AVC84" i="1"/>
  <c r="AVB84" i="1"/>
  <c r="AVA84" i="1"/>
  <c r="AUZ84" i="1"/>
  <c r="AUY84" i="1"/>
  <c r="AUX84" i="1"/>
  <c r="AUW84" i="1"/>
  <c r="AUV84" i="1"/>
  <c r="AUU84" i="1"/>
  <c r="AUT84" i="1"/>
  <c r="AUS84" i="1"/>
  <c r="AUR84" i="1"/>
  <c r="AUQ84" i="1"/>
  <c r="AUP84" i="1"/>
  <c r="AUO84" i="1"/>
  <c r="AUN84" i="1"/>
  <c r="AUM84" i="1"/>
  <c r="AUL84" i="1"/>
  <c r="AUK84" i="1"/>
  <c r="AUJ84" i="1"/>
  <c r="AUI84" i="1"/>
  <c r="AUH84" i="1"/>
  <c r="AUG84" i="1"/>
  <c r="AUF84" i="1"/>
  <c r="AUE84" i="1"/>
  <c r="AUD84" i="1"/>
  <c r="AUC84" i="1"/>
  <c r="AUB84" i="1"/>
  <c r="AUA84" i="1"/>
  <c r="ATZ84" i="1"/>
  <c r="ATY84" i="1"/>
  <c r="ATX84" i="1"/>
  <c r="ATW84" i="1"/>
  <c r="ATV84" i="1"/>
  <c r="ATU84" i="1"/>
  <c r="ATT84" i="1"/>
  <c r="ATS84" i="1"/>
  <c r="ATR84" i="1"/>
  <c r="ATQ84" i="1"/>
  <c r="ATP84" i="1"/>
  <c r="ATO84" i="1"/>
  <c r="ATN84" i="1"/>
  <c r="ATM84" i="1"/>
  <c r="ATL84" i="1"/>
  <c r="ATK84" i="1"/>
  <c r="ATJ84" i="1"/>
  <c r="ATI84" i="1"/>
  <c r="ATH84" i="1"/>
  <c r="ATG84" i="1"/>
  <c r="ATF84" i="1"/>
  <c r="ATE84" i="1"/>
  <c r="ATD84" i="1"/>
  <c r="ATC84" i="1"/>
  <c r="ATB84" i="1"/>
  <c r="ATA84" i="1"/>
  <c r="ASZ84" i="1"/>
  <c r="ASY84" i="1"/>
  <c r="ASX84" i="1"/>
  <c r="ASW84" i="1"/>
  <c r="ASV84" i="1"/>
  <c r="ASU84" i="1"/>
  <c r="AST84" i="1"/>
  <c r="ASS84" i="1"/>
  <c r="ASR84" i="1"/>
  <c r="ASQ84" i="1"/>
  <c r="ASP84" i="1"/>
  <c r="ASO84" i="1"/>
  <c r="ASN84" i="1"/>
  <c r="ASM84" i="1"/>
  <c r="ASL84" i="1"/>
  <c r="ASK84" i="1"/>
  <c r="ASJ84" i="1"/>
  <c r="ASI84" i="1"/>
  <c r="ASH84" i="1"/>
  <c r="ASG84" i="1"/>
  <c r="ASF84" i="1"/>
  <c r="ASE84" i="1"/>
  <c r="ASD84" i="1"/>
  <c r="ASC84" i="1"/>
  <c r="ASB84" i="1"/>
  <c r="ASA84" i="1"/>
  <c r="ARZ84" i="1"/>
  <c r="ARY84" i="1"/>
  <c r="ARX84" i="1"/>
  <c r="ARW84" i="1"/>
  <c r="ARV84" i="1"/>
  <c r="ARU84" i="1"/>
  <c r="ART84" i="1"/>
  <c r="ARS84" i="1"/>
  <c r="ARR84" i="1"/>
  <c r="ARQ84" i="1"/>
  <c r="ARP84" i="1"/>
  <c r="ARO84" i="1"/>
  <c r="ARN84" i="1"/>
  <c r="ARM84" i="1"/>
  <c r="ARL84" i="1"/>
  <c r="ARK84" i="1"/>
  <c r="ARJ84" i="1"/>
  <c r="ARI84" i="1"/>
  <c r="ARH84" i="1"/>
  <c r="ARG84" i="1"/>
  <c r="ARF84" i="1"/>
  <c r="ARE84" i="1"/>
  <c r="ARD84" i="1"/>
  <c r="ARC84" i="1"/>
  <c r="ARB84" i="1"/>
  <c r="ARA84" i="1"/>
  <c r="AQZ84" i="1"/>
  <c r="AQY84" i="1"/>
  <c r="AQX84" i="1"/>
  <c r="AQW84" i="1"/>
  <c r="AQV84" i="1"/>
  <c r="AQU84" i="1"/>
  <c r="AQT84" i="1"/>
  <c r="AQS84" i="1"/>
  <c r="AQR84" i="1"/>
  <c r="AQQ84" i="1"/>
  <c r="AQP84" i="1"/>
  <c r="AQO84" i="1"/>
  <c r="AQN84" i="1"/>
  <c r="AQM84" i="1"/>
  <c r="AQL84" i="1"/>
  <c r="AQK84" i="1"/>
  <c r="AQJ84" i="1"/>
  <c r="AQI84" i="1"/>
  <c r="AQH84" i="1"/>
  <c r="AQG84" i="1"/>
  <c r="AQF84" i="1"/>
  <c r="AQE84" i="1"/>
  <c r="AQD84" i="1"/>
  <c r="AQC84" i="1"/>
  <c r="AQB84" i="1"/>
  <c r="AQA84" i="1"/>
  <c r="APZ84" i="1"/>
  <c r="APY84" i="1"/>
  <c r="APX84" i="1"/>
  <c r="APW84" i="1"/>
  <c r="APV84" i="1"/>
  <c r="APU84" i="1"/>
  <c r="APT84" i="1"/>
  <c r="APS84" i="1"/>
  <c r="APR84" i="1"/>
  <c r="APQ84" i="1"/>
  <c r="APP84" i="1"/>
  <c r="APO84" i="1"/>
  <c r="APN84" i="1"/>
  <c r="APM84" i="1"/>
  <c r="APL84" i="1"/>
  <c r="APK84" i="1"/>
  <c r="APJ84" i="1"/>
  <c r="API84" i="1"/>
  <c r="APH84" i="1"/>
  <c r="APG84" i="1"/>
  <c r="APF84" i="1"/>
  <c r="APE84" i="1"/>
  <c r="APD84" i="1"/>
  <c r="APC84" i="1"/>
  <c r="APB84" i="1"/>
  <c r="APA84" i="1"/>
  <c r="AOZ84" i="1"/>
  <c r="AOY84" i="1"/>
  <c r="AOX84" i="1"/>
  <c r="AOW84" i="1"/>
  <c r="AOV84" i="1"/>
  <c r="AOU84" i="1"/>
  <c r="AOT84" i="1"/>
  <c r="AOS84" i="1"/>
  <c r="AOR84" i="1"/>
  <c r="AOQ84" i="1"/>
  <c r="AOP84" i="1"/>
  <c r="AOO84" i="1"/>
  <c r="AON84" i="1"/>
  <c r="AOM84" i="1"/>
  <c r="AOL84" i="1"/>
  <c r="AOK84" i="1"/>
  <c r="AOJ84" i="1"/>
  <c r="AOI84" i="1"/>
  <c r="AOH84" i="1"/>
  <c r="AOG84" i="1"/>
  <c r="AOF84" i="1"/>
  <c r="AOE84" i="1"/>
  <c r="AOD84" i="1"/>
  <c r="AOC84" i="1"/>
  <c r="AOB84" i="1"/>
  <c r="AOA84" i="1"/>
  <c r="ANZ84" i="1"/>
  <c r="ANY84" i="1"/>
  <c r="ANX84" i="1"/>
  <c r="ANW84" i="1"/>
  <c r="ANV84" i="1"/>
  <c r="ANU84" i="1"/>
  <c r="ANT84" i="1"/>
  <c r="ANS84" i="1"/>
  <c r="ANR84" i="1"/>
  <c r="ANQ84" i="1"/>
  <c r="ANP84" i="1"/>
  <c r="ANO84" i="1"/>
  <c r="ANN84" i="1"/>
  <c r="ANM84" i="1"/>
  <c r="ANL84" i="1"/>
  <c r="ANK84" i="1"/>
  <c r="ANJ84" i="1"/>
  <c r="ANI84" i="1"/>
  <c r="ANH84" i="1"/>
  <c r="ANG84" i="1"/>
  <c r="ANF84" i="1"/>
  <c r="ANE84" i="1"/>
  <c r="AND84" i="1"/>
  <c r="ANC84" i="1"/>
  <c r="ANB84" i="1"/>
  <c r="ANA84" i="1"/>
  <c r="AMZ84" i="1"/>
  <c r="AMY84" i="1"/>
  <c r="AMX84" i="1"/>
  <c r="AMW84" i="1"/>
  <c r="AMV84" i="1"/>
  <c r="AMU84" i="1"/>
  <c r="AMT84" i="1"/>
  <c r="AMS84" i="1"/>
  <c r="AMR84" i="1"/>
  <c r="AMQ84" i="1"/>
  <c r="AMP84" i="1"/>
  <c r="AMO84" i="1"/>
  <c r="AMN84" i="1"/>
  <c r="AMM84" i="1"/>
  <c r="AML84" i="1"/>
  <c r="AMK84" i="1"/>
  <c r="AMJ84" i="1"/>
  <c r="AMI84" i="1"/>
  <c r="AMH84" i="1"/>
  <c r="AMG84" i="1"/>
  <c r="AMF84" i="1"/>
  <c r="AME84" i="1"/>
  <c r="AMD84" i="1"/>
  <c r="AMC84" i="1"/>
  <c r="AMB84" i="1"/>
  <c r="AMA84" i="1"/>
  <c r="ALZ84" i="1"/>
  <c r="ALY84" i="1"/>
  <c r="ALX84" i="1"/>
  <c r="ALW84" i="1"/>
  <c r="ALV84" i="1"/>
  <c r="ALU84" i="1"/>
  <c r="ALT84" i="1"/>
  <c r="ALS84" i="1"/>
  <c r="ALR84" i="1"/>
  <c r="ALQ84" i="1"/>
  <c r="ALP84" i="1"/>
  <c r="ALO84" i="1"/>
  <c r="ALN84" i="1"/>
  <c r="ALM84" i="1"/>
  <c r="ALL84" i="1"/>
  <c r="ALK84" i="1"/>
  <c r="ALJ84" i="1"/>
  <c r="ALI84" i="1"/>
  <c r="ALH84" i="1"/>
  <c r="ALG84" i="1"/>
  <c r="ALF84" i="1"/>
  <c r="ALE84" i="1"/>
  <c r="ALD84" i="1"/>
  <c r="ALC84" i="1"/>
  <c r="ALB84" i="1"/>
  <c r="ALA84" i="1"/>
  <c r="AKZ84" i="1"/>
  <c r="AKY84" i="1"/>
  <c r="AKX84" i="1"/>
  <c r="AKW84" i="1"/>
  <c r="AKV84" i="1"/>
  <c r="AKU84" i="1"/>
  <c r="AKT84" i="1"/>
  <c r="AKS84" i="1"/>
  <c r="AKR84" i="1"/>
  <c r="AKQ84" i="1"/>
  <c r="AKP84" i="1"/>
  <c r="AKO84" i="1"/>
  <c r="AKN84" i="1"/>
  <c r="AKM84" i="1"/>
  <c r="AKL84" i="1"/>
  <c r="AKK84" i="1"/>
  <c r="AKJ84" i="1"/>
  <c r="AKI84" i="1"/>
  <c r="AKH84" i="1"/>
  <c r="AKG84" i="1"/>
  <c r="AKF84" i="1"/>
  <c r="AKE84" i="1"/>
  <c r="AKD84" i="1"/>
  <c r="AKC84" i="1"/>
  <c r="AKB84" i="1"/>
  <c r="AKA84" i="1"/>
  <c r="AJZ84" i="1"/>
  <c r="AJY84" i="1"/>
  <c r="AJX84" i="1"/>
  <c r="AJW84" i="1"/>
  <c r="AJV84" i="1"/>
  <c r="AJU84" i="1"/>
  <c r="AJT84" i="1"/>
  <c r="AJS84" i="1"/>
  <c r="AJR84" i="1"/>
  <c r="AJQ84" i="1"/>
  <c r="AJP84" i="1"/>
  <c r="AJO84" i="1"/>
  <c r="AJN84" i="1"/>
  <c r="AJM84" i="1"/>
  <c r="AJL84" i="1"/>
  <c r="AJK84" i="1"/>
  <c r="AJJ84" i="1"/>
  <c r="AJI84" i="1"/>
  <c r="AJH84" i="1"/>
  <c r="AJG84" i="1"/>
  <c r="AJF84" i="1"/>
  <c r="AJE84" i="1"/>
  <c r="AJD84" i="1"/>
  <c r="AJC84" i="1"/>
  <c r="AJB84" i="1"/>
  <c r="AJA84" i="1"/>
  <c r="AIZ84" i="1"/>
  <c r="AIY84" i="1"/>
  <c r="AIX84" i="1"/>
  <c r="AIW84" i="1"/>
  <c r="AIV84" i="1"/>
  <c r="AIU84" i="1"/>
  <c r="AIT84" i="1"/>
  <c r="AIS84" i="1"/>
  <c r="AIR84" i="1"/>
  <c r="AIQ84" i="1"/>
  <c r="AIP84" i="1"/>
  <c r="AIO84" i="1"/>
  <c r="AIN84" i="1"/>
  <c r="AIM84" i="1"/>
  <c r="AIL84" i="1"/>
  <c r="AIK84" i="1"/>
  <c r="AIJ84" i="1"/>
  <c r="AII84" i="1"/>
  <c r="AIH84" i="1"/>
  <c r="AIG84" i="1"/>
  <c r="AIF84" i="1"/>
  <c r="AIE84" i="1"/>
  <c r="AID84" i="1"/>
  <c r="AIC84" i="1"/>
  <c r="AIB84" i="1"/>
  <c r="AIA84" i="1"/>
  <c r="AHZ84" i="1"/>
  <c r="AHY84" i="1"/>
  <c r="AHX84" i="1"/>
  <c r="AHW84" i="1"/>
  <c r="AHV84" i="1"/>
  <c r="AHU84" i="1"/>
  <c r="AHT84" i="1"/>
  <c r="AHS84" i="1"/>
  <c r="AHR84" i="1"/>
  <c r="AHQ84" i="1"/>
  <c r="AHP84" i="1"/>
  <c r="AHO84" i="1"/>
  <c r="AHN84" i="1"/>
  <c r="AHM84" i="1"/>
  <c r="AHL84" i="1"/>
  <c r="AHK84" i="1"/>
  <c r="AHJ84" i="1"/>
  <c r="AHI84" i="1"/>
  <c r="AHH84" i="1"/>
  <c r="AHG84" i="1"/>
  <c r="AHF84" i="1"/>
  <c r="AHE84" i="1"/>
  <c r="AHD84" i="1"/>
  <c r="AHC84" i="1"/>
  <c r="AHB84" i="1"/>
  <c r="AHA84" i="1"/>
  <c r="AGZ84" i="1"/>
  <c r="AGY84" i="1"/>
  <c r="AGX84" i="1"/>
  <c r="AGW84" i="1"/>
  <c r="AGV84" i="1"/>
  <c r="AGU84" i="1"/>
  <c r="AGT84" i="1"/>
  <c r="AGS84" i="1"/>
  <c r="AGR84" i="1"/>
  <c r="AGQ84" i="1"/>
  <c r="AGP84" i="1"/>
  <c r="AGO84" i="1"/>
  <c r="AGN84" i="1"/>
  <c r="AGM84" i="1"/>
  <c r="AGL84" i="1"/>
  <c r="AGK84" i="1"/>
  <c r="AGJ84" i="1"/>
  <c r="AGI84" i="1"/>
  <c r="AGH84" i="1"/>
  <c r="AGG84" i="1"/>
  <c r="AGF84" i="1"/>
  <c r="AGE84" i="1"/>
  <c r="AGD84" i="1"/>
  <c r="AGC84" i="1"/>
  <c r="AGB84" i="1"/>
  <c r="AGA84" i="1"/>
  <c r="AFZ84" i="1"/>
  <c r="AFY84" i="1"/>
  <c r="AFX84" i="1"/>
  <c r="AFW84" i="1"/>
  <c r="AFV84" i="1"/>
  <c r="AFU84" i="1"/>
  <c r="AFT84" i="1"/>
  <c r="AFS84" i="1"/>
  <c r="AFR84" i="1"/>
  <c r="AFQ84" i="1"/>
  <c r="AFP84" i="1"/>
  <c r="AFO84" i="1"/>
  <c r="AFN84" i="1"/>
  <c r="AFM84" i="1"/>
  <c r="AFL84" i="1"/>
  <c r="AFK84" i="1"/>
  <c r="AFJ84" i="1"/>
  <c r="AFI84" i="1"/>
  <c r="AFH84" i="1"/>
  <c r="AFG84" i="1"/>
  <c r="AFF84" i="1"/>
  <c r="AFE84" i="1"/>
  <c r="AFD84" i="1"/>
  <c r="AFC84" i="1"/>
  <c r="AFB84" i="1"/>
  <c r="AFA84" i="1"/>
  <c r="AEZ84" i="1"/>
  <c r="AEY84" i="1"/>
  <c r="AEX84" i="1"/>
  <c r="AEW84" i="1"/>
  <c r="AEV84" i="1"/>
  <c r="AEU84" i="1"/>
  <c r="AET84" i="1"/>
  <c r="AES84" i="1"/>
  <c r="AER84" i="1"/>
  <c r="AEQ84" i="1"/>
  <c r="AEP84" i="1"/>
  <c r="AEO84" i="1"/>
  <c r="AEN84" i="1"/>
  <c r="AEM84" i="1"/>
  <c r="AEL84" i="1"/>
  <c r="AEK84" i="1"/>
  <c r="AEJ84" i="1"/>
  <c r="AEI84" i="1"/>
  <c r="AEH84" i="1"/>
  <c r="AEG84" i="1"/>
  <c r="AEF84" i="1"/>
  <c r="AEE84" i="1"/>
  <c r="AED84" i="1"/>
  <c r="AEC84" i="1"/>
  <c r="AEB84" i="1"/>
  <c r="AEA84" i="1"/>
  <c r="ADZ84" i="1"/>
  <c r="ADY84" i="1"/>
  <c r="ADX84" i="1"/>
  <c r="ADW84" i="1"/>
  <c r="ADV84" i="1"/>
  <c r="ADU84" i="1"/>
  <c r="ADT84" i="1"/>
  <c r="ADS84" i="1"/>
  <c r="ADR84" i="1"/>
  <c r="ADQ84" i="1"/>
  <c r="ADP84" i="1"/>
  <c r="ADO84" i="1"/>
  <c r="ADN84" i="1"/>
  <c r="ADM84" i="1"/>
  <c r="ADL84" i="1"/>
  <c r="ADK84" i="1"/>
  <c r="ADJ84" i="1"/>
  <c r="ADI84" i="1"/>
  <c r="ADH84" i="1"/>
  <c r="ADG84" i="1"/>
  <c r="ADF84" i="1"/>
  <c r="ADE84" i="1"/>
  <c r="ADD84" i="1"/>
  <c r="ADC84" i="1"/>
  <c r="ADB84" i="1"/>
  <c r="ADA84" i="1"/>
  <c r="ACZ84" i="1"/>
  <c r="ACY84" i="1"/>
  <c r="ACX84" i="1"/>
  <c r="ACW84" i="1"/>
  <c r="ACV84" i="1"/>
  <c r="ACU84" i="1"/>
  <c r="ACT84" i="1"/>
  <c r="ACS84" i="1"/>
  <c r="ACR84" i="1"/>
  <c r="ACQ84" i="1"/>
  <c r="ACP84" i="1"/>
  <c r="ACO84" i="1"/>
  <c r="ACN84" i="1"/>
  <c r="ACM84" i="1"/>
  <c r="ACL84" i="1"/>
  <c r="ACK84" i="1"/>
  <c r="ACJ84" i="1"/>
  <c r="ACI84" i="1"/>
  <c r="ACH84" i="1"/>
  <c r="ACG84" i="1"/>
  <c r="ACF84" i="1"/>
  <c r="ACE84" i="1"/>
  <c r="ACD84" i="1"/>
  <c r="ACC84" i="1"/>
  <c r="ACB84" i="1"/>
  <c r="ACA84" i="1"/>
  <c r="ABZ84" i="1"/>
  <c r="ABY84" i="1"/>
  <c r="ABX84" i="1"/>
  <c r="ABW84" i="1"/>
  <c r="ABV84" i="1"/>
  <c r="ABU84" i="1"/>
  <c r="ABT84" i="1"/>
  <c r="ABS84" i="1"/>
  <c r="ABR84" i="1"/>
  <c r="ABQ84" i="1"/>
  <c r="ABP84" i="1"/>
  <c r="ABO84" i="1"/>
  <c r="ABN84" i="1"/>
  <c r="ABM84" i="1"/>
  <c r="ABL84" i="1"/>
  <c r="ABK84" i="1"/>
  <c r="ABJ84" i="1"/>
  <c r="ABI84" i="1"/>
  <c r="ABH84" i="1"/>
  <c r="ABG84" i="1"/>
  <c r="ABF84" i="1"/>
  <c r="ABE84" i="1"/>
  <c r="ABD84" i="1"/>
  <c r="ABC84" i="1"/>
  <c r="ABB84" i="1"/>
  <c r="ABA84" i="1"/>
  <c r="AAZ84" i="1"/>
  <c r="AAY84" i="1"/>
  <c r="AAX84" i="1"/>
  <c r="AAW84" i="1"/>
  <c r="AAV84" i="1"/>
  <c r="AAU84" i="1"/>
  <c r="AAT84" i="1"/>
  <c r="AAS84" i="1"/>
  <c r="AAR84" i="1"/>
  <c r="AAQ84" i="1"/>
  <c r="AAP84" i="1"/>
  <c r="AAO84" i="1"/>
  <c r="AAN84" i="1"/>
  <c r="AAM84" i="1"/>
  <c r="AAL84" i="1"/>
  <c r="AAK84" i="1"/>
  <c r="AAJ84" i="1"/>
  <c r="AAI84" i="1"/>
  <c r="AAH84" i="1"/>
  <c r="AAG84" i="1"/>
  <c r="AAF84" i="1"/>
  <c r="AAE84" i="1"/>
  <c r="AAD84" i="1"/>
  <c r="AAC84" i="1"/>
  <c r="AAB84" i="1"/>
  <c r="AAA84" i="1"/>
  <c r="ZZ84" i="1"/>
  <c r="ZY84" i="1"/>
  <c r="ZX84" i="1"/>
  <c r="ZW84" i="1"/>
  <c r="ZV84" i="1"/>
  <c r="ZU84" i="1"/>
  <c r="ZT84" i="1"/>
  <c r="ZS84" i="1"/>
  <c r="ZR84" i="1"/>
  <c r="ZQ84" i="1"/>
  <c r="ZP84" i="1"/>
  <c r="ZO84" i="1"/>
  <c r="ZN84" i="1"/>
  <c r="ZM84" i="1"/>
  <c r="ZL84" i="1"/>
  <c r="ZK84" i="1"/>
  <c r="ZJ84" i="1"/>
  <c r="ZI84" i="1"/>
  <c r="ZH84" i="1"/>
  <c r="ZG84" i="1"/>
  <c r="ZF84" i="1"/>
  <c r="ZE84" i="1"/>
  <c r="ZD84" i="1"/>
  <c r="ZC84" i="1"/>
  <c r="ZB84" i="1"/>
  <c r="ZA84" i="1"/>
  <c r="YZ84" i="1"/>
  <c r="YY84" i="1"/>
  <c r="YX84" i="1"/>
  <c r="YW84" i="1"/>
  <c r="YV84" i="1"/>
  <c r="YU84" i="1"/>
  <c r="YT84" i="1"/>
  <c r="YS84" i="1"/>
  <c r="YR84" i="1"/>
  <c r="YQ84" i="1"/>
  <c r="YP84" i="1"/>
  <c r="YO84" i="1"/>
  <c r="YN84" i="1"/>
  <c r="YM84" i="1"/>
  <c r="YL84" i="1"/>
  <c r="YK84" i="1"/>
  <c r="YJ84" i="1"/>
  <c r="YI84" i="1"/>
  <c r="YH84" i="1"/>
  <c r="YG84" i="1"/>
  <c r="YF84" i="1"/>
  <c r="YE84" i="1"/>
  <c r="YD84" i="1"/>
  <c r="YC84" i="1"/>
  <c r="YB84" i="1"/>
  <c r="YA84" i="1"/>
  <c r="XZ84" i="1"/>
  <c r="XY84" i="1"/>
  <c r="XX84" i="1"/>
  <c r="XW84" i="1"/>
  <c r="XV84" i="1"/>
  <c r="XU84" i="1"/>
  <c r="XT84" i="1"/>
  <c r="XS84" i="1"/>
  <c r="XR84" i="1"/>
  <c r="XQ84" i="1"/>
  <c r="XP84" i="1"/>
  <c r="XO84" i="1"/>
  <c r="XN84" i="1"/>
  <c r="XM84" i="1"/>
  <c r="XL84" i="1"/>
  <c r="XK84" i="1"/>
  <c r="XJ84" i="1"/>
  <c r="XI84" i="1"/>
  <c r="XH84" i="1"/>
  <c r="XG84" i="1"/>
  <c r="XF84" i="1"/>
  <c r="XE84" i="1"/>
  <c r="XD84" i="1"/>
  <c r="XC84" i="1"/>
  <c r="XB84" i="1"/>
  <c r="XA84" i="1"/>
  <c r="WZ84" i="1"/>
  <c r="WY84" i="1"/>
  <c r="WX84" i="1"/>
  <c r="WW84" i="1"/>
  <c r="WV84" i="1"/>
  <c r="WU84" i="1"/>
  <c r="WT84" i="1"/>
  <c r="WS84" i="1"/>
  <c r="WR84" i="1"/>
  <c r="WQ84" i="1"/>
  <c r="WP84" i="1"/>
  <c r="WO84" i="1"/>
  <c r="WN84" i="1"/>
  <c r="WM84" i="1"/>
  <c r="WL84" i="1"/>
  <c r="WK84" i="1"/>
  <c r="WJ84" i="1"/>
  <c r="WI84" i="1"/>
  <c r="WH84" i="1"/>
  <c r="WG84" i="1"/>
  <c r="WF84" i="1"/>
  <c r="WE84" i="1"/>
  <c r="WD84" i="1"/>
  <c r="WC84" i="1"/>
  <c r="WB84" i="1"/>
  <c r="WA84" i="1"/>
  <c r="VZ84" i="1"/>
  <c r="VY84" i="1"/>
  <c r="VX84" i="1"/>
  <c r="VW84" i="1"/>
  <c r="VV84" i="1"/>
  <c r="VU84" i="1"/>
  <c r="VT84" i="1"/>
  <c r="VS84" i="1"/>
  <c r="VR84" i="1"/>
  <c r="VQ84" i="1"/>
  <c r="VP84" i="1"/>
  <c r="VO84" i="1"/>
  <c r="VN84" i="1"/>
  <c r="VM84" i="1"/>
  <c r="VL84" i="1"/>
  <c r="VK84" i="1"/>
  <c r="VJ84" i="1"/>
  <c r="VI84" i="1"/>
  <c r="VH84" i="1"/>
  <c r="VG84" i="1"/>
  <c r="VF84" i="1"/>
  <c r="VE84" i="1"/>
  <c r="VD84" i="1"/>
  <c r="VC84" i="1"/>
  <c r="VB84" i="1"/>
  <c r="VA84" i="1"/>
  <c r="UZ84" i="1"/>
  <c r="UY84" i="1"/>
  <c r="UX84" i="1"/>
  <c r="UW84" i="1"/>
  <c r="UV84" i="1"/>
  <c r="UU84" i="1"/>
  <c r="UT84" i="1"/>
  <c r="US84" i="1"/>
  <c r="UR84" i="1"/>
  <c r="UQ84" i="1"/>
  <c r="UP84" i="1"/>
  <c r="UO84" i="1"/>
  <c r="UN84" i="1"/>
  <c r="UM84" i="1"/>
  <c r="UL84" i="1"/>
  <c r="UK84" i="1"/>
  <c r="UJ84" i="1"/>
  <c r="UI84" i="1"/>
  <c r="UH84" i="1"/>
  <c r="UG84" i="1"/>
  <c r="UF84" i="1"/>
  <c r="UE84" i="1"/>
  <c r="UD84" i="1"/>
  <c r="UC84" i="1"/>
  <c r="UB84" i="1"/>
  <c r="UA84" i="1"/>
  <c r="TZ84" i="1"/>
  <c r="TY84" i="1"/>
  <c r="TX84" i="1"/>
  <c r="TW84" i="1"/>
  <c r="TV84" i="1"/>
  <c r="TU84" i="1"/>
  <c r="TT84" i="1"/>
  <c r="TS84" i="1"/>
  <c r="TR84" i="1"/>
  <c r="TQ84" i="1"/>
  <c r="TP84" i="1"/>
  <c r="TO84" i="1"/>
  <c r="TN84" i="1"/>
  <c r="TM84" i="1"/>
  <c r="TL84" i="1"/>
  <c r="TK84" i="1"/>
  <c r="TJ84" i="1"/>
  <c r="TI84" i="1"/>
  <c r="TH84" i="1"/>
  <c r="TG84" i="1"/>
  <c r="TF84" i="1"/>
  <c r="TE84" i="1"/>
  <c r="TD84" i="1"/>
  <c r="TC84" i="1"/>
  <c r="TB84" i="1"/>
  <c r="TA84" i="1"/>
  <c r="SZ84" i="1"/>
  <c r="SY84" i="1"/>
  <c r="SX84" i="1"/>
  <c r="SW84" i="1"/>
  <c r="SV84" i="1"/>
  <c r="SU84" i="1"/>
  <c r="ST84" i="1"/>
  <c r="SS84" i="1"/>
  <c r="SR84" i="1"/>
  <c r="SQ84" i="1"/>
  <c r="SP84" i="1"/>
  <c r="SO84" i="1"/>
  <c r="SN84" i="1"/>
  <c r="SM84" i="1"/>
  <c r="SL84" i="1"/>
  <c r="SK84" i="1"/>
  <c r="SJ84" i="1"/>
  <c r="SI84" i="1"/>
  <c r="SH84" i="1"/>
  <c r="SG84" i="1"/>
  <c r="SF84" i="1"/>
  <c r="SE84" i="1"/>
  <c r="SD84" i="1"/>
  <c r="SC84" i="1"/>
  <c r="SB84" i="1"/>
  <c r="SA84" i="1"/>
  <c r="RZ84" i="1"/>
  <c r="RY84" i="1"/>
  <c r="RX84" i="1"/>
  <c r="RW84" i="1"/>
  <c r="RV84" i="1"/>
  <c r="RU84" i="1"/>
  <c r="RT84" i="1"/>
  <c r="RS84" i="1"/>
  <c r="RR84" i="1"/>
  <c r="RQ84" i="1"/>
  <c r="RP84" i="1"/>
  <c r="RO84" i="1"/>
  <c r="RN84" i="1"/>
  <c r="RM84" i="1"/>
  <c r="RL84" i="1"/>
  <c r="RK84" i="1"/>
  <c r="RJ84" i="1"/>
  <c r="RI84" i="1"/>
  <c r="RH84" i="1"/>
  <c r="RG84" i="1"/>
  <c r="RF84" i="1"/>
  <c r="RE84" i="1"/>
  <c r="RD84" i="1"/>
  <c r="RC84" i="1"/>
  <c r="RB84" i="1"/>
  <c r="RA84" i="1"/>
  <c r="QZ84" i="1"/>
  <c r="QY84" i="1"/>
  <c r="QX84" i="1"/>
  <c r="QW84" i="1"/>
  <c r="QV84" i="1"/>
  <c r="QU84" i="1"/>
  <c r="QT84" i="1"/>
  <c r="QS84" i="1"/>
  <c r="QR84" i="1"/>
  <c r="QQ84" i="1"/>
  <c r="QP84" i="1"/>
  <c r="QO84" i="1"/>
  <c r="QN84" i="1"/>
  <c r="QM84" i="1"/>
  <c r="QL84" i="1"/>
  <c r="QK84" i="1"/>
  <c r="QJ84" i="1"/>
  <c r="QI84" i="1"/>
  <c r="QH84" i="1"/>
  <c r="QG84" i="1"/>
  <c r="QF84" i="1"/>
  <c r="QE84" i="1"/>
  <c r="QD84" i="1"/>
  <c r="QC84" i="1"/>
  <c r="QB84" i="1"/>
  <c r="QA84" i="1"/>
  <c r="PZ84" i="1"/>
  <c r="PY84" i="1"/>
  <c r="PX84" i="1"/>
  <c r="PW84" i="1"/>
  <c r="PV84" i="1"/>
  <c r="PU84" i="1"/>
  <c r="PT84" i="1"/>
  <c r="PS84" i="1"/>
  <c r="PR84" i="1"/>
  <c r="PQ84" i="1"/>
  <c r="PP84" i="1"/>
  <c r="PO84" i="1"/>
  <c r="PN84" i="1"/>
  <c r="PM84" i="1"/>
  <c r="PL84" i="1"/>
  <c r="PK84" i="1"/>
  <c r="PJ84" i="1"/>
  <c r="PI84" i="1"/>
  <c r="PH84" i="1"/>
  <c r="PG84" i="1"/>
  <c r="PF84" i="1"/>
  <c r="PE84" i="1"/>
  <c r="PD84" i="1"/>
  <c r="PC84" i="1"/>
  <c r="PB84" i="1"/>
  <c r="PA84" i="1"/>
  <c r="OZ84" i="1"/>
  <c r="OY84" i="1"/>
  <c r="OX84" i="1"/>
  <c r="OW84" i="1"/>
  <c r="OV84" i="1"/>
  <c r="OU84" i="1"/>
  <c r="OT84" i="1"/>
  <c r="OS84" i="1"/>
  <c r="OR84" i="1"/>
  <c r="OQ84" i="1"/>
  <c r="OP84" i="1"/>
  <c r="OO84" i="1"/>
  <c r="ON84" i="1"/>
  <c r="OM84" i="1"/>
  <c r="OL84" i="1"/>
  <c r="OK84" i="1"/>
  <c r="OJ84" i="1"/>
  <c r="OI84" i="1"/>
  <c r="OH84" i="1"/>
  <c r="OG84" i="1"/>
  <c r="OF84" i="1"/>
  <c r="OE84" i="1"/>
  <c r="OD84" i="1"/>
  <c r="OC84" i="1"/>
  <c r="OB84" i="1"/>
  <c r="OA84" i="1"/>
  <c r="NZ84" i="1"/>
  <c r="NY84" i="1"/>
  <c r="NX84" i="1"/>
  <c r="NW84" i="1"/>
  <c r="NV84" i="1"/>
  <c r="NU84" i="1"/>
  <c r="NT84" i="1"/>
  <c r="NS84" i="1"/>
  <c r="NR84" i="1"/>
  <c r="NQ84" i="1"/>
  <c r="NP84" i="1"/>
  <c r="NO84" i="1"/>
  <c r="NN84" i="1"/>
  <c r="NM84" i="1"/>
  <c r="NL84" i="1"/>
  <c r="NK84" i="1"/>
  <c r="NJ84" i="1"/>
  <c r="NI84" i="1"/>
  <c r="NH84" i="1"/>
  <c r="NG84" i="1"/>
  <c r="NF84" i="1"/>
  <c r="NE84" i="1"/>
  <c r="ND84" i="1"/>
  <c r="NC84" i="1"/>
  <c r="NB84" i="1"/>
  <c r="NA84" i="1"/>
  <c r="MZ84" i="1"/>
  <c r="MY84" i="1"/>
  <c r="MX84" i="1"/>
  <c r="MW84" i="1"/>
  <c r="MV84" i="1"/>
  <c r="MU84" i="1"/>
  <c r="MT84" i="1"/>
  <c r="MS84" i="1"/>
  <c r="MR84" i="1"/>
  <c r="MQ84" i="1"/>
  <c r="MP84" i="1"/>
  <c r="MO84" i="1"/>
  <c r="MN84" i="1"/>
  <c r="MM84" i="1"/>
  <c r="ML84" i="1"/>
  <c r="MK84" i="1"/>
  <c r="MJ84" i="1"/>
  <c r="MI84" i="1"/>
  <c r="MH84" i="1"/>
  <c r="MG84" i="1"/>
  <c r="MF84" i="1"/>
  <c r="ME84" i="1"/>
  <c r="MD84" i="1"/>
  <c r="MC84" i="1"/>
  <c r="MB84" i="1"/>
  <c r="MA84" i="1"/>
  <c r="LZ84" i="1"/>
  <c r="LY84" i="1"/>
  <c r="LX84" i="1"/>
  <c r="LW84" i="1"/>
  <c r="LV84" i="1"/>
  <c r="LU84" i="1"/>
  <c r="LT84" i="1"/>
  <c r="LS84" i="1"/>
  <c r="LR84" i="1"/>
  <c r="LQ84" i="1"/>
  <c r="LP84" i="1"/>
  <c r="LO84" i="1"/>
  <c r="LN84" i="1"/>
  <c r="LM84" i="1"/>
  <c r="LL84" i="1"/>
  <c r="LK84" i="1"/>
  <c r="LJ84" i="1"/>
  <c r="LI84" i="1"/>
  <c r="LH84" i="1"/>
  <c r="LG84" i="1"/>
  <c r="LF84" i="1"/>
  <c r="LE84" i="1"/>
  <c r="LD84" i="1"/>
  <c r="LC84" i="1"/>
  <c r="LB84" i="1"/>
  <c r="LA84" i="1"/>
  <c r="KZ84" i="1"/>
  <c r="KY84" i="1"/>
  <c r="KX84" i="1"/>
  <c r="KW84" i="1"/>
  <c r="KV84" i="1"/>
  <c r="KU84" i="1"/>
  <c r="KT84" i="1"/>
  <c r="KS84" i="1"/>
  <c r="KR84" i="1"/>
  <c r="KQ84" i="1"/>
  <c r="KP84" i="1"/>
  <c r="KO84" i="1"/>
  <c r="KN84" i="1"/>
  <c r="KM84" i="1"/>
  <c r="KL84" i="1"/>
  <c r="KK84" i="1"/>
  <c r="KJ84" i="1"/>
  <c r="KI84" i="1"/>
  <c r="KH84" i="1"/>
  <c r="KG84" i="1"/>
  <c r="KF84" i="1"/>
  <c r="KE84" i="1"/>
  <c r="KD84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BH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KGT83" i="1"/>
  <c r="KGS83" i="1"/>
  <c r="KGR83" i="1"/>
  <c r="KGQ83" i="1"/>
  <c r="KGP83" i="1"/>
  <c r="KGO83" i="1"/>
  <c r="KGN83" i="1"/>
  <c r="KGM83" i="1"/>
  <c r="KGL83" i="1"/>
  <c r="KGK83" i="1"/>
  <c r="KGJ83" i="1"/>
  <c r="KGI83" i="1"/>
  <c r="KGH83" i="1"/>
  <c r="KGG83" i="1"/>
  <c r="KGF83" i="1"/>
  <c r="KGE83" i="1"/>
  <c r="KGD83" i="1"/>
  <c r="KGC83" i="1"/>
  <c r="KGB83" i="1"/>
  <c r="KGA83" i="1"/>
  <c r="KFZ83" i="1"/>
  <c r="KFY83" i="1"/>
  <c r="KFX83" i="1"/>
  <c r="KFW83" i="1"/>
  <c r="KFV83" i="1"/>
  <c r="KFU83" i="1"/>
  <c r="KFT83" i="1"/>
  <c r="KFS83" i="1"/>
  <c r="KFR83" i="1"/>
  <c r="KFQ83" i="1"/>
  <c r="KFP83" i="1"/>
  <c r="KFO83" i="1"/>
  <c r="KFN83" i="1"/>
  <c r="KFM83" i="1"/>
  <c r="KFL83" i="1"/>
  <c r="KFK83" i="1"/>
  <c r="KFJ83" i="1"/>
  <c r="KFI83" i="1"/>
  <c r="KFH83" i="1"/>
  <c r="KFG83" i="1"/>
  <c r="KFF83" i="1"/>
  <c r="KFE83" i="1"/>
  <c r="KFD83" i="1"/>
  <c r="KFC83" i="1"/>
  <c r="KFB83" i="1"/>
  <c r="KFA83" i="1"/>
  <c r="KEZ83" i="1"/>
  <c r="KEY83" i="1"/>
  <c r="KEX83" i="1"/>
  <c r="KEW83" i="1"/>
  <c r="KEV83" i="1"/>
  <c r="KEU83" i="1"/>
  <c r="KET83" i="1"/>
  <c r="KES83" i="1"/>
  <c r="KER83" i="1"/>
  <c r="KEQ83" i="1"/>
  <c r="KEP83" i="1"/>
  <c r="KEO83" i="1"/>
  <c r="KEN83" i="1"/>
  <c r="KEM83" i="1"/>
  <c r="KEL83" i="1"/>
  <c r="KEK83" i="1"/>
  <c r="KEJ83" i="1"/>
  <c r="KEI83" i="1"/>
  <c r="KEH83" i="1"/>
  <c r="KEG83" i="1"/>
  <c r="KEF83" i="1"/>
  <c r="KEE83" i="1"/>
  <c r="KED83" i="1"/>
  <c r="KEC83" i="1"/>
  <c r="KEB83" i="1"/>
  <c r="KEA83" i="1"/>
  <c r="KDZ83" i="1"/>
  <c r="KDY83" i="1"/>
  <c r="KDX83" i="1"/>
  <c r="KDW83" i="1"/>
  <c r="KDV83" i="1"/>
  <c r="KDU83" i="1"/>
  <c r="KDT83" i="1"/>
  <c r="KDS83" i="1"/>
  <c r="KDR83" i="1"/>
  <c r="KDQ83" i="1"/>
  <c r="KDP83" i="1"/>
  <c r="KDO83" i="1"/>
  <c r="KDN83" i="1"/>
  <c r="KDM83" i="1"/>
  <c r="KDL83" i="1"/>
  <c r="KDK83" i="1"/>
  <c r="KDJ83" i="1"/>
  <c r="KDI83" i="1"/>
  <c r="KDH83" i="1"/>
  <c r="KDG83" i="1"/>
  <c r="KDF83" i="1"/>
  <c r="KDE83" i="1"/>
  <c r="KDD83" i="1"/>
  <c r="KDC83" i="1"/>
  <c r="KDB83" i="1"/>
  <c r="KDA83" i="1"/>
  <c r="KCZ83" i="1"/>
  <c r="KCY83" i="1"/>
  <c r="KCX83" i="1"/>
  <c r="KCW83" i="1"/>
  <c r="KCV83" i="1"/>
  <c r="KCU83" i="1"/>
  <c r="KCT83" i="1"/>
  <c r="KCS83" i="1"/>
  <c r="KCR83" i="1"/>
  <c r="KCQ83" i="1"/>
  <c r="KCP83" i="1"/>
  <c r="KCO83" i="1"/>
  <c r="KCN83" i="1"/>
  <c r="KCM83" i="1"/>
  <c r="KCL83" i="1"/>
  <c r="KCK83" i="1"/>
  <c r="KCJ83" i="1"/>
  <c r="KCI83" i="1"/>
  <c r="KCH83" i="1"/>
  <c r="KCG83" i="1"/>
  <c r="KCF83" i="1"/>
  <c r="KCE83" i="1"/>
  <c r="KCD83" i="1"/>
  <c r="KCC83" i="1"/>
  <c r="KCB83" i="1"/>
  <c r="KCA83" i="1"/>
  <c r="KBZ83" i="1"/>
  <c r="KBY83" i="1"/>
  <c r="KBX83" i="1"/>
  <c r="KBW83" i="1"/>
  <c r="KBV83" i="1"/>
  <c r="KBU83" i="1"/>
  <c r="KBT83" i="1"/>
  <c r="KBS83" i="1"/>
  <c r="KBR83" i="1"/>
  <c r="KBQ83" i="1"/>
  <c r="KBP83" i="1"/>
  <c r="KBO83" i="1"/>
  <c r="KBN83" i="1"/>
  <c r="KBM83" i="1"/>
  <c r="KBL83" i="1"/>
  <c r="KBK83" i="1"/>
  <c r="KBJ83" i="1"/>
  <c r="KBI83" i="1"/>
  <c r="KBH83" i="1"/>
  <c r="KBG83" i="1"/>
  <c r="KBF83" i="1"/>
  <c r="KBE83" i="1"/>
  <c r="KBD83" i="1"/>
  <c r="KBC83" i="1"/>
  <c r="KBB83" i="1"/>
  <c r="KBA83" i="1"/>
  <c r="KAZ83" i="1"/>
  <c r="KAY83" i="1"/>
  <c r="KAX83" i="1"/>
  <c r="KAW83" i="1"/>
  <c r="KAV83" i="1"/>
  <c r="KAU83" i="1"/>
  <c r="KAT83" i="1"/>
  <c r="KAS83" i="1"/>
  <c r="KAR83" i="1"/>
  <c r="KAQ83" i="1"/>
  <c r="KAP83" i="1"/>
  <c r="KAO83" i="1"/>
  <c r="KAN83" i="1"/>
  <c r="KAM83" i="1"/>
  <c r="KAL83" i="1"/>
  <c r="KAK83" i="1"/>
  <c r="KAJ83" i="1"/>
  <c r="KAI83" i="1"/>
  <c r="KAH83" i="1"/>
  <c r="KAG83" i="1"/>
  <c r="KAF83" i="1"/>
  <c r="KAE83" i="1"/>
  <c r="KAD83" i="1"/>
  <c r="KAC83" i="1"/>
  <c r="KAB83" i="1"/>
  <c r="KAA83" i="1"/>
  <c r="JZZ83" i="1"/>
  <c r="JZY83" i="1"/>
  <c r="JZX83" i="1"/>
  <c r="JZW83" i="1"/>
  <c r="JZV83" i="1"/>
  <c r="JZU83" i="1"/>
  <c r="JZT83" i="1"/>
  <c r="JZS83" i="1"/>
  <c r="JZR83" i="1"/>
  <c r="JZQ83" i="1"/>
  <c r="JZP83" i="1"/>
  <c r="JZO83" i="1"/>
  <c r="JZN83" i="1"/>
  <c r="JZM83" i="1"/>
  <c r="JZL83" i="1"/>
  <c r="JZK83" i="1"/>
  <c r="JZJ83" i="1"/>
  <c r="JZI83" i="1"/>
  <c r="JZH83" i="1"/>
  <c r="JZG83" i="1"/>
  <c r="JZF83" i="1"/>
  <c r="JZE83" i="1"/>
  <c r="JZD83" i="1"/>
  <c r="JZC83" i="1"/>
  <c r="JZB83" i="1"/>
  <c r="JZA83" i="1"/>
  <c r="JYZ83" i="1"/>
  <c r="JYY83" i="1"/>
  <c r="JYX83" i="1"/>
  <c r="JYW83" i="1"/>
  <c r="JYV83" i="1"/>
  <c r="JYU83" i="1"/>
  <c r="JYT83" i="1"/>
  <c r="JYS83" i="1"/>
  <c r="JYR83" i="1"/>
  <c r="JYQ83" i="1"/>
  <c r="JYP83" i="1"/>
  <c r="JYO83" i="1"/>
  <c r="JYN83" i="1"/>
  <c r="JYM83" i="1"/>
  <c r="JYL83" i="1"/>
  <c r="JYK83" i="1"/>
  <c r="JYJ83" i="1"/>
  <c r="JYI83" i="1"/>
  <c r="JYH83" i="1"/>
  <c r="JYG83" i="1"/>
  <c r="JYF83" i="1"/>
  <c r="JYE83" i="1"/>
  <c r="JYD83" i="1"/>
  <c r="JYC83" i="1"/>
  <c r="JYB83" i="1"/>
  <c r="JYA83" i="1"/>
  <c r="JXZ83" i="1"/>
  <c r="JXY83" i="1"/>
  <c r="JXX83" i="1"/>
  <c r="JXW83" i="1"/>
  <c r="JXV83" i="1"/>
  <c r="JXU83" i="1"/>
  <c r="JXT83" i="1"/>
  <c r="JXS83" i="1"/>
  <c r="JXR83" i="1"/>
  <c r="JXQ83" i="1"/>
  <c r="JXP83" i="1"/>
  <c r="JXO83" i="1"/>
  <c r="JXN83" i="1"/>
  <c r="JXM83" i="1"/>
  <c r="JXL83" i="1"/>
  <c r="JXK83" i="1"/>
  <c r="JXJ83" i="1"/>
  <c r="JXI83" i="1"/>
  <c r="JXH83" i="1"/>
  <c r="JXG83" i="1"/>
  <c r="JXF83" i="1"/>
  <c r="JXE83" i="1"/>
  <c r="JXD83" i="1"/>
  <c r="JXC83" i="1"/>
  <c r="JXB83" i="1"/>
  <c r="JXA83" i="1"/>
  <c r="JWZ83" i="1"/>
  <c r="JWY83" i="1"/>
  <c r="JWX83" i="1"/>
  <c r="JWW83" i="1"/>
  <c r="JWV83" i="1"/>
  <c r="JWU83" i="1"/>
  <c r="JWT83" i="1"/>
  <c r="JWS83" i="1"/>
  <c r="JWR83" i="1"/>
  <c r="JWQ83" i="1"/>
  <c r="JWP83" i="1"/>
  <c r="JWO83" i="1"/>
  <c r="JWN83" i="1"/>
  <c r="JWM83" i="1"/>
  <c r="JWL83" i="1"/>
  <c r="JWK83" i="1"/>
  <c r="JWJ83" i="1"/>
  <c r="JWI83" i="1"/>
  <c r="JWH83" i="1"/>
  <c r="JWG83" i="1"/>
  <c r="JWF83" i="1"/>
  <c r="JWE83" i="1"/>
  <c r="JWD83" i="1"/>
  <c r="JWC83" i="1"/>
  <c r="JWB83" i="1"/>
  <c r="JWA83" i="1"/>
  <c r="JVZ83" i="1"/>
  <c r="JVY83" i="1"/>
  <c r="JVX83" i="1"/>
  <c r="JVW83" i="1"/>
  <c r="JVV83" i="1"/>
  <c r="JVU83" i="1"/>
  <c r="JVT83" i="1"/>
  <c r="JVS83" i="1"/>
  <c r="JVR83" i="1"/>
  <c r="JVQ83" i="1"/>
  <c r="JVP83" i="1"/>
  <c r="JVO83" i="1"/>
  <c r="JVN83" i="1"/>
  <c r="JVM83" i="1"/>
  <c r="JVL83" i="1"/>
  <c r="JVK83" i="1"/>
  <c r="JVJ83" i="1"/>
  <c r="JVI83" i="1"/>
  <c r="JVH83" i="1"/>
  <c r="JVG83" i="1"/>
  <c r="JVF83" i="1"/>
  <c r="JVE83" i="1"/>
  <c r="JVD83" i="1"/>
  <c r="JVC83" i="1"/>
  <c r="JVB83" i="1"/>
  <c r="JVA83" i="1"/>
  <c r="JUZ83" i="1"/>
  <c r="JUY83" i="1"/>
  <c r="JUX83" i="1"/>
  <c r="JUW83" i="1"/>
  <c r="JUV83" i="1"/>
  <c r="JUU83" i="1"/>
  <c r="JUT83" i="1"/>
  <c r="JUS83" i="1"/>
  <c r="JUR83" i="1"/>
  <c r="JUQ83" i="1"/>
  <c r="JUP83" i="1"/>
  <c r="JUO83" i="1"/>
  <c r="JUN83" i="1"/>
  <c r="JUM83" i="1"/>
  <c r="JUL83" i="1"/>
  <c r="JUK83" i="1"/>
  <c r="JUJ83" i="1"/>
  <c r="JUI83" i="1"/>
  <c r="JUH83" i="1"/>
  <c r="JUG83" i="1"/>
  <c r="JUF83" i="1"/>
  <c r="JUE83" i="1"/>
  <c r="JUD83" i="1"/>
  <c r="JUC83" i="1"/>
  <c r="JUB83" i="1"/>
  <c r="JUA83" i="1"/>
  <c r="JTZ83" i="1"/>
  <c r="JTY83" i="1"/>
  <c r="JTX83" i="1"/>
  <c r="JTW83" i="1"/>
  <c r="JTV83" i="1"/>
  <c r="JTU83" i="1"/>
  <c r="JTT83" i="1"/>
  <c r="JTS83" i="1"/>
  <c r="JTR83" i="1"/>
  <c r="JTQ83" i="1"/>
  <c r="JTP83" i="1"/>
  <c r="JTO83" i="1"/>
  <c r="JTN83" i="1"/>
  <c r="JTM83" i="1"/>
  <c r="JTL83" i="1"/>
  <c r="JTK83" i="1"/>
  <c r="JTJ83" i="1"/>
  <c r="JTI83" i="1"/>
  <c r="JTH83" i="1"/>
  <c r="JTG83" i="1"/>
  <c r="JTF83" i="1"/>
  <c r="JTE83" i="1"/>
  <c r="JTD83" i="1"/>
  <c r="JTC83" i="1"/>
  <c r="JTB83" i="1"/>
  <c r="JTA83" i="1"/>
  <c r="JSZ83" i="1"/>
  <c r="JSY83" i="1"/>
  <c r="JSX83" i="1"/>
  <c r="JSW83" i="1"/>
  <c r="JSV83" i="1"/>
  <c r="JSU83" i="1"/>
  <c r="JST83" i="1"/>
  <c r="JSS83" i="1"/>
  <c r="JSR83" i="1"/>
  <c r="JSQ83" i="1"/>
  <c r="JSP83" i="1"/>
  <c r="JSO83" i="1"/>
  <c r="JSN83" i="1"/>
  <c r="JSM83" i="1"/>
  <c r="JSL83" i="1"/>
  <c r="JSK83" i="1"/>
  <c r="JSJ83" i="1"/>
  <c r="JSI83" i="1"/>
  <c r="JSH83" i="1"/>
  <c r="JSG83" i="1"/>
  <c r="JSF83" i="1"/>
  <c r="JSE83" i="1"/>
  <c r="JSD83" i="1"/>
  <c r="JSC83" i="1"/>
  <c r="JSB83" i="1"/>
  <c r="JSA83" i="1"/>
  <c r="JRZ83" i="1"/>
  <c r="JRY83" i="1"/>
  <c r="JRX83" i="1"/>
  <c r="JRW83" i="1"/>
  <c r="JRV83" i="1"/>
  <c r="JRU83" i="1"/>
  <c r="JRT83" i="1"/>
  <c r="JRS83" i="1"/>
  <c r="JRR83" i="1"/>
  <c r="JRQ83" i="1"/>
  <c r="JRP83" i="1"/>
  <c r="JRO83" i="1"/>
  <c r="JRN83" i="1"/>
  <c r="JRM83" i="1"/>
  <c r="JRL83" i="1"/>
  <c r="JRK83" i="1"/>
  <c r="JRJ83" i="1"/>
  <c r="JRI83" i="1"/>
  <c r="JRH83" i="1"/>
  <c r="JRG83" i="1"/>
  <c r="JRF83" i="1"/>
  <c r="JRE83" i="1"/>
  <c r="JRD83" i="1"/>
  <c r="JRC83" i="1"/>
  <c r="JRB83" i="1"/>
  <c r="JRA83" i="1"/>
  <c r="JQZ83" i="1"/>
  <c r="JQY83" i="1"/>
  <c r="JQX83" i="1"/>
  <c r="JQW83" i="1"/>
  <c r="JQV83" i="1"/>
  <c r="JQU83" i="1"/>
  <c r="JQT83" i="1"/>
  <c r="JQS83" i="1"/>
  <c r="JQR83" i="1"/>
  <c r="JQQ83" i="1"/>
  <c r="JQP83" i="1"/>
  <c r="JQO83" i="1"/>
  <c r="JQN83" i="1"/>
  <c r="JQM83" i="1"/>
  <c r="JQL83" i="1"/>
  <c r="JQK83" i="1"/>
  <c r="JQJ83" i="1"/>
  <c r="JQI83" i="1"/>
  <c r="JQH83" i="1"/>
  <c r="JQG83" i="1"/>
  <c r="JQF83" i="1"/>
  <c r="JQE83" i="1"/>
  <c r="JQD83" i="1"/>
  <c r="JQC83" i="1"/>
  <c r="JQB83" i="1"/>
  <c r="JQA83" i="1"/>
  <c r="JPZ83" i="1"/>
  <c r="JPY83" i="1"/>
  <c r="JPX83" i="1"/>
  <c r="JPW83" i="1"/>
  <c r="JPV83" i="1"/>
  <c r="JPU83" i="1"/>
  <c r="JPT83" i="1"/>
  <c r="JPS83" i="1"/>
  <c r="JPR83" i="1"/>
  <c r="JPQ83" i="1"/>
  <c r="JPP83" i="1"/>
  <c r="JPO83" i="1"/>
  <c r="JPN83" i="1"/>
  <c r="JPM83" i="1"/>
  <c r="JPL83" i="1"/>
  <c r="JPK83" i="1"/>
  <c r="JPJ83" i="1"/>
  <c r="JPI83" i="1"/>
  <c r="JPH83" i="1"/>
  <c r="JPG83" i="1"/>
  <c r="JPF83" i="1"/>
  <c r="JPE83" i="1"/>
  <c r="JPD83" i="1"/>
  <c r="JPC83" i="1"/>
  <c r="JPB83" i="1"/>
  <c r="JPA83" i="1"/>
  <c r="JOZ83" i="1"/>
  <c r="JOY83" i="1"/>
  <c r="JOX83" i="1"/>
  <c r="JOW83" i="1"/>
  <c r="JOV83" i="1"/>
  <c r="JOU83" i="1"/>
  <c r="JOT83" i="1"/>
  <c r="JOS83" i="1"/>
  <c r="JOR83" i="1"/>
  <c r="JOQ83" i="1"/>
  <c r="JOP83" i="1"/>
  <c r="JOO83" i="1"/>
  <c r="JON83" i="1"/>
  <c r="JOM83" i="1"/>
  <c r="JOL83" i="1"/>
  <c r="JOK83" i="1"/>
  <c r="JOJ83" i="1"/>
  <c r="JOI83" i="1"/>
  <c r="JOH83" i="1"/>
  <c r="JOG83" i="1"/>
  <c r="JOF83" i="1"/>
  <c r="JOE83" i="1"/>
  <c r="JOD83" i="1"/>
  <c r="JOC83" i="1"/>
  <c r="JOB83" i="1"/>
  <c r="JOA83" i="1"/>
  <c r="JNZ83" i="1"/>
  <c r="JNY83" i="1"/>
  <c r="JNX83" i="1"/>
  <c r="JNW83" i="1"/>
  <c r="JNV83" i="1"/>
  <c r="JNU83" i="1"/>
  <c r="JNT83" i="1"/>
  <c r="JNS83" i="1"/>
  <c r="JNR83" i="1"/>
  <c r="JNQ83" i="1"/>
  <c r="JNP83" i="1"/>
  <c r="JNO83" i="1"/>
  <c r="JNN83" i="1"/>
  <c r="JNM83" i="1"/>
  <c r="JNL83" i="1"/>
  <c r="JNK83" i="1"/>
  <c r="JNJ83" i="1"/>
  <c r="JNI83" i="1"/>
  <c r="JNH83" i="1"/>
  <c r="JNG83" i="1"/>
  <c r="JNF83" i="1"/>
  <c r="JNE83" i="1"/>
  <c r="JND83" i="1"/>
  <c r="JNC83" i="1"/>
  <c r="JNB83" i="1"/>
  <c r="JNA83" i="1"/>
  <c r="JMZ83" i="1"/>
  <c r="JMY83" i="1"/>
  <c r="JMX83" i="1"/>
  <c r="JMW83" i="1"/>
  <c r="JMV83" i="1"/>
  <c r="JMU83" i="1"/>
  <c r="JMT83" i="1"/>
  <c r="JMS83" i="1"/>
  <c r="JMR83" i="1"/>
  <c r="JMQ83" i="1"/>
  <c r="JMP83" i="1"/>
  <c r="JMO83" i="1"/>
  <c r="JMN83" i="1"/>
  <c r="JMM83" i="1"/>
  <c r="JML83" i="1"/>
  <c r="JMK83" i="1"/>
  <c r="JMJ83" i="1"/>
  <c r="JMI83" i="1"/>
  <c r="JMH83" i="1"/>
  <c r="JMG83" i="1"/>
  <c r="JMF83" i="1"/>
  <c r="JME83" i="1"/>
  <c r="JMD83" i="1"/>
  <c r="JMC83" i="1"/>
  <c r="JMB83" i="1"/>
  <c r="JMA83" i="1"/>
  <c r="JLZ83" i="1"/>
  <c r="JLY83" i="1"/>
  <c r="JLX83" i="1"/>
  <c r="JLW83" i="1"/>
  <c r="JLV83" i="1"/>
  <c r="JLU83" i="1"/>
  <c r="JLT83" i="1"/>
  <c r="JLS83" i="1"/>
  <c r="JLR83" i="1"/>
  <c r="JLQ83" i="1"/>
  <c r="JLP83" i="1"/>
  <c r="JLO83" i="1"/>
  <c r="JLN83" i="1"/>
  <c r="JLM83" i="1"/>
  <c r="JLL83" i="1"/>
  <c r="JLK83" i="1"/>
  <c r="JLJ83" i="1"/>
  <c r="JLI83" i="1"/>
  <c r="JLH83" i="1"/>
  <c r="JLG83" i="1"/>
  <c r="JLF83" i="1"/>
  <c r="JLE83" i="1"/>
  <c r="JLD83" i="1"/>
  <c r="JLC83" i="1"/>
  <c r="JLB83" i="1"/>
  <c r="JLA83" i="1"/>
  <c r="JKZ83" i="1"/>
  <c r="JKY83" i="1"/>
  <c r="JKX83" i="1"/>
  <c r="JKW83" i="1"/>
  <c r="JKV83" i="1"/>
  <c r="JKU83" i="1"/>
  <c r="JKT83" i="1"/>
  <c r="JKS83" i="1"/>
  <c r="JKR83" i="1"/>
  <c r="JKQ83" i="1"/>
  <c r="JKP83" i="1"/>
  <c r="JKO83" i="1"/>
  <c r="JKN83" i="1"/>
  <c r="JKM83" i="1"/>
  <c r="JKL83" i="1"/>
  <c r="JKK83" i="1"/>
  <c r="JKJ83" i="1"/>
  <c r="JKI83" i="1"/>
  <c r="JKH83" i="1"/>
  <c r="JKG83" i="1"/>
  <c r="JKF83" i="1"/>
  <c r="JKE83" i="1"/>
  <c r="JKD83" i="1"/>
  <c r="JKC83" i="1"/>
  <c r="JKB83" i="1"/>
  <c r="JKA83" i="1"/>
  <c r="JJZ83" i="1"/>
  <c r="JJY83" i="1"/>
  <c r="JJX83" i="1"/>
  <c r="JJW83" i="1"/>
  <c r="JJV83" i="1"/>
  <c r="JJU83" i="1"/>
  <c r="JJT83" i="1"/>
  <c r="JJS83" i="1"/>
  <c r="JJR83" i="1"/>
  <c r="JJQ83" i="1"/>
  <c r="JJP83" i="1"/>
  <c r="JJO83" i="1"/>
  <c r="JJN83" i="1"/>
  <c r="JJM83" i="1"/>
  <c r="JJL83" i="1"/>
  <c r="JJK83" i="1"/>
  <c r="JJJ83" i="1"/>
  <c r="JJI83" i="1"/>
  <c r="JJH83" i="1"/>
  <c r="JJG83" i="1"/>
  <c r="JJF83" i="1"/>
  <c r="JJE83" i="1"/>
  <c r="JJD83" i="1"/>
  <c r="JJC83" i="1"/>
  <c r="JJB83" i="1"/>
  <c r="JJA83" i="1"/>
  <c r="JIZ83" i="1"/>
  <c r="JIY83" i="1"/>
  <c r="JIX83" i="1"/>
  <c r="JIW83" i="1"/>
  <c r="JIV83" i="1"/>
  <c r="JIU83" i="1"/>
  <c r="JIT83" i="1"/>
  <c r="JIS83" i="1"/>
  <c r="JIR83" i="1"/>
  <c r="JIQ83" i="1"/>
  <c r="JIP83" i="1"/>
  <c r="JIO83" i="1"/>
  <c r="JIN83" i="1"/>
  <c r="JIM83" i="1"/>
  <c r="JIL83" i="1"/>
  <c r="JIK83" i="1"/>
  <c r="JIJ83" i="1"/>
  <c r="JII83" i="1"/>
  <c r="JIH83" i="1"/>
  <c r="JIG83" i="1"/>
  <c r="JIF83" i="1"/>
  <c r="JIE83" i="1"/>
  <c r="JID83" i="1"/>
  <c r="JIC83" i="1"/>
  <c r="JIB83" i="1"/>
  <c r="JIA83" i="1"/>
  <c r="JHZ83" i="1"/>
  <c r="JHY83" i="1"/>
  <c r="JHX83" i="1"/>
  <c r="JHW83" i="1"/>
  <c r="JHV83" i="1"/>
  <c r="JHU83" i="1"/>
  <c r="JHT83" i="1"/>
  <c r="JHS83" i="1"/>
  <c r="JHR83" i="1"/>
  <c r="JHQ83" i="1"/>
  <c r="JHP83" i="1"/>
  <c r="JHO83" i="1"/>
  <c r="JHN83" i="1"/>
  <c r="JHM83" i="1"/>
  <c r="JHL83" i="1"/>
  <c r="JHK83" i="1"/>
  <c r="JHJ83" i="1"/>
  <c r="JHI83" i="1"/>
  <c r="JHH83" i="1"/>
  <c r="JHG83" i="1"/>
  <c r="JHF83" i="1"/>
  <c r="JHE83" i="1"/>
  <c r="JHD83" i="1"/>
  <c r="JHC83" i="1"/>
  <c r="JHB83" i="1"/>
  <c r="JHA83" i="1"/>
  <c r="JGZ83" i="1"/>
  <c r="JGY83" i="1"/>
  <c r="JGX83" i="1"/>
  <c r="JGW83" i="1"/>
  <c r="JGV83" i="1"/>
  <c r="JGU83" i="1"/>
  <c r="JGT83" i="1"/>
  <c r="JGS83" i="1"/>
  <c r="JGR83" i="1"/>
  <c r="JGQ83" i="1"/>
  <c r="JGP83" i="1"/>
  <c r="JGO83" i="1"/>
  <c r="JGN83" i="1"/>
  <c r="JGM83" i="1"/>
  <c r="JGL83" i="1"/>
  <c r="JGK83" i="1"/>
  <c r="JGJ83" i="1"/>
  <c r="JGI83" i="1"/>
  <c r="JGH83" i="1"/>
  <c r="JGG83" i="1"/>
  <c r="JGF83" i="1"/>
  <c r="JGE83" i="1"/>
  <c r="JGD83" i="1"/>
  <c r="JGC83" i="1"/>
  <c r="JGB83" i="1"/>
  <c r="JGA83" i="1"/>
  <c r="JFZ83" i="1"/>
  <c r="JFY83" i="1"/>
  <c r="JFX83" i="1"/>
  <c r="JFW83" i="1"/>
  <c r="JFV83" i="1"/>
  <c r="JFU83" i="1"/>
  <c r="JFT83" i="1"/>
  <c r="JFS83" i="1"/>
  <c r="JFR83" i="1"/>
  <c r="JFQ83" i="1"/>
  <c r="JFP83" i="1"/>
  <c r="JFO83" i="1"/>
  <c r="JFN83" i="1"/>
  <c r="JFM83" i="1"/>
  <c r="JFL83" i="1"/>
  <c r="JFK83" i="1"/>
  <c r="JFJ83" i="1"/>
  <c r="JFI83" i="1"/>
  <c r="JFH83" i="1"/>
  <c r="JFG83" i="1"/>
  <c r="JFF83" i="1"/>
  <c r="JFE83" i="1"/>
  <c r="JFD83" i="1"/>
  <c r="JFC83" i="1"/>
  <c r="JFB83" i="1"/>
  <c r="JFA83" i="1"/>
  <c r="JEZ83" i="1"/>
  <c r="JEY83" i="1"/>
  <c r="JEX83" i="1"/>
  <c r="JEW83" i="1"/>
  <c r="JEV83" i="1"/>
  <c r="JEU83" i="1"/>
  <c r="JET83" i="1"/>
  <c r="JES83" i="1"/>
  <c r="JER83" i="1"/>
  <c r="JEQ83" i="1"/>
  <c r="JEP83" i="1"/>
  <c r="JEO83" i="1"/>
  <c r="JEN83" i="1"/>
  <c r="JEM83" i="1"/>
  <c r="JEL83" i="1"/>
  <c r="JEK83" i="1"/>
  <c r="JEJ83" i="1"/>
  <c r="JEI83" i="1"/>
  <c r="JEH83" i="1"/>
  <c r="JEG83" i="1"/>
  <c r="JEF83" i="1"/>
  <c r="JEE83" i="1"/>
  <c r="JED83" i="1"/>
  <c r="JEC83" i="1"/>
  <c r="JEB83" i="1"/>
  <c r="JEA83" i="1"/>
  <c r="JDZ83" i="1"/>
  <c r="JDY83" i="1"/>
  <c r="JDX83" i="1"/>
  <c r="JDW83" i="1"/>
  <c r="JDV83" i="1"/>
  <c r="JDU83" i="1"/>
  <c r="JDT83" i="1"/>
  <c r="JDS83" i="1"/>
  <c r="JDR83" i="1"/>
  <c r="JDQ83" i="1"/>
  <c r="JDP83" i="1"/>
  <c r="JDO83" i="1"/>
  <c r="JDN83" i="1"/>
  <c r="JDM83" i="1"/>
  <c r="JDL83" i="1"/>
  <c r="JDK83" i="1"/>
  <c r="JDJ83" i="1"/>
  <c r="JDI83" i="1"/>
  <c r="JDH83" i="1"/>
  <c r="JDG83" i="1"/>
  <c r="JDF83" i="1"/>
  <c r="JDE83" i="1"/>
  <c r="JDD83" i="1"/>
  <c r="JDC83" i="1"/>
  <c r="JDB83" i="1"/>
  <c r="JDA83" i="1"/>
  <c r="JCZ83" i="1"/>
  <c r="JCY83" i="1"/>
  <c r="JCX83" i="1"/>
  <c r="JCW83" i="1"/>
  <c r="JCV83" i="1"/>
  <c r="JCU83" i="1"/>
  <c r="JCT83" i="1"/>
  <c r="JCS83" i="1"/>
  <c r="JCR83" i="1"/>
  <c r="JCQ83" i="1"/>
  <c r="JCP83" i="1"/>
  <c r="JCO83" i="1"/>
  <c r="JCN83" i="1"/>
  <c r="JCM83" i="1"/>
  <c r="JCL83" i="1"/>
  <c r="JCK83" i="1"/>
  <c r="JCJ83" i="1"/>
  <c r="JCI83" i="1"/>
  <c r="JCH83" i="1"/>
  <c r="JCG83" i="1"/>
  <c r="JCF83" i="1"/>
  <c r="JCE83" i="1"/>
  <c r="JCD83" i="1"/>
  <c r="JCC83" i="1"/>
  <c r="JCB83" i="1"/>
  <c r="JCA83" i="1"/>
  <c r="JBZ83" i="1"/>
  <c r="JBY83" i="1"/>
  <c r="JBX83" i="1"/>
  <c r="JBW83" i="1"/>
  <c r="JBV83" i="1"/>
  <c r="JBU83" i="1"/>
  <c r="JBT83" i="1"/>
  <c r="JBS83" i="1"/>
  <c r="JBR83" i="1"/>
  <c r="JBQ83" i="1"/>
  <c r="JBP83" i="1"/>
  <c r="JBO83" i="1"/>
  <c r="JBN83" i="1"/>
  <c r="JBM83" i="1"/>
  <c r="JBL83" i="1"/>
  <c r="JBK83" i="1"/>
  <c r="JBJ83" i="1"/>
  <c r="JBI83" i="1"/>
  <c r="JBH83" i="1"/>
  <c r="JBG83" i="1"/>
  <c r="JBF83" i="1"/>
  <c r="JBE83" i="1"/>
  <c r="JBD83" i="1"/>
  <c r="JBC83" i="1"/>
  <c r="JBB83" i="1"/>
  <c r="JBA83" i="1"/>
  <c r="JAZ83" i="1"/>
  <c r="JAY83" i="1"/>
  <c r="JAX83" i="1"/>
  <c r="JAW83" i="1"/>
  <c r="JAV83" i="1"/>
  <c r="JAU83" i="1"/>
  <c r="JAT83" i="1"/>
  <c r="JAS83" i="1"/>
  <c r="JAR83" i="1"/>
  <c r="JAQ83" i="1"/>
  <c r="JAP83" i="1"/>
  <c r="JAO83" i="1"/>
  <c r="JAN83" i="1"/>
  <c r="JAM83" i="1"/>
  <c r="JAL83" i="1"/>
  <c r="JAK83" i="1"/>
  <c r="JAJ83" i="1"/>
  <c r="JAI83" i="1"/>
  <c r="JAH83" i="1"/>
  <c r="JAG83" i="1"/>
  <c r="JAF83" i="1"/>
  <c r="JAE83" i="1"/>
  <c r="JAD83" i="1"/>
  <c r="JAC83" i="1"/>
  <c r="JAB83" i="1"/>
  <c r="JAA83" i="1"/>
  <c r="IZZ83" i="1"/>
  <c r="IZY83" i="1"/>
  <c r="IZX83" i="1"/>
  <c r="IZW83" i="1"/>
  <c r="IZV83" i="1"/>
  <c r="IZU83" i="1"/>
  <c r="IZT83" i="1"/>
  <c r="IZS83" i="1"/>
  <c r="IZR83" i="1"/>
  <c r="IZQ83" i="1"/>
  <c r="IZP83" i="1"/>
  <c r="IZO83" i="1"/>
  <c r="IZN83" i="1"/>
  <c r="IZM83" i="1"/>
  <c r="IZL83" i="1"/>
  <c r="IZK83" i="1"/>
  <c r="IZJ83" i="1"/>
  <c r="IZI83" i="1"/>
  <c r="IZH83" i="1"/>
  <c r="IZG83" i="1"/>
  <c r="IZF83" i="1"/>
  <c r="IZE83" i="1"/>
  <c r="IZD83" i="1"/>
  <c r="IZC83" i="1"/>
  <c r="IZB83" i="1"/>
  <c r="IZA83" i="1"/>
  <c r="IYZ83" i="1"/>
  <c r="IYY83" i="1"/>
  <c r="IYX83" i="1"/>
  <c r="IYW83" i="1"/>
  <c r="IYV83" i="1"/>
  <c r="IYU83" i="1"/>
  <c r="IYT83" i="1"/>
  <c r="IYS83" i="1"/>
  <c r="IYR83" i="1"/>
  <c r="IYQ83" i="1"/>
  <c r="IYP83" i="1"/>
  <c r="IYO83" i="1"/>
  <c r="IYN83" i="1"/>
  <c r="IYM83" i="1"/>
  <c r="IYL83" i="1"/>
  <c r="IYK83" i="1"/>
  <c r="IYJ83" i="1"/>
  <c r="IYI83" i="1"/>
  <c r="IYH83" i="1"/>
  <c r="IYG83" i="1"/>
  <c r="IYF83" i="1"/>
  <c r="IYE83" i="1"/>
  <c r="IYD83" i="1"/>
  <c r="IYC83" i="1"/>
  <c r="IYB83" i="1"/>
  <c r="IYA83" i="1"/>
  <c r="IXZ83" i="1"/>
  <c r="IXY83" i="1"/>
  <c r="IXX83" i="1"/>
  <c r="IXW83" i="1"/>
  <c r="IXV83" i="1"/>
  <c r="IXU83" i="1"/>
  <c r="IXT83" i="1"/>
  <c r="IXS83" i="1"/>
  <c r="IXR83" i="1"/>
  <c r="IXQ83" i="1"/>
  <c r="IXP83" i="1"/>
  <c r="IXO83" i="1"/>
  <c r="IXN83" i="1"/>
  <c r="IXM83" i="1"/>
  <c r="IXL83" i="1"/>
  <c r="IXK83" i="1"/>
  <c r="IXJ83" i="1"/>
  <c r="IXI83" i="1"/>
  <c r="IXH83" i="1"/>
  <c r="IXG83" i="1"/>
  <c r="IXF83" i="1"/>
  <c r="IXE83" i="1"/>
  <c r="IXD83" i="1"/>
  <c r="IXC83" i="1"/>
  <c r="IXB83" i="1"/>
  <c r="IXA83" i="1"/>
  <c r="IWZ83" i="1"/>
  <c r="IWY83" i="1"/>
  <c r="IWX83" i="1"/>
  <c r="IWW83" i="1"/>
  <c r="IWV83" i="1"/>
  <c r="IWU83" i="1"/>
  <c r="IWT83" i="1"/>
  <c r="IWS83" i="1"/>
  <c r="IWR83" i="1"/>
  <c r="IWQ83" i="1"/>
  <c r="IWP83" i="1"/>
  <c r="IWO83" i="1"/>
  <c r="IWN83" i="1"/>
  <c r="IWM83" i="1"/>
  <c r="IWL83" i="1"/>
  <c r="IWK83" i="1"/>
  <c r="IWJ83" i="1"/>
  <c r="IWI83" i="1"/>
  <c r="IWH83" i="1"/>
  <c r="IWG83" i="1"/>
  <c r="IWF83" i="1"/>
  <c r="IWE83" i="1"/>
  <c r="IWD83" i="1"/>
  <c r="IWC83" i="1"/>
  <c r="IWB83" i="1"/>
  <c r="IWA83" i="1"/>
  <c r="IVZ83" i="1"/>
  <c r="IVY83" i="1"/>
  <c r="IVX83" i="1"/>
  <c r="IVW83" i="1"/>
  <c r="IVV83" i="1"/>
  <c r="IVU83" i="1"/>
  <c r="IVT83" i="1"/>
  <c r="IVS83" i="1"/>
  <c r="IVR83" i="1"/>
  <c r="IVQ83" i="1"/>
  <c r="IVP83" i="1"/>
  <c r="IVO83" i="1"/>
  <c r="IVN83" i="1"/>
  <c r="IVM83" i="1"/>
  <c r="IVL83" i="1"/>
  <c r="IVK83" i="1"/>
  <c r="IVJ83" i="1"/>
  <c r="IVI83" i="1"/>
  <c r="IVH83" i="1"/>
  <c r="IVG83" i="1"/>
  <c r="IVF83" i="1"/>
  <c r="IVE83" i="1"/>
  <c r="IVD83" i="1"/>
  <c r="IVC83" i="1"/>
  <c r="IVB83" i="1"/>
  <c r="IVA83" i="1"/>
  <c r="IUZ83" i="1"/>
  <c r="IUY83" i="1"/>
  <c r="IUX83" i="1"/>
  <c r="IUW83" i="1"/>
  <c r="IUV83" i="1"/>
  <c r="IUU83" i="1"/>
  <c r="IUT83" i="1"/>
  <c r="IUS83" i="1"/>
  <c r="IUR83" i="1"/>
  <c r="IUQ83" i="1"/>
  <c r="IUP83" i="1"/>
  <c r="IUO83" i="1"/>
  <c r="IUN83" i="1"/>
  <c r="IUM83" i="1"/>
  <c r="IUL83" i="1"/>
  <c r="IUK83" i="1"/>
  <c r="IUJ83" i="1"/>
  <c r="IUI83" i="1"/>
  <c r="IUH83" i="1"/>
  <c r="IUG83" i="1"/>
  <c r="IUF83" i="1"/>
  <c r="IUE83" i="1"/>
  <c r="IUD83" i="1"/>
  <c r="IUC83" i="1"/>
  <c r="IUB83" i="1"/>
  <c r="IUA83" i="1"/>
  <c r="ITZ83" i="1"/>
  <c r="ITY83" i="1"/>
  <c r="ITX83" i="1"/>
  <c r="ITW83" i="1"/>
  <c r="ITV83" i="1"/>
  <c r="ITU83" i="1"/>
  <c r="ITT83" i="1"/>
  <c r="ITS83" i="1"/>
  <c r="ITR83" i="1"/>
  <c r="ITQ83" i="1"/>
  <c r="ITP83" i="1"/>
  <c r="ITO83" i="1"/>
  <c r="ITN83" i="1"/>
  <c r="ITM83" i="1"/>
  <c r="ITL83" i="1"/>
  <c r="ITK83" i="1"/>
  <c r="ITJ83" i="1"/>
  <c r="ITI83" i="1"/>
  <c r="ITH83" i="1"/>
  <c r="ITG83" i="1"/>
  <c r="ITF83" i="1"/>
  <c r="ITE83" i="1"/>
  <c r="ITD83" i="1"/>
  <c r="ITC83" i="1"/>
  <c r="ITB83" i="1"/>
  <c r="ITA83" i="1"/>
  <c r="ISZ83" i="1"/>
  <c r="ISY83" i="1"/>
  <c r="ISX83" i="1"/>
  <c r="ISW83" i="1"/>
  <c r="ISV83" i="1"/>
  <c r="ISU83" i="1"/>
  <c r="IST83" i="1"/>
  <c r="ISS83" i="1"/>
  <c r="ISR83" i="1"/>
  <c r="ISQ83" i="1"/>
  <c r="ISP83" i="1"/>
  <c r="ISO83" i="1"/>
  <c r="ISN83" i="1"/>
  <c r="ISM83" i="1"/>
  <c r="ISL83" i="1"/>
  <c r="ISK83" i="1"/>
  <c r="ISJ83" i="1"/>
  <c r="ISI83" i="1"/>
  <c r="ISH83" i="1"/>
  <c r="ISG83" i="1"/>
  <c r="ISF83" i="1"/>
  <c r="ISE83" i="1"/>
  <c r="ISD83" i="1"/>
  <c r="ISC83" i="1"/>
  <c r="ISB83" i="1"/>
  <c r="ISA83" i="1"/>
  <c r="IRZ83" i="1"/>
  <c r="IRY83" i="1"/>
  <c r="IRX83" i="1"/>
  <c r="IRW83" i="1"/>
  <c r="IRV83" i="1"/>
  <c r="IRU83" i="1"/>
  <c r="IRT83" i="1"/>
  <c r="IRS83" i="1"/>
  <c r="IRR83" i="1"/>
  <c r="IRQ83" i="1"/>
  <c r="IRP83" i="1"/>
  <c r="IRO83" i="1"/>
  <c r="IRN83" i="1"/>
  <c r="IRM83" i="1"/>
  <c r="IRL83" i="1"/>
  <c r="IRK83" i="1"/>
  <c r="IRJ83" i="1"/>
  <c r="IRI83" i="1"/>
  <c r="IRH83" i="1"/>
  <c r="IRG83" i="1"/>
  <c r="IRF83" i="1"/>
  <c r="IRE83" i="1"/>
  <c r="IRD83" i="1"/>
  <c r="IRC83" i="1"/>
  <c r="IRB83" i="1"/>
  <c r="IRA83" i="1"/>
  <c r="IQZ83" i="1"/>
  <c r="IQY83" i="1"/>
  <c r="IQX83" i="1"/>
  <c r="IQW83" i="1"/>
  <c r="IQV83" i="1"/>
  <c r="IQU83" i="1"/>
  <c r="IQT83" i="1"/>
  <c r="IQS83" i="1"/>
  <c r="IQR83" i="1"/>
  <c r="IQQ83" i="1"/>
  <c r="IQP83" i="1"/>
  <c r="IQO83" i="1"/>
  <c r="IQN83" i="1"/>
  <c r="IQM83" i="1"/>
  <c r="IQL83" i="1"/>
  <c r="IQK83" i="1"/>
  <c r="IQJ83" i="1"/>
  <c r="IQI83" i="1"/>
  <c r="IQH83" i="1"/>
  <c r="IQG83" i="1"/>
  <c r="IQF83" i="1"/>
  <c r="IQE83" i="1"/>
  <c r="IQD83" i="1"/>
  <c r="IQC83" i="1"/>
  <c r="IQB83" i="1"/>
  <c r="IQA83" i="1"/>
  <c r="IPZ83" i="1"/>
  <c r="IPY83" i="1"/>
  <c r="IPX83" i="1"/>
  <c r="IPW83" i="1"/>
  <c r="IPV83" i="1"/>
  <c r="IPU83" i="1"/>
  <c r="IPT83" i="1"/>
  <c r="IPS83" i="1"/>
  <c r="IPR83" i="1"/>
  <c r="IPQ83" i="1"/>
  <c r="IPP83" i="1"/>
  <c r="IPO83" i="1"/>
  <c r="IPN83" i="1"/>
  <c r="IPM83" i="1"/>
  <c r="IPL83" i="1"/>
  <c r="IPK83" i="1"/>
  <c r="IPJ83" i="1"/>
  <c r="IPI83" i="1"/>
  <c r="IPH83" i="1"/>
  <c r="IPG83" i="1"/>
  <c r="IPF83" i="1"/>
  <c r="IPE83" i="1"/>
  <c r="IPD83" i="1"/>
  <c r="IPC83" i="1"/>
  <c r="IPB83" i="1"/>
  <c r="IPA83" i="1"/>
  <c r="IOZ83" i="1"/>
  <c r="IOY83" i="1"/>
  <c r="IOX83" i="1"/>
  <c r="IOW83" i="1"/>
  <c r="IOV83" i="1"/>
  <c r="IOU83" i="1"/>
  <c r="IOT83" i="1"/>
  <c r="IOS83" i="1"/>
  <c r="IOR83" i="1"/>
  <c r="IOQ83" i="1"/>
  <c r="IOP83" i="1"/>
  <c r="IOO83" i="1"/>
  <c r="ION83" i="1"/>
  <c r="IOM83" i="1"/>
  <c r="IOL83" i="1"/>
  <c r="IOK83" i="1"/>
  <c r="IOJ83" i="1"/>
  <c r="IOI83" i="1"/>
  <c r="IOH83" i="1"/>
  <c r="IOG83" i="1"/>
  <c r="IOF83" i="1"/>
  <c r="IOE83" i="1"/>
  <c r="IOD83" i="1"/>
  <c r="IOC83" i="1"/>
  <c r="IOB83" i="1"/>
  <c r="IOA83" i="1"/>
  <c r="INZ83" i="1"/>
  <c r="INY83" i="1"/>
  <c r="INX83" i="1"/>
  <c r="INW83" i="1"/>
  <c r="INV83" i="1"/>
  <c r="INU83" i="1"/>
  <c r="INT83" i="1"/>
  <c r="INS83" i="1"/>
  <c r="INR83" i="1"/>
  <c r="INQ83" i="1"/>
  <c r="INP83" i="1"/>
  <c r="INO83" i="1"/>
  <c r="INN83" i="1"/>
  <c r="INM83" i="1"/>
  <c r="INL83" i="1"/>
  <c r="INK83" i="1"/>
  <c r="INJ83" i="1"/>
  <c r="INI83" i="1"/>
  <c r="INH83" i="1"/>
  <c r="ING83" i="1"/>
  <c r="INF83" i="1"/>
  <c r="INE83" i="1"/>
  <c r="IND83" i="1"/>
  <c r="INC83" i="1"/>
  <c r="INB83" i="1"/>
  <c r="INA83" i="1"/>
  <c r="IMZ83" i="1"/>
  <c r="IMY83" i="1"/>
  <c r="IMX83" i="1"/>
  <c r="IMW83" i="1"/>
  <c r="IMV83" i="1"/>
  <c r="IMU83" i="1"/>
  <c r="IMT83" i="1"/>
  <c r="IMS83" i="1"/>
  <c r="IMR83" i="1"/>
  <c r="IMQ83" i="1"/>
  <c r="IMP83" i="1"/>
  <c r="IMO83" i="1"/>
  <c r="IMN83" i="1"/>
  <c r="IMM83" i="1"/>
  <c r="IML83" i="1"/>
  <c r="IMK83" i="1"/>
  <c r="IMJ83" i="1"/>
  <c r="IMI83" i="1"/>
  <c r="IMH83" i="1"/>
  <c r="IMG83" i="1"/>
  <c r="IMF83" i="1"/>
  <c r="IME83" i="1"/>
  <c r="IMD83" i="1"/>
  <c r="IMC83" i="1"/>
  <c r="IMB83" i="1"/>
  <c r="IMA83" i="1"/>
  <c r="ILZ83" i="1"/>
  <c r="ILY83" i="1"/>
  <c r="ILX83" i="1"/>
  <c r="ILW83" i="1"/>
  <c r="ILV83" i="1"/>
  <c r="ILU83" i="1"/>
  <c r="ILT83" i="1"/>
  <c r="ILS83" i="1"/>
  <c r="ILR83" i="1"/>
  <c r="ILQ83" i="1"/>
  <c r="ILP83" i="1"/>
  <c r="ILO83" i="1"/>
  <c r="ILN83" i="1"/>
  <c r="ILM83" i="1"/>
  <c r="ILL83" i="1"/>
  <c r="ILK83" i="1"/>
  <c r="ILJ83" i="1"/>
  <c r="ILI83" i="1"/>
  <c r="ILH83" i="1"/>
  <c r="ILG83" i="1"/>
  <c r="ILF83" i="1"/>
  <c r="ILE83" i="1"/>
  <c r="ILD83" i="1"/>
  <c r="ILC83" i="1"/>
  <c r="ILB83" i="1"/>
  <c r="ILA83" i="1"/>
  <c r="IKZ83" i="1"/>
  <c r="IKY83" i="1"/>
  <c r="IKX83" i="1"/>
  <c r="IKW83" i="1"/>
  <c r="IKV83" i="1"/>
  <c r="IKU83" i="1"/>
  <c r="IKT83" i="1"/>
  <c r="IKS83" i="1"/>
  <c r="IKR83" i="1"/>
  <c r="IKQ83" i="1"/>
  <c r="IKP83" i="1"/>
  <c r="IKO83" i="1"/>
  <c r="IKN83" i="1"/>
  <c r="IKM83" i="1"/>
  <c r="IKL83" i="1"/>
  <c r="IKK83" i="1"/>
  <c r="IKJ83" i="1"/>
  <c r="IKI83" i="1"/>
  <c r="IKH83" i="1"/>
  <c r="IKG83" i="1"/>
  <c r="IKF83" i="1"/>
  <c r="IKE83" i="1"/>
  <c r="IKD83" i="1"/>
  <c r="IKC83" i="1"/>
  <c r="IKB83" i="1"/>
  <c r="IKA83" i="1"/>
  <c r="IJZ83" i="1"/>
  <c r="IJY83" i="1"/>
  <c r="IJX83" i="1"/>
  <c r="IJW83" i="1"/>
  <c r="IJV83" i="1"/>
  <c r="IJU83" i="1"/>
  <c r="IJT83" i="1"/>
  <c r="IJS83" i="1"/>
  <c r="IJR83" i="1"/>
  <c r="IJQ83" i="1"/>
  <c r="IJP83" i="1"/>
  <c r="IJO83" i="1"/>
  <c r="IJN83" i="1"/>
  <c r="IJM83" i="1"/>
  <c r="IJL83" i="1"/>
  <c r="IJK83" i="1"/>
  <c r="IJJ83" i="1"/>
  <c r="IJI83" i="1"/>
  <c r="IJH83" i="1"/>
  <c r="IJG83" i="1"/>
  <c r="IJF83" i="1"/>
  <c r="IJE83" i="1"/>
  <c r="IJD83" i="1"/>
  <c r="IJC83" i="1"/>
  <c r="IJB83" i="1"/>
  <c r="IJA83" i="1"/>
  <c r="IIZ83" i="1"/>
  <c r="IIY83" i="1"/>
  <c r="IIX83" i="1"/>
  <c r="IIW83" i="1"/>
  <c r="IIV83" i="1"/>
  <c r="IIU83" i="1"/>
  <c r="IIT83" i="1"/>
  <c r="IIS83" i="1"/>
  <c r="IIR83" i="1"/>
  <c r="IIQ83" i="1"/>
  <c r="IIP83" i="1"/>
  <c r="IIO83" i="1"/>
  <c r="IIN83" i="1"/>
  <c r="IIM83" i="1"/>
  <c r="IIL83" i="1"/>
  <c r="IIK83" i="1"/>
  <c r="IIJ83" i="1"/>
  <c r="III83" i="1"/>
  <c r="IIH83" i="1"/>
  <c r="IIG83" i="1"/>
  <c r="IIF83" i="1"/>
  <c r="IIE83" i="1"/>
  <c r="IID83" i="1"/>
  <c r="IIC83" i="1"/>
  <c r="IIB83" i="1"/>
  <c r="IIA83" i="1"/>
  <c r="IHZ83" i="1"/>
  <c r="IHY83" i="1"/>
  <c r="IHX83" i="1"/>
  <c r="IHW83" i="1"/>
  <c r="IHV83" i="1"/>
  <c r="IHU83" i="1"/>
  <c r="IHT83" i="1"/>
  <c r="IHS83" i="1"/>
  <c r="IHR83" i="1"/>
  <c r="IHQ83" i="1"/>
  <c r="IHP83" i="1"/>
  <c r="IHO83" i="1"/>
  <c r="IHN83" i="1"/>
  <c r="IHM83" i="1"/>
  <c r="IHL83" i="1"/>
  <c r="IHK83" i="1"/>
  <c r="IHJ83" i="1"/>
  <c r="IHI83" i="1"/>
  <c r="IHH83" i="1"/>
  <c r="IHG83" i="1"/>
  <c r="IHF83" i="1"/>
  <c r="IHE83" i="1"/>
  <c r="IHD83" i="1"/>
  <c r="IHC83" i="1"/>
  <c r="IHB83" i="1"/>
  <c r="IHA83" i="1"/>
  <c r="IGZ83" i="1"/>
  <c r="IGY83" i="1"/>
  <c r="IGX83" i="1"/>
  <c r="IGW83" i="1"/>
  <c r="IGV83" i="1"/>
  <c r="IGU83" i="1"/>
  <c r="IGT83" i="1"/>
  <c r="IGS83" i="1"/>
  <c r="IGR83" i="1"/>
  <c r="IGQ83" i="1"/>
  <c r="IGP83" i="1"/>
  <c r="IGO83" i="1"/>
  <c r="IGN83" i="1"/>
  <c r="IGM83" i="1"/>
  <c r="IGL83" i="1"/>
  <c r="IGK83" i="1"/>
  <c r="IGJ83" i="1"/>
  <c r="IGI83" i="1"/>
  <c r="IGH83" i="1"/>
  <c r="IGG83" i="1"/>
  <c r="IGF83" i="1"/>
  <c r="IGE83" i="1"/>
  <c r="IGD83" i="1"/>
  <c r="IGC83" i="1"/>
  <c r="IGB83" i="1"/>
  <c r="IGA83" i="1"/>
  <c r="IFZ83" i="1"/>
  <c r="IFY83" i="1"/>
  <c r="IFX83" i="1"/>
  <c r="IFW83" i="1"/>
  <c r="IFV83" i="1"/>
  <c r="IFU83" i="1"/>
  <c r="IFT83" i="1"/>
  <c r="IFS83" i="1"/>
  <c r="IFR83" i="1"/>
  <c r="IFQ83" i="1"/>
  <c r="IFP83" i="1"/>
  <c r="IFO83" i="1"/>
  <c r="IFN83" i="1"/>
  <c r="IFM83" i="1"/>
  <c r="IFL83" i="1"/>
  <c r="IFK83" i="1"/>
  <c r="IFJ83" i="1"/>
  <c r="IFI83" i="1"/>
  <c r="IFH83" i="1"/>
  <c r="IFG83" i="1"/>
  <c r="IFF83" i="1"/>
  <c r="IFE83" i="1"/>
  <c r="IFD83" i="1"/>
  <c r="IFC83" i="1"/>
  <c r="IFB83" i="1"/>
  <c r="IFA83" i="1"/>
  <c r="IEZ83" i="1"/>
  <c r="IEY83" i="1"/>
  <c r="IEX83" i="1"/>
  <c r="IEW83" i="1"/>
  <c r="IEV83" i="1"/>
  <c r="IEU83" i="1"/>
  <c r="IET83" i="1"/>
  <c r="IES83" i="1"/>
  <c r="IER83" i="1"/>
  <c r="IEQ83" i="1"/>
  <c r="IEP83" i="1"/>
  <c r="IEO83" i="1"/>
  <c r="IEN83" i="1"/>
  <c r="IEM83" i="1"/>
  <c r="IEL83" i="1"/>
  <c r="IEK83" i="1"/>
  <c r="IEJ83" i="1"/>
  <c r="IEI83" i="1"/>
  <c r="IEH83" i="1"/>
  <c r="IEG83" i="1"/>
  <c r="IEF83" i="1"/>
  <c r="IEE83" i="1"/>
  <c r="IED83" i="1"/>
  <c r="IEC83" i="1"/>
  <c r="IEB83" i="1"/>
  <c r="IEA83" i="1"/>
  <c r="IDZ83" i="1"/>
  <c r="IDY83" i="1"/>
  <c r="IDX83" i="1"/>
  <c r="IDW83" i="1"/>
  <c r="IDV83" i="1"/>
  <c r="IDU83" i="1"/>
  <c r="IDT83" i="1"/>
  <c r="IDS83" i="1"/>
  <c r="IDR83" i="1"/>
  <c r="IDQ83" i="1"/>
  <c r="IDP83" i="1"/>
  <c r="IDO83" i="1"/>
  <c r="IDN83" i="1"/>
  <c r="IDM83" i="1"/>
  <c r="IDL83" i="1"/>
  <c r="IDK83" i="1"/>
  <c r="IDJ83" i="1"/>
  <c r="IDI83" i="1"/>
  <c r="IDH83" i="1"/>
  <c r="IDG83" i="1"/>
  <c r="IDF83" i="1"/>
  <c r="IDE83" i="1"/>
  <c r="IDD83" i="1"/>
  <c r="IDC83" i="1"/>
  <c r="IDB83" i="1"/>
  <c r="IDA83" i="1"/>
  <c r="ICZ83" i="1"/>
  <c r="ICY83" i="1"/>
  <c r="ICX83" i="1"/>
  <c r="ICW83" i="1"/>
  <c r="ICV83" i="1"/>
  <c r="ICU83" i="1"/>
  <c r="ICT83" i="1"/>
  <c r="ICS83" i="1"/>
  <c r="ICR83" i="1"/>
  <c r="ICQ83" i="1"/>
  <c r="ICP83" i="1"/>
  <c r="ICO83" i="1"/>
  <c r="ICN83" i="1"/>
  <c r="ICM83" i="1"/>
  <c r="ICL83" i="1"/>
  <c r="ICK83" i="1"/>
  <c r="ICJ83" i="1"/>
  <c r="ICI83" i="1"/>
  <c r="ICH83" i="1"/>
  <c r="ICG83" i="1"/>
  <c r="ICF83" i="1"/>
  <c r="ICE83" i="1"/>
  <c r="ICD83" i="1"/>
  <c r="ICC83" i="1"/>
  <c r="ICB83" i="1"/>
  <c r="ICA83" i="1"/>
  <c r="IBZ83" i="1"/>
  <c r="IBY83" i="1"/>
  <c r="IBX83" i="1"/>
  <c r="IBW83" i="1"/>
  <c r="IBV83" i="1"/>
  <c r="IBU83" i="1"/>
  <c r="IBT83" i="1"/>
  <c r="IBS83" i="1"/>
  <c r="IBR83" i="1"/>
  <c r="IBQ83" i="1"/>
  <c r="IBP83" i="1"/>
  <c r="IBO83" i="1"/>
  <c r="IBN83" i="1"/>
  <c r="IBM83" i="1"/>
  <c r="IBL83" i="1"/>
  <c r="IBK83" i="1"/>
  <c r="IBJ83" i="1"/>
  <c r="IBI83" i="1"/>
  <c r="IBH83" i="1"/>
  <c r="IBG83" i="1"/>
  <c r="IBF83" i="1"/>
  <c r="IBE83" i="1"/>
  <c r="IBD83" i="1"/>
  <c r="IBC83" i="1"/>
  <c r="IBB83" i="1"/>
  <c r="IBA83" i="1"/>
  <c r="IAZ83" i="1"/>
  <c r="IAY83" i="1"/>
  <c r="IAX83" i="1"/>
  <c r="IAW83" i="1"/>
  <c r="IAV83" i="1"/>
  <c r="IAU83" i="1"/>
  <c r="IAT83" i="1"/>
  <c r="IAS83" i="1"/>
  <c r="IAR83" i="1"/>
  <c r="IAQ83" i="1"/>
  <c r="IAP83" i="1"/>
  <c r="IAO83" i="1"/>
  <c r="IAN83" i="1"/>
  <c r="IAM83" i="1"/>
  <c r="IAL83" i="1"/>
  <c r="IAK83" i="1"/>
  <c r="IAJ83" i="1"/>
  <c r="IAI83" i="1"/>
  <c r="IAH83" i="1"/>
  <c r="IAG83" i="1"/>
  <c r="IAF83" i="1"/>
  <c r="IAE83" i="1"/>
  <c r="IAD83" i="1"/>
  <c r="IAC83" i="1"/>
  <c r="IAB83" i="1"/>
  <c r="IAA83" i="1"/>
  <c r="HZZ83" i="1"/>
  <c r="HZY83" i="1"/>
  <c r="HZX83" i="1"/>
  <c r="HZW83" i="1"/>
  <c r="HZV83" i="1"/>
  <c r="HZU83" i="1"/>
  <c r="HZT83" i="1"/>
  <c r="HZS83" i="1"/>
  <c r="HZR83" i="1"/>
  <c r="HZQ83" i="1"/>
  <c r="HZP83" i="1"/>
  <c r="HZO83" i="1"/>
  <c r="HZN83" i="1"/>
  <c r="HZM83" i="1"/>
  <c r="HZL83" i="1"/>
  <c r="HZK83" i="1"/>
  <c r="HZJ83" i="1"/>
  <c r="HZI83" i="1"/>
  <c r="HZH83" i="1"/>
  <c r="HZG83" i="1"/>
  <c r="HZF83" i="1"/>
  <c r="HZE83" i="1"/>
  <c r="HZD83" i="1"/>
  <c r="HZC83" i="1"/>
  <c r="HZB83" i="1"/>
  <c r="HZA83" i="1"/>
  <c r="HYZ83" i="1"/>
  <c r="HYY83" i="1"/>
  <c r="HYX83" i="1"/>
  <c r="HYW83" i="1"/>
  <c r="HYV83" i="1"/>
  <c r="HYU83" i="1"/>
  <c r="HYT83" i="1"/>
  <c r="HYS83" i="1"/>
  <c r="HYR83" i="1"/>
  <c r="HYQ83" i="1"/>
  <c r="HYP83" i="1"/>
  <c r="HYO83" i="1"/>
  <c r="HYN83" i="1"/>
  <c r="HYM83" i="1"/>
  <c r="HYL83" i="1"/>
  <c r="HYK83" i="1"/>
  <c r="HYJ83" i="1"/>
  <c r="HYI83" i="1"/>
  <c r="HYH83" i="1"/>
  <c r="HYG83" i="1"/>
  <c r="HYF83" i="1"/>
  <c r="HYE83" i="1"/>
  <c r="HYD83" i="1"/>
  <c r="HYC83" i="1"/>
  <c r="HYB83" i="1"/>
  <c r="HYA83" i="1"/>
  <c r="HXZ83" i="1"/>
  <c r="HXY83" i="1"/>
  <c r="HXX83" i="1"/>
  <c r="HXW83" i="1"/>
  <c r="HXV83" i="1"/>
  <c r="HXU83" i="1"/>
  <c r="HXT83" i="1"/>
  <c r="HXS83" i="1"/>
  <c r="HXR83" i="1"/>
  <c r="HXQ83" i="1"/>
  <c r="HXP83" i="1"/>
  <c r="HXO83" i="1"/>
  <c r="HXN83" i="1"/>
  <c r="HXM83" i="1"/>
  <c r="HXL83" i="1"/>
  <c r="HXK83" i="1"/>
  <c r="HXJ83" i="1"/>
  <c r="HXI83" i="1"/>
  <c r="HXH83" i="1"/>
  <c r="HXG83" i="1"/>
  <c r="HXF83" i="1"/>
  <c r="HXE83" i="1"/>
  <c r="HXD83" i="1"/>
  <c r="HXC83" i="1"/>
  <c r="HXB83" i="1"/>
  <c r="HXA83" i="1"/>
  <c r="HWZ83" i="1"/>
  <c r="HWY83" i="1"/>
  <c r="HWX83" i="1"/>
  <c r="HWW83" i="1"/>
  <c r="HWV83" i="1"/>
  <c r="HWU83" i="1"/>
  <c r="HWT83" i="1"/>
  <c r="HWS83" i="1"/>
  <c r="HWR83" i="1"/>
  <c r="HWQ83" i="1"/>
  <c r="HWP83" i="1"/>
  <c r="HWO83" i="1"/>
  <c r="HWN83" i="1"/>
  <c r="HWM83" i="1"/>
  <c r="HWL83" i="1"/>
  <c r="HWK83" i="1"/>
  <c r="HWJ83" i="1"/>
  <c r="HWI83" i="1"/>
  <c r="HWH83" i="1"/>
  <c r="HWG83" i="1"/>
  <c r="HWF83" i="1"/>
  <c r="HWE83" i="1"/>
  <c r="HWD83" i="1"/>
  <c r="HWC83" i="1"/>
  <c r="HWB83" i="1"/>
  <c r="HWA83" i="1"/>
  <c r="HVZ83" i="1"/>
  <c r="HVY83" i="1"/>
  <c r="HVX83" i="1"/>
  <c r="HVW83" i="1"/>
  <c r="HVV83" i="1"/>
  <c r="HVU83" i="1"/>
  <c r="HVT83" i="1"/>
  <c r="HVS83" i="1"/>
  <c r="HVR83" i="1"/>
  <c r="HVQ83" i="1"/>
  <c r="HVP83" i="1"/>
  <c r="HVO83" i="1"/>
  <c r="HVN83" i="1"/>
  <c r="HVM83" i="1"/>
  <c r="HVL83" i="1"/>
  <c r="HVK83" i="1"/>
  <c r="HVJ83" i="1"/>
  <c r="HVI83" i="1"/>
  <c r="HVH83" i="1"/>
  <c r="HVG83" i="1"/>
  <c r="HVF83" i="1"/>
  <c r="HVE83" i="1"/>
  <c r="HVD83" i="1"/>
  <c r="HVC83" i="1"/>
  <c r="HVB83" i="1"/>
  <c r="HVA83" i="1"/>
  <c r="HUZ83" i="1"/>
  <c r="HUY83" i="1"/>
  <c r="HUX83" i="1"/>
  <c r="HUW83" i="1"/>
  <c r="HUV83" i="1"/>
  <c r="HUU83" i="1"/>
  <c r="HUT83" i="1"/>
  <c r="HUS83" i="1"/>
  <c r="HUR83" i="1"/>
  <c r="HUQ83" i="1"/>
  <c r="HUP83" i="1"/>
  <c r="HUO83" i="1"/>
  <c r="HUN83" i="1"/>
  <c r="HUM83" i="1"/>
  <c r="HUL83" i="1"/>
  <c r="HUK83" i="1"/>
  <c r="HUJ83" i="1"/>
  <c r="HUI83" i="1"/>
  <c r="HUH83" i="1"/>
  <c r="HUG83" i="1"/>
  <c r="HUF83" i="1"/>
  <c r="HUE83" i="1"/>
  <c r="HUD83" i="1"/>
  <c r="HUC83" i="1"/>
  <c r="HUB83" i="1"/>
  <c r="HUA83" i="1"/>
  <c r="HTZ83" i="1"/>
  <c r="HTY83" i="1"/>
  <c r="HTX83" i="1"/>
  <c r="HTW83" i="1"/>
  <c r="HTV83" i="1"/>
  <c r="HTU83" i="1"/>
  <c r="HTT83" i="1"/>
  <c r="HTS83" i="1"/>
  <c r="HTR83" i="1"/>
  <c r="HTQ83" i="1"/>
  <c r="HTP83" i="1"/>
  <c r="HTO83" i="1"/>
  <c r="HTN83" i="1"/>
  <c r="HTM83" i="1"/>
  <c r="HTL83" i="1"/>
  <c r="HTK83" i="1"/>
  <c r="HTJ83" i="1"/>
  <c r="HTI83" i="1"/>
  <c r="HTH83" i="1"/>
  <c r="HTG83" i="1"/>
  <c r="HTF83" i="1"/>
  <c r="HTE83" i="1"/>
  <c r="HTD83" i="1"/>
  <c r="HTC83" i="1"/>
  <c r="HTB83" i="1"/>
  <c r="HTA83" i="1"/>
  <c r="HSZ83" i="1"/>
  <c r="HSY83" i="1"/>
  <c r="HSX83" i="1"/>
  <c r="HSW83" i="1"/>
  <c r="HSV83" i="1"/>
  <c r="HSU83" i="1"/>
  <c r="HST83" i="1"/>
  <c r="HSS83" i="1"/>
  <c r="HSR83" i="1"/>
  <c r="HSQ83" i="1"/>
  <c r="HSP83" i="1"/>
  <c r="HSO83" i="1"/>
  <c r="HSN83" i="1"/>
  <c r="HSM83" i="1"/>
  <c r="HSL83" i="1"/>
  <c r="HSK83" i="1"/>
  <c r="HSJ83" i="1"/>
  <c r="HSI83" i="1"/>
  <c r="HSH83" i="1"/>
  <c r="HSG83" i="1"/>
  <c r="HSF83" i="1"/>
  <c r="HSE83" i="1"/>
  <c r="HSD83" i="1"/>
  <c r="HSC83" i="1"/>
  <c r="HSB83" i="1"/>
  <c r="HSA83" i="1"/>
  <c r="HRZ83" i="1"/>
  <c r="HRY83" i="1"/>
  <c r="HRX83" i="1"/>
  <c r="HRW83" i="1"/>
  <c r="HRV83" i="1"/>
  <c r="HRU83" i="1"/>
  <c r="HRT83" i="1"/>
  <c r="HRS83" i="1"/>
  <c r="HRR83" i="1"/>
  <c r="HRQ83" i="1"/>
  <c r="HRP83" i="1"/>
  <c r="HRO83" i="1"/>
  <c r="HRN83" i="1"/>
  <c r="HRM83" i="1"/>
  <c r="HRL83" i="1"/>
  <c r="HRK83" i="1"/>
  <c r="HRJ83" i="1"/>
  <c r="HRI83" i="1"/>
  <c r="HRH83" i="1"/>
  <c r="HRG83" i="1"/>
  <c r="HRF83" i="1"/>
  <c r="HRE83" i="1"/>
  <c r="HRD83" i="1"/>
  <c r="HRC83" i="1"/>
  <c r="HRB83" i="1"/>
  <c r="HRA83" i="1"/>
  <c r="HQZ83" i="1"/>
  <c r="HQY83" i="1"/>
  <c r="HQX83" i="1"/>
  <c r="HQW83" i="1"/>
  <c r="HQV83" i="1"/>
  <c r="HQU83" i="1"/>
  <c r="HQT83" i="1"/>
  <c r="HQS83" i="1"/>
  <c r="HQR83" i="1"/>
  <c r="HQQ83" i="1"/>
  <c r="HQP83" i="1"/>
  <c r="HQO83" i="1"/>
  <c r="HQN83" i="1"/>
  <c r="HQM83" i="1"/>
  <c r="HQL83" i="1"/>
  <c r="HQK83" i="1"/>
  <c r="HQJ83" i="1"/>
  <c r="HQI83" i="1"/>
  <c r="HQH83" i="1"/>
  <c r="HQG83" i="1"/>
  <c r="HQF83" i="1"/>
  <c r="HQE83" i="1"/>
  <c r="HQD83" i="1"/>
  <c r="HQC83" i="1"/>
  <c r="HQB83" i="1"/>
  <c r="HQA83" i="1"/>
  <c r="HPZ83" i="1"/>
  <c r="HPY83" i="1"/>
  <c r="HPX83" i="1"/>
  <c r="HPW83" i="1"/>
  <c r="HPV83" i="1"/>
  <c r="HPU83" i="1"/>
  <c r="HPT83" i="1"/>
  <c r="HPS83" i="1"/>
  <c r="HPR83" i="1"/>
  <c r="HPQ83" i="1"/>
  <c r="HPP83" i="1"/>
  <c r="HPO83" i="1"/>
  <c r="HPN83" i="1"/>
  <c r="HPM83" i="1"/>
  <c r="HPL83" i="1"/>
  <c r="HPK83" i="1"/>
  <c r="HPJ83" i="1"/>
  <c r="HPI83" i="1"/>
  <c r="HPH83" i="1"/>
  <c r="HPG83" i="1"/>
  <c r="HPF83" i="1"/>
  <c r="HPE83" i="1"/>
  <c r="HPD83" i="1"/>
  <c r="HPC83" i="1"/>
  <c r="HPB83" i="1"/>
  <c r="HPA83" i="1"/>
  <c r="HOZ83" i="1"/>
  <c r="HOY83" i="1"/>
  <c r="HOX83" i="1"/>
  <c r="HOW83" i="1"/>
  <c r="HOV83" i="1"/>
  <c r="HOU83" i="1"/>
  <c r="HOT83" i="1"/>
  <c r="HOS83" i="1"/>
  <c r="HOR83" i="1"/>
  <c r="HOQ83" i="1"/>
  <c r="HOP83" i="1"/>
  <c r="HOO83" i="1"/>
  <c r="HON83" i="1"/>
  <c r="HOM83" i="1"/>
  <c r="HOL83" i="1"/>
  <c r="HOK83" i="1"/>
  <c r="HOJ83" i="1"/>
  <c r="HOI83" i="1"/>
  <c r="HOH83" i="1"/>
  <c r="HOG83" i="1"/>
  <c r="HOF83" i="1"/>
  <c r="HOE83" i="1"/>
  <c r="HOD83" i="1"/>
  <c r="HOC83" i="1"/>
  <c r="HOB83" i="1"/>
  <c r="HOA83" i="1"/>
  <c r="HNZ83" i="1"/>
  <c r="HNY83" i="1"/>
  <c r="HNX83" i="1"/>
  <c r="HNW83" i="1"/>
  <c r="HNV83" i="1"/>
  <c r="HNU83" i="1"/>
  <c r="HNT83" i="1"/>
  <c r="HNS83" i="1"/>
  <c r="HNR83" i="1"/>
  <c r="HNQ83" i="1"/>
  <c r="HNP83" i="1"/>
  <c r="HNO83" i="1"/>
  <c r="HNN83" i="1"/>
  <c r="HNM83" i="1"/>
  <c r="HNL83" i="1"/>
  <c r="HNK83" i="1"/>
  <c r="HNJ83" i="1"/>
  <c r="HNI83" i="1"/>
  <c r="HNH83" i="1"/>
  <c r="HNG83" i="1"/>
  <c r="HNF83" i="1"/>
  <c r="HNE83" i="1"/>
  <c r="HND83" i="1"/>
  <c r="HNC83" i="1"/>
  <c r="HNB83" i="1"/>
  <c r="HNA83" i="1"/>
  <c r="HMZ83" i="1"/>
  <c r="HMY83" i="1"/>
  <c r="HMX83" i="1"/>
  <c r="HMW83" i="1"/>
  <c r="HMV83" i="1"/>
  <c r="HMU83" i="1"/>
  <c r="HMT83" i="1"/>
  <c r="HMS83" i="1"/>
  <c r="HMR83" i="1"/>
  <c r="HMQ83" i="1"/>
  <c r="HMP83" i="1"/>
  <c r="HMO83" i="1"/>
  <c r="HMN83" i="1"/>
  <c r="HMM83" i="1"/>
  <c r="HML83" i="1"/>
  <c r="HMK83" i="1"/>
  <c r="HMJ83" i="1"/>
  <c r="HMI83" i="1"/>
  <c r="HMH83" i="1"/>
  <c r="HMG83" i="1"/>
  <c r="HMF83" i="1"/>
  <c r="HME83" i="1"/>
  <c r="HMD83" i="1"/>
  <c r="HMC83" i="1"/>
  <c r="HMB83" i="1"/>
  <c r="HMA83" i="1"/>
  <c r="HLZ83" i="1"/>
  <c r="HLY83" i="1"/>
  <c r="HLX83" i="1"/>
  <c r="HLW83" i="1"/>
  <c r="HLV83" i="1"/>
  <c r="HLU83" i="1"/>
  <c r="HLT83" i="1"/>
  <c r="HLS83" i="1"/>
  <c r="HLR83" i="1"/>
  <c r="HLQ83" i="1"/>
  <c r="HLP83" i="1"/>
  <c r="HLO83" i="1"/>
  <c r="HLN83" i="1"/>
  <c r="HLM83" i="1"/>
  <c r="HLL83" i="1"/>
  <c r="HLK83" i="1"/>
  <c r="HLJ83" i="1"/>
  <c r="HLI83" i="1"/>
  <c r="HLH83" i="1"/>
  <c r="HLG83" i="1"/>
  <c r="HLF83" i="1"/>
  <c r="HLE83" i="1"/>
  <c r="HLD83" i="1"/>
  <c r="HLC83" i="1"/>
  <c r="HLB83" i="1"/>
  <c r="HLA83" i="1"/>
  <c r="HKZ83" i="1"/>
  <c r="HKY83" i="1"/>
  <c r="HKX83" i="1"/>
  <c r="HKW83" i="1"/>
  <c r="HKV83" i="1"/>
  <c r="HKU83" i="1"/>
  <c r="HKT83" i="1"/>
  <c r="HKS83" i="1"/>
  <c r="HKR83" i="1"/>
  <c r="HKQ83" i="1"/>
  <c r="HKP83" i="1"/>
  <c r="HKO83" i="1"/>
  <c r="HKN83" i="1"/>
  <c r="HKM83" i="1"/>
  <c r="HKL83" i="1"/>
  <c r="HKK83" i="1"/>
  <c r="HKJ83" i="1"/>
  <c r="HKI83" i="1"/>
  <c r="HKH83" i="1"/>
  <c r="HKG83" i="1"/>
  <c r="HKF83" i="1"/>
  <c r="HKE83" i="1"/>
  <c r="HKD83" i="1"/>
  <c r="HKC83" i="1"/>
  <c r="HKB83" i="1"/>
  <c r="HKA83" i="1"/>
  <c r="HJZ83" i="1"/>
  <c r="HJY83" i="1"/>
  <c r="HJX83" i="1"/>
  <c r="HJW83" i="1"/>
  <c r="HJV83" i="1"/>
  <c r="HJU83" i="1"/>
  <c r="HJT83" i="1"/>
  <c r="HJS83" i="1"/>
  <c r="HJR83" i="1"/>
  <c r="HJQ83" i="1"/>
  <c r="HJP83" i="1"/>
  <c r="HJO83" i="1"/>
  <c r="HJN83" i="1"/>
  <c r="HJM83" i="1"/>
  <c r="HJL83" i="1"/>
  <c r="HJK83" i="1"/>
  <c r="HJJ83" i="1"/>
  <c r="HJI83" i="1"/>
  <c r="HJH83" i="1"/>
  <c r="HJG83" i="1"/>
  <c r="HJF83" i="1"/>
  <c r="HJE83" i="1"/>
  <c r="HJD83" i="1"/>
  <c r="HJC83" i="1"/>
  <c r="HJB83" i="1"/>
  <c r="HJA83" i="1"/>
  <c r="HIZ83" i="1"/>
  <c r="HIY83" i="1"/>
  <c r="HIX83" i="1"/>
  <c r="HIW83" i="1"/>
  <c r="HIV83" i="1"/>
  <c r="HIU83" i="1"/>
  <c r="HIT83" i="1"/>
  <c r="HIS83" i="1"/>
  <c r="HIR83" i="1"/>
  <c r="HIQ83" i="1"/>
  <c r="HIP83" i="1"/>
  <c r="HIO83" i="1"/>
  <c r="HIN83" i="1"/>
  <c r="HIM83" i="1"/>
  <c r="HIL83" i="1"/>
  <c r="HIK83" i="1"/>
  <c r="HIJ83" i="1"/>
  <c r="HII83" i="1"/>
  <c r="HIH83" i="1"/>
  <c r="HIG83" i="1"/>
  <c r="HIF83" i="1"/>
  <c r="HIE83" i="1"/>
  <c r="HID83" i="1"/>
  <c r="HIC83" i="1"/>
  <c r="HIB83" i="1"/>
  <c r="HIA83" i="1"/>
  <c r="HHZ83" i="1"/>
  <c r="HHY83" i="1"/>
  <c r="HHX83" i="1"/>
  <c r="HHW83" i="1"/>
  <c r="HHV83" i="1"/>
  <c r="HHU83" i="1"/>
  <c r="HHT83" i="1"/>
  <c r="HHS83" i="1"/>
  <c r="HHR83" i="1"/>
  <c r="HHQ83" i="1"/>
  <c r="HHP83" i="1"/>
  <c r="HHO83" i="1"/>
  <c r="HHN83" i="1"/>
  <c r="HHM83" i="1"/>
  <c r="HHL83" i="1"/>
  <c r="HHK83" i="1"/>
  <c r="HHJ83" i="1"/>
  <c r="HHI83" i="1"/>
  <c r="HHH83" i="1"/>
  <c r="HHG83" i="1"/>
  <c r="HHF83" i="1"/>
  <c r="HHE83" i="1"/>
  <c r="HHD83" i="1"/>
  <c r="HHC83" i="1"/>
  <c r="HHB83" i="1"/>
  <c r="HHA83" i="1"/>
  <c r="HGZ83" i="1"/>
  <c r="HGY83" i="1"/>
  <c r="HGX83" i="1"/>
  <c r="HGW83" i="1"/>
  <c r="HGV83" i="1"/>
  <c r="HGU83" i="1"/>
  <c r="HGT83" i="1"/>
  <c r="HGS83" i="1"/>
  <c r="HGR83" i="1"/>
  <c r="HGQ83" i="1"/>
  <c r="HGP83" i="1"/>
  <c r="HGO83" i="1"/>
  <c r="HGN83" i="1"/>
  <c r="HGM83" i="1"/>
  <c r="HGL83" i="1"/>
  <c r="HGK83" i="1"/>
  <c r="HGJ83" i="1"/>
  <c r="HGI83" i="1"/>
  <c r="HGH83" i="1"/>
  <c r="HGG83" i="1"/>
  <c r="HGF83" i="1"/>
  <c r="HGE83" i="1"/>
  <c r="HGD83" i="1"/>
  <c r="HGC83" i="1"/>
  <c r="HGB83" i="1"/>
  <c r="HGA83" i="1"/>
  <c r="HFZ83" i="1"/>
  <c r="HFY83" i="1"/>
  <c r="HFX83" i="1"/>
  <c r="HFW83" i="1"/>
  <c r="HFV83" i="1"/>
  <c r="HFU83" i="1"/>
  <c r="HFT83" i="1"/>
  <c r="HFS83" i="1"/>
  <c r="HFR83" i="1"/>
  <c r="HFQ83" i="1"/>
  <c r="HFP83" i="1"/>
  <c r="HFO83" i="1"/>
  <c r="HFN83" i="1"/>
  <c r="HFM83" i="1"/>
  <c r="HFL83" i="1"/>
  <c r="HFK83" i="1"/>
  <c r="HFJ83" i="1"/>
  <c r="HFI83" i="1"/>
  <c r="HFH83" i="1"/>
  <c r="HFG83" i="1"/>
  <c r="HFF83" i="1"/>
  <c r="HFE83" i="1"/>
  <c r="HFD83" i="1"/>
  <c r="HFC83" i="1"/>
  <c r="HFB83" i="1"/>
  <c r="HFA83" i="1"/>
  <c r="HEZ83" i="1"/>
  <c r="HEY83" i="1"/>
  <c r="HEX83" i="1"/>
  <c r="HEW83" i="1"/>
  <c r="HEV83" i="1"/>
  <c r="HEU83" i="1"/>
  <c r="HET83" i="1"/>
  <c r="HES83" i="1"/>
  <c r="HER83" i="1"/>
  <c r="HEQ83" i="1"/>
  <c r="HEP83" i="1"/>
  <c r="HEO83" i="1"/>
  <c r="HEN83" i="1"/>
  <c r="HEM83" i="1"/>
  <c r="HEL83" i="1"/>
  <c r="HEK83" i="1"/>
  <c r="HEJ83" i="1"/>
  <c r="HEI83" i="1"/>
  <c r="HEH83" i="1"/>
  <c r="HEG83" i="1"/>
  <c r="HEF83" i="1"/>
  <c r="HEE83" i="1"/>
  <c r="HED83" i="1"/>
  <c r="HEC83" i="1"/>
  <c r="HEB83" i="1"/>
  <c r="HEA83" i="1"/>
  <c r="HDZ83" i="1"/>
  <c r="HDY83" i="1"/>
  <c r="HDX83" i="1"/>
  <c r="HDW83" i="1"/>
  <c r="HDV83" i="1"/>
  <c r="HDU83" i="1"/>
  <c r="HDT83" i="1"/>
  <c r="HDS83" i="1"/>
  <c r="HDR83" i="1"/>
  <c r="HDQ83" i="1"/>
  <c r="HDP83" i="1"/>
  <c r="HDO83" i="1"/>
  <c r="HDN83" i="1"/>
  <c r="HDM83" i="1"/>
  <c r="HDL83" i="1"/>
  <c r="HDK83" i="1"/>
  <c r="HDJ83" i="1"/>
  <c r="HDI83" i="1"/>
  <c r="HDH83" i="1"/>
  <c r="HDG83" i="1"/>
  <c r="HDF83" i="1"/>
  <c r="HDE83" i="1"/>
  <c r="HDD83" i="1"/>
  <c r="HDC83" i="1"/>
  <c r="HDB83" i="1"/>
  <c r="HDA83" i="1"/>
  <c r="HCZ83" i="1"/>
  <c r="HCY83" i="1"/>
  <c r="HCX83" i="1"/>
  <c r="HCW83" i="1"/>
  <c r="HCV83" i="1"/>
  <c r="HCU83" i="1"/>
  <c r="HCT83" i="1"/>
  <c r="HCS83" i="1"/>
  <c r="HCR83" i="1"/>
  <c r="HCQ83" i="1"/>
  <c r="HCP83" i="1"/>
  <c r="HCO83" i="1"/>
  <c r="HCN83" i="1"/>
  <c r="HCM83" i="1"/>
  <c r="HCL83" i="1"/>
  <c r="HCK83" i="1"/>
  <c r="HCJ83" i="1"/>
  <c r="HCI83" i="1"/>
  <c r="HCH83" i="1"/>
  <c r="HCG83" i="1"/>
  <c r="HCF83" i="1"/>
  <c r="HCE83" i="1"/>
  <c r="HCD83" i="1"/>
  <c r="HCC83" i="1"/>
  <c r="HCB83" i="1"/>
  <c r="HCA83" i="1"/>
  <c r="HBZ83" i="1"/>
  <c r="HBY83" i="1"/>
  <c r="HBX83" i="1"/>
  <c r="HBW83" i="1"/>
  <c r="HBV83" i="1"/>
  <c r="HBU83" i="1"/>
  <c r="HBT83" i="1"/>
  <c r="HBS83" i="1"/>
  <c r="HBR83" i="1"/>
  <c r="HBQ83" i="1"/>
  <c r="HBP83" i="1"/>
  <c r="HBO83" i="1"/>
  <c r="HBN83" i="1"/>
  <c r="HBM83" i="1"/>
  <c r="HBL83" i="1"/>
  <c r="HBK83" i="1"/>
  <c r="HBJ83" i="1"/>
  <c r="HBI83" i="1"/>
  <c r="HBH83" i="1"/>
  <c r="HBG83" i="1"/>
  <c r="HBF83" i="1"/>
  <c r="HBE83" i="1"/>
  <c r="HBD83" i="1"/>
  <c r="HBC83" i="1"/>
  <c r="HBB83" i="1"/>
  <c r="HBA83" i="1"/>
  <c r="HAZ83" i="1"/>
  <c r="HAY83" i="1"/>
  <c r="HAX83" i="1"/>
  <c r="HAW83" i="1"/>
  <c r="HAV83" i="1"/>
  <c r="HAU83" i="1"/>
  <c r="HAT83" i="1"/>
  <c r="HAS83" i="1"/>
  <c r="HAR83" i="1"/>
  <c r="HAQ83" i="1"/>
  <c r="HAP83" i="1"/>
  <c r="HAO83" i="1"/>
  <c r="HAN83" i="1"/>
  <c r="HAM83" i="1"/>
  <c r="HAL83" i="1"/>
  <c r="HAK83" i="1"/>
  <c r="HAJ83" i="1"/>
  <c r="HAI83" i="1"/>
  <c r="HAH83" i="1"/>
  <c r="HAG83" i="1"/>
  <c r="HAF83" i="1"/>
  <c r="HAE83" i="1"/>
  <c r="HAD83" i="1"/>
  <c r="HAC83" i="1"/>
  <c r="HAB83" i="1"/>
  <c r="HAA83" i="1"/>
  <c r="GZZ83" i="1"/>
  <c r="GZY83" i="1"/>
  <c r="GZX83" i="1"/>
  <c r="GZW83" i="1"/>
  <c r="GZV83" i="1"/>
  <c r="GZU83" i="1"/>
  <c r="GZT83" i="1"/>
  <c r="GZS83" i="1"/>
  <c r="GZR83" i="1"/>
  <c r="GZQ83" i="1"/>
  <c r="GZP83" i="1"/>
  <c r="GZO83" i="1"/>
  <c r="GZN83" i="1"/>
  <c r="GZM83" i="1"/>
  <c r="GZL83" i="1"/>
  <c r="GZK83" i="1"/>
  <c r="GZJ83" i="1"/>
  <c r="GZI83" i="1"/>
  <c r="GZH83" i="1"/>
  <c r="GZG83" i="1"/>
  <c r="GZF83" i="1"/>
  <c r="GZE83" i="1"/>
  <c r="GZD83" i="1"/>
  <c r="GZC83" i="1"/>
  <c r="GZB83" i="1"/>
  <c r="GZA83" i="1"/>
  <c r="GYZ83" i="1"/>
  <c r="GYY83" i="1"/>
  <c r="GYX83" i="1"/>
  <c r="GYW83" i="1"/>
  <c r="GYV83" i="1"/>
  <c r="GYU83" i="1"/>
  <c r="GYT83" i="1"/>
  <c r="GYS83" i="1"/>
  <c r="GYR83" i="1"/>
  <c r="GYQ83" i="1"/>
  <c r="GYP83" i="1"/>
  <c r="GYO83" i="1"/>
  <c r="GYN83" i="1"/>
  <c r="GYM83" i="1"/>
  <c r="GYL83" i="1"/>
  <c r="GYK83" i="1"/>
  <c r="GYJ83" i="1"/>
  <c r="GYI83" i="1"/>
  <c r="GYH83" i="1"/>
  <c r="GYG83" i="1"/>
  <c r="GYF83" i="1"/>
  <c r="GYE83" i="1"/>
  <c r="GYD83" i="1"/>
  <c r="GYC83" i="1"/>
  <c r="GYB83" i="1"/>
  <c r="GYA83" i="1"/>
  <c r="GXZ83" i="1"/>
  <c r="GXY83" i="1"/>
  <c r="GXX83" i="1"/>
  <c r="GXW83" i="1"/>
  <c r="GXV83" i="1"/>
  <c r="GXU83" i="1"/>
  <c r="GXT83" i="1"/>
  <c r="GXS83" i="1"/>
  <c r="GXR83" i="1"/>
  <c r="GXQ83" i="1"/>
  <c r="GXP83" i="1"/>
  <c r="GXO83" i="1"/>
  <c r="GXN83" i="1"/>
  <c r="GXM83" i="1"/>
  <c r="GXL83" i="1"/>
  <c r="GXK83" i="1"/>
  <c r="GXJ83" i="1"/>
  <c r="GXI83" i="1"/>
  <c r="GXH83" i="1"/>
  <c r="GXG83" i="1"/>
  <c r="GXF83" i="1"/>
  <c r="GXE83" i="1"/>
  <c r="GXD83" i="1"/>
  <c r="GXC83" i="1"/>
  <c r="GXB83" i="1"/>
  <c r="GXA83" i="1"/>
  <c r="GWZ83" i="1"/>
  <c r="GWY83" i="1"/>
  <c r="GWX83" i="1"/>
  <c r="GWW83" i="1"/>
  <c r="GWV83" i="1"/>
  <c r="GWU83" i="1"/>
  <c r="GWT83" i="1"/>
  <c r="GWS83" i="1"/>
  <c r="GWR83" i="1"/>
  <c r="GWQ83" i="1"/>
  <c r="GWP83" i="1"/>
  <c r="GWO83" i="1"/>
  <c r="GWN83" i="1"/>
  <c r="GWM83" i="1"/>
  <c r="GWL83" i="1"/>
  <c r="GWK83" i="1"/>
  <c r="GWJ83" i="1"/>
  <c r="GWI83" i="1"/>
  <c r="GWH83" i="1"/>
  <c r="GWG83" i="1"/>
  <c r="GWF83" i="1"/>
  <c r="GWE83" i="1"/>
  <c r="GWD83" i="1"/>
  <c r="GWC83" i="1"/>
  <c r="GWB83" i="1"/>
  <c r="GWA83" i="1"/>
  <c r="GVZ83" i="1"/>
  <c r="GVY83" i="1"/>
  <c r="GVX83" i="1"/>
  <c r="GVW83" i="1"/>
  <c r="GVV83" i="1"/>
  <c r="GVU83" i="1"/>
  <c r="GVT83" i="1"/>
  <c r="GVS83" i="1"/>
  <c r="GVR83" i="1"/>
  <c r="GVQ83" i="1"/>
  <c r="GVP83" i="1"/>
  <c r="GVO83" i="1"/>
  <c r="GVN83" i="1"/>
  <c r="GVM83" i="1"/>
  <c r="GVL83" i="1"/>
  <c r="GVK83" i="1"/>
  <c r="GVJ83" i="1"/>
  <c r="GVI83" i="1"/>
  <c r="GVH83" i="1"/>
  <c r="GVG83" i="1"/>
  <c r="GVF83" i="1"/>
  <c r="GVE83" i="1"/>
  <c r="GVD83" i="1"/>
  <c r="GVC83" i="1"/>
  <c r="GVB83" i="1"/>
  <c r="GVA83" i="1"/>
  <c r="GUZ83" i="1"/>
  <c r="GUY83" i="1"/>
  <c r="GUX83" i="1"/>
  <c r="GUW83" i="1"/>
  <c r="GUV83" i="1"/>
  <c r="GUU83" i="1"/>
  <c r="GUT83" i="1"/>
  <c r="GUS83" i="1"/>
  <c r="GUR83" i="1"/>
  <c r="GUQ83" i="1"/>
  <c r="GUP83" i="1"/>
  <c r="GUO83" i="1"/>
  <c r="GUN83" i="1"/>
  <c r="GUM83" i="1"/>
  <c r="GUL83" i="1"/>
  <c r="GUK83" i="1"/>
  <c r="GUJ83" i="1"/>
  <c r="GUI83" i="1"/>
  <c r="GUH83" i="1"/>
  <c r="GUG83" i="1"/>
  <c r="GUF83" i="1"/>
  <c r="GUE83" i="1"/>
  <c r="GUD83" i="1"/>
  <c r="GUC83" i="1"/>
  <c r="GUB83" i="1"/>
  <c r="GUA83" i="1"/>
  <c r="GTZ83" i="1"/>
  <c r="GTY83" i="1"/>
  <c r="GTX83" i="1"/>
  <c r="GTW83" i="1"/>
  <c r="GTV83" i="1"/>
  <c r="GTU83" i="1"/>
  <c r="GTT83" i="1"/>
  <c r="GTS83" i="1"/>
  <c r="GTR83" i="1"/>
  <c r="GTQ83" i="1"/>
  <c r="GTP83" i="1"/>
  <c r="GTO83" i="1"/>
  <c r="GTN83" i="1"/>
  <c r="GTM83" i="1"/>
  <c r="GTL83" i="1"/>
  <c r="GTK83" i="1"/>
  <c r="GTJ83" i="1"/>
  <c r="GTI83" i="1"/>
  <c r="GTH83" i="1"/>
  <c r="GTG83" i="1"/>
  <c r="GTF83" i="1"/>
  <c r="GTE83" i="1"/>
  <c r="GTD83" i="1"/>
  <c r="GTC83" i="1"/>
  <c r="GTB83" i="1"/>
  <c r="GTA83" i="1"/>
  <c r="GSZ83" i="1"/>
  <c r="GSY83" i="1"/>
  <c r="GSX83" i="1"/>
  <c r="GSW83" i="1"/>
  <c r="GSV83" i="1"/>
  <c r="GSU83" i="1"/>
  <c r="GST83" i="1"/>
  <c r="GSS83" i="1"/>
  <c r="GSR83" i="1"/>
  <c r="GSQ83" i="1"/>
  <c r="GSP83" i="1"/>
  <c r="GSO83" i="1"/>
  <c r="GSN83" i="1"/>
  <c r="GSM83" i="1"/>
  <c r="GSL83" i="1"/>
  <c r="GSK83" i="1"/>
  <c r="GSJ83" i="1"/>
  <c r="GSI83" i="1"/>
  <c r="GSH83" i="1"/>
  <c r="GSG83" i="1"/>
  <c r="GSF83" i="1"/>
  <c r="GSE83" i="1"/>
  <c r="GSD83" i="1"/>
  <c r="GSC83" i="1"/>
  <c r="GSB83" i="1"/>
  <c r="GSA83" i="1"/>
  <c r="GRZ83" i="1"/>
  <c r="GRY83" i="1"/>
  <c r="GRX83" i="1"/>
  <c r="GRW83" i="1"/>
  <c r="GRV83" i="1"/>
  <c r="GRU83" i="1"/>
  <c r="GRT83" i="1"/>
  <c r="GRS83" i="1"/>
  <c r="GRR83" i="1"/>
  <c r="GRQ83" i="1"/>
  <c r="GRP83" i="1"/>
  <c r="GRO83" i="1"/>
  <c r="GRN83" i="1"/>
  <c r="GRM83" i="1"/>
  <c r="GRL83" i="1"/>
  <c r="GRK83" i="1"/>
  <c r="GRJ83" i="1"/>
  <c r="GRI83" i="1"/>
  <c r="GRH83" i="1"/>
  <c r="GRG83" i="1"/>
  <c r="GRF83" i="1"/>
  <c r="GRE83" i="1"/>
  <c r="GRD83" i="1"/>
  <c r="GRC83" i="1"/>
  <c r="GRB83" i="1"/>
  <c r="GRA83" i="1"/>
  <c r="GQZ83" i="1"/>
  <c r="GQY83" i="1"/>
  <c r="GQX83" i="1"/>
  <c r="GQW83" i="1"/>
  <c r="GQV83" i="1"/>
  <c r="GQU83" i="1"/>
  <c r="GQT83" i="1"/>
  <c r="GQS83" i="1"/>
  <c r="GQR83" i="1"/>
  <c r="GQQ83" i="1"/>
  <c r="GQP83" i="1"/>
  <c r="GQO83" i="1"/>
  <c r="GQN83" i="1"/>
  <c r="GQM83" i="1"/>
  <c r="GQL83" i="1"/>
  <c r="GQK83" i="1"/>
  <c r="GQJ83" i="1"/>
  <c r="GQI83" i="1"/>
  <c r="GQH83" i="1"/>
  <c r="GQG83" i="1"/>
  <c r="GQF83" i="1"/>
  <c r="GQE83" i="1"/>
  <c r="GQD83" i="1"/>
  <c r="GQC83" i="1"/>
  <c r="GQB83" i="1"/>
  <c r="GQA83" i="1"/>
  <c r="GPZ83" i="1"/>
  <c r="GPY83" i="1"/>
  <c r="GPX83" i="1"/>
  <c r="GPW83" i="1"/>
  <c r="GPV83" i="1"/>
  <c r="GPU83" i="1"/>
  <c r="GPT83" i="1"/>
  <c r="GPS83" i="1"/>
  <c r="GPR83" i="1"/>
  <c r="GPQ83" i="1"/>
  <c r="GPP83" i="1"/>
  <c r="GPO83" i="1"/>
  <c r="GPN83" i="1"/>
  <c r="GPM83" i="1"/>
  <c r="GPL83" i="1"/>
  <c r="GPK83" i="1"/>
  <c r="GPJ83" i="1"/>
  <c r="GPI83" i="1"/>
  <c r="GPH83" i="1"/>
  <c r="GPG83" i="1"/>
  <c r="GPF83" i="1"/>
  <c r="GPE83" i="1"/>
  <c r="GPD83" i="1"/>
  <c r="GPC83" i="1"/>
  <c r="GPB83" i="1"/>
  <c r="GPA83" i="1"/>
  <c r="GOZ83" i="1"/>
  <c r="GOY83" i="1"/>
  <c r="GOX83" i="1"/>
  <c r="GOW83" i="1"/>
  <c r="GOV83" i="1"/>
  <c r="GOU83" i="1"/>
  <c r="GOT83" i="1"/>
  <c r="GOS83" i="1"/>
  <c r="GOR83" i="1"/>
  <c r="GOQ83" i="1"/>
  <c r="GOP83" i="1"/>
  <c r="GOO83" i="1"/>
  <c r="GON83" i="1"/>
  <c r="GOM83" i="1"/>
  <c r="GOL83" i="1"/>
  <c r="GOK83" i="1"/>
  <c r="GOJ83" i="1"/>
  <c r="GOI83" i="1"/>
  <c r="GOH83" i="1"/>
  <c r="GOG83" i="1"/>
  <c r="GOF83" i="1"/>
  <c r="GOE83" i="1"/>
  <c r="GOD83" i="1"/>
  <c r="GOC83" i="1"/>
  <c r="GOB83" i="1"/>
  <c r="GOA83" i="1"/>
  <c r="GNZ83" i="1"/>
  <c r="GNY83" i="1"/>
  <c r="GNX83" i="1"/>
  <c r="GNW83" i="1"/>
  <c r="GNV83" i="1"/>
  <c r="GNU83" i="1"/>
  <c r="GNT83" i="1"/>
  <c r="GNS83" i="1"/>
  <c r="GNR83" i="1"/>
  <c r="GNQ83" i="1"/>
  <c r="GNP83" i="1"/>
  <c r="GNO83" i="1"/>
  <c r="GNN83" i="1"/>
  <c r="GNM83" i="1"/>
  <c r="GNL83" i="1"/>
  <c r="GNK83" i="1"/>
  <c r="GNJ83" i="1"/>
  <c r="GNI83" i="1"/>
  <c r="GNH83" i="1"/>
  <c r="GNG83" i="1"/>
  <c r="GNF83" i="1"/>
  <c r="GNE83" i="1"/>
  <c r="GND83" i="1"/>
  <c r="GNC83" i="1"/>
  <c r="GNB83" i="1"/>
  <c r="GNA83" i="1"/>
  <c r="GMZ83" i="1"/>
  <c r="GMY83" i="1"/>
  <c r="GMX83" i="1"/>
  <c r="GMW83" i="1"/>
  <c r="GMV83" i="1"/>
  <c r="GMU83" i="1"/>
  <c r="GMT83" i="1"/>
  <c r="GMS83" i="1"/>
  <c r="GMR83" i="1"/>
  <c r="GMQ83" i="1"/>
  <c r="GMP83" i="1"/>
  <c r="GMO83" i="1"/>
  <c r="GMN83" i="1"/>
  <c r="GMM83" i="1"/>
  <c r="GML83" i="1"/>
  <c r="GMK83" i="1"/>
  <c r="GMJ83" i="1"/>
  <c r="GMI83" i="1"/>
  <c r="GMH83" i="1"/>
  <c r="GMG83" i="1"/>
  <c r="GMF83" i="1"/>
  <c r="GME83" i="1"/>
  <c r="GMD83" i="1"/>
  <c r="GMC83" i="1"/>
  <c r="GMB83" i="1"/>
  <c r="GMA83" i="1"/>
  <c r="GLZ83" i="1"/>
  <c r="GLY83" i="1"/>
  <c r="GLX83" i="1"/>
  <c r="GLW83" i="1"/>
  <c r="GLV83" i="1"/>
  <c r="GLU83" i="1"/>
  <c r="GLT83" i="1"/>
  <c r="GLS83" i="1"/>
  <c r="GLR83" i="1"/>
  <c r="GLQ83" i="1"/>
  <c r="GLP83" i="1"/>
  <c r="GLO83" i="1"/>
  <c r="GLN83" i="1"/>
  <c r="GLM83" i="1"/>
  <c r="GLL83" i="1"/>
  <c r="GLK83" i="1"/>
  <c r="GLJ83" i="1"/>
  <c r="GLI83" i="1"/>
  <c r="GLH83" i="1"/>
  <c r="GLG83" i="1"/>
  <c r="GLF83" i="1"/>
  <c r="GLE83" i="1"/>
  <c r="GLD83" i="1"/>
  <c r="GLC83" i="1"/>
  <c r="GLB83" i="1"/>
  <c r="GLA83" i="1"/>
  <c r="GKZ83" i="1"/>
  <c r="GKY83" i="1"/>
  <c r="GKX83" i="1"/>
  <c r="GKW83" i="1"/>
  <c r="GKV83" i="1"/>
  <c r="GKU83" i="1"/>
  <c r="GKT83" i="1"/>
  <c r="GKS83" i="1"/>
  <c r="GKR83" i="1"/>
  <c r="GKQ83" i="1"/>
  <c r="GKP83" i="1"/>
  <c r="GKO83" i="1"/>
  <c r="GKN83" i="1"/>
  <c r="GKM83" i="1"/>
  <c r="GKL83" i="1"/>
  <c r="GKK83" i="1"/>
  <c r="GKJ83" i="1"/>
  <c r="GKI83" i="1"/>
  <c r="GKH83" i="1"/>
  <c r="GKG83" i="1"/>
  <c r="GKF83" i="1"/>
  <c r="GKE83" i="1"/>
  <c r="GKD83" i="1"/>
  <c r="GKC83" i="1"/>
  <c r="GKB83" i="1"/>
  <c r="GKA83" i="1"/>
  <c r="GJZ83" i="1"/>
  <c r="GJY83" i="1"/>
  <c r="GJX83" i="1"/>
  <c r="GJW83" i="1"/>
  <c r="GJV83" i="1"/>
  <c r="GJU83" i="1"/>
  <c r="GJT83" i="1"/>
  <c r="GJS83" i="1"/>
  <c r="GJR83" i="1"/>
  <c r="GJQ83" i="1"/>
  <c r="GJP83" i="1"/>
  <c r="GJO83" i="1"/>
  <c r="GJN83" i="1"/>
  <c r="GJM83" i="1"/>
  <c r="GJL83" i="1"/>
  <c r="GJK83" i="1"/>
  <c r="GJJ83" i="1"/>
  <c r="GJI83" i="1"/>
  <c r="GJH83" i="1"/>
  <c r="GJG83" i="1"/>
  <c r="GJF83" i="1"/>
  <c r="GJE83" i="1"/>
  <c r="GJD83" i="1"/>
  <c r="GJC83" i="1"/>
  <c r="GJB83" i="1"/>
  <c r="GJA83" i="1"/>
  <c r="GIZ83" i="1"/>
  <c r="GIY83" i="1"/>
  <c r="GIX83" i="1"/>
  <c r="GIW83" i="1"/>
  <c r="GIV83" i="1"/>
  <c r="GIU83" i="1"/>
  <c r="GIT83" i="1"/>
  <c r="GIS83" i="1"/>
  <c r="GIR83" i="1"/>
  <c r="GIQ83" i="1"/>
  <c r="GIP83" i="1"/>
  <c r="GIO83" i="1"/>
  <c r="GIN83" i="1"/>
  <c r="GIM83" i="1"/>
  <c r="GIL83" i="1"/>
  <c r="GIK83" i="1"/>
  <c r="GIJ83" i="1"/>
  <c r="GII83" i="1"/>
  <c r="GIH83" i="1"/>
  <c r="GIG83" i="1"/>
  <c r="GIF83" i="1"/>
  <c r="GIE83" i="1"/>
  <c r="GID83" i="1"/>
  <c r="GIC83" i="1"/>
  <c r="GIB83" i="1"/>
  <c r="GIA83" i="1"/>
  <c r="GHZ83" i="1"/>
  <c r="GHY83" i="1"/>
  <c r="GHX83" i="1"/>
  <c r="GHW83" i="1"/>
  <c r="GHV83" i="1"/>
  <c r="GHU83" i="1"/>
  <c r="GHT83" i="1"/>
  <c r="GHS83" i="1"/>
  <c r="GHR83" i="1"/>
  <c r="GHQ83" i="1"/>
  <c r="GHP83" i="1"/>
  <c r="GHO83" i="1"/>
  <c r="GHN83" i="1"/>
  <c r="GHM83" i="1"/>
  <c r="GHL83" i="1"/>
  <c r="GHK83" i="1"/>
  <c r="GHJ83" i="1"/>
  <c r="GHI83" i="1"/>
  <c r="GHH83" i="1"/>
  <c r="GHG83" i="1"/>
  <c r="GHF83" i="1"/>
  <c r="GHE83" i="1"/>
  <c r="GHD83" i="1"/>
  <c r="GHC83" i="1"/>
  <c r="GHB83" i="1"/>
  <c r="GHA83" i="1"/>
  <c r="GGZ83" i="1"/>
  <c r="GGY83" i="1"/>
  <c r="GGX83" i="1"/>
  <c r="GGW83" i="1"/>
  <c r="GGV83" i="1"/>
  <c r="GGU83" i="1"/>
  <c r="GGT83" i="1"/>
  <c r="GGS83" i="1"/>
  <c r="GGR83" i="1"/>
  <c r="GGQ83" i="1"/>
  <c r="GGP83" i="1"/>
  <c r="GGO83" i="1"/>
  <c r="GGN83" i="1"/>
  <c r="GGM83" i="1"/>
  <c r="GGL83" i="1"/>
  <c r="GGK83" i="1"/>
  <c r="GGJ83" i="1"/>
  <c r="GGI83" i="1"/>
  <c r="GGH83" i="1"/>
  <c r="GGG83" i="1"/>
  <c r="GGF83" i="1"/>
  <c r="GGE83" i="1"/>
  <c r="GGD83" i="1"/>
  <c r="GGC83" i="1"/>
  <c r="GGB83" i="1"/>
  <c r="GGA83" i="1"/>
  <c r="GFZ83" i="1"/>
  <c r="GFY83" i="1"/>
  <c r="GFX83" i="1"/>
  <c r="GFW83" i="1"/>
  <c r="GFV83" i="1"/>
  <c r="GFU83" i="1"/>
  <c r="GFT83" i="1"/>
  <c r="GFS83" i="1"/>
  <c r="GFR83" i="1"/>
  <c r="GFQ83" i="1"/>
  <c r="GFP83" i="1"/>
  <c r="GFO83" i="1"/>
  <c r="GFN83" i="1"/>
  <c r="GFM83" i="1"/>
  <c r="GFL83" i="1"/>
  <c r="GFK83" i="1"/>
  <c r="GFJ83" i="1"/>
  <c r="GFI83" i="1"/>
  <c r="GFH83" i="1"/>
  <c r="GFG83" i="1"/>
  <c r="GFF83" i="1"/>
  <c r="GFE83" i="1"/>
  <c r="GFD83" i="1"/>
  <c r="GFC83" i="1"/>
  <c r="GFB83" i="1"/>
  <c r="GFA83" i="1"/>
  <c r="GEZ83" i="1"/>
  <c r="GEY83" i="1"/>
  <c r="GEX83" i="1"/>
  <c r="GEW83" i="1"/>
  <c r="GEV83" i="1"/>
  <c r="GEU83" i="1"/>
  <c r="GET83" i="1"/>
  <c r="GES83" i="1"/>
  <c r="GER83" i="1"/>
  <c r="GEQ83" i="1"/>
  <c r="GEP83" i="1"/>
  <c r="GEO83" i="1"/>
  <c r="GEN83" i="1"/>
  <c r="GEM83" i="1"/>
  <c r="GEL83" i="1"/>
  <c r="GEK83" i="1"/>
  <c r="GEJ83" i="1"/>
  <c r="GEI83" i="1"/>
  <c r="GEH83" i="1"/>
  <c r="GEG83" i="1"/>
  <c r="GEF83" i="1"/>
  <c r="GEE83" i="1"/>
  <c r="GED83" i="1"/>
  <c r="GEC83" i="1"/>
  <c r="GEB83" i="1"/>
  <c r="GEA83" i="1"/>
  <c r="GDZ83" i="1"/>
  <c r="GDY83" i="1"/>
  <c r="GDX83" i="1"/>
  <c r="GDW83" i="1"/>
  <c r="GDV83" i="1"/>
  <c r="GDU83" i="1"/>
  <c r="GDT83" i="1"/>
  <c r="GDS83" i="1"/>
  <c r="GDR83" i="1"/>
  <c r="GDQ83" i="1"/>
  <c r="GDP83" i="1"/>
  <c r="GDO83" i="1"/>
  <c r="GDN83" i="1"/>
  <c r="GDM83" i="1"/>
  <c r="GDL83" i="1"/>
  <c r="GDK83" i="1"/>
  <c r="GDJ83" i="1"/>
  <c r="GDI83" i="1"/>
  <c r="GDH83" i="1"/>
  <c r="GDG83" i="1"/>
  <c r="GDF83" i="1"/>
  <c r="GDE83" i="1"/>
  <c r="GDD83" i="1"/>
  <c r="GDC83" i="1"/>
  <c r="GDB83" i="1"/>
  <c r="GDA83" i="1"/>
  <c r="GCZ83" i="1"/>
  <c r="GCY83" i="1"/>
  <c r="GCX83" i="1"/>
  <c r="GCW83" i="1"/>
  <c r="GCV83" i="1"/>
  <c r="GCU83" i="1"/>
  <c r="GCT83" i="1"/>
  <c r="GCS83" i="1"/>
  <c r="GCR83" i="1"/>
  <c r="GCQ83" i="1"/>
  <c r="GCP83" i="1"/>
  <c r="GCO83" i="1"/>
  <c r="GCN83" i="1"/>
  <c r="GCM83" i="1"/>
  <c r="GCL83" i="1"/>
  <c r="GCK83" i="1"/>
  <c r="GCJ83" i="1"/>
  <c r="GCI83" i="1"/>
  <c r="GCH83" i="1"/>
  <c r="GCG83" i="1"/>
  <c r="GCF83" i="1"/>
  <c r="GCE83" i="1"/>
  <c r="GCD83" i="1"/>
  <c r="GCC83" i="1"/>
  <c r="GCB83" i="1"/>
  <c r="GCA83" i="1"/>
  <c r="GBZ83" i="1"/>
  <c r="GBY83" i="1"/>
  <c r="GBX83" i="1"/>
  <c r="GBW83" i="1"/>
  <c r="GBV83" i="1"/>
  <c r="GBU83" i="1"/>
  <c r="GBT83" i="1"/>
  <c r="GBS83" i="1"/>
  <c r="GBR83" i="1"/>
  <c r="GBQ83" i="1"/>
  <c r="GBP83" i="1"/>
  <c r="GBO83" i="1"/>
  <c r="GBN83" i="1"/>
  <c r="GBM83" i="1"/>
  <c r="GBL83" i="1"/>
  <c r="GBK83" i="1"/>
  <c r="GBJ83" i="1"/>
  <c r="GBI83" i="1"/>
  <c r="GBH83" i="1"/>
  <c r="GBG83" i="1"/>
  <c r="GBF83" i="1"/>
  <c r="GBE83" i="1"/>
  <c r="GBD83" i="1"/>
  <c r="GBC83" i="1"/>
  <c r="GBB83" i="1"/>
  <c r="GBA83" i="1"/>
  <c r="GAZ83" i="1"/>
  <c r="GAY83" i="1"/>
  <c r="GAX83" i="1"/>
  <c r="GAW83" i="1"/>
  <c r="GAV83" i="1"/>
  <c r="GAU83" i="1"/>
  <c r="GAT83" i="1"/>
  <c r="GAS83" i="1"/>
  <c r="GAR83" i="1"/>
  <c r="GAQ83" i="1"/>
  <c r="GAP83" i="1"/>
  <c r="GAO83" i="1"/>
  <c r="GAN83" i="1"/>
  <c r="GAM83" i="1"/>
  <c r="GAL83" i="1"/>
  <c r="GAK83" i="1"/>
  <c r="GAJ83" i="1"/>
  <c r="GAI83" i="1"/>
  <c r="GAH83" i="1"/>
  <c r="GAG83" i="1"/>
  <c r="GAF83" i="1"/>
  <c r="GAE83" i="1"/>
  <c r="GAD83" i="1"/>
  <c r="GAC83" i="1"/>
  <c r="GAB83" i="1"/>
  <c r="GAA83" i="1"/>
  <c r="FZZ83" i="1"/>
  <c r="FZY83" i="1"/>
  <c r="FZX83" i="1"/>
  <c r="FZW83" i="1"/>
  <c r="FZV83" i="1"/>
  <c r="FZU83" i="1"/>
  <c r="FZT83" i="1"/>
  <c r="FZS83" i="1"/>
  <c r="FZR83" i="1"/>
  <c r="FZQ83" i="1"/>
  <c r="FZP83" i="1"/>
  <c r="FZO83" i="1"/>
  <c r="FZN83" i="1"/>
  <c r="FZM83" i="1"/>
  <c r="FZL83" i="1"/>
  <c r="FZK83" i="1"/>
  <c r="FZJ83" i="1"/>
  <c r="FZI83" i="1"/>
  <c r="FZH83" i="1"/>
  <c r="FZG83" i="1"/>
  <c r="FZF83" i="1"/>
  <c r="FZE83" i="1"/>
  <c r="FZD83" i="1"/>
  <c r="FZC83" i="1"/>
  <c r="FZB83" i="1"/>
  <c r="FZA83" i="1"/>
  <c r="FYZ83" i="1"/>
  <c r="FYY83" i="1"/>
  <c r="FYX83" i="1"/>
  <c r="FYW83" i="1"/>
  <c r="FYV83" i="1"/>
  <c r="FYU83" i="1"/>
  <c r="FYT83" i="1"/>
  <c r="FYS83" i="1"/>
  <c r="FYR83" i="1"/>
  <c r="FYQ83" i="1"/>
  <c r="FYP83" i="1"/>
  <c r="FYO83" i="1"/>
  <c r="FYN83" i="1"/>
  <c r="FYM83" i="1"/>
  <c r="FYL83" i="1"/>
  <c r="FYK83" i="1"/>
  <c r="FYJ83" i="1"/>
  <c r="FYI83" i="1"/>
  <c r="FYH83" i="1"/>
  <c r="FYG83" i="1"/>
  <c r="FYF83" i="1"/>
  <c r="FYE83" i="1"/>
  <c r="FYD83" i="1"/>
  <c r="FYC83" i="1"/>
  <c r="FYB83" i="1"/>
  <c r="FYA83" i="1"/>
  <c r="FXZ83" i="1"/>
  <c r="FXY83" i="1"/>
  <c r="FXX83" i="1"/>
  <c r="FXW83" i="1"/>
  <c r="FXV83" i="1"/>
  <c r="FXU83" i="1"/>
  <c r="FXT83" i="1"/>
  <c r="FXS83" i="1"/>
  <c r="FXR83" i="1"/>
  <c r="FXQ83" i="1"/>
  <c r="FXP83" i="1"/>
  <c r="FXO83" i="1"/>
  <c r="FXN83" i="1"/>
  <c r="FXM83" i="1"/>
  <c r="FXL83" i="1"/>
  <c r="FXK83" i="1"/>
  <c r="FXJ83" i="1"/>
  <c r="FXI83" i="1"/>
  <c r="FXH83" i="1"/>
  <c r="FXG83" i="1"/>
  <c r="FXF83" i="1"/>
  <c r="FXE83" i="1"/>
  <c r="FXD83" i="1"/>
  <c r="FXC83" i="1"/>
  <c r="FXB83" i="1"/>
  <c r="FXA83" i="1"/>
  <c r="FWZ83" i="1"/>
  <c r="FWY83" i="1"/>
  <c r="FWX83" i="1"/>
  <c r="FWW83" i="1"/>
  <c r="FWV83" i="1"/>
  <c r="FWU83" i="1"/>
  <c r="FWT83" i="1"/>
  <c r="FWS83" i="1"/>
  <c r="FWR83" i="1"/>
  <c r="FWQ83" i="1"/>
  <c r="FWP83" i="1"/>
  <c r="FWO83" i="1"/>
  <c r="FWN83" i="1"/>
  <c r="FWM83" i="1"/>
  <c r="FWL83" i="1"/>
  <c r="FWK83" i="1"/>
  <c r="FWJ83" i="1"/>
  <c r="FWI83" i="1"/>
  <c r="FWH83" i="1"/>
  <c r="FWG83" i="1"/>
  <c r="FWF83" i="1"/>
  <c r="FWE83" i="1"/>
  <c r="FWD83" i="1"/>
  <c r="FWC83" i="1"/>
  <c r="FWB83" i="1"/>
  <c r="FWA83" i="1"/>
  <c r="FVZ83" i="1"/>
  <c r="FVY83" i="1"/>
  <c r="FVX83" i="1"/>
  <c r="FVW83" i="1"/>
  <c r="FVV83" i="1"/>
  <c r="FVU83" i="1"/>
  <c r="FVT83" i="1"/>
  <c r="FVS83" i="1"/>
  <c r="FVR83" i="1"/>
  <c r="FVQ83" i="1"/>
  <c r="FVP83" i="1"/>
  <c r="FVO83" i="1"/>
  <c r="FVN83" i="1"/>
  <c r="FVM83" i="1"/>
  <c r="FVL83" i="1"/>
  <c r="FVK83" i="1"/>
  <c r="FVJ83" i="1"/>
  <c r="FVI83" i="1"/>
  <c r="FVH83" i="1"/>
  <c r="FVG83" i="1"/>
  <c r="FVF83" i="1"/>
  <c r="FVE83" i="1"/>
  <c r="FVD83" i="1"/>
  <c r="FVC83" i="1"/>
  <c r="FVB83" i="1"/>
  <c r="FVA83" i="1"/>
  <c r="FUZ83" i="1"/>
  <c r="FUY83" i="1"/>
  <c r="FUX83" i="1"/>
  <c r="FUW83" i="1"/>
  <c r="FUV83" i="1"/>
  <c r="FUU83" i="1"/>
  <c r="FUT83" i="1"/>
  <c r="FUS83" i="1"/>
  <c r="FUR83" i="1"/>
  <c r="FUQ83" i="1"/>
  <c r="FUP83" i="1"/>
  <c r="FUO83" i="1"/>
  <c r="FUN83" i="1"/>
  <c r="FUM83" i="1"/>
  <c r="FUL83" i="1"/>
  <c r="FUK83" i="1"/>
  <c r="FUJ83" i="1"/>
  <c r="FUI83" i="1"/>
  <c r="FUH83" i="1"/>
  <c r="FUG83" i="1"/>
  <c r="FUF83" i="1"/>
  <c r="FUE83" i="1"/>
  <c r="FUD83" i="1"/>
  <c r="FUC83" i="1"/>
  <c r="FUB83" i="1"/>
  <c r="FUA83" i="1"/>
  <c r="FTZ83" i="1"/>
  <c r="FTY83" i="1"/>
  <c r="FTX83" i="1"/>
  <c r="FTW83" i="1"/>
  <c r="FTV83" i="1"/>
  <c r="FTU83" i="1"/>
  <c r="FTT83" i="1"/>
  <c r="FTS83" i="1"/>
  <c r="FTR83" i="1"/>
  <c r="FTQ83" i="1"/>
  <c r="FTP83" i="1"/>
  <c r="FTO83" i="1"/>
  <c r="FTN83" i="1"/>
  <c r="FTM83" i="1"/>
  <c r="FTL83" i="1"/>
  <c r="FTK83" i="1"/>
  <c r="FTJ83" i="1"/>
  <c r="FTI83" i="1"/>
  <c r="FTH83" i="1"/>
  <c r="FTG83" i="1"/>
  <c r="FTF83" i="1"/>
  <c r="FTE83" i="1"/>
  <c r="FTD83" i="1"/>
  <c r="FTC83" i="1"/>
  <c r="FTB83" i="1"/>
  <c r="FTA83" i="1"/>
  <c r="FSZ83" i="1"/>
  <c r="FSY83" i="1"/>
  <c r="FSX83" i="1"/>
  <c r="FSW83" i="1"/>
  <c r="FSV83" i="1"/>
  <c r="FSU83" i="1"/>
  <c r="FST83" i="1"/>
  <c r="FSS83" i="1"/>
  <c r="FSR83" i="1"/>
  <c r="FSQ83" i="1"/>
  <c r="FSP83" i="1"/>
  <c r="FSO83" i="1"/>
  <c r="FSN83" i="1"/>
  <c r="FSM83" i="1"/>
  <c r="FSL83" i="1"/>
  <c r="FSK83" i="1"/>
  <c r="FSJ83" i="1"/>
  <c r="FSI83" i="1"/>
  <c r="FSH83" i="1"/>
  <c r="FSG83" i="1"/>
  <c r="FSF83" i="1"/>
  <c r="FSE83" i="1"/>
  <c r="FSD83" i="1"/>
  <c r="FSC83" i="1"/>
  <c r="FSB83" i="1"/>
  <c r="FSA83" i="1"/>
  <c r="FRZ83" i="1"/>
  <c r="FRY83" i="1"/>
  <c r="FRX83" i="1"/>
  <c r="FRW83" i="1"/>
  <c r="FRV83" i="1"/>
  <c r="FRU83" i="1"/>
  <c r="FRT83" i="1"/>
  <c r="FRS83" i="1"/>
  <c r="FRR83" i="1"/>
  <c r="FRQ83" i="1"/>
  <c r="FRP83" i="1"/>
  <c r="FRO83" i="1"/>
  <c r="FRN83" i="1"/>
  <c r="FRM83" i="1"/>
  <c r="FRL83" i="1"/>
  <c r="FRK83" i="1"/>
  <c r="FRJ83" i="1"/>
  <c r="FRI83" i="1"/>
  <c r="FRH83" i="1"/>
  <c r="FRG83" i="1"/>
  <c r="FRF83" i="1"/>
  <c r="FRE83" i="1"/>
  <c r="FRD83" i="1"/>
  <c r="FRC83" i="1"/>
  <c r="FRB83" i="1"/>
  <c r="FRA83" i="1"/>
  <c r="FQZ83" i="1"/>
  <c r="FQY83" i="1"/>
  <c r="FQX83" i="1"/>
  <c r="FQW83" i="1"/>
  <c r="FQV83" i="1"/>
  <c r="FQU83" i="1"/>
  <c r="FQT83" i="1"/>
  <c r="FQS83" i="1"/>
  <c r="FQR83" i="1"/>
  <c r="FQQ83" i="1"/>
  <c r="FQP83" i="1"/>
  <c r="FQO83" i="1"/>
  <c r="FQN83" i="1"/>
  <c r="FQM83" i="1"/>
  <c r="FQL83" i="1"/>
  <c r="FQK83" i="1"/>
  <c r="FQJ83" i="1"/>
  <c r="FQI83" i="1"/>
  <c r="FQH83" i="1"/>
  <c r="FQG83" i="1"/>
  <c r="FQF83" i="1"/>
  <c r="FQE83" i="1"/>
  <c r="FQD83" i="1"/>
  <c r="FQC83" i="1"/>
  <c r="FQB83" i="1"/>
  <c r="FQA83" i="1"/>
  <c r="FPZ83" i="1"/>
  <c r="FPY83" i="1"/>
  <c r="FPX83" i="1"/>
  <c r="FPW83" i="1"/>
  <c r="FPV83" i="1"/>
  <c r="FPU83" i="1"/>
  <c r="FPT83" i="1"/>
  <c r="FPS83" i="1"/>
  <c r="FPR83" i="1"/>
  <c r="FPQ83" i="1"/>
  <c r="FPP83" i="1"/>
  <c r="FPO83" i="1"/>
  <c r="FPN83" i="1"/>
  <c r="FPM83" i="1"/>
  <c r="FPL83" i="1"/>
  <c r="FPK83" i="1"/>
  <c r="FPJ83" i="1"/>
  <c r="FPI83" i="1"/>
  <c r="FPH83" i="1"/>
  <c r="FPG83" i="1"/>
  <c r="FPF83" i="1"/>
  <c r="FPE83" i="1"/>
  <c r="FPD83" i="1"/>
  <c r="FPC83" i="1"/>
  <c r="FPB83" i="1"/>
  <c r="FPA83" i="1"/>
  <c r="FOZ83" i="1"/>
  <c r="FOY83" i="1"/>
  <c r="FOX83" i="1"/>
  <c r="FOW83" i="1"/>
  <c r="FOV83" i="1"/>
  <c r="FOU83" i="1"/>
  <c r="FOT83" i="1"/>
  <c r="FOS83" i="1"/>
  <c r="FOR83" i="1"/>
  <c r="FOQ83" i="1"/>
  <c r="FOP83" i="1"/>
  <c r="FOO83" i="1"/>
  <c r="FON83" i="1"/>
  <c r="FOM83" i="1"/>
  <c r="FOL83" i="1"/>
  <c r="FOK83" i="1"/>
  <c r="FOJ83" i="1"/>
  <c r="FOI83" i="1"/>
  <c r="FOH83" i="1"/>
  <c r="FOG83" i="1"/>
  <c r="FOF83" i="1"/>
  <c r="FOE83" i="1"/>
  <c r="FOD83" i="1"/>
  <c r="FOC83" i="1"/>
  <c r="FOB83" i="1"/>
  <c r="FOA83" i="1"/>
  <c r="FNZ83" i="1"/>
  <c r="FNY83" i="1"/>
  <c r="FNX83" i="1"/>
  <c r="FNW83" i="1"/>
  <c r="FNV83" i="1"/>
  <c r="FNU83" i="1"/>
  <c r="FNT83" i="1"/>
  <c r="FNS83" i="1"/>
  <c r="FNR83" i="1"/>
  <c r="FNQ83" i="1"/>
  <c r="FNP83" i="1"/>
  <c r="FNO83" i="1"/>
  <c r="FNN83" i="1"/>
  <c r="FNM83" i="1"/>
  <c r="FNL83" i="1"/>
  <c r="FNK83" i="1"/>
  <c r="FNJ83" i="1"/>
  <c r="FNI83" i="1"/>
  <c r="FNH83" i="1"/>
  <c r="FNG83" i="1"/>
  <c r="FNF83" i="1"/>
  <c r="FNE83" i="1"/>
  <c r="FND83" i="1"/>
  <c r="FNC83" i="1"/>
  <c r="FNB83" i="1"/>
  <c r="FNA83" i="1"/>
  <c r="FMZ83" i="1"/>
  <c r="FMY83" i="1"/>
  <c r="FMX83" i="1"/>
  <c r="FMW83" i="1"/>
  <c r="FMV83" i="1"/>
  <c r="FMU83" i="1"/>
  <c r="FMT83" i="1"/>
  <c r="FMS83" i="1"/>
  <c r="FMR83" i="1"/>
  <c r="FMQ83" i="1"/>
  <c r="FMP83" i="1"/>
  <c r="FMO83" i="1"/>
  <c r="FMN83" i="1"/>
  <c r="FMM83" i="1"/>
  <c r="FML83" i="1"/>
  <c r="FMK83" i="1"/>
  <c r="FMJ83" i="1"/>
  <c r="FMI83" i="1"/>
  <c r="FMH83" i="1"/>
  <c r="FMG83" i="1"/>
  <c r="FMF83" i="1"/>
  <c r="FME83" i="1"/>
  <c r="FMD83" i="1"/>
  <c r="FMC83" i="1"/>
  <c r="FMB83" i="1"/>
  <c r="FMA83" i="1"/>
  <c r="FLZ83" i="1"/>
  <c r="FLY83" i="1"/>
  <c r="FLX83" i="1"/>
  <c r="FLW83" i="1"/>
  <c r="FLV83" i="1"/>
  <c r="FLU83" i="1"/>
  <c r="FLT83" i="1"/>
  <c r="FLS83" i="1"/>
  <c r="FLR83" i="1"/>
  <c r="FLQ83" i="1"/>
  <c r="FLP83" i="1"/>
  <c r="FLO83" i="1"/>
  <c r="FLN83" i="1"/>
  <c r="FLM83" i="1"/>
  <c r="FLL83" i="1"/>
  <c r="FLK83" i="1"/>
  <c r="FLJ83" i="1"/>
  <c r="FLI83" i="1"/>
  <c r="FLH83" i="1"/>
  <c r="FLG83" i="1"/>
  <c r="FLF83" i="1"/>
  <c r="FLE83" i="1"/>
  <c r="FLD83" i="1"/>
  <c r="FLC83" i="1"/>
  <c r="FLB83" i="1"/>
  <c r="FLA83" i="1"/>
  <c r="FKZ83" i="1"/>
  <c r="FKY83" i="1"/>
  <c r="FKX83" i="1"/>
  <c r="FKW83" i="1"/>
  <c r="FKV83" i="1"/>
  <c r="FKU83" i="1"/>
  <c r="FKT83" i="1"/>
  <c r="FKS83" i="1"/>
  <c r="FKR83" i="1"/>
  <c r="FKQ83" i="1"/>
  <c r="FKP83" i="1"/>
  <c r="FKO83" i="1"/>
  <c r="FKN83" i="1"/>
  <c r="FKM83" i="1"/>
  <c r="FKL83" i="1"/>
  <c r="FKK83" i="1"/>
  <c r="FKJ83" i="1"/>
  <c r="FKI83" i="1"/>
  <c r="FKH83" i="1"/>
  <c r="FKG83" i="1"/>
  <c r="FKF83" i="1"/>
  <c r="FKE83" i="1"/>
  <c r="FKD83" i="1"/>
  <c r="FKC83" i="1"/>
  <c r="FKB83" i="1"/>
  <c r="FKA83" i="1"/>
  <c r="FJZ83" i="1"/>
  <c r="FJY83" i="1"/>
  <c r="FJX83" i="1"/>
  <c r="FJW83" i="1"/>
  <c r="FJV83" i="1"/>
  <c r="FJU83" i="1"/>
  <c r="FJT83" i="1"/>
  <c r="FJS83" i="1"/>
  <c r="FJR83" i="1"/>
  <c r="FJQ83" i="1"/>
  <c r="FJP83" i="1"/>
  <c r="FJO83" i="1"/>
  <c r="FJN83" i="1"/>
  <c r="FJM83" i="1"/>
  <c r="FJL83" i="1"/>
  <c r="FJK83" i="1"/>
  <c r="FJJ83" i="1"/>
  <c r="FJI83" i="1"/>
  <c r="FJH83" i="1"/>
  <c r="FJG83" i="1"/>
  <c r="FJF83" i="1"/>
  <c r="FJE83" i="1"/>
  <c r="FJD83" i="1"/>
  <c r="FJC83" i="1"/>
  <c r="FJB83" i="1"/>
  <c r="FJA83" i="1"/>
  <c r="FIZ83" i="1"/>
  <c r="FIY83" i="1"/>
  <c r="FIX83" i="1"/>
  <c r="FIW83" i="1"/>
  <c r="FIV83" i="1"/>
  <c r="FIU83" i="1"/>
  <c r="FIT83" i="1"/>
  <c r="FIS83" i="1"/>
  <c r="FIR83" i="1"/>
  <c r="FIQ83" i="1"/>
  <c r="FIP83" i="1"/>
  <c r="FIO83" i="1"/>
  <c r="FIN83" i="1"/>
  <c r="FIM83" i="1"/>
  <c r="FIL83" i="1"/>
  <c r="FIK83" i="1"/>
  <c r="FIJ83" i="1"/>
  <c r="FII83" i="1"/>
  <c r="FIH83" i="1"/>
  <c r="FIG83" i="1"/>
  <c r="FIF83" i="1"/>
  <c r="FIE83" i="1"/>
  <c r="FID83" i="1"/>
  <c r="FIC83" i="1"/>
  <c r="FIB83" i="1"/>
  <c r="FIA83" i="1"/>
  <c r="FHZ83" i="1"/>
  <c r="FHY83" i="1"/>
  <c r="FHX83" i="1"/>
  <c r="FHW83" i="1"/>
  <c r="FHV83" i="1"/>
  <c r="FHU83" i="1"/>
  <c r="FHT83" i="1"/>
  <c r="FHS83" i="1"/>
  <c r="FHR83" i="1"/>
  <c r="FHQ83" i="1"/>
  <c r="FHP83" i="1"/>
  <c r="FHO83" i="1"/>
  <c r="FHN83" i="1"/>
  <c r="FHM83" i="1"/>
  <c r="FHL83" i="1"/>
  <c r="FHK83" i="1"/>
  <c r="FHJ83" i="1"/>
  <c r="FHI83" i="1"/>
  <c r="FHH83" i="1"/>
  <c r="FHG83" i="1"/>
  <c r="FHF83" i="1"/>
  <c r="FHE83" i="1"/>
  <c r="FHD83" i="1"/>
  <c r="FHC83" i="1"/>
  <c r="FHB83" i="1"/>
  <c r="FHA83" i="1"/>
  <c r="FGZ83" i="1"/>
  <c r="FGY83" i="1"/>
  <c r="FGX83" i="1"/>
  <c r="FGW83" i="1"/>
  <c r="FGV83" i="1"/>
  <c r="FGU83" i="1"/>
  <c r="FGT83" i="1"/>
  <c r="FGS83" i="1"/>
  <c r="FGR83" i="1"/>
  <c r="FGQ83" i="1"/>
  <c r="FGP83" i="1"/>
  <c r="FGO83" i="1"/>
  <c r="FGN83" i="1"/>
  <c r="FGM83" i="1"/>
  <c r="FGL83" i="1"/>
  <c r="FGK83" i="1"/>
  <c r="FGJ83" i="1"/>
  <c r="FGI83" i="1"/>
  <c r="FGH83" i="1"/>
  <c r="FGG83" i="1"/>
  <c r="FGF83" i="1"/>
  <c r="FGE83" i="1"/>
  <c r="FGD83" i="1"/>
  <c r="FGC83" i="1"/>
  <c r="FGB83" i="1"/>
  <c r="FGA83" i="1"/>
  <c r="FFZ83" i="1"/>
  <c r="FFY83" i="1"/>
  <c r="FFX83" i="1"/>
  <c r="FFW83" i="1"/>
  <c r="FFV83" i="1"/>
  <c r="FFU83" i="1"/>
  <c r="FFT83" i="1"/>
  <c r="FFS83" i="1"/>
  <c r="FFR83" i="1"/>
  <c r="FFQ83" i="1"/>
  <c r="FFP83" i="1"/>
  <c r="FFO83" i="1"/>
  <c r="FFN83" i="1"/>
  <c r="FFM83" i="1"/>
  <c r="FFL83" i="1"/>
  <c r="FFK83" i="1"/>
  <c r="FFJ83" i="1"/>
  <c r="FFI83" i="1"/>
  <c r="FFH83" i="1"/>
  <c r="FFG83" i="1"/>
  <c r="FFF83" i="1"/>
  <c r="FFE83" i="1"/>
  <c r="FFD83" i="1"/>
  <c r="FFC83" i="1"/>
  <c r="FFB83" i="1"/>
  <c r="FFA83" i="1"/>
  <c r="FEZ83" i="1"/>
  <c r="FEY83" i="1"/>
  <c r="FEX83" i="1"/>
  <c r="FEW83" i="1"/>
  <c r="FEV83" i="1"/>
  <c r="FEU83" i="1"/>
  <c r="FET83" i="1"/>
  <c r="FES83" i="1"/>
  <c r="FER83" i="1"/>
  <c r="FEQ83" i="1"/>
  <c r="FEP83" i="1"/>
  <c r="FEO83" i="1"/>
  <c r="FEN83" i="1"/>
  <c r="FEM83" i="1"/>
  <c r="FEL83" i="1"/>
  <c r="FEK83" i="1"/>
  <c r="FEJ83" i="1"/>
  <c r="FEI83" i="1"/>
  <c r="FEH83" i="1"/>
  <c r="FEG83" i="1"/>
  <c r="FEF83" i="1"/>
  <c r="FEE83" i="1"/>
  <c r="FED83" i="1"/>
  <c r="FEC83" i="1"/>
  <c r="FEB83" i="1"/>
  <c r="FEA83" i="1"/>
  <c r="FDZ83" i="1"/>
  <c r="FDY83" i="1"/>
  <c r="FDX83" i="1"/>
  <c r="FDW83" i="1"/>
  <c r="FDV83" i="1"/>
  <c r="FDU83" i="1"/>
  <c r="FDT83" i="1"/>
  <c r="FDS83" i="1"/>
  <c r="FDR83" i="1"/>
  <c r="FDQ83" i="1"/>
  <c r="FDP83" i="1"/>
  <c r="FDO83" i="1"/>
  <c r="FDN83" i="1"/>
  <c r="FDM83" i="1"/>
  <c r="FDL83" i="1"/>
  <c r="FDK83" i="1"/>
  <c r="FDJ83" i="1"/>
  <c r="FDI83" i="1"/>
  <c r="FDH83" i="1"/>
  <c r="FDG83" i="1"/>
  <c r="FDF83" i="1"/>
  <c r="FDE83" i="1"/>
  <c r="FDD83" i="1"/>
  <c r="FDC83" i="1"/>
  <c r="FDB83" i="1"/>
  <c r="FDA83" i="1"/>
  <c r="FCZ83" i="1"/>
  <c r="FCY83" i="1"/>
  <c r="FCX83" i="1"/>
  <c r="FCW83" i="1"/>
  <c r="FCV83" i="1"/>
  <c r="FCU83" i="1"/>
  <c r="FCT83" i="1"/>
  <c r="FCS83" i="1"/>
  <c r="FCR83" i="1"/>
  <c r="FCQ83" i="1"/>
  <c r="FCP83" i="1"/>
  <c r="FCO83" i="1"/>
  <c r="FCN83" i="1"/>
  <c r="FCM83" i="1"/>
  <c r="FCL83" i="1"/>
  <c r="FCK83" i="1"/>
  <c r="FCJ83" i="1"/>
  <c r="FCI83" i="1"/>
  <c r="FCH83" i="1"/>
  <c r="FCG83" i="1"/>
  <c r="FCF83" i="1"/>
  <c r="FCE83" i="1"/>
  <c r="FCD83" i="1"/>
  <c r="FCC83" i="1"/>
  <c r="FCB83" i="1"/>
  <c r="FCA83" i="1"/>
  <c r="FBZ83" i="1"/>
  <c r="FBY83" i="1"/>
  <c r="FBX83" i="1"/>
  <c r="FBW83" i="1"/>
  <c r="FBV83" i="1"/>
  <c r="FBU83" i="1"/>
  <c r="FBT83" i="1"/>
  <c r="FBS83" i="1"/>
  <c r="FBR83" i="1"/>
  <c r="FBQ83" i="1"/>
  <c r="FBP83" i="1"/>
  <c r="FBO83" i="1"/>
  <c r="FBN83" i="1"/>
  <c r="FBM83" i="1"/>
  <c r="FBL83" i="1"/>
  <c r="FBK83" i="1"/>
  <c r="FBJ83" i="1"/>
  <c r="FBI83" i="1"/>
  <c r="FBH83" i="1"/>
  <c r="FBG83" i="1"/>
  <c r="FBF83" i="1"/>
  <c r="FBE83" i="1"/>
  <c r="FBD83" i="1"/>
  <c r="FBC83" i="1"/>
  <c r="FBB83" i="1"/>
  <c r="FBA83" i="1"/>
  <c r="FAZ83" i="1"/>
  <c r="FAY83" i="1"/>
  <c r="FAX83" i="1"/>
  <c r="FAW83" i="1"/>
  <c r="FAV83" i="1"/>
  <c r="FAU83" i="1"/>
  <c r="FAT83" i="1"/>
  <c r="FAS83" i="1"/>
  <c r="FAR83" i="1"/>
  <c r="FAQ83" i="1"/>
  <c r="FAP83" i="1"/>
  <c r="FAO83" i="1"/>
  <c r="FAN83" i="1"/>
  <c r="FAM83" i="1"/>
  <c r="FAL83" i="1"/>
  <c r="FAK83" i="1"/>
  <c r="FAJ83" i="1"/>
  <c r="FAI83" i="1"/>
  <c r="FAH83" i="1"/>
  <c r="FAG83" i="1"/>
  <c r="FAF83" i="1"/>
  <c r="FAE83" i="1"/>
  <c r="FAD83" i="1"/>
  <c r="FAC83" i="1"/>
  <c r="FAB83" i="1"/>
  <c r="FAA83" i="1"/>
  <c r="EZZ83" i="1"/>
  <c r="EZY83" i="1"/>
  <c r="EZX83" i="1"/>
  <c r="EZW83" i="1"/>
  <c r="EZV83" i="1"/>
  <c r="EZU83" i="1"/>
  <c r="EZT83" i="1"/>
  <c r="EZS83" i="1"/>
  <c r="EZR83" i="1"/>
  <c r="EZQ83" i="1"/>
  <c r="EZP83" i="1"/>
  <c r="EZO83" i="1"/>
  <c r="EZN83" i="1"/>
  <c r="EZM83" i="1"/>
  <c r="EZL83" i="1"/>
  <c r="EZK83" i="1"/>
  <c r="EZJ83" i="1"/>
  <c r="EZI83" i="1"/>
  <c r="EZH83" i="1"/>
  <c r="EZG83" i="1"/>
  <c r="EZF83" i="1"/>
  <c r="EZE83" i="1"/>
  <c r="EZD83" i="1"/>
  <c r="EZC83" i="1"/>
  <c r="EZB83" i="1"/>
  <c r="EZA83" i="1"/>
  <c r="EYZ83" i="1"/>
  <c r="EYY83" i="1"/>
  <c r="EYX83" i="1"/>
  <c r="EYW83" i="1"/>
  <c r="EYV83" i="1"/>
  <c r="EYU83" i="1"/>
  <c r="EYT83" i="1"/>
  <c r="EYS83" i="1"/>
  <c r="EYR83" i="1"/>
  <c r="EYQ83" i="1"/>
  <c r="EYP83" i="1"/>
  <c r="EYO83" i="1"/>
  <c r="EYN83" i="1"/>
  <c r="EYM83" i="1"/>
  <c r="EYL83" i="1"/>
  <c r="EYK83" i="1"/>
  <c r="EYJ83" i="1"/>
  <c r="EYI83" i="1"/>
  <c r="EYH83" i="1"/>
  <c r="EYG83" i="1"/>
  <c r="EYF83" i="1"/>
  <c r="EYE83" i="1"/>
  <c r="EYD83" i="1"/>
  <c r="EYC83" i="1"/>
  <c r="EYB83" i="1"/>
  <c r="EYA83" i="1"/>
  <c r="EXZ83" i="1"/>
  <c r="EXY83" i="1"/>
  <c r="EXX83" i="1"/>
  <c r="EXW83" i="1"/>
  <c r="EXV83" i="1"/>
  <c r="EXU83" i="1"/>
  <c r="EXT83" i="1"/>
  <c r="EXS83" i="1"/>
  <c r="EXR83" i="1"/>
  <c r="EXQ83" i="1"/>
  <c r="EXP83" i="1"/>
  <c r="EXO83" i="1"/>
  <c r="EXN83" i="1"/>
  <c r="EXM83" i="1"/>
  <c r="EXL83" i="1"/>
  <c r="EXK83" i="1"/>
  <c r="EXJ83" i="1"/>
  <c r="EXI83" i="1"/>
  <c r="EXH83" i="1"/>
  <c r="EXG83" i="1"/>
  <c r="EXF83" i="1"/>
  <c r="EXE83" i="1"/>
  <c r="EXD83" i="1"/>
  <c r="EXC83" i="1"/>
  <c r="EXB83" i="1"/>
  <c r="EXA83" i="1"/>
  <c r="EWZ83" i="1"/>
  <c r="EWY83" i="1"/>
  <c r="EWX83" i="1"/>
  <c r="EWW83" i="1"/>
  <c r="EWV83" i="1"/>
  <c r="EWU83" i="1"/>
  <c r="EWT83" i="1"/>
  <c r="EWS83" i="1"/>
  <c r="EWR83" i="1"/>
  <c r="EWQ83" i="1"/>
  <c r="EWP83" i="1"/>
  <c r="EWO83" i="1"/>
  <c r="EWN83" i="1"/>
  <c r="EWM83" i="1"/>
  <c r="EWL83" i="1"/>
  <c r="EWK83" i="1"/>
  <c r="EWJ83" i="1"/>
  <c r="EWI83" i="1"/>
  <c r="EWH83" i="1"/>
  <c r="EWG83" i="1"/>
  <c r="EWF83" i="1"/>
  <c r="EWE83" i="1"/>
  <c r="EWD83" i="1"/>
  <c r="EWC83" i="1"/>
  <c r="EWB83" i="1"/>
  <c r="EWA83" i="1"/>
  <c r="EVZ83" i="1"/>
  <c r="EVY83" i="1"/>
  <c r="EVX83" i="1"/>
  <c r="EVW83" i="1"/>
  <c r="EVV83" i="1"/>
  <c r="EVU83" i="1"/>
  <c r="EVT83" i="1"/>
  <c r="EVS83" i="1"/>
  <c r="EVR83" i="1"/>
  <c r="EVQ83" i="1"/>
  <c r="EVP83" i="1"/>
  <c r="EVO83" i="1"/>
  <c r="EVN83" i="1"/>
  <c r="EVM83" i="1"/>
  <c r="EVL83" i="1"/>
  <c r="EVK83" i="1"/>
  <c r="EVJ83" i="1"/>
  <c r="EVI83" i="1"/>
  <c r="EVH83" i="1"/>
  <c r="EVG83" i="1"/>
  <c r="EVF83" i="1"/>
  <c r="EVE83" i="1"/>
  <c r="EVD83" i="1"/>
  <c r="EVC83" i="1"/>
  <c r="EVB83" i="1"/>
  <c r="EVA83" i="1"/>
  <c r="EUZ83" i="1"/>
  <c r="EUY83" i="1"/>
  <c r="EUX83" i="1"/>
  <c r="EUW83" i="1"/>
  <c r="EUV83" i="1"/>
  <c r="EUU83" i="1"/>
  <c r="EUT83" i="1"/>
  <c r="EUS83" i="1"/>
  <c r="EUR83" i="1"/>
  <c r="EUQ83" i="1"/>
  <c r="EUP83" i="1"/>
  <c r="EUO83" i="1"/>
  <c r="EUN83" i="1"/>
  <c r="EUM83" i="1"/>
  <c r="EUL83" i="1"/>
  <c r="EUK83" i="1"/>
  <c r="EUJ83" i="1"/>
  <c r="EUI83" i="1"/>
  <c r="EUH83" i="1"/>
  <c r="EUG83" i="1"/>
  <c r="EUF83" i="1"/>
  <c r="EUE83" i="1"/>
  <c r="EUD83" i="1"/>
  <c r="EUC83" i="1"/>
  <c r="EUB83" i="1"/>
  <c r="EUA83" i="1"/>
  <c r="ETZ83" i="1"/>
  <c r="ETY83" i="1"/>
  <c r="ETX83" i="1"/>
  <c r="ETW83" i="1"/>
  <c r="ETV83" i="1"/>
  <c r="ETU83" i="1"/>
  <c r="ETT83" i="1"/>
  <c r="ETS83" i="1"/>
  <c r="ETR83" i="1"/>
  <c r="ETQ83" i="1"/>
  <c r="ETP83" i="1"/>
  <c r="ETO83" i="1"/>
  <c r="ETN83" i="1"/>
  <c r="ETM83" i="1"/>
  <c r="ETL83" i="1"/>
  <c r="ETK83" i="1"/>
  <c r="ETJ83" i="1"/>
  <c r="ETI83" i="1"/>
  <c r="ETH83" i="1"/>
  <c r="ETG83" i="1"/>
  <c r="ETF83" i="1"/>
  <c r="ETE83" i="1"/>
  <c r="ETD83" i="1"/>
  <c r="ETC83" i="1"/>
  <c r="ETB83" i="1"/>
  <c r="ETA83" i="1"/>
  <c r="ESZ83" i="1"/>
  <c r="ESY83" i="1"/>
  <c r="ESX83" i="1"/>
  <c r="ESW83" i="1"/>
  <c r="ESV83" i="1"/>
  <c r="ESU83" i="1"/>
  <c r="EST83" i="1"/>
  <c r="ESS83" i="1"/>
  <c r="ESR83" i="1"/>
  <c r="ESQ83" i="1"/>
  <c r="ESP83" i="1"/>
  <c r="ESO83" i="1"/>
  <c r="ESN83" i="1"/>
  <c r="ESM83" i="1"/>
  <c r="ESL83" i="1"/>
  <c r="ESK83" i="1"/>
  <c r="ESJ83" i="1"/>
  <c r="ESI83" i="1"/>
  <c r="ESH83" i="1"/>
  <c r="ESG83" i="1"/>
  <c r="ESF83" i="1"/>
  <c r="ESE83" i="1"/>
  <c r="ESD83" i="1"/>
  <c r="ESC83" i="1"/>
  <c r="ESB83" i="1"/>
  <c r="ESA83" i="1"/>
  <c r="ERZ83" i="1"/>
  <c r="ERY83" i="1"/>
  <c r="ERX83" i="1"/>
  <c r="ERW83" i="1"/>
  <c r="ERV83" i="1"/>
  <c r="ERU83" i="1"/>
  <c r="ERT83" i="1"/>
  <c r="ERS83" i="1"/>
  <c r="ERR83" i="1"/>
  <c r="ERQ83" i="1"/>
  <c r="ERP83" i="1"/>
  <c r="ERO83" i="1"/>
  <c r="ERN83" i="1"/>
  <c r="ERM83" i="1"/>
  <c r="ERL83" i="1"/>
  <c r="ERK83" i="1"/>
  <c r="ERJ83" i="1"/>
  <c r="ERI83" i="1"/>
  <c r="ERH83" i="1"/>
  <c r="ERG83" i="1"/>
  <c r="ERF83" i="1"/>
  <c r="ERE83" i="1"/>
  <c r="ERD83" i="1"/>
  <c r="ERC83" i="1"/>
  <c r="ERB83" i="1"/>
  <c r="ERA83" i="1"/>
  <c r="EQZ83" i="1"/>
  <c r="EQY83" i="1"/>
  <c r="EQX83" i="1"/>
  <c r="EQW83" i="1"/>
  <c r="EQV83" i="1"/>
  <c r="EQU83" i="1"/>
  <c r="EQT83" i="1"/>
  <c r="EQS83" i="1"/>
  <c r="EQR83" i="1"/>
  <c r="EQQ83" i="1"/>
  <c r="EQP83" i="1"/>
  <c r="EQO83" i="1"/>
  <c r="EQN83" i="1"/>
  <c r="EQM83" i="1"/>
  <c r="EQL83" i="1"/>
  <c r="EQK83" i="1"/>
  <c r="EQJ83" i="1"/>
  <c r="EQI83" i="1"/>
  <c r="EQH83" i="1"/>
  <c r="EQG83" i="1"/>
  <c r="EQF83" i="1"/>
  <c r="EQE83" i="1"/>
  <c r="EQD83" i="1"/>
  <c r="EQC83" i="1"/>
  <c r="EQB83" i="1"/>
  <c r="EQA83" i="1"/>
  <c r="EPZ83" i="1"/>
  <c r="EPY83" i="1"/>
  <c r="EPX83" i="1"/>
  <c r="EPW83" i="1"/>
  <c r="EPV83" i="1"/>
  <c r="EPU83" i="1"/>
  <c r="EPT83" i="1"/>
  <c r="EPS83" i="1"/>
  <c r="EPR83" i="1"/>
  <c r="EPQ83" i="1"/>
  <c r="EPP83" i="1"/>
  <c r="EPO83" i="1"/>
  <c r="EPN83" i="1"/>
  <c r="EPM83" i="1"/>
  <c r="EPL83" i="1"/>
  <c r="EPK83" i="1"/>
  <c r="EPJ83" i="1"/>
  <c r="EPI83" i="1"/>
  <c r="EPH83" i="1"/>
  <c r="EPG83" i="1"/>
  <c r="EPF83" i="1"/>
  <c r="EPE83" i="1"/>
  <c r="EPD83" i="1"/>
  <c r="EPC83" i="1"/>
  <c r="EPB83" i="1"/>
  <c r="EPA83" i="1"/>
  <c r="EOZ83" i="1"/>
  <c r="EOY83" i="1"/>
  <c r="EOX83" i="1"/>
  <c r="EOW83" i="1"/>
  <c r="EOV83" i="1"/>
  <c r="EOU83" i="1"/>
  <c r="EOT83" i="1"/>
  <c r="EOS83" i="1"/>
  <c r="EOR83" i="1"/>
  <c r="EOQ83" i="1"/>
  <c r="EOP83" i="1"/>
  <c r="EOO83" i="1"/>
  <c r="EON83" i="1"/>
  <c r="EOM83" i="1"/>
  <c r="EOL83" i="1"/>
  <c r="EOK83" i="1"/>
  <c r="EOJ83" i="1"/>
  <c r="EOI83" i="1"/>
  <c r="EOH83" i="1"/>
  <c r="EOG83" i="1"/>
  <c r="EOF83" i="1"/>
  <c r="EOE83" i="1"/>
  <c r="EOD83" i="1"/>
  <c r="EOC83" i="1"/>
  <c r="EOB83" i="1"/>
  <c r="EOA83" i="1"/>
  <c r="ENZ83" i="1"/>
  <c r="ENY83" i="1"/>
  <c r="ENX83" i="1"/>
  <c r="ENW83" i="1"/>
  <c r="ENV83" i="1"/>
  <c r="ENU83" i="1"/>
  <c r="ENT83" i="1"/>
  <c r="ENS83" i="1"/>
  <c r="ENR83" i="1"/>
  <c r="ENQ83" i="1"/>
  <c r="ENP83" i="1"/>
  <c r="ENO83" i="1"/>
  <c r="ENN83" i="1"/>
  <c r="ENM83" i="1"/>
  <c r="ENL83" i="1"/>
  <c r="ENK83" i="1"/>
  <c r="ENJ83" i="1"/>
  <c r="ENI83" i="1"/>
  <c r="ENH83" i="1"/>
  <c r="ENG83" i="1"/>
  <c r="ENF83" i="1"/>
  <c r="ENE83" i="1"/>
  <c r="END83" i="1"/>
  <c r="ENC83" i="1"/>
  <c r="ENB83" i="1"/>
  <c r="ENA83" i="1"/>
  <c r="EMZ83" i="1"/>
  <c r="EMY83" i="1"/>
  <c r="EMX83" i="1"/>
  <c r="EMW83" i="1"/>
  <c r="EMV83" i="1"/>
  <c r="EMU83" i="1"/>
  <c r="EMT83" i="1"/>
  <c r="EMS83" i="1"/>
  <c r="EMR83" i="1"/>
  <c r="EMQ83" i="1"/>
  <c r="EMP83" i="1"/>
  <c r="EMO83" i="1"/>
  <c r="EMN83" i="1"/>
  <c r="EMM83" i="1"/>
  <c r="EML83" i="1"/>
  <c r="EMK83" i="1"/>
  <c r="EMJ83" i="1"/>
  <c r="EMI83" i="1"/>
  <c r="EMH83" i="1"/>
  <c r="EMG83" i="1"/>
  <c r="EMF83" i="1"/>
  <c r="EME83" i="1"/>
  <c r="EMD83" i="1"/>
  <c r="EMC83" i="1"/>
  <c r="EMB83" i="1"/>
  <c r="EMA83" i="1"/>
  <c r="ELZ83" i="1"/>
  <c r="ELY83" i="1"/>
  <c r="ELX83" i="1"/>
  <c r="ELW83" i="1"/>
  <c r="ELV83" i="1"/>
  <c r="ELU83" i="1"/>
  <c r="ELT83" i="1"/>
  <c r="ELS83" i="1"/>
  <c r="ELR83" i="1"/>
  <c r="ELQ83" i="1"/>
  <c r="ELP83" i="1"/>
  <c r="ELO83" i="1"/>
  <c r="ELN83" i="1"/>
  <c r="ELM83" i="1"/>
  <c r="ELL83" i="1"/>
  <c r="ELK83" i="1"/>
  <c r="ELJ83" i="1"/>
  <c r="ELI83" i="1"/>
  <c r="ELH83" i="1"/>
  <c r="ELG83" i="1"/>
  <c r="ELF83" i="1"/>
  <c r="ELE83" i="1"/>
  <c r="ELD83" i="1"/>
  <c r="ELC83" i="1"/>
  <c r="ELB83" i="1"/>
  <c r="ELA83" i="1"/>
  <c r="EKZ83" i="1"/>
  <c r="EKY83" i="1"/>
  <c r="EKX83" i="1"/>
  <c r="EKW83" i="1"/>
  <c r="EKV83" i="1"/>
  <c r="EKU83" i="1"/>
  <c r="EKT83" i="1"/>
  <c r="EKS83" i="1"/>
  <c r="EKR83" i="1"/>
  <c r="EKQ83" i="1"/>
  <c r="EKP83" i="1"/>
  <c r="EKO83" i="1"/>
  <c r="EKN83" i="1"/>
  <c r="EKM83" i="1"/>
  <c r="EKL83" i="1"/>
  <c r="EKK83" i="1"/>
  <c r="EKJ83" i="1"/>
  <c r="EKI83" i="1"/>
  <c r="EKH83" i="1"/>
  <c r="EKG83" i="1"/>
  <c r="EKF83" i="1"/>
  <c r="EKE83" i="1"/>
  <c r="EKD83" i="1"/>
  <c r="EKC83" i="1"/>
  <c r="EKB83" i="1"/>
  <c r="EKA83" i="1"/>
  <c r="EJZ83" i="1"/>
  <c r="EJY83" i="1"/>
  <c r="EJX83" i="1"/>
  <c r="EJW83" i="1"/>
  <c r="EJV83" i="1"/>
  <c r="EJU83" i="1"/>
  <c r="EJT83" i="1"/>
  <c r="EJS83" i="1"/>
  <c r="EJR83" i="1"/>
  <c r="EJQ83" i="1"/>
  <c r="EJP83" i="1"/>
  <c r="EJO83" i="1"/>
  <c r="EJN83" i="1"/>
  <c r="EJM83" i="1"/>
  <c r="EJL83" i="1"/>
  <c r="EJK83" i="1"/>
  <c r="EJJ83" i="1"/>
  <c r="EJI83" i="1"/>
  <c r="EJH83" i="1"/>
  <c r="EJG83" i="1"/>
  <c r="EJF83" i="1"/>
  <c r="EJE83" i="1"/>
  <c r="EJD83" i="1"/>
  <c r="EJC83" i="1"/>
  <c r="EJB83" i="1"/>
  <c r="EJA83" i="1"/>
  <c r="EIZ83" i="1"/>
  <c r="EIY83" i="1"/>
  <c r="EIX83" i="1"/>
  <c r="EIW83" i="1"/>
  <c r="EIV83" i="1"/>
  <c r="EIU83" i="1"/>
  <c r="EIT83" i="1"/>
  <c r="EIS83" i="1"/>
  <c r="EIR83" i="1"/>
  <c r="EIQ83" i="1"/>
  <c r="EIP83" i="1"/>
  <c r="EIO83" i="1"/>
  <c r="EIN83" i="1"/>
  <c r="EIM83" i="1"/>
  <c r="EIL83" i="1"/>
  <c r="EIK83" i="1"/>
  <c r="EIJ83" i="1"/>
  <c r="EII83" i="1"/>
  <c r="EIH83" i="1"/>
  <c r="EIG83" i="1"/>
  <c r="EIF83" i="1"/>
  <c r="EIE83" i="1"/>
  <c r="EID83" i="1"/>
  <c r="EIC83" i="1"/>
  <c r="EIB83" i="1"/>
  <c r="EIA83" i="1"/>
  <c r="EHZ83" i="1"/>
  <c r="EHY83" i="1"/>
  <c r="EHX83" i="1"/>
  <c r="EHW83" i="1"/>
  <c r="EHV83" i="1"/>
  <c r="EHU83" i="1"/>
  <c r="EHT83" i="1"/>
  <c r="EHS83" i="1"/>
  <c r="EHR83" i="1"/>
  <c r="EHQ83" i="1"/>
  <c r="EHP83" i="1"/>
  <c r="EHO83" i="1"/>
  <c r="EHN83" i="1"/>
  <c r="EHM83" i="1"/>
  <c r="EHL83" i="1"/>
  <c r="EHK83" i="1"/>
  <c r="EHJ83" i="1"/>
  <c r="EHI83" i="1"/>
  <c r="EHH83" i="1"/>
  <c r="EHG83" i="1"/>
  <c r="EHF83" i="1"/>
  <c r="EHE83" i="1"/>
  <c r="EHD83" i="1"/>
  <c r="EHC83" i="1"/>
  <c r="EHB83" i="1"/>
  <c r="EHA83" i="1"/>
  <c r="EGZ83" i="1"/>
  <c r="EGY83" i="1"/>
  <c r="EGX83" i="1"/>
  <c r="EGW83" i="1"/>
  <c r="EGV83" i="1"/>
  <c r="EGU83" i="1"/>
  <c r="EGT83" i="1"/>
  <c r="EGS83" i="1"/>
  <c r="EGR83" i="1"/>
  <c r="EGQ83" i="1"/>
  <c r="EGP83" i="1"/>
  <c r="EGO83" i="1"/>
  <c r="EGN83" i="1"/>
  <c r="EGM83" i="1"/>
  <c r="EGL83" i="1"/>
  <c r="EGK83" i="1"/>
  <c r="EGJ83" i="1"/>
  <c r="EGI83" i="1"/>
  <c r="EGH83" i="1"/>
  <c r="EGG83" i="1"/>
  <c r="EGF83" i="1"/>
  <c r="EGE83" i="1"/>
  <c r="EGD83" i="1"/>
  <c r="EGC83" i="1"/>
  <c r="EGB83" i="1"/>
  <c r="EGA83" i="1"/>
  <c r="EFZ83" i="1"/>
  <c r="EFY83" i="1"/>
  <c r="EFX83" i="1"/>
  <c r="EFW83" i="1"/>
  <c r="EFV83" i="1"/>
  <c r="EFU83" i="1"/>
  <c r="EFT83" i="1"/>
  <c r="EFS83" i="1"/>
  <c r="EFR83" i="1"/>
  <c r="EFQ83" i="1"/>
  <c r="EFP83" i="1"/>
  <c r="EFO83" i="1"/>
  <c r="EFN83" i="1"/>
  <c r="EFM83" i="1"/>
  <c r="EFL83" i="1"/>
  <c r="EFK83" i="1"/>
  <c r="EFJ83" i="1"/>
  <c r="EFI83" i="1"/>
  <c r="EFH83" i="1"/>
  <c r="EFG83" i="1"/>
  <c r="EFF83" i="1"/>
  <c r="EFE83" i="1"/>
  <c r="EFD83" i="1"/>
  <c r="EFC83" i="1"/>
  <c r="EFB83" i="1"/>
  <c r="EFA83" i="1"/>
  <c r="EEZ83" i="1"/>
  <c r="EEY83" i="1"/>
  <c r="EEX83" i="1"/>
  <c r="EEW83" i="1"/>
  <c r="EEV83" i="1"/>
  <c r="EEU83" i="1"/>
  <c r="EET83" i="1"/>
  <c r="EES83" i="1"/>
  <c r="EER83" i="1"/>
  <c r="EEQ83" i="1"/>
  <c r="EEP83" i="1"/>
  <c r="EEO83" i="1"/>
  <c r="EEN83" i="1"/>
  <c r="EEM83" i="1"/>
  <c r="EEL83" i="1"/>
  <c r="EEK83" i="1"/>
  <c r="EEJ83" i="1"/>
  <c r="EEI83" i="1"/>
  <c r="EEH83" i="1"/>
  <c r="EEG83" i="1"/>
  <c r="EEF83" i="1"/>
  <c r="EEE83" i="1"/>
  <c r="EED83" i="1"/>
  <c r="EEC83" i="1"/>
  <c r="EEB83" i="1"/>
  <c r="EEA83" i="1"/>
  <c r="EDZ83" i="1"/>
  <c r="EDY83" i="1"/>
  <c r="EDX83" i="1"/>
  <c r="EDW83" i="1"/>
  <c r="EDV83" i="1"/>
  <c r="EDU83" i="1"/>
  <c r="EDT83" i="1"/>
  <c r="EDS83" i="1"/>
  <c r="EDR83" i="1"/>
  <c r="EDQ83" i="1"/>
  <c r="EDP83" i="1"/>
  <c r="EDO83" i="1"/>
  <c r="EDN83" i="1"/>
  <c r="EDM83" i="1"/>
  <c r="EDL83" i="1"/>
  <c r="EDK83" i="1"/>
  <c r="EDJ83" i="1"/>
  <c r="EDI83" i="1"/>
  <c r="EDH83" i="1"/>
  <c r="EDG83" i="1"/>
  <c r="EDF83" i="1"/>
  <c r="EDE83" i="1"/>
  <c r="EDD83" i="1"/>
  <c r="EDC83" i="1"/>
  <c r="EDB83" i="1"/>
  <c r="EDA83" i="1"/>
  <c r="ECZ83" i="1"/>
  <c r="ECY83" i="1"/>
  <c r="ECX83" i="1"/>
  <c r="ECW83" i="1"/>
  <c r="ECV83" i="1"/>
  <c r="ECU83" i="1"/>
  <c r="ECT83" i="1"/>
  <c r="ECS83" i="1"/>
  <c r="ECR83" i="1"/>
  <c r="ECQ83" i="1"/>
  <c r="ECP83" i="1"/>
  <c r="ECO83" i="1"/>
  <c r="ECN83" i="1"/>
  <c r="ECM83" i="1"/>
  <c r="ECL83" i="1"/>
  <c r="ECK83" i="1"/>
  <c r="ECJ83" i="1"/>
  <c r="ECI83" i="1"/>
  <c r="ECH83" i="1"/>
  <c r="ECG83" i="1"/>
  <c r="ECF83" i="1"/>
  <c r="ECE83" i="1"/>
  <c r="ECD83" i="1"/>
  <c r="ECC83" i="1"/>
  <c r="ECB83" i="1"/>
  <c r="ECA83" i="1"/>
  <c r="EBZ83" i="1"/>
  <c r="EBY83" i="1"/>
  <c r="EBX83" i="1"/>
  <c r="EBW83" i="1"/>
  <c r="EBV83" i="1"/>
  <c r="EBU83" i="1"/>
  <c r="EBT83" i="1"/>
  <c r="EBS83" i="1"/>
  <c r="EBR83" i="1"/>
  <c r="EBQ83" i="1"/>
  <c r="EBP83" i="1"/>
  <c r="EBO83" i="1"/>
  <c r="EBN83" i="1"/>
  <c r="EBM83" i="1"/>
  <c r="EBL83" i="1"/>
  <c r="EBK83" i="1"/>
  <c r="EBJ83" i="1"/>
  <c r="EBI83" i="1"/>
  <c r="EBH83" i="1"/>
  <c r="EBG83" i="1"/>
  <c r="EBF83" i="1"/>
  <c r="EBE83" i="1"/>
  <c r="EBD83" i="1"/>
  <c r="EBC83" i="1"/>
  <c r="EBB83" i="1"/>
  <c r="EBA83" i="1"/>
  <c r="EAZ83" i="1"/>
  <c r="EAY83" i="1"/>
  <c r="EAX83" i="1"/>
  <c r="EAW83" i="1"/>
  <c r="EAV83" i="1"/>
  <c r="EAU83" i="1"/>
  <c r="EAT83" i="1"/>
  <c r="EAS83" i="1"/>
  <c r="EAR83" i="1"/>
  <c r="EAQ83" i="1"/>
  <c r="EAP83" i="1"/>
  <c r="EAO83" i="1"/>
  <c r="EAN83" i="1"/>
  <c r="EAM83" i="1"/>
  <c r="EAL83" i="1"/>
  <c r="EAK83" i="1"/>
  <c r="EAJ83" i="1"/>
  <c r="EAI83" i="1"/>
  <c r="EAH83" i="1"/>
  <c r="EAG83" i="1"/>
  <c r="EAF83" i="1"/>
  <c r="EAE83" i="1"/>
  <c r="EAD83" i="1"/>
  <c r="EAC83" i="1"/>
  <c r="EAB83" i="1"/>
  <c r="EAA83" i="1"/>
  <c r="DZZ83" i="1"/>
  <c r="DZY83" i="1"/>
  <c r="DZX83" i="1"/>
  <c r="DZW83" i="1"/>
  <c r="DZV83" i="1"/>
  <c r="DZU83" i="1"/>
  <c r="DZT83" i="1"/>
  <c r="DZS83" i="1"/>
  <c r="DZR83" i="1"/>
  <c r="DZQ83" i="1"/>
  <c r="DZP83" i="1"/>
  <c r="DZO83" i="1"/>
  <c r="DZN83" i="1"/>
  <c r="DZM83" i="1"/>
  <c r="DZL83" i="1"/>
  <c r="DZK83" i="1"/>
  <c r="DZJ83" i="1"/>
  <c r="DZI83" i="1"/>
  <c r="DZH83" i="1"/>
  <c r="DZG83" i="1"/>
  <c r="DZF83" i="1"/>
  <c r="DZE83" i="1"/>
  <c r="DZD83" i="1"/>
  <c r="DZC83" i="1"/>
  <c r="DZB83" i="1"/>
  <c r="DZA83" i="1"/>
  <c r="DYZ83" i="1"/>
  <c r="DYY83" i="1"/>
  <c r="DYX83" i="1"/>
  <c r="DYW83" i="1"/>
  <c r="DYV83" i="1"/>
  <c r="DYU83" i="1"/>
  <c r="DYT83" i="1"/>
  <c r="DYS83" i="1"/>
  <c r="DYR83" i="1"/>
  <c r="DYQ83" i="1"/>
  <c r="DYP83" i="1"/>
  <c r="DYO83" i="1"/>
  <c r="DYN83" i="1"/>
  <c r="DYM83" i="1"/>
  <c r="DYL83" i="1"/>
  <c r="DYK83" i="1"/>
  <c r="DYJ83" i="1"/>
  <c r="DYI83" i="1"/>
  <c r="DYH83" i="1"/>
  <c r="DYG83" i="1"/>
  <c r="DYF83" i="1"/>
  <c r="DYE83" i="1"/>
  <c r="DYD83" i="1"/>
  <c r="DYC83" i="1"/>
  <c r="DYB83" i="1"/>
  <c r="DYA83" i="1"/>
  <c r="DXZ83" i="1"/>
  <c r="DXY83" i="1"/>
  <c r="DXX83" i="1"/>
  <c r="DXW83" i="1"/>
  <c r="DXV83" i="1"/>
  <c r="DXU83" i="1"/>
  <c r="DXT83" i="1"/>
  <c r="DXS83" i="1"/>
  <c r="DXR83" i="1"/>
  <c r="DXQ83" i="1"/>
  <c r="DXP83" i="1"/>
  <c r="DXO83" i="1"/>
  <c r="DXN83" i="1"/>
  <c r="DXM83" i="1"/>
  <c r="DXL83" i="1"/>
  <c r="DXK83" i="1"/>
  <c r="DXJ83" i="1"/>
  <c r="DXI83" i="1"/>
  <c r="DXH83" i="1"/>
  <c r="DXG83" i="1"/>
  <c r="DXF83" i="1"/>
  <c r="DXE83" i="1"/>
  <c r="DXD83" i="1"/>
  <c r="DXC83" i="1"/>
  <c r="DXB83" i="1"/>
  <c r="DXA83" i="1"/>
  <c r="DWZ83" i="1"/>
  <c r="DWY83" i="1"/>
  <c r="DWX83" i="1"/>
  <c r="DWW83" i="1"/>
  <c r="DWV83" i="1"/>
  <c r="DWU83" i="1"/>
  <c r="DWT83" i="1"/>
  <c r="DWS83" i="1"/>
  <c r="DWR83" i="1"/>
  <c r="DWQ83" i="1"/>
  <c r="DWP83" i="1"/>
  <c r="DWO83" i="1"/>
  <c r="DWN83" i="1"/>
  <c r="DWM83" i="1"/>
  <c r="DWL83" i="1"/>
  <c r="DWK83" i="1"/>
  <c r="DWJ83" i="1"/>
  <c r="DWI83" i="1"/>
  <c r="DWH83" i="1"/>
  <c r="DWG83" i="1"/>
  <c r="DWF83" i="1"/>
  <c r="DWE83" i="1"/>
  <c r="DWD83" i="1"/>
  <c r="DWC83" i="1"/>
  <c r="DWB83" i="1"/>
  <c r="DWA83" i="1"/>
  <c r="DVZ83" i="1"/>
  <c r="DVY83" i="1"/>
  <c r="DVX83" i="1"/>
  <c r="DVW83" i="1"/>
  <c r="DVV83" i="1"/>
  <c r="DVU83" i="1"/>
  <c r="DVT83" i="1"/>
  <c r="DVS83" i="1"/>
  <c r="DVR83" i="1"/>
  <c r="DVQ83" i="1"/>
  <c r="DVP83" i="1"/>
  <c r="DVO83" i="1"/>
  <c r="DVN83" i="1"/>
  <c r="DVM83" i="1"/>
  <c r="DVL83" i="1"/>
  <c r="DVK83" i="1"/>
  <c r="DVJ83" i="1"/>
  <c r="DVI83" i="1"/>
  <c r="DVH83" i="1"/>
  <c r="DVG83" i="1"/>
  <c r="DVF83" i="1"/>
  <c r="DVE83" i="1"/>
  <c r="DVD83" i="1"/>
  <c r="DVC83" i="1"/>
  <c r="DVB83" i="1"/>
  <c r="DVA83" i="1"/>
  <c r="DUZ83" i="1"/>
  <c r="DUY83" i="1"/>
  <c r="DUX83" i="1"/>
  <c r="DUW83" i="1"/>
  <c r="DUV83" i="1"/>
  <c r="DUU83" i="1"/>
  <c r="DUT83" i="1"/>
  <c r="DUS83" i="1"/>
  <c r="DUR83" i="1"/>
  <c r="DUQ83" i="1"/>
  <c r="DUP83" i="1"/>
  <c r="DUO83" i="1"/>
  <c r="DUN83" i="1"/>
  <c r="DUM83" i="1"/>
  <c r="DUL83" i="1"/>
  <c r="DUK83" i="1"/>
  <c r="DUJ83" i="1"/>
  <c r="DUI83" i="1"/>
  <c r="DUH83" i="1"/>
  <c r="DUG83" i="1"/>
  <c r="DUF83" i="1"/>
  <c r="DUE83" i="1"/>
  <c r="DUD83" i="1"/>
  <c r="DUC83" i="1"/>
  <c r="DUB83" i="1"/>
  <c r="DUA83" i="1"/>
  <c r="DTZ83" i="1"/>
  <c r="DTY83" i="1"/>
  <c r="DTX83" i="1"/>
  <c r="DTW83" i="1"/>
  <c r="DTV83" i="1"/>
  <c r="DTU83" i="1"/>
  <c r="DTT83" i="1"/>
  <c r="DTS83" i="1"/>
  <c r="DTR83" i="1"/>
  <c r="DTQ83" i="1"/>
  <c r="DTP83" i="1"/>
  <c r="DTO83" i="1"/>
  <c r="DTN83" i="1"/>
  <c r="DTM83" i="1"/>
  <c r="DTL83" i="1"/>
  <c r="DTK83" i="1"/>
  <c r="DTJ83" i="1"/>
  <c r="DTI83" i="1"/>
  <c r="DTH83" i="1"/>
  <c r="DTG83" i="1"/>
  <c r="DTF83" i="1"/>
  <c r="DTE83" i="1"/>
  <c r="DTD83" i="1"/>
  <c r="DTC83" i="1"/>
  <c r="DTB83" i="1"/>
  <c r="DTA83" i="1"/>
  <c r="DSZ83" i="1"/>
  <c r="DSY83" i="1"/>
  <c r="DSX83" i="1"/>
  <c r="DSW83" i="1"/>
  <c r="DSV83" i="1"/>
  <c r="DSU83" i="1"/>
  <c r="DST83" i="1"/>
  <c r="DSS83" i="1"/>
  <c r="DSR83" i="1"/>
  <c r="DSQ83" i="1"/>
  <c r="DSP83" i="1"/>
  <c r="DSO83" i="1"/>
  <c r="DSN83" i="1"/>
  <c r="DSM83" i="1"/>
  <c r="DSL83" i="1"/>
  <c r="DSK83" i="1"/>
  <c r="DSJ83" i="1"/>
  <c r="DSI83" i="1"/>
  <c r="DSH83" i="1"/>
  <c r="DSG83" i="1"/>
  <c r="DSF83" i="1"/>
  <c r="DSE83" i="1"/>
  <c r="DSD83" i="1"/>
  <c r="DSC83" i="1"/>
  <c r="DSB83" i="1"/>
  <c r="DSA83" i="1"/>
  <c r="DRZ83" i="1"/>
  <c r="DRY83" i="1"/>
  <c r="DRX83" i="1"/>
  <c r="DRW83" i="1"/>
  <c r="DRV83" i="1"/>
  <c r="DRU83" i="1"/>
  <c r="DRT83" i="1"/>
  <c r="DRS83" i="1"/>
  <c r="DRR83" i="1"/>
  <c r="DRQ83" i="1"/>
  <c r="DRP83" i="1"/>
  <c r="DRO83" i="1"/>
  <c r="DRN83" i="1"/>
  <c r="DRM83" i="1"/>
  <c r="DRL83" i="1"/>
  <c r="DRK83" i="1"/>
  <c r="DRJ83" i="1"/>
  <c r="DRI83" i="1"/>
  <c r="DRH83" i="1"/>
  <c r="DRG83" i="1"/>
  <c r="DRF83" i="1"/>
  <c r="DRE83" i="1"/>
  <c r="DRD83" i="1"/>
  <c r="DRC83" i="1"/>
  <c r="DRB83" i="1"/>
  <c r="DRA83" i="1"/>
  <c r="DQZ83" i="1"/>
  <c r="DQY83" i="1"/>
  <c r="DQX83" i="1"/>
  <c r="DQW83" i="1"/>
  <c r="DQV83" i="1"/>
  <c r="DQU83" i="1"/>
  <c r="DQT83" i="1"/>
  <c r="DQS83" i="1"/>
  <c r="DQR83" i="1"/>
  <c r="DQQ83" i="1"/>
  <c r="DQP83" i="1"/>
  <c r="DQO83" i="1"/>
  <c r="DQN83" i="1"/>
  <c r="DQM83" i="1"/>
  <c r="DQL83" i="1"/>
  <c r="DQK83" i="1"/>
  <c r="DQJ83" i="1"/>
  <c r="DQI83" i="1"/>
  <c r="DQH83" i="1"/>
  <c r="DQG83" i="1"/>
  <c r="DQF83" i="1"/>
  <c r="DQE83" i="1"/>
  <c r="DQD83" i="1"/>
  <c r="DQC83" i="1"/>
  <c r="DQB83" i="1"/>
  <c r="DQA83" i="1"/>
  <c r="DPZ83" i="1"/>
  <c r="DPY83" i="1"/>
  <c r="DPX83" i="1"/>
  <c r="DPW83" i="1"/>
  <c r="DPV83" i="1"/>
  <c r="DPU83" i="1"/>
  <c r="DPT83" i="1"/>
  <c r="DPS83" i="1"/>
  <c r="DPR83" i="1"/>
  <c r="DPQ83" i="1"/>
  <c r="DPP83" i="1"/>
  <c r="DPO83" i="1"/>
  <c r="DPN83" i="1"/>
  <c r="DPM83" i="1"/>
  <c r="DPL83" i="1"/>
  <c r="DPK83" i="1"/>
  <c r="DPJ83" i="1"/>
  <c r="DPI83" i="1"/>
  <c r="DPH83" i="1"/>
  <c r="DPG83" i="1"/>
  <c r="DPF83" i="1"/>
  <c r="DPE83" i="1"/>
  <c r="DPD83" i="1"/>
  <c r="DPC83" i="1"/>
  <c r="DPB83" i="1"/>
  <c r="DPA83" i="1"/>
  <c r="DOZ83" i="1"/>
  <c r="DOY83" i="1"/>
  <c r="DOX83" i="1"/>
  <c r="DOW83" i="1"/>
  <c r="DOV83" i="1"/>
  <c r="DOU83" i="1"/>
  <c r="DOT83" i="1"/>
  <c r="DOS83" i="1"/>
  <c r="DOR83" i="1"/>
  <c r="DOQ83" i="1"/>
  <c r="DOP83" i="1"/>
  <c r="DOO83" i="1"/>
  <c r="DON83" i="1"/>
  <c r="DOM83" i="1"/>
  <c r="DOL83" i="1"/>
  <c r="DOK83" i="1"/>
  <c r="DOJ83" i="1"/>
  <c r="DOI83" i="1"/>
  <c r="DOH83" i="1"/>
  <c r="DOG83" i="1"/>
  <c r="DOF83" i="1"/>
  <c r="DOE83" i="1"/>
  <c r="DOD83" i="1"/>
  <c r="DOC83" i="1"/>
  <c r="DOB83" i="1"/>
  <c r="DOA83" i="1"/>
  <c r="DNZ83" i="1"/>
  <c r="DNY83" i="1"/>
  <c r="DNX83" i="1"/>
  <c r="DNW83" i="1"/>
  <c r="DNV83" i="1"/>
  <c r="DNU83" i="1"/>
  <c r="DNT83" i="1"/>
  <c r="DNS83" i="1"/>
  <c r="DNR83" i="1"/>
  <c r="DNQ83" i="1"/>
  <c r="DNP83" i="1"/>
  <c r="DNO83" i="1"/>
  <c r="DNN83" i="1"/>
  <c r="DNM83" i="1"/>
  <c r="DNL83" i="1"/>
  <c r="DNK83" i="1"/>
  <c r="DNJ83" i="1"/>
  <c r="DNI83" i="1"/>
  <c r="DNH83" i="1"/>
  <c r="DNG83" i="1"/>
  <c r="DNF83" i="1"/>
  <c r="DNE83" i="1"/>
  <c r="DND83" i="1"/>
  <c r="DNC83" i="1"/>
  <c r="DNB83" i="1"/>
  <c r="DNA83" i="1"/>
  <c r="DMZ83" i="1"/>
  <c r="DMY83" i="1"/>
  <c r="DMX83" i="1"/>
  <c r="DMW83" i="1"/>
  <c r="DMV83" i="1"/>
  <c r="DMU83" i="1"/>
  <c r="DMT83" i="1"/>
  <c r="DMS83" i="1"/>
  <c r="DMR83" i="1"/>
  <c r="DMQ83" i="1"/>
  <c r="DMP83" i="1"/>
  <c r="DMO83" i="1"/>
  <c r="DMN83" i="1"/>
  <c r="DMM83" i="1"/>
  <c r="DML83" i="1"/>
  <c r="DMK83" i="1"/>
  <c r="DMJ83" i="1"/>
  <c r="DMI83" i="1"/>
  <c r="DMH83" i="1"/>
  <c r="DMG83" i="1"/>
  <c r="DMF83" i="1"/>
  <c r="DME83" i="1"/>
  <c r="DMD83" i="1"/>
  <c r="DMC83" i="1"/>
  <c r="DMB83" i="1"/>
  <c r="DMA83" i="1"/>
  <c r="DLZ83" i="1"/>
  <c r="DLY83" i="1"/>
  <c r="DLX83" i="1"/>
  <c r="DLW83" i="1"/>
  <c r="DLV83" i="1"/>
  <c r="DLU83" i="1"/>
  <c r="DLT83" i="1"/>
  <c r="DLS83" i="1"/>
  <c r="DLR83" i="1"/>
  <c r="DLQ83" i="1"/>
  <c r="DLP83" i="1"/>
  <c r="DLO83" i="1"/>
  <c r="DLN83" i="1"/>
  <c r="DLM83" i="1"/>
  <c r="DLL83" i="1"/>
  <c r="DLK83" i="1"/>
  <c r="DLJ83" i="1"/>
  <c r="DLI83" i="1"/>
  <c r="DLH83" i="1"/>
  <c r="DLG83" i="1"/>
  <c r="DLF83" i="1"/>
  <c r="DLE83" i="1"/>
  <c r="DLD83" i="1"/>
  <c r="DLC83" i="1"/>
  <c r="DLB83" i="1"/>
  <c r="DLA83" i="1"/>
  <c r="DKZ83" i="1"/>
  <c r="DKY83" i="1"/>
  <c r="DKX83" i="1"/>
  <c r="DKW83" i="1"/>
  <c r="DKV83" i="1"/>
  <c r="DKU83" i="1"/>
  <c r="DKT83" i="1"/>
  <c r="DKS83" i="1"/>
  <c r="DKR83" i="1"/>
  <c r="DKQ83" i="1"/>
  <c r="DKP83" i="1"/>
  <c r="DKO83" i="1"/>
  <c r="DKN83" i="1"/>
  <c r="DKM83" i="1"/>
  <c r="DKL83" i="1"/>
  <c r="DKK83" i="1"/>
  <c r="DKJ83" i="1"/>
  <c r="DKI83" i="1"/>
  <c r="DKH83" i="1"/>
  <c r="DKG83" i="1"/>
  <c r="DKF83" i="1"/>
  <c r="DKE83" i="1"/>
  <c r="DKD83" i="1"/>
  <c r="DKC83" i="1"/>
  <c r="DKB83" i="1"/>
  <c r="DKA83" i="1"/>
  <c r="DJZ83" i="1"/>
  <c r="DJY83" i="1"/>
  <c r="DJX83" i="1"/>
  <c r="DJW83" i="1"/>
  <c r="DJV83" i="1"/>
  <c r="DJU83" i="1"/>
  <c r="DJT83" i="1"/>
  <c r="DJS83" i="1"/>
  <c r="DJR83" i="1"/>
  <c r="DJQ83" i="1"/>
  <c r="DJP83" i="1"/>
  <c r="DJO83" i="1"/>
  <c r="DJN83" i="1"/>
  <c r="DJM83" i="1"/>
  <c r="DJL83" i="1"/>
  <c r="DJK83" i="1"/>
  <c r="DJJ83" i="1"/>
  <c r="DJI83" i="1"/>
  <c r="DJH83" i="1"/>
  <c r="DJG83" i="1"/>
  <c r="DJF83" i="1"/>
  <c r="DJE83" i="1"/>
  <c r="DJD83" i="1"/>
  <c r="DJC83" i="1"/>
  <c r="DJB83" i="1"/>
  <c r="DJA83" i="1"/>
  <c r="DIZ83" i="1"/>
  <c r="DIY83" i="1"/>
  <c r="DIX83" i="1"/>
  <c r="DIW83" i="1"/>
  <c r="DIV83" i="1"/>
  <c r="DIU83" i="1"/>
  <c r="DIT83" i="1"/>
  <c r="DIS83" i="1"/>
  <c r="DIR83" i="1"/>
  <c r="DIQ83" i="1"/>
  <c r="DIP83" i="1"/>
  <c r="DIO83" i="1"/>
  <c r="DIN83" i="1"/>
  <c r="DIM83" i="1"/>
  <c r="DIL83" i="1"/>
  <c r="DIK83" i="1"/>
  <c r="DIJ83" i="1"/>
  <c r="DII83" i="1"/>
  <c r="DIH83" i="1"/>
  <c r="DIG83" i="1"/>
  <c r="DIF83" i="1"/>
  <c r="DIE83" i="1"/>
  <c r="DID83" i="1"/>
  <c r="DIC83" i="1"/>
  <c r="DIB83" i="1"/>
  <c r="DIA83" i="1"/>
  <c r="DHZ83" i="1"/>
  <c r="DHY83" i="1"/>
  <c r="DHX83" i="1"/>
  <c r="DHW83" i="1"/>
  <c r="DHV83" i="1"/>
  <c r="DHU83" i="1"/>
  <c r="DHT83" i="1"/>
  <c r="DHS83" i="1"/>
  <c r="DHR83" i="1"/>
  <c r="DHQ83" i="1"/>
  <c r="DHP83" i="1"/>
  <c r="DHO83" i="1"/>
  <c r="DHN83" i="1"/>
  <c r="DHM83" i="1"/>
  <c r="DHL83" i="1"/>
  <c r="DHK83" i="1"/>
  <c r="DHJ83" i="1"/>
  <c r="DHI83" i="1"/>
  <c r="DHH83" i="1"/>
  <c r="DHG83" i="1"/>
  <c r="DHF83" i="1"/>
  <c r="DHE83" i="1"/>
  <c r="DHD83" i="1"/>
  <c r="DHC83" i="1"/>
  <c r="DHB83" i="1"/>
  <c r="DHA83" i="1"/>
  <c r="DGZ83" i="1"/>
  <c r="DGY83" i="1"/>
  <c r="DGX83" i="1"/>
  <c r="DGW83" i="1"/>
  <c r="DGV83" i="1"/>
  <c r="DGU83" i="1"/>
  <c r="DGT83" i="1"/>
  <c r="DGS83" i="1"/>
  <c r="DGR83" i="1"/>
  <c r="DGQ83" i="1"/>
  <c r="DGP83" i="1"/>
  <c r="DGO83" i="1"/>
  <c r="DGN83" i="1"/>
  <c r="DGM83" i="1"/>
  <c r="DGL83" i="1"/>
  <c r="DGK83" i="1"/>
  <c r="DGJ83" i="1"/>
  <c r="DGI83" i="1"/>
  <c r="DGH83" i="1"/>
  <c r="DGG83" i="1"/>
  <c r="DGF83" i="1"/>
  <c r="DGE83" i="1"/>
  <c r="DGD83" i="1"/>
  <c r="DGC83" i="1"/>
  <c r="DGB83" i="1"/>
  <c r="DGA83" i="1"/>
  <c r="DFZ83" i="1"/>
  <c r="DFY83" i="1"/>
  <c r="DFX83" i="1"/>
  <c r="DFW83" i="1"/>
  <c r="DFV83" i="1"/>
  <c r="DFU83" i="1"/>
  <c r="DFT83" i="1"/>
  <c r="DFS83" i="1"/>
  <c r="DFR83" i="1"/>
  <c r="DFQ83" i="1"/>
  <c r="DFP83" i="1"/>
  <c r="DFO83" i="1"/>
  <c r="DFN83" i="1"/>
  <c r="DFM83" i="1"/>
  <c r="DFL83" i="1"/>
  <c r="DFK83" i="1"/>
  <c r="DFJ83" i="1"/>
  <c r="DFI83" i="1"/>
  <c r="DFH83" i="1"/>
  <c r="DFG83" i="1"/>
  <c r="DFF83" i="1"/>
  <c r="DFE83" i="1"/>
  <c r="DFD83" i="1"/>
  <c r="DFC83" i="1"/>
  <c r="DFB83" i="1"/>
  <c r="DFA83" i="1"/>
  <c r="DEZ83" i="1"/>
  <c r="DEY83" i="1"/>
  <c r="DEX83" i="1"/>
  <c r="DEW83" i="1"/>
  <c r="DEV83" i="1"/>
  <c r="DEU83" i="1"/>
  <c r="DET83" i="1"/>
  <c r="DES83" i="1"/>
  <c r="DER83" i="1"/>
  <c r="DEQ83" i="1"/>
  <c r="DEP83" i="1"/>
  <c r="DEO83" i="1"/>
  <c r="DEN83" i="1"/>
  <c r="DEM83" i="1"/>
  <c r="DEL83" i="1"/>
  <c r="DEK83" i="1"/>
  <c r="DEJ83" i="1"/>
  <c r="DEI83" i="1"/>
  <c r="DEH83" i="1"/>
  <c r="DEG83" i="1"/>
  <c r="DEF83" i="1"/>
  <c r="DEE83" i="1"/>
  <c r="DED83" i="1"/>
  <c r="DEC83" i="1"/>
  <c r="DEB83" i="1"/>
  <c r="DEA83" i="1"/>
  <c r="DDZ83" i="1"/>
  <c r="DDY83" i="1"/>
  <c r="DDX83" i="1"/>
  <c r="DDW83" i="1"/>
  <c r="DDV83" i="1"/>
  <c r="DDU83" i="1"/>
  <c r="DDT83" i="1"/>
  <c r="DDS83" i="1"/>
  <c r="DDR83" i="1"/>
  <c r="DDQ83" i="1"/>
  <c r="DDP83" i="1"/>
  <c r="DDO83" i="1"/>
  <c r="DDN83" i="1"/>
  <c r="DDM83" i="1"/>
  <c r="DDL83" i="1"/>
  <c r="DDK83" i="1"/>
  <c r="DDJ83" i="1"/>
  <c r="DDI83" i="1"/>
  <c r="DDH83" i="1"/>
  <c r="DDG83" i="1"/>
  <c r="DDF83" i="1"/>
  <c r="DDE83" i="1"/>
  <c r="DDD83" i="1"/>
  <c r="DDC83" i="1"/>
  <c r="DDB83" i="1"/>
  <c r="DDA83" i="1"/>
  <c r="DCZ83" i="1"/>
  <c r="DCY83" i="1"/>
  <c r="DCX83" i="1"/>
  <c r="DCW83" i="1"/>
  <c r="DCV83" i="1"/>
  <c r="DCU83" i="1"/>
  <c r="DCT83" i="1"/>
  <c r="DCS83" i="1"/>
  <c r="DCR83" i="1"/>
  <c r="DCQ83" i="1"/>
  <c r="DCP83" i="1"/>
  <c r="DCO83" i="1"/>
  <c r="DCN83" i="1"/>
  <c r="DCM83" i="1"/>
  <c r="DCL83" i="1"/>
  <c r="DCK83" i="1"/>
  <c r="DCJ83" i="1"/>
  <c r="DCI83" i="1"/>
  <c r="DCH83" i="1"/>
  <c r="DCG83" i="1"/>
  <c r="DCF83" i="1"/>
  <c r="DCE83" i="1"/>
  <c r="DCD83" i="1"/>
  <c r="DCC83" i="1"/>
  <c r="DCB83" i="1"/>
  <c r="DCA83" i="1"/>
  <c r="DBZ83" i="1"/>
  <c r="DBY83" i="1"/>
  <c r="DBX83" i="1"/>
  <c r="DBW83" i="1"/>
  <c r="DBV83" i="1"/>
  <c r="DBU83" i="1"/>
  <c r="DBT83" i="1"/>
  <c r="DBS83" i="1"/>
  <c r="DBR83" i="1"/>
  <c r="DBQ83" i="1"/>
  <c r="DBP83" i="1"/>
  <c r="DBO83" i="1"/>
  <c r="DBN83" i="1"/>
  <c r="DBM83" i="1"/>
  <c r="DBL83" i="1"/>
  <c r="DBK83" i="1"/>
  <c r="DBJ83" i="1"/>
  <c r="DBI83" i="1"/>
  <c r="DBH83" i="1"/>
  <c r="DBG83" i="1"/>
  <c r="DBF83" i="1"/>
  <c r="DBE83" i="1"/>
  <c r="DBD83" i="1"/>
  <c r="DBC83" i="1"/>
  <c r="DBB83" i="1"/>
  <c r="DBA83" i="1"/>
  <c r="DAZ83" i="1"/>
  <c r="DAY83" i="1"/>
  <c r="DAX83" i="1"/>
  <c r="DAW83" i="1"/>
  <c r="DAV83" i="1"/>
  <c r="DAU83" i="1"/>
  <c r="DAT83" i="1"/>
  <c r="DAS83" i="1"/>
  <c r="DAR83" i="1"/>
  <c r="DAQ83" i="1"/>
  <c r="DAP83" i="1"/>
  <c r="DAO83" i="1"/>
  <c r="DAN83" i="1"/>
  <c r="DAM83" i="1"/>
  <c r="DAL83" i="1"/>
  <c r="DAK83" i="1"/>
  <c r="DAJ83" i="1"/>
  <c r="DAI83" i="1"/>
  <c r="DAH83" i="1"/>
  <c r="DAG83" i="1"/>
  <c r="DAF83" i="1"/>
  <c r="DAE83" i="1"/>
  <c r="DAD83" i="1"/>
  <c r="DAC83" i="1"/>
  <c r="DAB83" i="1"/>
  <c r="DAA83" i="1"/>
  <c r="CZZ83" i="1"/>
  <c r="CZY83" i="1"/>
  <c r="CZX83" i="1"/>
  <c r="CZW83" i="1"/>
  <c r="CZV83" i="1"/>
  <c r="CZU83" i="1"/>
  <c r="CZT83" i="1"/>
  <c r="CZS83" i="1"/>
  <c r="CZR83" i="1"/>
  <c r="CZQ83" i="1"/>
  <c r="CZP83" i="1"/>
  <c r="CZO83" i="1"/>
  <c r="CZN83" i="1"/>
  <c r="CZM83" i="1"/>
  <c r="CZL83" i="1"/>
  <c r="CZK83" i="1"/>
  <c r="CZJ83" i="1"/>
  <c r="CZI83" i="1"/>
  <c r="CZH83" i="1"/>
  <c r="CZG83" i="1"/>
  <c r="CZF83" i="1"/>
  <c r="CZE83" i="1"/>
  <c r="CZD83" i="1"/>
  <c r="CZC83" i="1"/>
  <c r="CZB83" i="1"/>
  <c r="CZA83" i="1"/>
  <c r="CYZ83" i="1"/>
  <c r="CYY83" i="1"/>
  <c r="CYX83" i="1"/>
  <c r="CYW83" i="1"/>
  <c r="CYV83" i="1"/>
  <c r="CYU83" i="1"/>
  <c r="CYT83" i="1"/>
  <c r="CYS83" i="1"/>
  <c r="CYR83" i="1"/>
  <c r="CYQ83" i="1"/>
  <c r="CYP83" i="1"/>
  <c r="CYO83" i="1"/>
  <c r="CYN83" i="1"/>
  <c r="CYM83" i="1"/>
  <c r="CYL83" i="1"/>
  <c r="CYK83" i="1"/>
  <c r="CYJ83" i="1"/>
  <c r="CYI83" i="1"/>
  <c r="CYH83" i="1"/>
  <c r="CYG83" i="1"/>
  <c r="CYF83" i="1"/>
  <c r="CYE83" i="1"/>
  <c r="CYD83" i="1"/>
  <c r="CYC83" i="1"/>
  <c r="CYB83" i="1"/>
  <c r="CYA83" i="1"/>
  <c r="CXZ83" i="1"/>
  <c r="CXY83" i="1"/>
  <c r="CXX83" i="1"/>
  <c r="CXW83" i="1"/>
  <c r="CXV83" i="1"/>
  <c r="CXU83" i="1"/>
  <c r="CXT83" i="1"/>
  <c r="CXS83" i="1"/>
  <c r="CXR83" i="1"/>
  <c r="CXQ83" i="1"/>
  <c r="CXP83" i="1"/>
  <c r="CXO83" i="1"/>
  <c r="CXN83" i="1"/>
  <c r="CXM83" i="1"/>
  <c r="CXL83" i="1"/>
  <c r="CXK83" i="1"/>
  <c r="CXJ83" i="1"/>
  <c r="CXI83" i="1"/>
  <c r="CXH83" i="1"/>
  <c r="CXG83" i="1"/>
  <c r="CXF83" i="1"/>
  <c r="CXE83" i="1"/>
  <c r="CXD83" i="1"/>
  <c r="CXC83" i="1"/>
  <c r="CXB83" i="1"/>
  <c r="CXA83" i="1"/>
  <c r="CWZ83" i="1"/>
  <c r="CWY83" i="1"/>
  <c r="CWX83" i="1"/>
  <c r="CWW83" i="1"/>
  <c r="CWV83" i="1"/>
  <c r="CWU83" i="1"/>
  <c r="CWT83" i="1"/>
  <c r="CWS83" i="1"/>
  <c r="CWR83" i="1"/>
  <c r="CWQ83" i="1"/>
  <c r="CWP83" i="1"/>
  <c r="CWO83" i="1"/>
  <c r="CWN83" i="1"/>
  <c r="CWM83" i="1"/>
  <c r="CWL83" i="1"/>
  <c r="CWK83" i="1"/>
  <c r="CWJ83" i="1"/>
  <c r="CWI83" i="1"/>
  <c r="CWH83" i="1"/>
  <c r="CWG83" i="1"/>
  <c r="CWF83" i="1"/>
  <c r="CWE83" i="1"/>
  <c r="CWD83" i="1"/>
  <c r="CWC83" i="1"/>
  <c r="CWB83" i="1"/>
  <c r="CWA83" i="1"/>
  <c r="CVZ83" i="1"/>
  <c r="CVY83" i="1"/>
  <c r="CVX83" i="1"/>
  <c r="CVW83" i="1"/>
  <c r="CVV83" i="1"/>
  <c r="CVU83" i="1"/>
  <c r="CVT83" i="1"/>
  <c r="CVS83" i="1"/>
  <c r="CVR83" i="1"/>
  <c r="CVQ83" i="1"/>
  <c r="CVP83" i="1"/>
  <c r="CVO83" i="1"/>
  <c r="CVN83" i="1"/>
  <c r="CVM83" i="1"/>
  <c r="CVL83" i="1"/>
  <c r="CVK83" i="1"/>
  <c r="CVJ83" i="1"/>
  <c r="CVI83" i="1"/>
  <c r="CVH83" i="1"/>
  <c r="CVG83" i="1"/>
  <c r="CVF83" i="1"/>
  <c r="CVE83" i="1"/>
  <c r="CVD83" i="1"/>
  <c r="CVC83" i="1"/>
  <c r="CVB83" i="1"/>
  <c r="CVA83" i="1"/>
  <c r="CUZ83" i="1"/>
  <c r="CUY83" i="1"/>
  <c r="CUX83" i="1"/>
  <c r="CUW83" i="1"/>
  <c r="CUV83" i="1"/>
  <c r="CUU83" i="1"/>
  <c r="CUT83" i="1"/>
  <c r="CUS83" i="1"/>
  <c r="CUR83" i="1"/>
  <c r="CUQ83" i="1"/>
  <c r="CUP83" i="1"/>
  <c r="CUO83" i="1"/>
  <c r="CUN83" i="1"/>
  <c r="CUM83" i="1"/>
  <c r="CUL83" i="1"/>
  <c r="CUK83" i="1"/>
  <c r="CUJ83" i="1"/>
  <c r="CUI83" i="1"/>
  <c r="CUH83" i="1"/>
  <c r="CUG83" i="1"/>
  <c r="CUF83" i="1"/>
  <c r="CUE83" i="1"/>
  <c r="CUD83" i="1"/>
  <c r="CUC83" i="1"/>
  <c r="CUB83" i="1"/>
  <c r="CUA83" i="1"/>
  <c r="CTZ83" i="1"/>
  <c r="CTY83" i="1"/>
  <c r="CTX83" i="1"/>
  <c r="CTW83" i="1"/>
  <c r="CTV83" i="1"/>
  <c r="CTU83" i="1"/>
  <c r="CTT83" i="1"/>
  <c r="CTS83" i="1"/>
  <c r="CTR83" i="1"/>
  <c r="CTQ83" i="1"/>
  <c r="CTP83" i="1"/>
  <c r="CTO83" i="1"/>
  <c r="CTN83" i="1"/>
  <c r="CTM83" i="1"/>
  <c r="CTL83" i="1"/>
  <c r="CTK83" i="1"/>
  <c r="CTJ83" i="1"/>
  <c r="CTI83" i="1"/>
  <c r="CTH83" i="1"/>
  <c r="CTG83" i="1"/>
  <c r="CTF83" i="1"/>
  <c r="CTE83" i="1"/>
  <c r="CTD83" i="1"/>
  <c r="CTC83" i="1"/>
  <c r="CTB83" i="1"/>
  <c r="CTA83" i="1"/>
  <c r="CSZ83" i="1"/>
  <c r="CSY83" i="1"/>
  <c r="CSX83" i="1"/>
  <c r="CSW83" i="1"/>
  <c r="CSV83" i="1"/>
  <c r="CSU83" i="1"/>
  <c r="CST83" i="1"/>
  <c r="CSS83" i="1"/>
  <c r="CSR83" i="1"/>
  <c r="CSQ83" i="1"/>
  <c r="CSP83" i="1"/>
  <c r="CSO83" i="1"/>
  <c r="CSN83" i="1"/>
  <c r="CSM83" i="1"/>
  <c r="CSL83" i="1"/>
  <c r="CSK83" i="1"/>
  <c r="CSJ83" i="1"/>
  <c r="CSI83" i="1"/>
  <c r="CSH83" i="1"/>
  <c r="CSG83" i="1"/>
  <c r="CSF83" i="1"/>
  <c r="CSE83" i="1"/>
  <c r="CSD83" i="1"/>
  <c r="CSC83" i="1"/>
  <c r="CSB83" i="1"/>
  <c r="CSA83" i="1"/>
  <c r="CRZ83" i="1"/>
  <c r="CRY83" i="1"/>
  <c r="CRX83" i="1"/>
  <c r="CRW83" i="1"/>
  <c r="CRV83" i="1"/>
  <c r="CRU83" i="1"/>
  <c r="CRT83" i="1"/>
  <c r="CRS83" i="1"/>
  <c r="CRR83" i="1"/>
  <c r="CRQ83" i="1"/>
  <c r="CRP83" i="1"/>
  <c r="CRO83" i="1"/>
  <c r="CRN83" i="1"/>
  <c r="CRM83" i="1"/>
  <c r="CRL83" i="1"/>
  <c r="CRK83" i="1"/>
  <c r="CRJ83" i="1"/>
  <c r="CRI83" i="1"/>
  <c r="CRH83" i="1"/>
  <c r="CRG83" i="1"/>
  <c r="CRF83" i="1"/>
  <c r="CRE83" i="1"/>
  <c r="CRD83" i="1"/>
  <c r="CRC83" i="1"/>
  <c r="CRB83" i="1"/>
  <c r="CRA83" i="1"/>
  <c r="CQZ83" i="1"/>
  <c r="CQY83" i="1"/>
  <c r="CQX83" i="1"/>
  <c r="CQW83" i="1"/>
  <c r="CQV83" i="1"/>
  <c r="CQU83" i="1"/>
  <c r="CQT83" i="1"/>
  <c r="CQS83" i="1"/>
  <c r="CQR83" i="1"/>
  <c r="CQQ83" i="1"/>
  <c r="CQP83" i="1"/>
  <c r="CQO83" i="1"/>
  <c r="CQN83" i="1"/>
  <c r="CQM83" i="1"/>
  <c r="CQL83" i="1"/>
  <c r="CQK83" i="1"/>
  <c r="CQJ83" i="1"/>
  <c r="CQI83" i="1"/>
  <c r="CQH83" i="1"/>
  <c r="CQG83" i="1"/>
  <c r="CQF83" i="1"/>
  <c r="CQE83" i="1"/>
  <c r="CQD83" i="1"/>
  <c r="CQC83" i="1"/>
  <c r="CQB83" i="1"/>
  <c r="CQA83" i="1"/>
  <c r="CPZ83" i="1"/>
  <c r="CPY83" i="1"/>
  <c r="CPX83" i="1"/>
  <c r="CPW83" i="1"/>
  <c r="CPV83" i="1"/>
  <c r="CPU83" i="1"/>
  <c r="CPT83" i="1"/>
  <c r="CPS83" i="1"/>
  <c r="CPR83" i="1"/>
  <c r="CPQ83" i="1"/>
  <c r="CPP83" i="1"/>
  <c r="CPO83" i="1"/>
  <c r="CPN83" i="1"/>
  <c r="CPM83" i="1"/>
  <c r="CPL83" i="1"/>
  <c r="CPK83" i="1"/>
  <c r="CPJ83" i="1"/>
  <c r="CPI83" i="1"/>
  <c r="CPH83" i="1"/>
  <c r="CPG83" i="1"/>
  <c r="CPF83" i="1"/>
  <c r="CPE83" i="1"/>
  <c r="CPD83" i="1"/>
  <c r="CPC83" i="1"/>
  <c r="CPB83" i="1"/>
  <c r="CPA83" i="1"/>
  <c r="COZ83" i="1"/>
  <c r="COY83" i="1"/>
  <c r="COX83" i="1"/>
  <c r="COW83" i="1"/>
  <c r="COV83" i="1"/>
  <c r="COU83" i="1"/>
  <c r="COT83" i="1"/>
  <c r="COS83" i="1"/>
  <c r="COR83" i="1"/>
  <c r="COQ83" i="1"/>
  <c r="COP83" i="1"/>
  <c r="COO83" i="1"/>
  <c r="CON83" i="1"/>
  <c r="COM83" i="1"/>
  <c r="COL83" i="1"/>
  <c r="COK83" i="1"/>
  <c r="COJ83" i="1"/>
  <c r="COI83" i="1"/>
  <c r="COH83" i="1"/>
  <c r="COG83" i="1"/>
  <c r="COF83" i="1"/>
  <c r="COE83" i="1"/>
  <c r="COD83" i="1"/>
  <c r="COC83" i="1"/>
  <c r="COB83" i="1"/>
  <c r="COA83" i="1"/>
  <c r="CNZ83" i="1"/>
  <c r="CNY83" i="1"/>
  <c r="CNX83" i="1"/>
  <c r="CNW83" i="1"/>
  <c r="CNV83" i="1"/>
  <c r="CNU83" i="1"/>
  <c r="CNT83" i="1"/>
  <c r="CNS83" i="1"/>
  <c r="CNR83" i="1"/>
  <c r="CNQ83" i="1"/>
  <c r="CNP83" i="1"/>
  <c r="CNO83" i="1"/>
  <c r="CNN83" i="1"/>
  <c r="CNM83" i="1"/>
  <c r="CNL83" i="1"/>
  <c r="CNK83" i="1"/>
  <c r="CNJ83" i="1"/>
  <c r="CNI83" i="1"/>
  <c r="CNH83" i="1"/>
  <c r="CNG83" i="1"/>
  <c r="CNF83" i="1"/>
  <c r="CNE83" i="1"/>
  <c r="CND83" i="1"/>
  <c r="CNC83" i="1"/>
  <c r="CNB83" i="1"/>
  <c r="CNA83" i="1"/>
  <c r="CMZ83" i="1"/>
  <c r="CMY83" i="1"/>
  <c r="CMX83" i="1"/>
  <c r="CMW83" i="1"/>
  <c r="CMV83" i="1"/>
  <c r="CMU83" i="1"/>
  <c r="CMT83" i="1"/>
  <c r="CMS83" i="1"/>
  <c r="CMR83" i="1"/>
  <c r="CMQ83" i="1"/>
  <c r="CMP83" i="1"/>
  <c r="CMO83" i="1"/>
  <c r="CMN83" i="1"/>
  <c r="CMM83" i="1"/>
  <c r="CML83" i="1"/>
  <c r="CMK83" i="1"/>
  <c r="CMJ83" i="1"/>
  <c r="CMI83" i="1"/>
  <c r="CMH83" i="1"/>
  <c r="CMG83" i="1"/>
  <c r="CMF83" i="1"/>
  <c r="CME83" i="1"/>
  <c r="CMD83" i="1"/>
  <c r="CMC83" i="1"/>
  <c r="CMB83" i="1"/>
  <c r="CMA83" i="1"/>
  <c r="CLZ83" i="1"/>
  <c r="CLY83" i="1"/>
  <c r="CLX83" i="1"/>
  <c r="CLW83" i="1"/>
  <c r="CLV83" i="1"/>
  <c r="CLU83" i="1"/>
  <c r="CLT83" i="1"/>
  <c r="CLS83" i="1"/>
  <c r="CLR83" i="1"/>
  <c r="CLQ83" i="1"/>
  <c r="CLP83" i="1"/>
  <c r="CLO83" i="1"/>
  <c r="CLN83" i="1"/>
  <c r="CLM83" i="1"/>
  <c r="CLL83" i="1"/>
  <c r="CLK83" i="1"/>
  <c r="CLJ83" i="1"/>
  <c r="CLI83" i="1"/>
  <c r="CLH83" i="1"/>
  <c r="CLG83" i="1"/>
  <c r="CLF83" i="1"/>
  <c r="CLE83" i="1"/>
  <c r="CLD83" i="1"/>
  <c r="CLC83" i="1"/>
  <c r="CLB83" i="1"/>
  <c r="CLA83" i="1"/>
  <c r="CKZ83" i="1"/>
  <c r="CKY83" i="1"/>
  <c r="CKX83" i="1"/>
  <c r="CKW83" i="1"/>
  <c r="CKV83" i="1"/>
  <c r="CKU83" i="1"/>
  <c r="CKT83" i="1"/>
  <c r="CKS83" i="1"/>
  <c r="CKR83" i="1"/>
  <c r="CKQ83" i="1"/>
  <c r="CKP83" i="1"/>
  <c r="CKO83" i="1"/>
  <c r="CKN83" i="1"/>
  <c r="CKM83" i="1"/>
  <c r="CKL83" i="1"/>
  <c r="CKK83" i="1"/>
  <c r="CKJ83" i="1"/>
  <c r="CKI83" i="1"/>
  <c r="CKH83" i="1"/>
  <c r="CKG83" i="1"/>
  <c r="CKF83" i="1"/>
  <c r="CKE83" i="1"/>
  <c r="CKD83" i="1"/>
  <c r="CKC83" i="1"/>
  <c r="CKB83" i="1"/>
  <c r="CKA83" i="1"/>
  <c r="CJZ83" i="1"/>
  <c r="CJY83" i="1"/>
  <c r="CJX83" i="1"/>
  <c r="CJW83" i="1"/>
  <c r="CJV83" i="1"/>
  <c r="CJU83" i="1"/>
  <c r="CJT83" i="1"/>
  <c r="CJS83" i="1"/>
  <c r="CJR83" i="1"/>
  <c r="CJQ83" i="1"/>
  <c r="CJP83" i="1"/>
  <c r="CJO83" i="1"/>
  <c r="CJN83" i="1"/>
  <c r="CJM83" i="1"/>
  <c r="CJL83" i="1"/>
  <c r="CJK83" i="1"/>
  <c r="CJJ83" i="1"/>
  <c r="CJI83" i="1"/>
  <c r="CJH83" i="1"/>
  <c r="CJG83" i="1"/>
  <c r="CJF83" i="1"/>
  <c r="CJE83" i="1"/>
  <c r="CJD83" i="1"/>
  <c r="CJC83" i="1"/>
  <c r="CJB83" i="1"/>
  <c r="CJA83" i="1"/>
  <c r="CIZ83" i="1"/>
  <c r="CIY83" i="1"/>
  <c r="CIX83" i="1"/>
  <c r="CIW83" i="1"/>
  <c r="CIV83" i="1"/>
  <c r="CIU83" i="1"/>
  <c r="CIT83" i="1"/>
  <c r="CIS83" i="1"/>
  <c r="CIR83" i="1"/>
  <c r="CIQ83" i="1"/>
  <c r="CIP83" i="1"/>
  <c r="CIO83" i="1"/>
  <c r="CIN83" i="1"/>
  <c r="CIM83" i="1"/>
  <c r="CIL83" i="1"/>
  <c r="CIK83" i="1"/>
  <c r="CIJ83" i="1"/>
  <c r="CII83" i="1"/>
  <c r="CIH83" i="1"/>
  <c r="CIG83" i="1"/>
  <c r="CIF83" i="1"/>
  <c r="CIE83" i="1"/>
  <c r="CID83" i="1"/>
  <c r="CIC83" i="1"/>
  <c r="CIB83" i="1"/>
  <c r="CIA83" i="1"/>
  <c r="CHZ83" i="1"/>
  <c r="CHY83" i="1"/>
  <c r="CHX83" i="1"/>
  <c r="CHW83" i="1"/>
  <c r="CHV83" i="1"/>
  <c r="CHU83" i="1"/>
  <c r="CHT83" i="1"/>
  <c r="CHS83" i="1"/>
  <c r="CHR83" i="1"/>
  <c r="CHQ83" i="1"/>
  <c r="CHP83" i="1"/>
  <c r="CHO83" i="1"/>
  <c r="CHN83" i="1"/>
  <c r="CHM83" i="1"/>
  <c r="CHL83" i="1"/>
  <c r="CHK83" i="1"/>
  <c r="CHJ83" i="1"/>
  <c r="CHI83" i="1"/>
  <c r="CHH83" i="1"/>
  <c r="CHG83" i="1"/>
  <c r="CHF83" i="1"/>
  <c r="CHE83" i="1"/>
  <c r="CHD83" i="1"/>
  <c r="CHC83" i="1"/>
  <c r="CHB83" i="1"/>
  <c r="CHA83" i="1"/>
  <c r="CGZ83" i="1"/>
  <c r="CGY83" i="1"/>
  <c r="CGX83" i="1"/>
  <c r="CGW83" i="1"/>
  <c r="CGV83" i="1"/>
  <c r="CGU83" i="1"/>
  <c r="CGT83" i="1"/>
  <c r="CGS83" i="1"/>
  <c r="CGR83" i="1"/>
  <c r="CGQ83" i="1"/>
  <c r="CGP83" i="1"/>
  <c r="CGO83" i="1"/>
  <c r="CGN83" i="1"/>
  <c r="CGM83" i="1"/>
  <c r="CGL83" i="1"/>
  <c r="CGK83" i="1"/>
  <c r="CGJ83" i="1"/>
  <c r="CGI83" i="1"/>
  <c r="CGH83" i="1"/>
  <c r="CGG83" i="1"/>
  <c r="CGF83" i="1"/>
  <c r="CGE83" i="1"/>
  <c r="CGD83" i="1"/>
  <c r="CGC83" i="1"/>
  <c r="CGB83" i="1"/>
  <c r="CGA83" i="1"/>
  <c r="CFZ83" i="1"/>
  <c r="CFY83" i="1"/>
  <c r="CFX83" i="1"/>
  <c r="CFW83" i="1"/>
  <c r="CFV83" i="1"/>
  <c r="CFU83" i="1"/>
  <c r="CFT83" i="1"/>
  <c r="CFS83" i="1"/>
  <c r="CFR83" i="1"/>
  <c r="CFQ83" i="1"/>
  <c r="CFP83" i="1"/>
  <c r="CFO83" i="1"/>
  <c r="CFN83" i="1"/>
  <c r="CFM83" i="1"/>
  <c r="CFL83" i="1"/>
  <c r="CFK83" i="1"/>
  <c r="CFJ83" i="1"/>
  <c r="CFI83" i="1"/>
  <c r="CFH83" i="1"/>
  <c r="CFG83" i="1"/>
  <c r="CFF83" i="1"/>
  <c r="CFE83" i="1"/>
  <c r="CFD83" i="1"/>
  <c r="CFC83" i="1"/>
  <c r="CFB83" i="1"/>
  <c r="CFA83" i="1"/>
  <c r="CEZ83" i="1"/>
  <c r="CEY83" i="1"/>
  <c r="CEX83" i="1"/>
  <c r="CEW83" i="1"/>
  <c r="CEV83" i="1"/>
  <c r="CEU83" i="1"/>
  <c r="CET83" i="1"/>
  <c r="CES83" i="1"/>
  <c r="CER83" i="1"/>
  <c r="CEQ83" i="1"/>
  <c r="CEP83" i="1"/>
  <c r="CEO83" i="1"/>
  <c r="CEN83" i="1"/>
  <c r="CEM83" i="1"/>
  <c r="CEL83" i="1"/>
  <c r="CEK83" i="1"/>
  <c r="CEJ83" i="1"/>
  <c r="CEI83" i="1"/>
  <c r="CEH83" i="1"/>
  <c r="CEG83" i="1"/>
  <c r="CEF83" i="1"/>
  <c r="CEE83" i="1"/>
  <c r="CED83" i="1"/>
  <c r="CEC83" i="1"/>
  <c r="CEB83" i="1"/>
  <c r="CEA83" i="1"/>
  <c r="CDZ83" i="1"/>
  <c r="CDY83" i="1"/>
  <c r="CDX83" i="1"/>
  <c r="CDW83" i="1"/>
  <c r="CDV83" i="1"/>
  <c r="CDU83" i="1"/>
  <c r="CDT83" i="1"/>
  <c r="CDS83" i="1"/>
  <c r="CDR83" i="1"/>
  <c r="CDQ83" i="1"/>
  <c r="CDP83" i="1"/>
  <c r="CDO83" i="1"/>
  <c r="CDN83" i="1"/>
  <c r="CDM83" i="1"/>
  <c r="CDL83" i="1"/>
  <c r="CDK83" i="1"/>
  <c r="CDJ83" i="1"/>
  <c r="CDI83" i="1"/>
  <c r="CDH83" i="1"/>
  <c r="CDG83" i="1"/>
  <c r="CDF83" i="1"/>
  <c r="CDE83" i="1"/>
  <c r="CDD83" i="1"/>
  <c r="CDC83" i="1"/>
  <c r="CDB83" i="1"/>
  <c r="CDA83" i="1"/>
  <c r="CCZ83" i="1"/>
  <c r="CCY83" i="1"/>
  <c r="CCX83" i="1"/>
  <c r="CCW83" i="1"/>
  <c r="CCV83" i="1"/>
  <c r="CCU83" i="1"/>
  <c r="CCT83" i="1"/>
  <c r="CCS83" i="1"/>
  <c r="CCR83" i="1"/>
  <c r="CCQ83" i="1"/>
  <c r="CCP83" i="1"/>
  <c r="CCO83" i="1"/>
  <c r="CCN83" i="1"/>
  <c r="CCM83" i="1"/>
  <c r="CCL83" i="1"/>
  <c r="CCK83" i="1"/>
  <c r="CCJ83" i="1"/>
  <c r="CCI83" i="1"/>
  <c r="CCH83" i="1"/>
  <c r="CCG83" i="1"/>
  <c r="CCF83" i="1"/>
  <c r="CCE83" i="1"/>
  <c r="CCD83" i="1"/>
  <c r="CCC83" i="1"/>
  <c r="CCB83" i="1"/>
  <c r="CCA83" i="1"/>
  <c r="CBZ83" i="1"/>
  <c r="CBY83" i="1"/>
  <c r="CBX83" i="1"/>
  <c r="CBW83" i="1"/>
  <c r="CBV83" i="1"/>
  <c r="CBU83" i="1"/>
  <c r="CBT83" i="1"/>
  <c r="CBS83" i="1"/>
  <c r="CBR83" i="1"/>
  <c r="CBQ83" i="1"/>
  <c r="CBP83" i="1"/>
  <c r="CBO83" i="1"/>
  <c r="CBN83" i="1"/>
  <c r="CBM83" i="1"/>
  <c r="CBL83" i="1"/>
  <c r="CBK83" i="1"/>
  <c r="CBJ83" i="1"/>
  <c r="CBI83" i="1"/>
  <c r="CBH83" i="1"/>
  <c r="CBG83" i="1"/>
  <c r="CBF83" i="1"/>
  <c r="CBE83" i="1"/>
  <c r="CBD83" i="1"/>
  <c r="CBC83" i="1"/>
  <c r="CBB83" i="1"/>
  <c r="CBA83" i="1"/>
  <c r="CAZ83" i="1"/>
  <c r="CAY83" i="1"/>
  <c r="CAX83" i="1"/>
  <c r="CAW83" i="1"/>
  <c r="CAV83" i="1"/>
  <c r="CAU83" i="1"/>
  <c r="CAT83" i="1"/>
  <c r="CAS83" i="1"/>
  <c r="CAR83" i="1"/>
  <c r="CAQ83" i="1"/>
  <c r="CAP83" i="1"/>
  <c r="CAO83" i="1"/>
  <c r="CAN83" i="1"/>
  <c r="CAM83" i="1"/>
  <c r="CAL83" i="1"/>
  <c r="CAK83" i="1"/>
  <c r="CAJ83" i="1"/>
  <c r="CAI83" i="1"/>
  <c r="CAH83" i="1"/>
  <c r="CAG83" i="1"/>
  <c r="CAF83" i="1"/>
  <c r="CAE83" i="1"/>
  <c r="CAD83" i="1"/>
  <c r="CAC83" i="1"/>
  <c r="CAB83" i="1"/>
  <c r="CAA83" i="1"/>
  <c r="BZZ83" i="1"/>
  <c r="BZY83" i="1"/>
  <c r="BZX83" i="1"/>
  <c r="BZW83" i="1"/>
  <c r="BZV83" i="1"/>
  <c r="BZU83" i="1"/>
  <c r="BZT83" i="1"/>
  <c r="BZS83" i="1"/>
  <c r="BZR83" i="1"/>
  <c r="BZQ83" i="1"/>
  <c r="BZP83" i="1"/>
  <c r="BZO83" i="1"/>
  <c r="BZN83" i="1"/>
  <c r="BZM83" i="1"/>
  <c r="BZL83" i="1"/>
  <c r="BZK83" i="1"/>
  <c r="BZJ83" i="1"/>
  <c r="BZI83" i="1"/>
  <c r="BZH83" i="1"/>
  <c r="BZG83" i="1"/>
  <c r="BZF83" i="1"/>
  <c r="BZE83" i="1"/>
  <c r="BZD83" i="1"/>
  <c r="BZC83" i="1"/>
  <c r="BZB83" i="1"/>
  <c r="BZA83" i="1"/>
  <c r="BYZ83" i="1"/>
  <c r="BYY83" i="1"/>
  <c r="BYX83" i="1"/>
  <c r="BYW83" i="1"/>
  <c r="BYV83" i="1"/>
  <c r="BYU83" i="1"/>
  <c r="BYT83" i="1"/>
  <c r="BYS83" i="1"/>
  <c r="BYR83" i="1"/>
  <c r="BYQ83" i="1"/>
  <c r="BYP83" i="1"/>
  <c r="BYO83" i="1"/>
  <c r="BYN83" i="1"/>
  <c r="BYM83" i="1"/>
  <c r="BYL83" i="1"/>
  <c r="BYK83" i="1"/>
  <c r="BYJ83" i="1"/>
  <c r="BYI83" i="1"/>
  <c r="BYH83" i="1"/>
  <c r="BYG83" i="1"/>
  <c r="BYF83" i="1"/>
  <c r="BYE83" i="1"/>
  <c r="BYD83" i="1"/>
  <c r="BYC83" i="1"/>
  <c r="BYB83" i="1"/>
  <c r="BYA83" i="1"/>
  <c r="BXZ83" i="1"/>
  <c r="BXY83" i="1"/>
  <c r="BXX83" i="1"/>
  <c r="BXW83" i="1"/>
  <c r="BXV83" i="1"/>
  <c r="BXU83" i="1"/>
  <c r="BXT83" i="1"/>
  <c r="BXS83" i="1"/>
  <c r="BXR83" i="1"/>
  <c r="BXQ83" i="1"/>
  <c r="BXP83" i="1"/>
  <c r="BXO83" i="1"/>
  <c r="BXN83" i="1"/>
  <c r="BXM83" i="1"/>
  <c r="BXL83" i="1"/>
  <c r="BXK83" i="1"/>
  <c r="BXJ83" i="1"/>
  <c r="BXI83" i="1"/>
  <c r="BXH83" i="1"/>
  <c r="BXG83" i="1"/>
  <c r="BXF83" i="1"/>
  <c r="BXE83" i="1"/>
  <c r="BXD83" i="1"/>
  <c r="BXC83" i="1"/>
  <c r="BXB83" i="1"/>
  <c r="BXA83" i="1"/>
  <c r="BWZ83" i="1"/>
  <c r="BWY83" i="1"/>
  <c r="BWX83" i="1"/>
  <c r="BWW83" i="1"/>
  <c r="BWV83" i="1"/>
  <c r="BWU83" i="1"/>
  <c r="BWT83" i="1"/>
  <c r="BWS83" i="1"/>
  <c r="BWR83" i="1"/>
  <c r="BWQ83" i="1"/>
  <c r="BWP83" i="1"/>
  <c r="BWO83" i="1"/>
  <c r="BWN83" i="1"/>
  <c r="BWM83" i="1"/>
  <c r="BWL83" i="1"/>
  <c r="BWK83" i="1"/>
  <c r="BWJ83" i="1"/>
  <c r="BWI83" i="1"/>
  <c r="BWH83" i="1"/>
  <c r="BWG83" i="1"/>
  <c r="BWF83" i="1"/>
  <c r="BWE83" i="1"/>
  <c r="BWD83" i="1"/>
  <c r="BWC83" i="1"/>
  <c r="BWB83" i="1"/>
  <c r="BWA83" i="1"/>
  <c r="BVZ83" i="1"/>
  <c r="BVY83" i="1"/>
  <c r="BVX83" i="1"/>
  <c r="BVW83" i="1"/>
  <c r="BVV83" i="1"/>
  <c r="BVU83" i="1"/>
  <c r="BVT83" i="1"/>
  <c r="BVS83" i="1"/>
  <c r="BVR83" i="1"/>
  <c r="BVQ83" i="1"/>
  <c r="BVP83" i="1"/>
  <c r="BVO83" i="1"/>
  <c r="BVN83" i="1"/>
  <c r="BVM83" i="1"/>
  <c r="BVL83" i="1"/>
  <c r="BVK83" i="1"/>
  <c r="BVJ83" i="1"/>
  <c r="BVI83" i="1"/>
  <c r="BVH83" i="1"/>
  <c r="BVG83" i="1"/>
  <c r="BVF83" i="1"/>
  <c r="BVE83" i="1"/>
  <c r="BVD83" i="1"/>
  <c r="BVC83" i="1"/>
  <c r="BVB83" i="1"/>
  <c r="BVA83" i="1"/>
  <c r="BUZ83" i="1"/>
  <c r="BUY83" i="1"/>
  <c r="BUX83" i="1"/>
  <c r="BUW83" i="1"/>
  <c r="BUV83" i="1"/>
  <c r="BUU83" i="1"/>
  <c r="BUT83" i="1"/>
  <c r="BUS83" i="1"/>
  <c r="BUR83" i="1"/>
  <c r="BUQ83" i="1"/>
  <c r="BUP83" i="1"/>
  <c r="BUO83" i="1"/>
  <c r="BUN83" i="1"/>
  <c r="BUM83" i="1"/>
  <c r="BUL83" i="1"/>
  <c r="BUK83" i="1"/>
  <c r="BUJ83" i="1"/>
  <c r="BUI83" i="1"/>
  <c r="BUH83" i="1"/>
  <c r="BUG83" i="1"/>
  <c r="BUF83" i="1"/>
  <c r="BUE83" i="1"/>
  <c r="BUD83" i="1"/>
  <c r="BUC83" i="1"/>
  <c r="BUB83" i="1"/>
  <c r="BUA83" i="1"/>
  <c r="BTZ83" i="1"/>
  <c r="BTY83" i="1"/>
  <c r="BTX83" i="1"/>
  <c r="BTW83" i="1"/>
  <c r="BTV83" i="1"/>
  <c r="BTU83" i="1"/>
  <c r="BTT83" i="1"/>
  <c r="BTS83" i="1"/>
  <c r="BTR83" i="1"/>
  <c r="BTQ83" i="1"/>
  <c r="BTP83" i="1"/>
  <c r="BTO83" i="1"/>
  <c r="BTN83" i="1"/>
  <c r="BTM83" i="1"/>
  <c r="BTL83" i="1"/>
  <c r="BTK83" i="1"/>
  <c r="BTJ83" i="1"/>
  <c r="BTI83" i="1"/>
  <c r="BTH83" i="1"/>
  <c r="BTG83" i="1"/>
  <c r="BTF83" i="1"/>
  <c r="BTE83" i="1"/>
  <c r="BTD83" i="1"/>
  <c r="BTC83" i="1"/>
  <c r="BTB83" i="1"/>
  <c r="BTA83" i="1"/>
  <c r="BSZ83" i="1"/>
  <c r="BSY83" i="1"/>
  <c r="BSX83" i="1"/>
  <c r="BSW83" i="1"/>
  <c r="BSV83" i="1"/>
  <c r="BSU83" i="1"/>
  <c r="BST83" i="1"/>
  <c r="BSS83" i="1"/>
  <c r="BSR83" i="1"/>
  <c r="BSQ83" i="1"/>
  <c r="BSP83" i="1"/>
  <c r="BSO83" i="1"/>
  <c r="BSN83" i="1"/>
  <c r="BSM83" i="1"/>
  <c r="BSL83" i="1"/>
  <c r="BSK83" i="1"/>
  <c r="BSJ83" i="1"/>
  <c r="BSI83" i="1"/>
  <c r="BSH83" i="1"/>
  <c r="BSG83" i="1"/>
  <c r="BSF83" i="1"/>
  <c r="BSE83" i="1"/>
  <c r="BSD83" i="1"/>
  <c r="BSC83" i="1"/>
  <c r="BSB83" i="1"/>
  <c r="BSA83" i="1"/>
  <c r="BRZ83" i="1"/>
  <c r="BRY83" i="1"/>
  <c r="BRX83" i="1"/>
  <c r="BRW83" i="1"/>
  <c r="BRV83" i="1"/>
  <c r="BRU83" i="1"/>
  <c r="BRT83" i="1"/>
  <c r="BRS83" i="1"/>
  <c r="BRR83" i="1"/>
  <c r="BRQ83" i="1"/>
  <c r="BRP83" i="1"/>
  <c r="BRO83" i="1"/>
  <c r="BRN83" i="1"/>
  <c r="BRM83" i="1"/>
  <c r="BRL83" i="1"/>
  <c r="BRK83" i="1"/>
  <c r="BRJ83" i="1"/>
  <c r="BRI83" i="1"/>
  <c r="BRH83" i="1"/>
  <c r="BRG83" i="1"/>
  <c r="BRF83" i="1"/>
  <c r="BRE83" i="1"/>
  <c r="BRD83" i="1"/>
  <c r="BRC83" i="1"/>
  <c r="BRB83" i="1"/>
  <c r="BRA83" i="1"/>
  <c r="BQZ83" i="1"/>
  <c r="BQY83" i="1"/>
  <c r="BQX83" i="1"/>
  <c r="BQW83" i="1"/>
  <c r="BQV83" i="1"/>
  <c r="BQU83" i="1"/>
  <c r="BQT83" i="1"/>
  <c r="BQS83" i="1"/>
  <c r="BQR83" i="1"/>
  <c r="BQQ83" i="1"/>
  <c r="BQP83" i="1"/>
  <c r="BQO83" i="1"/>
  <c r="BQN83" i="1"/>
  <c r="BQM83" i="1"/>
  <c r="BQL83" i="1"/>
  <c r="BQK83" i="1"/>
  <c r="BQJ83" i="1"/>
  <c r="BQI83" i="1"/>
  <c r="BQH83" i="1"/>
  <c r="BQG83" i="1"/>
  <c r="BQF83" i="1"/>
  <c r="BQE83" i="1"/>
  <c r="BQD83" i="1"/>
  <c r="BQC83" i="1"/>
  <c r="BQB83" i="1"/>
  <c r="BQA83" i="1"/>
  <c r="BPZ83" i="1"/>
  <c r="BPY83" i="1"/>
  <c r="BPX83" i="1"/>
  <c r="BPW83" i="1"/>
  <c r="BPV83" i="1"/>
  <c r="BPU83" i="1"/>
  <c r="BPT83" i="1"/>
  <c r="BPS83" i="1"/>
  <c r="BPR83" i="1"/>
  <c r="BPQ83" i="1"/>
  <c r="BPP83" i="1"/>
  <c r="BPO83" i="1"/>
  <c r="BPN83" i="1"/>
  <c r="BPM83" i="1"/>
  <c r="BPL83" i="1"/>
  <c r="BPK83" i="1"/>
  <c r="BPJ83" i="1"/>
  <c r="BPI83" i="1"/>
  <c r="BPH83" i="1"/>
  <c r="BPG83" i="1"/>
  <c r="BPF83" i="1"/>
  <c r="BPE83" i="1"/>
  <c r="BPD83" i="1"/>
  <c r="BPC83" i="1"/>
  <c r="BPB83" i="1"/>
  <c r="BPA83" i="1"/>
  <c r="BOZ83" i="1"/>
  <c r="BOY83" i="1"/>
  <c r="BOX83" i="1"/>
  <c r="BOW83" i="1"/>
  <c r="BOV83" i="1"/>
  <c r="BOU83" i="1"/>
  <c r="BOT83" i="1"/>
  <c r="BOS83" i="1"/>
  <c r="BOR83" i="1"/>
  <c r="BOQ83" i="1"/>
  <c r="BOP83" i="1"/>
  <c r="BOO83" i="1"/>
  <c r="BON83" i="1"/>
  <c r="BOM83" i="1"/>
  <c r="BOL83" i="1"/>
  <c r="BOK83" i="1"/>
  <c r="BOJ83" i="1"/>
  <c r="BOI83" i="1"/>
  <c r="BOH83" i="1"/>
  <c r="BOG83" i="1"/>
  <c r="BOF83" i="1"/>
  <c r="BOE83" i="1"/>
  <c r="BOD83" i="1"/>
  <c r="BOC83" i="1"/>
  <c r="BOB83" i="1"/>
  <c r="BOA83" i="1"/>
  <c r="BNZ83" i="1"/>
  <c r="BNY83" i="1"/>
  <c r="BNX83" i="1"/>
  <c r="BNW83" i="1"/>
  <c r="BNV83" i="1"/>
  <c r="BNU83" i="1"/>
  <c r="BNT83" i="1"/>
  <c r="BNS83" i="1"/>
  <c r="BNR83" i="1"/>
  <c r="BNQ83" i="1"/>
  <c r="BNP83" i="1"/>
  <c r="BNO83" i="1"/>
  <c r="BNN83" i="1"/>
  <c r="BNM83" i="1"/>
  <c r="BNL83" i="1"/>
  <c r="BNK83" i="1"/>
  <c r="BNJ83" i="1"/>
  <c r="BNI83" i="1"/>
  <c r="BNH83" i="1"/>
  <c r="BNG83" i="1"/>
  <c r="BNF83" i="1"/>
  <c r="BNE83" i="1"/>
  <c r="BND83" i="1"/>
  <c r="BNC83" i="1"/>
  <c r="BNB83" i="1"/>
  <c r="BNA83" i="1"/>
  <c r="BMZ83" i="1"/>
  <c r="BMY83" i="1"/>
  <c r="BMX83" i="1"/>
  <c r="BMW83" i="1"/>
  <c r="BMV83" i="1"/>
  <c r="BMU83" i="1"/>
  <c r="BMT83" i="1"/>
  <c r="BMS83" i="1"/>
  <c r="BMR83" i="1"/>
  <c r="BMQ83" i="1"/>
  <c r="BMP83" i="1"/>
  <c r="BMO83" i="1"/>
  <c r="BMN83" i="1"/>
  <c r="BMM83" i="1"/>
  <c r="BML83" i="1"/>
  <c r="BMK83" i="1"/>
  <c r="BMJ83" i="1"/>
  <c r="BMI83" i="1"/>
  <c r="BMH83" i="1"/>
  <c r="BMG83" i="1"/>
  <c r="BMF83" i="1"/>
  <c r="BME83" i="1"/>
  <c r="BMD83" i="1"/>
  <c r="BMC83" i="1"/>
  <c r="BMB83" i="1"/>
  <c r="BMA83" i="1"/>
  <c r="BLZ83" i="1"/>
  <c r="BLY83" i="1"/>
  <c r="BLX83" i="1"/>
  <c r="BLW83" i="1"/>
  <c r="BLV83" i="1"/>
  <c r="BLU83" i="1"/>
  <c r="BLT83" i="1"/>
  <c r="BLS83" i="1"/>
  <c r="BLR83" i="1"/>
  <c r="BLQ83" i="1"/>
  <c r="BLP83" i="1"/>
  <c r="BLO83" i="1"/>
  <c r="BLN83" i="1"/>
  <c r="BLM83" i="1"/>
  <c r="BLL83" i="1"/>
  <c r="BLK83" i="1"/>
  <c r="BLJ83" i="1"/>
  <c r="BLI83" i="1"/>
  <c r="BLH83" i="1"/>
  <c r="BLG83" i="1"/>
  <c r="BLF83" i="1"/>
  <c r="BLE83" i="1"/>
  <c r="BLD83" i="1"/>
  <c r="BLC83" i="1"/>
  <c r="BLB83" i="1"/>
  <c r="BLA83" i="1"/>
  <c r="BKZ83" i="1"/>
  <c r="BKY83" i="1"/>
  <c r="BKX83" i="1"/>
  <c r="BKW83" i="1"/>
  <c r="BKV83" i="1"/>
  <c r="BKU83" i="1"/>
  <c r="BKT83" i="1"/>
  <c r="BKS83" i="1"/>
  <c r="BKR83" i="1"/>
  <c r="BKQ83" i="1"/>
  <c r="BKP83" i="1"/>
  <c r="BKO83" i="1"/>
  <c r="BKN83" i="1"/>
  <c r="BKM83" i="1"/>
  <c r="BKL83" i="1"/>
  <c r="BKK83" i="1"/>
  <c r="BKJ83" i="1"/>
  <c r="BKI83" i="1"/>
  <c r="BKH83" i="1"/>
  <c r="BKG83" i="1"/>
  <c r="BKF83" i="1"/>
  <c r="BKE83" i="1"/>
  <c r="BKD83" i="1"/>
  <c r="BKC83" i="1"/>
  <c r="BKB83" i="1"/>
  <c r="BKA83" i="1"/>
  <c r="BJZ83" i="1"/>
  <c r="BJY83" i="1"/>
  <c r="BJX83" i="1"/>
  <c r="BJW83" i="1"/>
  <c r="BJV83" i="1"/>
  <c r="BJU83" i="1"/>
  <c r="BJT83" i="1"/>
  <c r="BJS83" i="1"/>
  <c r="BJR83" i="1"/>
  <c r="BJQ83" i="1"/>
  <c r="BJP83" i="1"/>
  <c r="BJO83" i="1"/>
  <c r="BJN83" i="1"/>
  <c r="BJM83" i="1"/>
  <c r="BJL83" i="1"/>
  <c r="BJK83" i="1"/>
  <c r="BJJ83" i="1"/>
  <c r="BJI83" i="1"/>
  <c r="BJH83" i="1"/>
  <c r="BJG83" i="1"/>
  <c r="BJF83" i="1"/>
  <c r="BJE83" i="1"/>
  <c r="BJD83" i="1"/>
  <c r="BJC83" i="1"/>
  <c r="BJB83" i="1"/>
  <c r="BJA83" i="1"/>
  <c r="BIZ83" i="1"/>
  <c r="BIY83" i="1"/>
  <c r="BIX83" i="1"/>
  <c r="BIW83" i="1"/>
  <c r="BIV83" i="1"/>
  <c r="BIU83" i="1"/>
  <c r="BIT83" i="1"/>
  <c r="BIS83" i="1"/>
  <c r="BIR83" i="1"/>
  <c r="BIQ83" i="1"/>
  <c r="BIP83" i="1"/>
  <c r="BIO83" i="1"/>
  <c r="BIN83" i="1"/>
  <c r="BIM83" i="1"/>
  <c r="BIL83" i="1"/>
  <c r="BIK83" i="1"/>
  <c r="BIJ83" i="1"/>
  <c r="BII83" i="1"/>
  <c r="BIH83" i="1"/>
  <c r="BIG83" i="1"/>
  <c r="BIF83" i="1"/>
  <c r="BIE83" i="1"/>
  <c r="BID83" i="1"/>
  <c r="BIC83" i="1"/>
  <c r="BIB83" i="1"/>
  <c r="BIA83" i="1"/>
  <c r="BHZ83" i="1"/>
  <c r="BHY83" i="1"/>
  <c r="BHX83" i="1"/>
  <c r="BHW83" i="1"/>
  <c r="BHV83" i="1"/>
  <c r="BHU83" i="1"/>
  <c r="BHT83" i="1"/>
  <c r="BHS83" i="1"/>
  <c r="BHR83" i="1"/>
  <c r="BHQ83" i="1"/>
  <c r="BHP83" i="1"/>
  <c r="BHO83" i="1"/>
  <c r="BHN83" i="1"/>
  <c r="BHM83" i="1"/>
  <c r="BHL83" i="1"/>
  <c r="BHK83" i="1"/>
  <c r="BHJ83" i="1"/>
  <c r="BHI83" i="1"/>
  <c r="BHH83" i="1"/>
  <c r="BHG83" i="1"/>
  <c r="BHF83" i="1"/>
  <c r="BHE83" i="1"/>
  <c r="BHD83" i="1"/>
  <c r="BHC83" i="1"/>
  <c r="BHB83" i="1"/>
  <c r="BHA83" i="1"/>
  <c r="BGZ83" i="1"/>
  <c r="BGY83" i="1"/>
  <c r="BGX83" i="1"/>
  <c r="BGW83" i="1"/>
  <c r="BGV83" i="1"/>
  <c r="BGU83" i="1"/>
  <c r="BGT83" i="1"/>
  <c r="BGS83" i="1"/>
  <c r="BGR83" i="1"/>
  <c r="BGQ83" i="1"/>
  <c r="BGP83" i="1"/>
  <c r="BGO83" i="1"/>
  <c r="BGN83" i="1"/>
  <c r="BGM83" i="1"/>
  <c r="BGL83" i="1"/>
  <c r="BGK83" i="1"/>
  <c r="BGJ83" i="1"/>
  <c r="BGI83" i="1"/>
  <c r="BGH83" i="1"/>
  <c r="BGG83" i="1"/>
  <c r="BGF83" i="1"/>
  <c r="BGE83" i="1"/>
  <c r="BGD83" i="1"/>
  <c r="BGC83" i="1"/>
  <c r="BGB83" i="1"/>
  <c r="BGA83" i="1"/>
  <c r="BFZ83" i="1"/>
  <c r="BFY83" i="1"/>
  <c r="BFX83" i="1"/>
  <c r="BFW83" i="1"/>
  <c r="BFV83" i="1"/>
  <c r="BFU83" i="1"/>
  <c r="BFT83" i="1"/>
  <c r="BFS83" i="1"/>
  <c r="BFR83" i="1"/>
  <c r="BFQ83" i="1"/>
  <c r="BFP83" i="1"/>
  <c r="BFO83" i="1"/>
  <c r="BFN83" i="1"/>
  <c r="BFM83" i="1"/>
  <c r="BFL83" i="1"/>
  <c r="BFK83" i="1"/>
  <c r="BFJ83" i="1"/>
  <c r="BFI83" i="1"/>
  <c r="BFH83" i="1"/>
  <c r="BFG83" i="1"/>
  <c r="BFF83" i="1"/>
  <c r="BFE83" i="1"/>
  <c r="BFD83" i="1"/>
  <c r="BFC83" i="1"/>
  <c r="BFB83" i="1"/>
  <c r="BFA83" i="1"/>
  <c r="BEZ83" i="1"/>
  <c r="BEY83" i="1"/>
  <c r="BEX83" i="1"/>
  <c r="BEW83" i="1"/>
  <c r="BEV83" i="1"/>
  <c r="BEU83" i="1"/>
  <c r="BET83" i="1"/>
  <c r="BES83" i="1"/>
  <c r="BER83" i="1"/>
  <c r="BEQ83" i="1"/>
  <c r="BEP83" i="1"/>
  <c r="BEO83" i="1"/>
  <c r="BEN83" i="1"/>
  <c r="BEM83" i="1"/>
  <c r="BEL83" i="1"/>
  <c r="BEK83" i="1"/>
  <c r="BEJ83" i="1"/>
  <c r="BEI83" i="1"/>
  <c r="BEH83" i="1"/>
  <c r="BEG83" i="1"/>
  <c r="BEF83" i="1"/>
  <c r="BEE83" i="1"/>
  <c r="BED83" i="1"/>
  <c r="BEC83" i="1"/>
  <c r="BEB83" i="1"/>
  <c r="BEA83" i="1"/>
  <c r="BDZ83" i="1"/>
  <c r="BDY83" i="1"/>
  <c r="BDX83" i="1"/>
  <c r="BDW83" i="1"/>
  <c r="BDV83" i="1"/>
  <c r="BDU83" i="1"/>
  <c r="BDT83" i="1"/>
  <c r="BDS83" i="1"/>
  <c r="BDR83" i="1"/>
  <c r="BDQ83" i="1"/>
  <c r="BDP83" i="1"/>
  <c r="BDO83" i="1"/>
  <c r="BDN83" i="1"/>
  <c r="BDM83" i="1"/>
  <c r="BDL83" i="1"/>
  <c r="BDK83" i="1"/>
  <c r="BDJ83" i="1"/>
  <c r="BDI83" i="1"/>
  <c r="BDH83" i="1"/>
  <c r="BDG83" i="1"/>
  <c r="BDF83" i="1"/>
  <c r="BDE83" i="1"/>
  <c r="BDD83" i="1"/>
  <c r="BDC83" i="1"/>
  <c r="BDB83" i="1"/>
  <c r="BDA83" i="1"/>
  <c r="BCZ83" i="1"/>
  <c r="BCY83" i="1"/>
  <c r="BCX83" i="1"/>
  <c r="BCW83" i="1"/>
  <c r="BCV83" i="1"/>
  <c r="BCU83" i="1"/>
  <c r="BCT83" i="1"/>
  <c r="BCS83" i="1"/>
  <c r="BCR83" i="1"/>
  <c r="BCQ83" i="1"/>
  <c r="BCP83" i="1"/>
  <c r="BCO83" i="1"/>
  <c r="BCN83" i="1"/>
  <c r="BCM83" i="1"/>
  <c r="BCL83" i="1"/>
  <c r="BCK83" i="1"/>
  <c r="BCJ83" i="1"/>
  <c r="BCI83" i="1"/>
  <c r="BCH83" i="1"/>
  <c r="BCG83" i="1"/>
  <c r="BCF83" i="1"/>
  <c r="BCE83" i="1"/>
  <c r="BCD83" i="1"/>
  <c r="BCC83" i="1"/>
  <c r="BCB83" i="1"/>
  <c r="BCA83" i="1"/>
  <c r="BBZ83" i="1"/>
  <c r="BBY83" i="1"/>
  <c r="BBX83" i="1"/>
  <c r="BBW83" i="1"/>
  <c r="BBV83" i="1"/>
  <c r="BBU83" i="1"/>
  <c r="BBT83" i="1"/>
  <c r="BBS83" i="1"/>
  <c r="BBR83" i="1"/>
  <c r="BBQ83" i="1"/>
  <c r="BBP83" i="1"/>
  <c r="BBO83" i="1"/>
  <c r="BBN83" i="1"/>
  <c r="BBM83" i="1"/>
  <c r="BBL83" i="1"/>
  <c r="BBK83" i="1"/>
  <c r="BBJ83" i="1"/>
  <c r="BBI83" i="1"/>
  <c r="BBH83" i="1"/>
  <c r="BBG83" i="1"/>
  <c r="BBF83" i="1"/>
  <c r="BBE83" i="1"/>
  <c r="BBD83" i="1"/>
  <c r="BBC83" i="1"/>
  <c r="BBB83" i="1"/>
  <c r="BBA83" i="1"/>
  <c r="BAZ83" i="1"/>
  <c r="BAY83" i="1"/>
  <c r="BAX83" i="1"/>
  <c r="BAW83" i="1"/>
  <c r="BAV83" i="1"/>
  <c r="BAU83" i="1"/>
  <c r="BAT83" i="1"/>
  <c r="BAS83" i="1"/>
  <c r="BAR83" i="1"/>
  <c r="BAQ83" i="1"/>
  <c r="BAP83" i="1"/>
  <c r="BAO83" i="1"/>
  <c r="BAN83" i="1"/>
  <c r="BAM83" i="1"/>
  <c r="BAL83" i="1"/>
  <c r="BAK83" i="1"/>
  <c r="BAJ83" i="1"/>
  <c r="BAI83" i="1"/>
  <c r="BAH83" i="1"/>
  <c r="BAG83" i="1"/>
  <c r="BAF83" i="1"/>
  <c r="BAE83" i="1"/>
  <c r="BAD83" i="1"/>
  <c r="BAC83" i="1"/>
  <c r="BAB83" i="1"/>
  <c r="BAA83" i="1"/>
  <c r="AZZ83" i="1"/>
  <c r="AZY83" i="1"/>
  <c r="AZX83" i="1"/>
  <c r="AZW83" i="1"/>
  <c r="AZV83" i="1"/>
  <c r="AZU83" i="1"/>
  <c r="AZT83" i="1"/>
  <c r="AZS83" i="1"/>
  <c r="AZR83" i="1"/>
  <c r="AZQ83" i="1"/>
  <c r="AZP83" i="1"/>
  <c r="AZO83" i="1"/>
  <c r="AZN83" i="1"/>
  <c r="AZM83" i="1"/>
  <c r="AZL83" i="1"/>
  <c r="AZK83" i="1"/>
  <c r="AZJ83" i="1"/>
  <c r="AZI83" i="1"/>
  <c r="AZH83" i="1"/>
  <c r="AZG83" i="1"/>
  <c r="AZF83" i="1"/>
  <c r="AZE83" i="1"/>
  <c r="AZD83" i="1"/>
  <c r="AZC83" i="1"/>
  <c r="AZB83" i="1"/>
  <c r="AZA83" i="1"/>
  <c r="AYZ83" i="1"/>
  <c r="AYY83" i="1"/>
  <c r="AYX83" i="1"/>
  <c r="AYW83" i="1"/>
  <c r="AYV83" i="1"/>
  <c r="AYU83" i="1"/>
  <c r="AYT83" i="1"/>
  <c r="AYS83" i="1"/>
  <c r="AYR83" i="1"/>
  <c r="AYQ83" i="1"/>
  <c r="AYP83" i="1"/>
  <c r="AYO83" i="1"/>
  <c r="AYN83" i="1"/>
  <c r="AYM83" i="1"/>
  <c r="AYL83" i="1"/>
  <c r="AYK83" i="1"/>
  <c r="AYJ83" i="1"/>
  <c r="AYI83" i="1"/>
  <c r="AYH83" i="1"/>
  <c r="AYG83" i="1"/>
  <c r="AYF83" i="1"/>
  <c r="AYE83" i="1"/>
  <c r="AYD83" i="1"/>
  <c r="AYC83" i="1"/>
  <c r="AYB83" i="1"/>
  <c r="AYA83" i="1"/>
  <c r="AXZ83" i="1"/>
  <c r="AXY83" i="1"/>
  <c r="AXX83" i="1"/>
  <c r="AXW83" i="1"/>
  <c r="AXV83" i="1"/>
  <c r="AXU83" i="1"/>
  <c r="AXT83" i="1"/>
  <c r="AXS83" i="1"/>
  <c r="AXR83" i="1"/>
  <c r="AXQ83" i="1"/>
  <c r="AXP83" i="1"/>
  <c r="AXO83" i="1"/>
  <c r="AXN83" i="1"/>
  <c r="AXM83" i="1"/>
  <c r="AXL83" i="1"/>
  <c r="AXK83" i="1"/>
  <c r="AXJ83" i="1"/>
  <c r="AXI83" i="1"/>
  <c r="AXH83" i="1"/>
  <c r="AXG83" i="1"/>
  <c r="AXF83" i="1"/>
  <c r="AXE83" i="1"/>
  <c r="AXD83" i="1"/>
  <c r="AXC83" i="1"/>
  <c r="AXB83" i="1"/>
  <c r="AXA83" i="1"/>
  <c r="AWZ83" i="1"/>
  <c r="AWY83" i="1"/>
  <c r="AWX83" i="1"/>
  <c r="AWW83" i="1"/>
  <c r="AWV83" i="1"/>
  <c r="AWU83" i="1"/>
  <c r="AWT83" i="1"/>
  <c r="AWS83" i="1"/>
  <c r="AWR83" i="1"/>
  <c r="AWQ83" i="1"/>
  <c r="AWP83" i="1"/>
  <c r="AWO83" i="1"/>
  <c r="AWN83" i="1"/>
  <c r="AWM83" i="1"/>
  <c r="AWL83" i="1"/>
  <c r="AWK83" i="1"/>
  <c r="AWJ83" i="1"/>
  <c r="AWI83" i="1"/>
  <c r="AWH83" i="1"/>
  <c r="AWG83" i="1"/>
  <c r="AWF83" i="1"/>
  <c r="AWE83" i="1"/>
  <c r="AWD83" i="1"/>
  <c r="AWC83" i="1"/>
  <c r="AWB83" i="1"/>
  <c r="AWA83" i="1"/>
  <c r="AVZ83" i="1"/>
  <c r="AVY83" i="1"/>
  <c r="AVX83" i="1"/>
  <c r="AVW83" i="1"/>
  <c r="AVV83" i="1"/>
  <c r="AVU83" i="1"/>
  <c r="AVT83" i="1"/>
  <c r="AVS83" i="1"/>
  <c r="AVR83" i="1"/>
  <c r="AVQ83" i="1"/>
  <c r="AVP83" i="1"/>
  <c r="AVO83" i="1"/>
  <c r="AVN83" i="1"/>
  <c r="AVM83" i="1"/>
  <c r="AVL83" i="1"/>
  <c r="AVK83" i="1"/>
  <c r="AVJ83" i="1"/>
  <c r="AVI83" i="1"/>
  <c r="AVH83" i="1"/>
  <c r="AVG83" i="1"/>
  <c r="AVF83" i="1"/>
  <c r="AVE83" i="1"/>
  <c r="AVD83" i="1"/>
  <c r="AVC83" i="1"/>
  <c r="AVB83" i="1"/>
  <c r="AVA83" i="1"/>
  <c r="AUZ83" i="1"/>
  <c r="AUY83" i="1"/>
  <c r="AUX83" i="1"/>
  <c r="AUW83" i="1"/>
  <c r="AUV83" i="1"/>
  <c r="AUU83" i="1"/>
  <c r="AUT83" i="1"/>
  <c r="AUS83" i="1"/>
  <c r="AUR83" i="1"/>
  <c r="AUQ83" i="1"/>
  <c r="AUP83" i="1"/>
  <c r="AUO83" i="1"/>
  <c r="AUN83" i="1"/>
  <c r="AUM83" i="1"/>
  <c r="AUL83" i="1"/>
  <c r="AUK83" i="1"/>
  <c r="AUJ83" i="1"/>
  <c r="AUI83" i="1"/>
  <c r="AUH83" i="1"/>
  <c r="AUG83" i="1"/>
  <c r="AUF83" i="1"/>
  <c r="AUE83" i="1"/>
  <c r="AUD83" i="1"/>
  <c r="AUC83" i="1"/>
  <c r="AUB83" i="1"/>
  <c r="AUA83" i="1"/>
  <c r="ATZ83" i="1"/>
  <c r="ATY83" i="1"/>
  <c r="ATX83" i="1"/>
  <c r="ATW83" i="1"/>
  <c r="ATV83" i="1"/>
  <c r="ATU83" i="1"/>
  <c r="ATT83" i="1"/>
  <c r="ATS83" i="1"/>
  <c r="ATR83" i="1"/>
  <c r="ATQ83" i="1"/>
  <c r="ATP83" i="1"/>
  <c r="ATO83" i="1"/>
  <c r="ATN83" i="1"/>
  <c r="ATM83" i="1"/>
  <c r="ATL83" i="1"/>
  <c r="ATK83" i="1"/>
  <c r="ATJ83" i="1"/>
  <c r="ATI83" i="1"/>
  <c r="ATH83" i="1"/>
  <c r="ATG83" i="1"/>
  <c r="ATF83" i="1"/>
  <c r="ATE83" i="1"/>
  <c r="ATD83" i="1"/>
  <c r="ATC83" i="1"/>
  <c r="ATB83" i="1"/>
  <c r="ATA83" i="1"/>
  <c r="ASZ83" i="1"/>
  <c r="ASY83" i="1"/>
  <c r="ASX83" i="1"/>
  <c r="ASW83" i="1"/>
  <c r="ASV83" i="1"/>
  <c r="ASU83" i="1"/>
  <c r="AST83" i="1"/>
  <c r="ASS83" i="1"/>
  <c r="ASR83" i="1"/>
  <c r="ASQ83" i="1"/>
  <c r="ASP83" i="1"/>
  <c r="ASO83" i="1"/>
  <c r="ASN83" i="1"/>
  <c r="ASM83" i="1"/>
  <c r="ASL83" i="1"/>
  <c r="ASK83" i="1"/>
  <c r="ASJ83" i="1"/>
  <c r="ASI83" i="1"/>
  <c r="ASH83" i="1"/>
  <c r="ASG83" i="1"/>
  <c r="ASF83" i="1"/>
  <c r="ASE83" i="1"/>
  <c r="ASD83" i="1"/>
  <c r="ASC83" i="1"/>
  <c r="ASB83" i="1"/>
  <c r="ASA83" i="1"/>
  <c r="ARZ83" i="1"/>
  <c r="ARY83" i="1"/>
  <c r="ARX83" i="1"/>
  <c r="ARW83" i="1"/>
  <c r="ARV83" i="1"/>
  <c r="ARU83" i="1"/>
  <c r="ART83" i="1"/>
  <c r="ARS83" i="1"/>
  <c r="ARR83" i="1"/>
  <c r="ARQ83" i="1"/>
  <c r="ARP83" i="1"/>
  <c r="ARO83" i="1"/>
  <c r="ARN83" i="1"/>
  <c r="ARM83" i="1"/>
  <c r="ARL83" i="1"/>
  <c r="ARK83" i="1"/>
  <c r="ARJ83" i="1"/>
  <c r="ARI83" i="1"/>
  <c r="ARH83" i="1"/>
  <c r="ARG83" i="1"/>
  <c r="ARF83" i="1"/>
  <c r="ARE83" i="1"/>
  <c r="ARD83" i="1"/>
  <c r="ARC83" i="1"/>
  <c r="ARB83" i="1"/>
  <c r="ARA83" i="1"/>
  <c r="AQZ83" i="1"/>
  <c r="AQY83" i="1"/>
  <c r="AQX83" i="1"/>
  <c r="AQW83" i="1"/>
  <c r="AQV83" i="1"/>
  <c r="AQU83" i="1"/>
  <c r="AQT83" i="1"/>
  <c r="AQS83" i="1"/>
  <c r="AQR83" i="1"/>
  <c r="AQQ83" i="1"/>
  <c r="AQP83" i="1"/>
  <c r="AQO83" i="1"/>
  <c r="AQN83" i="1"/>
  <c r="AQM83" i="1"/>
  <c r="AQL83" i="1"/>
  <c r="AQK83" i="1"/>
  <c r="AQJ83" i="1"/>
  <c r="AQI83" i="1"/>
  <c r="AQH83" i="1"/>
  <c r="AQG83" i="1"/>
  <c r="AQF83" i="1"/>
  <c r="AQE83" i="1"/>
  <c r="AQD83" i="1"/>
  <c r="AQC83" i="1"/>
  <c r="AQB83" i="1"/>
  <c r="AQA83" i="1"/>
  <c r="APZ83" i="1"/>
  <c r="APY83" i="1"/>
  <c r="APX83" i="1"/>
  <c r="APW83" i="1"/>
  <c r="APV83" i="1"/>
  <c r="APU83" i="1"/>
  <c r="APT83" i="1"/>
  <c r="APS83" i="1"/>
  <c r="APR83" i="1"/>
  <c r="APQ83" i="1"/>
  <c r="APP83" i="1"/>
  <c r="APO83" i="1"/>
  <c r="APN83" i="1"/>
  <c r="APM83" i="1"/>
  <c r="APL83" i="1"/>
  <c r="APK83" i="1"/>
  <c r="APJ83" i="1"/>
  <c r="API83" i="1"/>
  <c r="APH83" i="1"/>
  <c r="APG83" i="1"/>
  <c r="APF83" i="1"/>
  <c r="APE83" i="1"/>
  <c r="APD83" i="1"/>
  <c r="APC83" i="1"/>
  <c r="APB83" i="1"/>
  <c r="APA83" i="1"/>
  <c r="AOZ83" i="1"/>
  <c r="AOY83" i="1"/>
  <c r="AOX83" i="1"/>
  <c r="AOW83" i="1"/>
  <c r="AOV83" i="1"/>
  <c r="AOU83" i="1"/>
  <c r="AOT83" i="1"/>
  <c r="AOS83" i="1"/>
  <c r="AOR83" i="1"/>
  <c r="AOQ83" i="1"/>
  <c r="AOP83" i="1"/>
  <c r="AOO83" i="1"/>
  <c r="AON83" i="1"/>
  <c r="AOM83" i="1"/>
  <c r="AOL83" i="1"/>
  <c r="AOK83" i="1"/>
  <c r="AOJ83" i="1"/>
  <c r="AOI83" i="1"/>
  <c r="AOH83" i="1"/>
  <c r="AOG83" i="1"/>
  <c r="AOF83" i="1"/>
  <c r="AOE83" i="1"/>
  <c r="AOD83" i="1"/>
  <c r="AOC83" i="1"/>
  <c r="AOB83" i="1"/>
  <c r="AOA83" i="1"/>
  <c r="ANZ83" i="1"/>
  <c r="ANY83" i="1"/>
  <c r="ANX83" i="1"/>
  <c r="ANW83" i="1"/>
  <c r="ANV83" i="1"/>
  <c r="ANU83" i="1"/>
  <c r="ANT83" i="1"/>
  <c r="ANS83" i="1"/>
  <c r="ANR83" i="1"/>
  <c r="ANQ83" i="1"/>
  <c r="ANP83" i="1"/>
  <c r="ANO83" i="1"/>
  <c r="ANN83" i="1"/>
  <c r="ANM83" i="1"/>
  <c r="ANL83" i="1"/>
  <c r="ANK83" i="1"/>
  <c r="ANJ83" i="1"/>
  <c r="ANI83" i="1"/>
  <c r="ANH83" i="1"/>
  <c r="ANG83" i="1"/>
  <c r="ANF83" i="1"/>
  <c r="ANE83" i="1"/>
  <c r="AND83" i="1"/>
  <c r="ANC83" i="1"/>
  <c r="ANB83" i="1"/>
  <c r="ANA83" i="1"/>
  <c r="AMZ83" i="1"/>
  <c r="AMY83" i="1"/>
  <c r="AMX83" i="1"/>
  <c r="AMW83" i="1"/>
  <c r="AMV83" i="1"/>
  <c r="AMU83" i="1"/>
  <c r="AMT83" i="1"/>
  <c r="AMS83" i="1"/>
  <c r="AMR83" i="1"/>
  <c r="AMQ83" i="1"/>
  <c r="AMP83" i="1"/>
  <c r="AMO83" i="1"/>
  <c r="AMN83" i="1"/>
  <c r="AMM83" i="1"/>
  <c r="AML83" i="1"/>
  <c r="AMK83" i="1"/>
  <c r="AMJ83" i="1"/>
  <c r="AMI83" i="1"/>
  <c r="AMH83" i="1"/>
  <c r="AMG83" i="1"/>
  <c r="AMF83" i="1"/>
  <c r="AME83" i="1"/>
  <c r="AMD83" i="1"/>
  <c r="AMC83" i="1"/>
  <c r="AMB83" i="1"/>
  <c r="AMA83" i="1"/>
  <c r="ALZ83" i="1"/>
  <c r="ALY83" i="1"/>
  <c r="ALX83" i="1"/>
  <c r="ALW83" i="1"/>
  <c r="ALV83" i="1"/>
  <c r="ALU83" i="1"/>
  <c r="ALT83" i="1"/>
  <c r="ALS83" i="1"/>
  <c r="ALR83" i="1"/>
  <c r="ALQ83" i="1"/>
  <c r="ALP83" i="1"/>
  <c r="ALO83" i="1"/>
  <c r="ALN83" i="1"/>
  <c r="ALM83" i="1"/>
  <c r="ALL83" i="1"/>
  <c r="ALK83" i="1"/>
  <c r="ALJ83" i="1"/>
  <c r="ALI83" i="1"/>
  <c r="ALH83" i="1"/>
  <c r="ALG83" i="1"/>
  <c r="ALF83" i="1"/>
  <c r="ALE83" i="1"/>
  <c r="ALD83" i="1"/>
  <c r="ALC83" i="1"/>
  <c r="ALB83" i="1"/>
  <c r="ALA83" i="1"/>
  <c r="AKZ83" i="1"/>
  <c r="AKY83" i="1"/>
  <c r="AKX83" i="1"/>
  <c r="AKW83" i="1"/>
  <c r="AKV83" i="1"/>
  <c r="AKU83" i="1"/>
  <c r="AKT83" i="1"/>
  <c r="AKS83" i="1"/>
  <c r="AKR83" i="1"/>
  <c r="AKQ83" i="1"/>
  <c r="AKP83" i="1"/>
  <c r="AKO83" i="1"/>
  <c r="AKN83" i="1"/>
  <c r="AKM83" i="1"/>
  <c r="AKL83" i="1"/>
  <c r="AKK83" i="1"/>
  <c r="AKJ83" i="1"/>
  <c r="AKI83" i="1"/>
  <c r="AKH83" i="1"/>
  <c r="AKG83" i="1"/>
  <c r="AKF83" i="1"/>
  <c r="AKE83" i="1"/>
  <c r="AKD83" i="1"/>
  <c r="AKC83" i="1"/>
  <c r="AKB83" i="1"/>
  <c r="AKA83" i="1"/>
  <c r="AJZ83" i="1"/>
  <c r="AJY83" i="1"/>
  <c r="AJX83" i="1"/>
  <c r="AJW83" i="1"/>
  <c r="AJV83" i="1"/>
  <c r="AJU83" i="1"/>
  <c r="AJT83" i="1"/>
  <c r="AJS83" i="1"/>
  <c r="AJR83" i="1"/>
  <c r="AJQ83" i="1"/>
  <c r="AJP83" i="1"/>
  <c r="AJO83" i="1"/>
  <c r="AJN83" i="1"/>
  <c r="AJM83" i="1"/>
  <c r="AJL83" i="1"/>
  <c r="AJK83" i="1"/>
  <c r="AJJ83" i="1"/>
  <c r="AJI83" i="1"/>
  <c r="AJH83" i="1"/>
  <c r="AJG83" i="1"/>
  <c r="AJF83" i="1"/>
  <c r="AJE83" i="1"/>
  <c r="AJD83" i="1"/>
  <c r="AJC83" i="1"/>
  <c r="AJB83" i="1"/>
  <c r="AJA83" i="1"/>
  <c r="AIZ83" i="1"/>
  <c r="AIY83" i="1"/>
  <c r="AIX83" i="1"/>
  <c r="AIW83" i="1"/>
  <c r="AIV83" i="1"/>
  <c r="AIU83" i="1"/>
  <c r="AIT83" i="1"/>
  <c r="AIS83" i="1"/>
  <c r="AIR83" i="1"/>
  <c r="AIQ83" i="1"/>
  <c r="AIP83" i="1"/>
  <c r="AIO83" i="1"/>
  <c r="AIN83" i="1"/>
  <c r="AIM83" i="1"/>
  <c r="AIL83" i="1"/>
  <c r="AIK83" i="1"/>
  <c r="AIJ83" i="1"/>
  <c r="AII83" i="1"/>
  <c r="AIH83" i="1"/>
  <c r="AIG83" i="1"/>
  <c r="AIF83" i="1"/>
  <c r="AIE83" i="1"/>
  <c r="AID83" i="1"/>
  <c r="AIC83" i="1"/>
  <c r="AIB83" i="1"/>
  <c r="AIA83" i="1"/>
  <c r="AHZ83" i="1"/>
  <c r="AHY83" i="1"/>
  <c r="AHX83" i="1"/>
  <c r="AHW83" i="1"/>
  <c r="AHV83" i="1"/>
  <c r="AHU83" i="1"/>
  <c r="AHT83" i="1"/>
  <c r="AHS83" i="1"/>
  <c r="AHR83" i="1"/>
  <c r="AHQ83" i="1"/>
  <c r="AHP83" i="1"/>
  <c r="AHO83" i="1"/>
  <c r="AHN83" i="1"/>
  <c r="AHM83" i="1"/>
  <c r="AHL83" i="1"/>
  <c r="AHK83" i="1"/>
  <c r="AHJ83" i="1"/>
  <c r="AHI83" i="1"/>
  <c r="AHH83" i="1"/>
  <c r="AHG83" i="1"/>
  <c r="AHF83" i="1"/>
  <c r="AHE83" i="1"/>
  <c r="AHD83" i="1"/>
  <c r="AHC83" i="1"/>
  <c r="AHB83" i="1"/>
  <c r="AHA83" i="1"/>
  <c r="AGZ83" i="1"/>
  <c r="AGY83" i="1"/>
  <c r="AGX83" i="1"/>
  <c r="AGW83" i="1"/>
  <c r="AGV83" i="1"/>
  <c r="AGU83" i="1"/>
  <c r="AGT83" i="1"/>
  <c r="AGS83" i="1"/>
  <c r="AGR83" i="1"/>
  <c r="AGQ83" i="1"/>
  <c r="AGP83" i="1"/>
  <c r="AGO83" i="1"/>
  <c r="AGN83" i="1"/>
  <c r="AGM83" i="1"/>
  <c r="AGL83" i="1"/>
  <c r="AGK83" i="1"/>
  <c r="AGJ83" i="1"/>
  <c r="AGI83" i="1"/>
  <c r="AGH83" i="1"/>
  <c r="AGG83" i="1"/>
  <c r="AGF83" i="1"/>
  <c r="AGE83" i="1"/>
  <c r="AGD83" i="1"/>
  <c r="AGC83" i="1"/>
  <c r="AGB83" i="1"/>
  <c r="AGA83" i="1"/>
  <c r="AFZ83" i="1"/>
  <c r="AFY83" i="1"/>
  <c r="AFX83" i="1"/>
  <c r="AFW83" i="1"/>
  <c r="AFV83" i="1"/>
  <c r="AFU83" i="1"/>
  <c r="AFT83" i="1"/>
  <c r="AFS83" i="1"/>
  <c r="AFR83" i="1"/>
  <c r="AFQ83" i="1"/>
  <c r="AFP83" i="1"/>
  <c r="AFO83" i="1"/>
  <c r="AFN83" i="1"/>
  <c r="AFM83" i="1"/>
  <c r="AFL83" i="1"/>
  <c r="AFK83" i="1"/>
  <c r="AFJ83" i="1"/>
  <c r="AFI83" i="1"/>
  <c r="AFH83" i="1"/>
  <c r="AFG83" i="1"/>
  <c r="AFF83" i="1"/>
  <c r="AFE83" i="1"/>
  <c r="AFD83" i="1"/>
  <c r="AFC83" i="1"/>
  <c r="AFB83" i="1"/>
  <c r="AFA83" i="1"/>
  <c r="AEZ83" i="1"/>
  <c r="AEY83" i="1"/>
  <c r="AEX83" i="1"/>
  <c r="AEW83" i="1"/>
  <c r="AEV83" i="1"/>
  <c r="AEU83" i="1"/>
  <c r="AET83" i="1"/>
  <c r="AES83" i="1"/>
  <c r="AER83" i="1"/>
  <c r="AEQ83" i="1"/>
  <c r="AEP83" i="1"/>
  <c r="AEO83" i="1"/>
  <c r="AEN83" i="1"/>
  <c r="AEM83" i="1"/>
  <c r="AEL83" i="1"/>
  <c r="AEK83" i="1"/>
  <c r="AEJ83" i="1"/>
  <c r="AEI83" i="1"/>
  <c r="AEH83" i="1"/>
  <c r="AEG83" i="1"/>
  <c r="AEF83" i="1"/>
  <c r="AEE83" i="1"/>
  <c r="AED83" i="1"/>
  <c r="AEC83" i="1"/>
  <c r="AEB83" i="1"/>
  <c r="AEA83" i="1"/>
  <c r="ADZ83" i="1"/>
  <c r="ADY83" i="1"/>
  <c r="ADX83" i="1"/>
  <c r="ADW83" i="1"/>
  <c r="ADV83" i="1"/>
  <c r="ADU83" i="1"/>
  <c r="ADT83" i="1"/>
  <c r="ADS83" i="1"/>
  <c r="ADR83" i="1"/>
  <c r="ADQ83" i="1"/>
  <c r="ADP83" i="1"/>
  <c r="ADO83" i="1"/>
  <c r="ADN83" i="1"/>
  <c r="ADM83" i="1"/>
  <c r="ADL83" i="1"/>
  <c r="ADK83" i="1"/>
  <c r="ADJ83" i="1"/>
  <c r="ADI83" i="1"/>
  <c r="ADH83" i="1"/>
  <c r="ADG83" i="1"/>
  <c r="ADF83" i="1"/>
  <c r="ADE83" i="1"/>
  <c r="ADD83" i="1"/>
  <c r="ADC83" i="1"/>
  <c r="ADB83" i="1"/>
  <c r="ADA83" i="1"/>
  <c r="ACZ83" i="1"/>
  <c r="ACY83" i="1"/>
  <c r="ACX83" i="1"/>
  <c r="ACW83" i="1"/>
  <c r="ACV83" i="1"/>
  <c r="ACU83" i="1"/>
  <c r="ACT83" i="1"/>
  <c r="ACS83" i="1"/>
  <c r="ACR83" i="1"/>
  <c r="ACQ83" i="1"/>
  <c r="ACP83" i="1"/>
  <c r="ACO83" i="1"/>
  <c r="ACN83" i="1"/>
  <c r="ACM83" i="1"/>
  <c r="ACL83" i="1"/>
  <c r="ACK83" i="1"/>
  <c r="ACJ83" i="1"/>
  <c r="ACI83" i="1"/>
  <c r="ACH83" i="1"/>
  <c r="ACG83" i="1"/>
  <c r="ACF83" i="1"/>
  <c r="ACE83" i="1"/>
  <c r="ACD83" i="1"/>
  <c r="ACC83" i="1"/>
  <c r="ACB83" i="1"/>
  <c r="ACA83" i="1"/>
  <c r="ABZ83" i="1"/>
  <c r="ABY83" i="1"/>
  <c r="ABX83" i="1"/>
  <c r="ABW83" i="1"/>
  <c r="ABV83" i="1"/>
  <c r="ABU83" i="1"/>
  <c r="ABT83" i="1"/>
  <c r="ABS83" i="1"/>
  <c r="ABR83" i="1"/>
  <c r="ABQ83" i="1"/>
  <c r="ABP83" i="1"/>
  <c r="ABO83" i="1"/>
  <c r="ABN83" i="1"/>
  <c r="ABM83" i="1"/>
  <c r="ABL83" i="1"/>
  <c r="ABK83" i="1"/>
  <c r="ABJ83" i="1"/>
  <c r="ABI83" i="1"/>
  <c r="ABH83" i="1"/>
  <c r="ABG83" i="1"/>
  <c r="ABF83" i="1"/>
  <c r="ABE83" i="1"/>
  <c r="ABD83" i="1"/>
  <c r="ABC83" i="1"/>
  <c r="ABB83" i="1"/>
  <c r="ABA83" i="1"/>
  <c r="AAZ83" i="1"/>
  <c r="AAY83" i="1"/>
  <c r="AAX83" i="1"/>
  <c r="AAW83" i="1"/>
  <c r="AAV83" i="1"/>
  <c r="AAU83" i="1"/>
  <c r="AAT83" i="1"/>
  <c r="AAS83" i="1"/>
  <c r="AAR83" i="1"/>
  <c r="AAQ83" i="1"/>
  <c r="AAP83" i="1"/>
  <c r="AAO83" i="1"/>
  <c r="AAN83" i="1"/>
  <c r="AAM83" i="1"/>
  <c r="AAL83" i="1"/>
  <c r="AAK83" i="1"/>
  <c r="AAJ83" i="1"/>
  <c r="AAI83" i="1"/>
  <c r="AAH83" i="1"/>
  <c r="AAG83" i="1"/>
  <c r="AAF83" i="1"/>
  <c r="AAE83" i="1"/>
  <c r="AAD83" i="1"/>
  <c r="AAC83" i="1"/>
  <c r="AAB83" i="1"/>
  <c r="AAA83" i="1"/>
  <c r="ZZ83" i="1"/>
  <c r="ZY83" i="1"/>
  <c r="ZX83" i="1"/>
  <c r="ZW83" i="1"/>
  <c r="ZV83" i="1"/>
  <c r="ZU83" i="1"/>
  <c r="ZT83" i="1"/>
  <c r="ZS83" i="1"/>
  <c r="ZR83" i="1"/>
  <c r="ZQ83" i="1"/>
  <c r="ZP83" i="1"/>
  <c r="ZO83" i="1"/>
  <c r="ZN83" i="1"/>
  <c r="ZM83" i="1"/>
  <c r="ZL83" i="1"/>
  <c r="ZK83" i="1"/>
  <c r="ZJ83" i="1"/>
  <c r="ZI83" i="1"/>
  <c r="ZH83" i="1"/>
  <c r="ZG83" i="1"/>
  <c r="ZF83" i="1"/>
  <c r="ZE83" i="1"/>
  <c r="ZD83" i="1"/>
  <c r="ZC83" i="1"/>
  <c r="ZB83" i="1"/>
  <c r="ZA83" i="1"/>
  <c r="YZ83" i="1"/>
  <c r="YY83" i="1"/>
  <c r="YX83" i="1"/>
  <c r="YW83" i="1"/>
  <c r="YV83" i="1"/>
  <c r="YU83" i="1"/>
  <c r="YT83" i="1"/>
  <c r="YS83" i="1"/>
  <c r="YR83" i="1"/>
  <c r="YQ83" i="1"/>
  <c r="YP83" i="1"/>
  <c r="YO83" i="1"/>
  <c r="YN83" i="1"/>
  <c r="YM83" i="1"/>
  <c r="YL83" i="1"/>
  <c r="YK83" i="1"/>
  <c r="YJ83" i="1"/>
  <c r="YI83" i="1"/>
  <c r="YH83" i="1"/>
  <c r="YG83" i="1"/>
  <c r="YF83" i="1"/>
  <c r="YE83" i="1"/>
  <c r="YD83" i="1"/>
  <c r="YC83" i="1"/>
  <c r="YB83" i="1"/>
  <c r="YA83" i="1"/>
  <c r="XZ83" i="1"/>
  <c r="XY83" i="1"/>
  <c r="XX83" i="1"/>
  <c r="XW83" i="1"/>
  <c r="XV83" i="1"/>
  <c r="XU83" i="1"/>
  <c r="XT83" i="1"/>
  <c r="XS83" i="1"/>
  <c r="XR83" i="1"/>
  <c r="XQ83" i="1"/>
  <c r="XP83" i="1"/>
  <c r="XO83" i="1"/>
  <c r="XN83" i="1"/>
  <c r="XM83" i="1"/>
  <c r="XL83" i="1"/>
  <c r="XK83" i="1"/>
  <c r="XJ83" i="1"/>
  <c r="XI83" i="1"/>
  <c r="XH83" i="1"/>
  <c r="XG83" i="1"/>
  <c r="XF83" i="1"/>
  <c r="XE83" i="1"/>
  <c r="XD83" i="1"/>
  <c r="XC83" i="1"/>
  <c r="XB83" i="1"/>
  <c r="XA83" i="1"/>
  <c r="WZ83" i="1"/>
  <c r="WY83" i="1"/>
  <c r="WX83" i="1"/>
  <c r="WW83" i="1"/>
  <c r="WV83" i="1"/>
  <c r="WU83" i="1"/>
  <c r="WT83" i="1"/>
  <c r="WS83" i="1"/>
  <c r="WR83" i="1"/>
  <c r="WQ83" i="1"/>
  <c r="WP83" i="1"/>
  <c r="WO83" i="1"/>
  <c r="WN83" i="1"/>
  <c r="WM83" i="1"/>
  <c r="WL83" i="1"/>
  <c r="WK83" i="1"/>
  <c r="WJ83" i="1"/>
  <c r="WI83" i="1"/>
  <c r="WH83" i="1"/>
  <c r="WG83" i="1"/>
  <c r="WF83" i="1"/>
  <c r="WE83" i="1"/>
  <c r="WD83" i="1"/>
  <c r="WC83" i="1"/>
  <c r="WB83" i="1"/>
  <c r="WA83" i="1"/>
  <c r="VZ83" i="1"/>
  <c r="VY83" i="1"/>
  <c r="VX83" i="1"/>
  <c r="VW83" i="1"/>
  <c r="VV83" i="1"/>
  <c r="VU83" i="1"/>
  <c r="VT83" i="1"/>
  <c r="VS83" i="1"/>
  <c r="VR83" i="1"/>
  <c r="VQ83" i="1"/>
  <c r="VP83" i="1"/>
  <c r="VO83" i="1"/>
  <c r="VN83" i="1"/>
  <c r="VM83" i="1"/>
  <c r="VL83" i="1"/>
  <c r="VK83" i="1"/>
  <c r="VJ83" i="1"/>
  <c r="VI83" i="1"/>
  <c r="VH83" i="1"/>
  <c r="VG83" i="1"/>
  <c r="VF83" i="1"/>
  <c r="VE83" i="1"/>
  <c r="VD83" i="1"/>
  <c r="VC83" i="1"/>
  <c r="VB83" i="1"/>
  <c r="VA83" i="1"/>
  <c r="UZ83" i="1"/>
  <c r="UY83" i="1"/>
  <c r="UX83" i="1"/>
  <c r="UW83" i="1"/>
  <c r="UV83" i="1"/>
  <c r="UU83" i="1"/>
  <c r="UT83" i="1"/>
  <c r="US83" i="1"/>
  <c r="UR83" i="1"/>
  <c r="UQ83" i="1"/>
  <c r="UP83" i="1"/>
  <c r="UO83" i="1"/>
  <c r="UN83" i="1"/>
  <c r="UM83" i="1"/>
  <c r="UL83" i="1"/>
  <c r="UK83" i="1"/>
  <c r="UJ83" i="1"/>
  <c r="UI83" i="1"/>
  <c r="UH83" i="1"/>
  <c r="UG83" i="1"/>
  <c r="UF83" i="1"/>
  <c r="UE83" i="1"/>
  <c r="UD83" i="1"/>
  <c r="UC83" i="1"/>
  <c r="UB83" i="1"/>
  <c r="UA83" i="1"/>
  <c r="TZ83" i="1"/>
  <c r="TY83" i="1"/>
  <c r="TX83" i="1"/>
  <c r="TW83" i="1"/>
  <c r="TV83" i="1"/>
  <c r="TU83" i="1"/>
  <c r="TT83" i="1"/>
  <c r="TS83" i="1"/>
  <c r="TR83" i="1"/>
  <c r="TQ83" i="1"/>
  <c r="TP83" i="1"/>
  <c r="TO83" i="1"/>
  <c r="TN83" i="1"/>
  <c r="TM83" i="1"/>
  <c r="TL83" i="1"/>
  <c r="TK83" i="1"/>
  <c r="TJ83" i="1"/>
  <c r="TI83" i="1"/>
  <c r="TH83" i="1"/>
  <c r="TG83" i="1"/>
  <c r="TF83" i="1"/>
  <c r="TE83" i="1"/>
  <c r="TD83" i="1"/>
  <c r="TC83" i="1"/>
  <c r="TB83" i="1"/>
  <c r="TA83" i="1"/>
  <c r="SZ83" i="1"/>
  <c r="SY83" i="1"/>
  <c r="SX83" i="1"/>
  <c r="SW83" i="1"/>
  <c r="SV83" i="1"/>
  <c r="SU83" i="1"/>
  <c r="ST83" i="1"/>
  <c r="SS83" i="1"/>
  <c r="SR83" i="1"/>
  <c r="SQ83" i="1"/>
  <c r="SP83" i="1"/>
  <c r="SO83" i="1"/>
  <c r="SN83" i="1"/>
  <c r="SM83" i="1"/>
  <c r="SL83" i="1"/>
  <c r="SK83" i="1"/>
  <c r="SJ83" i="1"/>
  <c r="SI83" i="1"/>
  <c r="SH83" i="1"/>
  <c r="SG83" i="1"/>
  <c r="SF83" i="1"/>
  <c r="SE83" i="1"/>
  <c r="SD83" i="1"/>
  <c r="SC83" i="1"/>
  <c r="SB83" i="1"/>
  <c r="SA83" i="1"/>
  <c r="RZ83" i="1"/>
  <c r="RY83" i="1"/>
  <c r="RX83" i="1"/>
  <c r="RW83" i="1"/>
  <c r="RV83" i="1"/>
  <c r="RU83" i="1"/>
  <c r="RT83" i="1"/>
  <c r="RS83" i="1"/>
  <c r="RR83" i="1"/>
  <c r="RQ83" i="1"/>
  <c r="RP83" i="1"/>
  <c r="RO83" i="1"/>
  <c r="RN83" i="1"/>
  <c r="RM83" i="1"/>
  <c r="RL83" i="1"/>
  <c r="RK83" i="1"/>
  <c r="RJ83" i="1"/>
  <c r="RI83" i="1"/>
  <c r="RH83" i="1"/>
  <c r="RG83" i="1"/>
  <c r="RF83" i="1"/>
  <c r="RE83" i="1"/>
  <c r="RD83" i="1"/>
  <c r="RC83" i="1"/>
  <c r="RB83" i="1"/>
  <c r="RA83" i="1"/>
  <c r="QZ83" i="1"/>
  <c r="QY83" i="1"/>
  <c r="QX83" i="1"/>
  <c r="QW83" i="1"/>
  <c r="QV83" i="1"/>
  <c r="QU83" i="1"/>
  <c r="QT83" i="1"/>
  <c r="QS83" i="1"/>
  <c r="QR83" i="1"/>
  <c r="QQ83" i="1"/>
  <c r="QP83" i="1"/>
  <c r="QO83" i="1"/>
  <c r="QN83" i="1"/>
  <c r="QM83" i="1"/>
  <c r="QL83" i="1"/>
  <c r="QK83" i="1"/>
  <c r="QJ83" i="1"/>
  <c r="QI83" i="1"/>
  <c r="QH83" i="1"/>
  <c r="QG83" i="1"/>
  <c r="QF83" i="1"/>
  <c r="QE83" i="1"/>
  <c r="QD83" i="1"/>
  <c r="QC83" i="1"/>
  <c r="QB83" i="1"/>
  <c r="QA83" i="1"/>
  <c r="PZ83" i="1"/>
  <c r="PY83" i="1"/>
  <c r="PX83" i="1"/>
  <c r="PW83" i="1"/>
  <c r="PV83" i="1"/>
  <c r="PU83" i="1"/>
  <c r="PT83" i="1"/>
  <c r="PS83" i="1"/>
  <c r="PR83" i="1"/>
  <c r="PQ83" i="1"/>
  <c r="PP83" i="1"/>
  <c r="PO83" i="1"/>
  <c r="PN83" i="1"/>
  <c r="PM83" i="1"/>
  <c r="PL83" i="1"/>
  <c r="PK83" i="1"/>
  <c r="PJ83" i="1"/>
  <c r="PI83" i="1"/>
  <c r="PH83" i="1"/>
  <c r="PG83" i="1"/>
  <c r="PF83" i="1"/>
  <c r="PE83" i="1"/>
  <c r="PD83" i="1"/>
  <c r="PC83" i="1"/>
  <c r="PB83" i="1"/>
  <c r="PA83" i="1"/>
  <c r="OZ83" i="1"/>
  <c r="OY83" i="1"/>
  <c r="OX83" i="1"/>
  <c r="OW83" i="1"/>
  <c r="OV83" i="1"/>
  <c r="OU83" i="1"/>
  <c r="OT83" i="1"/>
  <c r="OS83" i="1"/>
  <c r="OR83" i="1"/>
  <c r="OQ83" i="1"/>
  <c r="OP83" i="1"/>
  <c r="OO83" i="1"/>
  <c r="ON83" i="1"/>
  <c r="OM83" i="1"/>
  <c r="OL83" i="1"/>
  <c r="OK83" i="1"/>
  <c r="OJ83" i="1"/>
  <c r="OI83" i="1"/>
  <c r="OH83" i="1"/>
  <c r="OG83" i="1"/>
  <c r="OF83" i="1"/>
  <c r="OE83" i="1"/>
  <c r="OD83" i="1"/>
  <c r="OC83" i="1"/>
  <c r="OB83" i="1"/>
  <c r="OA83" i="1"/>
  <c r="NZ83" i="1"/>
  <c r="NY83" i="1"/>
  <c r="NX83" i="1"/>
  <c r="NW83" i="1"/>
  <c r="NV83" i="1"/>
  <c r="NU83" i="1"/>
  <c r="NT83" i="1"/>
  <c r="NS83" i="1"/>
  <c r="NR83" i="1"/>
  <c r="NQ83" i="1"/>
  <c r="NP83" i="1"/>
  <c r="NO83" i="1"/>
  <c r="NN83" i="1"/>
  <c r="NM83" i="1"/>
  <c r="NL83" i="1"/>
  <c r="NK83" i="1"/>
  <c r="NJ83" i="1"/>
  <c r="NI83" i="1"/>
  <c r="NH83" i="1"/>
  <c r="NG83" i="1"/>
  <c r="NF83" i="1"/>
  <c r="NE83" i="1"/>
  <c r="ND83" i="1"/>
  <c r="NC83" i="1"/>
  <c r="NB83" i="1"/>
  <c r="NA83" i="1"/>
  <c r="MZ83" i="1"/>
  <c r="MY83" i="1"/>
  <c r="MX83" i="1"/>
  <c r="MW83" i="1"/>
  <c r="MV83" i="1"/>
  <c r="MU83" i="1"/>
  <c r="MT83" i="1"/>
  <c r="MS83" i="1"/>
  <c r="MR83" i="1"/>
  <c r="MQ83" i="1"/>
  <c r="MP83" i="1"/>
  <c r="MO83" i="1"/>
  <c r="MN83" i="1"/>
  <c r="MM83" i="1"/>
  <c r="ML83" i="1"/>
  <c r="MK83" i="1"/>
  <c r="MJ83" i="1"/>
  <c r="MI83" i="1"/>
  <c r="MH83" i="1"/>
  <c r="MG83" i="1"/>
  <c r="MF83" i="1"/>
  <c r="ME83" i="1"/>
  <c r="MD83" i="1"/>
  <c r="MC83" i="1"/>
  <c r="MB83" i="1"/>
  <c r="MA83" i="1"/>
  <c r="LZ83" i="1"/>
  <c r="LY83" i="1"/>
  <c r="LX83" i="1"/>
  <c r="LW83" i="1"/>
  <c r="LV83" i="1"/>
  <c r="LU83" i="1"/>
  <c r="LT83" i="1"/>
  <c r="LS83" i="1"/>
  <c r="LR83" i="1"/>
  <c r="LQ83" i="1"/>
  <c r="LP83" i="1"/>
  <c r="LO83" i="1"/>
  <c r="LN83" i="1"/>
  <c r="LM83" i="1"/>
  <c r="LL83" i="1"/>
  <c r="LK83" i="1"/>
  <c r="LJ83" i="1"/>
  <c r="LI83" i="1"/>
  <c r="LH83" i="1"/>
  <c r="LG83" i="1"/>
  <c r="LF83" i="1"/>
  <c r="LE83" i="1"/>
  <c r="LD83" i="1"/>
  <c r="LC83" i="1"/>
  <c r="LB83" i="1"/>
  <c r="LA83" i="1"/>
  <c r="KZ83" i="1"/>
  <c r="KY83" i="1"/>
  <c r="KX83" i="1"/>
  <c r="KW83" i="1"/>
  <c r="KV83" i="1"/>
  <c r="KU83" i="1"/>
  <c r="KT83" i="1"/>
  <c r="KS83" i="1"/>
  <c r="KR83" i="1"/>
  <c r="KQ83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BH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KKT15" i="1"/>
  <c r="KKT14" i="1"/>
  <c r="KKT13" i="1"/>
  <c r="KKT12" i="1"/>
  <c r="KKT11" i="1"/>
  <c r="KKT10" i="1"/>
  <c r="KKS5" i="1"/>
  <c r="KKS4" i="1"/>
  <c r="KKS3" i="1"/>
  <c r="KKT7" i="1" l="1"/>
  <c r="KKT9" i="1"/>
  <c r="KKS2" i="1"/>
  <c r="KKS83" i="1" s="1"/>
  <c r="KKT6" i="1"/>
  <c r="KKT8" i="1"/>
  <c r="KKR2" i="1"/>
  <c r="KKR3" i="1"/>
  <c r="KKR4" i="1"/>
  <c r="KKR5" i="1"/>
  <c r="KKR6" i="1"/>
  <c r="KKR7" i="1"/>
  <c r="KKR8" i="1"/>
  <c r="KKR9" i="1"/>
  <c r="KKR10" i="1"/>
  <c r="KKR11" i="1"/>
  <c r="KKR12" i="1"/>
  <c r="KKR13" i="1"/>
  <c r="KKR14" i="1"/>
  <c r="KKR15" i="1"/>
  <c r="KKT83" i="1" l="1"/>
  <c r="KKW15" i="1"/>
  <c r="KKU15" i="1"/>
  <c r="KKW11" i="1"/>
  <c r="KKU11" i="1"/>
  <c r="KKW7" i="1"/>
  <c r="KKU7" i="1"/>
  <c r="KKV3" i="1"/>
  <c r="KKU3" i="1"/>
  <c r="KKW14" i="1"/>
  <c r="KKU14" i="1"/>
  <c r="KKW10" i="1"/>
  <c r="KKU10" i="1"/>
  <c r="KKW6" i="1"/>
  <c r="KKU6" i="1"/>
  <c r="KKV2" i="1"/>
  <c r="KKU2" i="1"/>
  <c r="KKR83" i="1"/>
  <c r="KKW13" i="1"/>
  <c r="KKU13" i="1"/>
  <c r="KKW9" i="1"/>
  <c r="KKU9" i="1"/>
  <c r="KKV5" i="1"/>
  <c r="KKU5" i="1"/>
  <c r="KKW12" i="1"/>
  <c r="KKU12" i="1"/>
  <c r="KKW8" i="1"/>
  <c r="KKU8" i="1"/>
  <c r="KKV4" i="1"/>
  <c r="KKU4" i="1"/>
  <c r="KKU83" i="1" l="1"/>
  <c r="KKV83" i="1"/>
  <c r="KKW83" i="1"/>
</calcChain>
</file>

<file path=xl/sharedStrings.xml><?xml version="1.0" encoding="utf-8"?>
<sst xmlns="http://schemas.openxmlformats.org/spreadsheetml/2006/main" count="15345" uniqueCount="7689">
  <si>
    <t>start</t>
  </si>
  <si>
    <t>F1</t>
  </si>
  <si>
    <t>F2</t>
  </si>
  <si>
    <t>F3</t>
  </si>
  <si>
    <t>F4</t>
  </si>
  <si>
    <t>Megy</t>
  </si>
  <si>
    <t>KI_ÁGASK</t>
  </si>
  <si>
    <t>BE_ÁGASK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</si>
  <si>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</si>
  <si>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</si>
  <si>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</si>
  <si>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</si>
  <si>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</si>
  <si>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</si>
  <si>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</si>
  <si>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</si>
  <si>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</si>
  <si>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</si>
  <si>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</si>
  <si>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</si>
  <si>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</si>
  <si>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</si>
  <si>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</si>
  <si>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B_Eszik1</t>
  </si>
  <si>
    <t>B_Eszik2</t>
  </si>
  <si>
    <t>B_Eszik3</t>
  </si>
  <si>
    <t>B_Eszik4</t>
  </si>
  <si>
    <t>B_Eszik5</t>
  </si>
  <si>
    <t>B_Eszik6</t>
  </si>
  <si>
    <t>B_Eszik7</t>
  </si>
  <si>
    <t>B_Eszik8</t>
  </si>
  <si>
    <t>B_Eszik9</t>
  </si>
  <si>
    <t>B_Eszik10</t>
  </si>
  <si>
    <t>B_Eszik11</t>
  </si>
  <si>
    <t>B_Eszik12</t>
  </si>
  <si>
    <t>B_Eszik13</t>
  </si>
  <si>
    <t>B_Eszik14</t>
  </si>
  <si>
    <t>B_Eszik15</t>
  </si>
  <si>
    <t>B_Eszik16</t>
  </si>
  <si>
    <t>pihen</t>
  </si>
  <si>
    <t>áll-figyel</t>
  </si>
  <si>
    <t>F_fordul4</t>
  </si>
  <si>
    <t>F_fordul3</t>
  </si>
  <si>
    <t>F_fordul2</t>
  </si>
  <si>
    <t>F_fordul1</t>
  </si>
  <si>
    <t>Előre_ÁGASK</t>
  </si>
  <si>
    <t>mosakodás</t>
  </si>
  <si>
    <t>0:00:35:10</t>
  </si>
  <si>
    <t>0:00:36:00</t>
  </si>
  <si>
    <t>0:00:36:12</t>
  </si>
  <si>
    <t>0:00:36:17</t>
  </si>
  <si>
    <t>0:00:38:22</t>
  </si>
  <si>
    <t>0:00:35:11</t>
  </si>
  <si>
    <t>0:00:35:12</t>
  </si>
  <si>
    <t>0:00:35:13</t>
  </si>
  <si>
    <t>0:00:35:14</t>
  </si>
  <si>
    <t>0:00:35:15</t>
  </si>
  <si>
    <t>0:00:35:16</t>
  </si>
  <si>
    <t>0:00:35:17</t>
  </si>
  <si>
    <t>0:00:35:18</t>
  </si>
  <si>
    <t>0:00:35:19</t>
  </si>
  <si>
    <t>0:00:35:20</t>
  </si>
  <si>
    <t>0:00:35:21</t>
  </si>
  <si>
    <t>0:00:35:22</t>
  </si>
  <si>
    <t>0:00:35:23</t>
  </si>
  <si>
    <t>0:00:35:24</t>
  </si>
  <si>
    <t>0:00:36:01</t>
  </si>
  <si>
    <t>0:00:36:02</t>
  </si>
  <si>
    <t>0:00:36:03</t>
  </si>
  <si>
    <t>0:00:36:04</t>
  </si>
  <si>
    <t>0:00:36:05</t>
  </si>
  <si>
    <t>0:00:36:06</t>
  </si>
  <si>
    <t>0:00:36:07</t>
  </si>
  <si>
    <t>0:00:36:08</t>
  </si>
  <si>
    <t>0:00:36:09</t>
  </si>
  <si>
    <t>0:00:36:10</t>
  </si>
  <si>
    <t>0:00:36:11</t>
  </si>
  <si>
    <t>0:00:36:13</t>
  </si>
  <si>
    <t>0:00:36:14</t>
  </si>
  <si>
    <t>0:00:36:15</t>
  </si>
  <si>
    <t>0:00:36:16</t>
  </si>
  <si>
    <t>0:00:36:18</t>
  </si>
  <si>
    <t>0:00:36:19</t>
  </si>
  <si>
    <t>0:00:36:20</t>
  </si>
  <si>
    <t>0:00:36:21</t>
  </si>
  <si>
    <t>0:00:36:22</t>
  </si>
  <si>
    <t>0:00:36:23</t>
  </si>
  <si>
    <t>0:00:36:24</t>
  </si>
  <si>
    <t>0:00:37:00</t>
  </si>
  <si>
    <t>0:00:37:01</t>
  </si>
  <si>
    <t>0:00:37:02</t>
  </si>
  <si>
    <t>0:00:37:03</t>
  </si>
  <si>
    <t>0:00:37:04</t>
  </si>
  <si>
    <t>0:00:37:05</t>
  </si>
  <si>
    <t>0:00:37:06</t>
  </si>
  <si>
    <t>0:00:37:07</t>
  </si>
  <si>
    <t>0:00:37:08</t>
  </si>
  <si>
    <t>0:00:37:09</t>
  </si>
  <si>
    <t>0:00:37:10</t>
  </si>
  <si>
    <t>0:00:37:11</t>
  </si>
  <si>
    <t>0:00:37:12</t>
  </si>
  <si>
    <t>0:00:37:13</t>
  </si>
  <si>
    <t>0:00:37:14</t>
  </si>
  <si>
    <t>0:00:37:15</t>
  </si>
  <si>
    <t>0:00:37:16</t>
  </si>
  <si>
    <t>0:00:37:17</t>
  </si>
  <si>
    <t>0:00:37:18</t>
  </si>
  <si>
    <t>0:00:37:19</t>
  </si>
  <si>
    <t>0:00:37:20</t>
  </si>
  <si>
    <t>0:00:37:21</t>
  </si>
  <si>
    <t>0:00:37:22</t>
  </si>
  <si>
    <t>0:00:37:23</t>
  </si>
  <si>
    <t>0:00:37:24</t>
  </si>
  <si>
    <t>0:00:38:00</t>
  </si>
  <si>
    <t>0:00:38:01</t>
  </si>
  <si>
    <t>0:00:38:02</t>
  </si>
  <si>
    <t>0:00:38:03</t>
  </si>
  <si>
    <t>0:00:38:04</t>
  </si>
  <si>
    <t>0:00:38:05</t>
  </si>
  <si>
    <t>0:00:38:06</t>
  </si>
  <si>
    <t>0:00:38:07</t>
  </si>
  <si>
    <t>0:00:38:08</t>
  </si>
  <si>
    <t>0:00:38:09</t>
  </si>
  <si>
    <t>0:00:38:10</t>
  </si>
  <si>
    <t>0:00:38:11</t>
  </si>
  <si>
    <t>0:00:38:12</t>
  </si>
  <si>
    <t>0:00:38:13</t>
  </si>
  <si>
    <t>0:00:38:14</t>
  </si>
  <si>
    <t>0:00:38:15</t>
  </si>
  <si>
    <t>0:00:38:16</t>
  </si>
  <si>
    <t>0:00:38:17</t>
  </si>
  <si>
    <t>0:00:38:18</t>
  </si>
  <si>
    <t>0:00:38:19</t>
  </si>
  <si>
    <t>0:00:38:20</t>
  </si>
  <si>
    <t>0:00:38:21</t>
  </si>
  <si>
    <t>0:00:38:23</t>
  </si>
  <si>
    <t>0:00:38:24</t>
  </si>
  <si>
    <t>0:00:39:00</t>
  </si>
  <si>
    <t>0:00:39:01</t>
  </si>
  <si>
    <t>0:00:39:02</t>
  </si>
  <si>
    <t>0:00:39:03</t>
  </si>
  <si>
    <t>0:00:39:04</t>
  </si>
  <si>
    <t>0:00:39:05</t>
  </si>
  <si>
    <t>0:00:39:06</t>
  </si>
  <si>
    <t>0:00:39:07</t>
  </si>
  <si>
    <t>0:00:39:08</t>
  </si>
  <si>
    <t>0:00:39:09</t>
  </si>
  <si>
    <t>0:00:39:10</t>
  </si>
  <si>
    <t>0:00:39:11</t>
  </si>
  <si>
    <t>0:00:39:12</t>
  </si>
  <si>
    <t>0:00:39:13</t>
  </si>
  <si>
    <t>0:00:39:14</t>
  </si>
  <si>
    <t>0:00:39:15</t>
  </si>
  <si>
    <t>0:00:39:16</t>
  </si>
  <si>
    <t>0:00:39:17</t>
  </si>
  <si>
    <t>0:00:39:18</t>
  </si>
  <si>
    <t>0:00:39:19</t>
  </si>
  <si>
    <t>0:00:39:20</t>
  </si>
  <si>
    <t>0:00:39:21</t>
  </si>
  <si>
    <t>0:00:39:22</t>
  </si>
  <si>
    <t>0:00:39:23</t>
  </si>
  <si>
    <t>0:00:39:24</t>
  </si>
  <si>
    <t>0:00:40:00</t>
  </si>
  <si>
    <t>0:00:40:01</t>
  </si>
  <si>
    <t>0:00:40:02</t>
  </si>
  <si>
    <t>0:00:40:03</t>
  </si>
  <si>
    <t>0:00:40:04</t>
  </si>
  <si>
    <t>0:00:40:05</t>
  </si>
  <si>
    <t>0:00:40:06</t>
  </si>
  <si>
    <t>0:00:40:07</t>
  </si>
  <si>
    <t>0:00:40:08</t>
  </si>
  <si>
    <t>0:00:40:09</t>
  </si>
  <si>
    <t>0:00:40:10</t>
  </si>
  <si>
    <t>0:00:40:11</t>
  </si>
  <si>
    <t>0:00:40:12</t>
  </si>
  <si>
    <t>0:00:40:13</t>
  </si>
  <si>
    <t>0:00:40:14</t>
  </si>
  <si>
    <t>0:00:40:15</t>
  </si>
  <si>
    <t>0:00:40:16</t>
  </si>
  <si>
    <t>0:00:40:17</t>
  </si>
  <si>
    <t>0:00:40:18</t>
  </si>
  <si>
    <t>0:00:40:19</t>
  </si>
  <si>
    <t>0:00:40:20</t>
  </si>
  <si>
    <t>0:00:40:21</t>
  </si>
  <si>
    <t>0:00:40:22</t>
  </si>
  <si>
    <t>0:00:40:23</t>
  </si>
  <si>
    <t>0:00:40:24</t>
  </si>
  <si>
    <t>0:00:41:00</t>
  </si>
  <si>
    <t>0:00:41:01</t>
  </si>
  <si>
    <t>0:00:41:02</t>
  </si>
  <si>
    <t>0:00:41:03</t>
  </si>
  <si>
    <t>0:00:41:04</t>
  </si>
  <si>
    <t>0:00:41:05</t>
  </si>
  <si>
    <t>0:00:41:06</t>
  </si>
  <si>
    <t>0:00:41:07</t>
  </si>
  <si>
    <t>0:00:41:08</t>
  </si>
  <si>
    <t>0:00:41:09</t>
  </si>
  <si>
    <t>0:00:41:10</t>
  </si>
  <si>
    <t>0:00:41:11</t>
  </si>
  <si>
    <t>0:00:41:12</t>
  </si>
  <si>
    <t>0:00:41:13</t>
  </si>
  <si>
    <t>0:00:41:14</t>
  </si>
  <si>
    <t>0:00:41:15</t>
  </si>
  <si>
    <t>0:00:41:16</t>
  </si>
  <si>
    <t>0:00:41:17</t>
  </si>
  <si>
    <t>0:00:41:18</t>
  </si>
  <si>
    <t>0:00:41:19</t>
  </si>
  <si>
    <t>0:00:41:20</t>
  </si>
  <si>
    <t>0:00:41:21</t>
  </si>
  <si>
    <t>0:00:41:22</t>
  </si>
  <si>
    <t>0:00:41:23</t>
  </si>
  <si>
    <t>0:00:41:24</t>
  </si>
  <si>
    <t>0:00:42:00</t>
  </si>
  <si>
    <t>0:00:42:01</t>
  </si>
  <si>
    <t>0:00:42:02</t>
  </si>
  <si>
    <t>0:00:42:03</t>
  </si>
  <si>
    <t>0:00:42:04</t>
  </si>
  <si>
    <t>0:00:42:05</t>
  </si>
  <si>
    <t>0:00:42:06</t>
  </si>
  <si>
    <t>0:00:42:07</t>
  </si>
  <si>
    <t>0:00:42:08</t>
  </si>
  <si>
    <t>0:00:42:09</t>
  </si>
  <si>
    <t>0:00:42:10</t>
  </si>
  <si>
    <t>0:00:42:11</t>
  </si>
  <si>
    <t>0:00:42:12</t>
  </si>
  <si>
    <t>0:00:42:13</t>
  </si>
  <si>
    <t>0:00:42:14</t>
  </si>
  <si>
    <t>0:00:42:15</t>
  </si>
  <si>
    <t>0:00:42:16</t>
  </si>
  <si>
    <t>0:00:42:17</t>
  </si>
  <si>
    <t>0:00:42:18</t>
  </si>
  <si>
    <t>0:00:42:19</t>
  </si>
  <si>
    <t>0:00:42:20</t>
  </si>
  <si>
    <t>0:00:42:21</t>
  </si>
  <si>
    <t>0:00:42:22</t>
  </si>
  <si>
    <t>0:00:42:23</t>
  </si>
  <si>
    <t>0:00:42:24</t>
  </si>
  <si>
    <t>0:00:43:00</t>
  </si>
  <si>
    <t>0:00:43:01</t>
  </si>
  <si>
    <t>0:00:43:02</t>
  </si>
  <si>
    <t>0:00:43:03</t>
  </si>
  <si>
    <t>0:00:43:04</t>
  </si>
  <si>
    <t>0:00:43:05</t>
  </si>
  <si>
    <t>0:00:43:06</t>
  </si>
  <si>
    <t>0:00:43:07</t>
  </si>
  <si>
    <t>0:00:43:08</t>
  </si>
  <si>
    <t>0:00:43:09</t>
  </si>
  <si>
    <t>0:00:43:10</t>
  </si>
  <si>
    <t>0:00:43:11</t>
  </si>
  <si>
    <t>0:00:43:12</t>
  </si>
  <si>
    <t>0:00:43:13</t>
  </si>
  <si>
    <t>0:00:43:14</t>
  </si>
  <si>
    <t>0:00:43:15</t>
  </si>
  <si>
    <t>0:00:43:16</t>
  </si>
  <si>
    <t>0:00:43:17</t>
  </si>
  <si>
    <t>0:00:43:18</t>
  </si>
  <si>
    <t>0:00:43:19</t>
  </si>
  <si>
    <t>0:00:43:20</t>
  </si>
  <si>
    <t>0:00:43:21</t>
  </si>
  <si>
    <t>0:00:43:22</t>
  </si>
  <si>
    <t>0:00:43:23</t>
  </si>
  <si>
    <t>0:00:43:24</t>
  </si>
  <si>
    <t>0:00:44:00</t>
  </si>
  <si>
    <t>0:00:44:01</t>
  </si>
  <si>
    <t>0:00:44:02</t>
  </si>
  <si>
    <t>0:00:44:03</t>
  </si>
  <si>
    <t>0:00:44:04</t>
  </si>
  <si>
    <t>0:00:44:05</t>
  </si>
  <si>
    <t>0:00:44:06</t>
  </si>
  <si>
    <t>0:00:44:07</t>
  </si>
  <si>
    <t>0:00:44:08</t>
  </si>
  <si>
    <t>0:00:44:09</t>
  </si>
  <si>
    <t>0:00:44:10</t>
  </si>
  <si>
    <t>0:00:44:11</t>
  </si>
  <si>
    <t>0:00:44:12</t>
  </si>
  <si>
    <t>0:00:44:13</t>
  </si>
  <si>
    <t>0:00:44:14</t>
  </si>
  <si>
    <t>0:00:44:15</t>
  </si>
  <si>
    <t>0:00:44:16</t>
  </si>
  <si>
    <t>0:00:44:17</t>
  </si>
  <si>
    <t>0:00:44:18</t>
  </si>
  <si>
    <t>0:00:44:19</t>
  </si>
  <si>
    <t>0:00:44:20</t>
  </si>
  <si>
    <t>0:00:44:21</t>
  </si>
  <si>
    <t>0:00:44:22</t>
  </si>
  <si>
    <t>0:00:44:23</t>
  </si>
  <si>
    <t>0:00:44:24</t>
  </si>
  <si>
    <t>0:00:45:00</t>
  </si>
  <si>
    <t>0:00:45:01</t>
  </si>
  <si>
    <t>0:00:45:02</t>
  </si>
  <si>
    <t>0:00:45:03</t>
  </si>
  <si>
    <t>0:00:45:04</t>
  </si>
  <si>
    <t>0:00:45:05</t>
  </si>
  <si>
    <t>0:00:45:06</t>
  </si>
  <si>
    <t>0:00:45:07</t>
  </si>
  <si>
    <t>0:00:45:08</t>
  </si>
  <si>
    <t>0:00:45:09</t>
  </si>
  <si>
    <t>0:00:45:10</t>
  </si>
  <si>
    <t>0:00:45:11</t>
  </si>
  <si>
    <t>0:00:45:12</t>
  </si>
  <si>
    <t>0:00:45:13</t>
  </si>
  <si>
    <t>0:00:45:14</t>
  </si>
  <si>
    <t>0:00:45:15</t>
  </si>
  <si>
    <t>0:00:45:16</t>
  </si>
  <si>
    <t>0:00:45:17</t>
  </si>
  <si>
    <t>0:00:45:18</t>
  </si>
  <si>
    <t>0:00:45:19</t>
  </si>
  <si>
    <t>0:00:45:20</t>
  </si>
  <si>
    <t>0:00:45:21</t>
  </si>
  <si>
    <t>0:00:45:22</t>
  </si>
  <si>
    <t>0:00:45:23</t>
  </si>
  <si>
    <t>0:00:45:24</t>
  </si>
  <si>
    <t>0:00:46:00</t>
  </si>
  <si>
    <t>0:00:46:01</t>
  </si>
  <si>
    <t>0:00:46:02</t>
  </si>
  <si>
    <t>0:00:46:03</t>
  </si>
  <si>
    <t>0:00:46:04</t>
  </si>
  <si>
    <t>0:00:46:05</t>
  </si>
  <si>
    <t>0:00:46:06</t>
  </si>
  <si>
    <t>0:00:46:07</t>
  </si>
  <si>
    <t>0:00:46:08</t>
  </si>
  <si>
    <t>0:00:46:09</t>
  </si>
  <si>
    <t>0:00:46:10</t>
  </si>
  <si>
    <t>0:00:46:11</t>
  </si>
  <si>
    <t>0:00:46:12</t>
  </si>
  <si>
    <t>0:00:46:13</t>
  </si>
  <si>
    <t>0:00:46:14</t>
  </si>
  <si>
    <t>0:00:46:15</t>
  </si>
  <si>
    <t>0:00:46:16</t>
  </si>
  <si>
    <t>0:00:46:17</t>
  </si>
  <si>
    <t>0:00:46:18</t>
  </si>
  <si>
    <t>0:00:46:19</t>
  </si>
  <si>
    <t>0:00:46:20</t>
  </si>
  <si>
    <t>0:00:46:21</t>
  </si>
  <si>
    <t>0:00:46:22</t>
  </si>
  <si>
    <t>0:00:46:23</t>
  </si>
  <si>
    <t>0:00:46:24</t>
  </si>
  <si>
    <t>0:00:47:00</t>
  </si>
  <si>
    <t>0:00:47:01</t>
  </si>
  <si>
    <t>0:00:47:02</t>
  </si>
  <si>
    <t>0:00:47:03</t>
  </si>
  <si>
    <t>0:00:47:04</t>
  </si>
  <si>
    <t>0:00:47:05</t>
  </si>
  <si>
    <t>0:00:47:06</t>
  </si>
  <si>
    <t>0:00:47:07</t>
  </si>
  <si>
    <t>0:00:47:08</t>
  </si>
  <si>
    <t>0:00:47:09</t>
  </si>
  <si>
    <t>0:00:47:10</t>
  </si>
  <si>
    <t>0:00:47:11</t>
  </si>
  <si>
    <t>0:00:47:12</t>
  </si>
  <si>
    <t>0:00:47:13</t>
  </si>
  <si>
    <t>0:00:47:14</t>
  </si>
  <si>
    <t>0:00:47:15</t>
  </si>
  <si>
    <t>0:00:47:16</t>
  </si>
  <si>
    <t>0:00:47:17</t>
  </si>
  <si>
    <t>0:00:47:18</t>
  </si>
  <si>
    <t>0:00:47:19</t>
  </si>
  <si>
    <t>0:00:47:20</t>
  </si>
  <si>
    <t>0:00:47:21</t>
  </si>
  <si>
    <t>0:00:47:22</t>
  </si>
  <si>
    <t>0:00:47:23</t>
  </si>
  <si>
    <t>0:00:47:24</t>
  </si>
  <si>
    <t>0:00:48:00</t>
  </si>
  <si>
    <t>0:00:48:01</t>
  </si>
  <si>
    <t>0:00:48:02</t>
  </si>
  <si>
    <t>0:00:48:03</t>
  </si>
  <si>
    <t>0:00:48:04</t>
  </si>
  <si>
    <t>0:00:48:05</t>
  </si>
  <si>
    <t>0:00:48:06</t>
  </si>
  <si>
    <t>0:00:48:07</t>
  </si>
  <si>
    <t>0:00:48:08</t>
  </si>
  <si>
    <t>0:00:48:09</t>
  </si>
  <si>
    <t>0:00:48:10</t>
  </si>
  <si>
    <t>0:00:48:11</t>
  </si>
  <si>
    <t>0:00:48:12</t>
  </si>
  <si>
    <t>0:00:48:13</t>
  </si>
  <si>
    <t>0:00:48:14</t>
  </si>
  <si>
    <t>0:00:48:15</t>
  </si>
  <si>
    <t>0:00:48:16</t>
  </si>
  <si>
    <t>0:00:48:17</t>
  </si>
  <si>
    <t>0:00:48:18</t>
  </si>
  <si>
    <t>0:00:48:19</t>
  </si>
  <si>
    <t>0:00:48:20</t>
  </si>
  <si>
    <t>0:00:48:21</t>
  </si>
  <si>
    <t>0:00:48:22</t>
  </si>
  <si>
    <t>0:00:48:23</t>
  </si>
  <si>
    <t>0:00:48:24</t>
  </si>
  <si>
    <t>0:00:49:00</t>
  </si>
  <si>
    <t>0:00:49:01</t>
  </si>
  <si>
    <t>0:00:49:02</t>
  </si>
  <si>
    <t>0:00:49:03</t>
  </si>
  <si>
    <t>0:00:49:04</t>
  </si>
  <si>
    <t>0:00:49:05</t>
  </si>
  <si>
    <t>0:00:49:06</t>
  </si>
  <si>
    <t>0:00:49:07</t>
  </si>
  <si>
    <t>0:00:49:08</t>
  </si>
  <si>
    <t>0:00:49:09</t>
  </si>
  <si>
    <t>0:00:49:10</t>
  </si>
  <si>
    <t>0:00:49:11</t>
  </si>
  <si>
    <t>0:00:49:12</t>
  </si>
  <si>
    <t>0:00:49:13</t>
  </si>
  <si>
    <t>0:00:49:14</t>
  </si>
  <si>
    <t>0:00:49:15</t>
  </si>
  <si>
    <t>0:00:49:16</t>
  </si>
  <si>
    <t>0:00:49:17</t>
  </si>
  <si>
    <t>0:00:49:18</t>
  </si>
  <si>
    <t>0:00:49:19</t>
  </si>
  <si>
    <t>0:00:49:20</t>
  </si>
  <si>
    <t>0:00:49:21</t>
  </si>
  <si>
    <t>0:00:49:22</t>
  </si>
  <si>
    <t>0:00:49:23</t>
  </si>
  <si>
    <t>0:00:49:24</t>
  </si>
  <si>
    <t>0:00:50:00</t>
  </si>
  <si>
    <t>0:00:50:01</t>
  </si>
  <si>
    <t>0:00:50:02</t>
  </si>
  <si>
    <t>0:00:50:03</t>
  </si>
  <si>
    <t>0:00:50:04</t>
  </si>
  <si>
    <t>0:00:50:05</t>
  </si>
  <si>
    <t>0:00:50:06</t>
  </si>
  <si>
    <t>0:00:50:07</t>
  </si>
  <si>
    <t>0:00:50:08</t>
  </si>
  <si>
    <t>0:00:50:09</t>
  </si>
  <si>
    <t>0:00:50:10</t>
  </si>
  <si>
    <t>0:00:50:11</t>
  </si>
  <si>
    <t>0:00:50:12</t>
  </si>
  <si>
    <t>0:00:50:13</t>
  </si>
  <si>
    <t>0:00:50:14</t>
  </si>
  <si>
    <t>0:00:50:15</t>
  </si>
  <si>
    <t>0:00:50:16</t>
  </si>
  <si>
    <t>0:00:50:17</t>
  </si>
  <si>
    <t>0:00:50:18</t>
  </si>
  <si>
    <t>0:00:50:19</t>
  </si>
  <si>
    <t>0:00:50:20</t>
  </si>
  <si>
    <t>0:00:50:21</t>
  </si>
  <si>
    <t>0:00:50:22</t>
  </si>
  <si>
    <t>0:00:50:23</t>
  </si>
  <si>
    <t>0:00:50:24</t>
  </si>
  <si>
    <t>0:00:51:00</t>
  </si>
  <si>
    <t>0:00:51:01</t>
  </si>
  <si>
    <t>0:00:51:02</t>
  </si>
  <si>
    <t>0:00:51:03</t>
  </si>
  <si>
    <t>0:00:51:04</t>
  </si>
  <si>
    <t>0:00:51:05</t>
  </si>
  <si>
    <t>0:00:51:06</t>
  </si>
  <si>
    <t>0:00:51:07</t>
  </si>
  <si>
    <t>0:00:51:08</t>
  </si>
  <si>
    <t>0:00:51:09</t>
  </si>
  <si>
    <t>0:00:51:10</t>
  </si>
  <si>
    <t>0:00:51:11</t>
  </si>
  <si>
    <t>0:00:51:12</t>
  </si>
  <si>
    <t>0:00:51:13</t>
  </si>
  <si>
    <t>0:00:51:14</t>
  </si>
  <si>
    <t>0:00:51:15</t>
  </si>
  <si>
    <t>0:00:51:16</t>
  </si>
  <si>
    <t>0:00:51:17</t>
  </si>
  <si>
    <t>0:00:51:18</t>
  </si>
  <si>
    <t>0:00:51:19</t>
  </si>
  <si>
    <t>0:00:51:20</t>
  </si>
  <si>
    <t>0:00:51:21</t>
  </si>
  <si>
    <t>0:00:51:22</t>
  </si>
  <si>
    <t>0:00:51:23</t>
  </si>
  <si>
    <t>0:00:51:24</t>
  </si>
  <si>
    <t>0:00:52:00</t>
  </si>
  <si>
    <t>0:00:52:01</t>
  </si>
  <si>
    <t>0:00:52:02</t>
  </si>
  <si>
    <t>0:00:52:03</t>
  </si>
  <si>
    <t>0:00:52:04</t>
  </si>
  <si>
    <t>0:00:52:05</t>
  </si>
  <si>
    <t>0:00:52:06</t>
  </si>
  <si>
    <t>0:00:52:07</t>
  </si>
  <si>
    <t>0:00:52:08</t>
  </si>
  <si>
    <t>0:00:52:09</t>
  </si>
  <si>
    <t>0:00:52:10</t>
  </si>
  <si>
    <t>0:00:52:11</t>
  </si>
  <si>
    <t>0:00:52:12</t>
  </si>
  <si>
    <t>0:00:52:13</t>
  </si>
  <si>
    <t>0:00:52:14</t>
  </si>
  <si>
    <t>0:00:52:15</t>
  </si>
  <si>
    <t>0:00:52:16</t>
  </si>
  <si>
    <t>0:00:52:17</t>
  </si>
  <si>
    <t>0:00:52:18</t>
  </si>
  <si>
    <t>0:00:52:19</t>
  </si>
  <si>
    <t>0:00:52:20</t>
  </si>
  <si>
    <t>0:00:52:21</t>
  </si>
  <si>
    <t>0:00:52:22</t>
  </si>
  <si>
    <t>0:00:52:23</t>
  </si>
  <si>
    <t>0:00:52:24</t>
  </si>
  <si>
    <t>0:00:53:00</t>
  </si>
  <si>
    <t>0:00:53:01</t>
  </si>
  <si>
    <t>0:00:53:02</t>
  </si>
  <si>
    <t>0:00:53:03</t>
  </si>
  <si>
    <t>0:00:53:04</t>
  </si>
  <si>
    <t>0:00:53:05</t>
  </si>
  <si>
    <t>0:00:53:06</t>
  </si>
  <si>
    <t>0:00:53:07</t>
  </si>
  <si>
    <t>0:00:53:08</t>
  </si>
  <si>
    <t>0:00:53:09</t>
  </si>
  <si>
    <t>0:00:53:10</t>
  </si>
  <si>
    <t>0:00:53:11</t>
  </si>
  <si>
    <t>0:00:53:12</t>
  </si>
  <si>
    <t>0:00:53:13</t>
  </si>
  <si>
    <t>0:00:53:14</t>
  </si>
  <si>
    <t>0:00:53:15</t>
  </si>
  <si>
    <t>0:00:53:16</t>
  </si>
  <si>
    <t>0:00:53:17</t>
  </si>
  <si>
    <t>0:00:53:18</t>
  </si>
  <si>
    <t>0:00:53:19</t>
  </si>
  <si>
    <t>0:00:53:20</t>
  </si>
  <si>
    <t>0:00:53:21</t>
  </si>
  <si>
    <t>0:00:53:22</t>
  </si>
  <si>
    <t>0:00:53:23</t>
  </si>
  <si>
    <t>0:00:53:24</t>
  </si>
  <si>
    <t>0:00:54:00</t>
  </si>
  <si>
    <t>0:00:54:01</t>
  </si>
  <si>
    <t>0:00:54:02</t>
  </si>
  <si>
    <t>0:00:54:03</t>
  </si>
  <si>
    <t>0:00:54:04</t>
  </si>
  <si>
    <t>0:00:54:05</t>
  </si>
  <si>
    <t>0:00:54:06</t>
  </si>
  <si>
    <t>0:00:54:07</t>
  </si>
  <si>
    <t>0:00:54:08</t>
  </si>
  <si>
    <t>0:00:54:09</t>
  </si>
  <si>
    <t>0:00:54:10</t>
  </si>
  <si>
    <t>0:00:54:11</t>
  </si>
  <si>
    <t>0:00:54:12</t>
  </si>
  <si>
    <t>0:00:54:13</t>
  </si>
  <si>
    <t>0:00:54:14</t>
  </si>
  <si>
    <t>0:00:54:15</t>
  </si>
  <si>
    <t>0:00:54:16</t>
  </si>
  <si>
    <t>0:00:54:17</t>
  </si>
  <si>
    <t>0:00:54:18</t>
  </si>
  <si>
    <t>0:00:54:19</t>
  </si>
  <si>
    <t>0:00:54:20</t>
  </si>
  <si>
    <t>0:00:54:21</t>
  </si>
  <si>
    <t>0:00:54:22</t>
  </si>
  <si>
    <t>0:00:54:23</t>
  </si>
  <si>
    <t>0:00:54:24</t>
  </si>
  <si>
    <t>0:00:55:00</t>
  </si>
  <si>
    <t>0:00:55:01</t>
  </si>
  <si>
    <t>0:00:55:02</t>
  </si>
  <si>
    <t>0:00:55:03</t>
  </si>
  <si>
    <t>0:00:55:04</t>
  </si>
  <si>
    <t>0:00:55:05</t>
  </si>
  <si>
    <t>0:00:55:06</t>
  </si>
  <si>
    <t>0:00:55:07</t>
  </si>
  <si>
    <t>0:00:55:08</t>
  </si>
  <si>
    <t>0:00:55:09</t>
  </si>
  <si>
    <t>0:00:55:10</t>
  </si>
  <si>
    <t>0:00:55:11</t>
  </si>
  <si>
    <t>0:00:55:12</t>
  </si>
  <si>
    <t>0:00:55:13</t>
  </si>
  <si>
    <t>0:00:55:14</t>
  </si>
  <si>
    <t>0:00:55:15</t>
  </si>
  <si>
    <t>0:00:55:16</t>
  </si>
  <si>
    <t>0:00:55:17</t>
  </si>
  <si>
    <t>0:00:55:18</t>
  </si>
  <si>
    <t>0:00:55:19</t>
  </si>
  <si>
    <t>0:00:55:20</t>
  </si>
  <si>
    <t>0:00:55:21</t>
  </si>
  <si>
    <t>0:00:55:22</t>
  </si>
  <si>
    <t>0:00:55:23</t>
  </si>
  <si>
    <t>0:00:55:24</t>
  </si>
  <si>
    <t>0:00:56:00</t>
  </si>
  <si>
    <t>0:00:56:01</t>
  </si>
  <si>
    <t>0:00:56:02</t>
  </si>
  <si>
    <t>0:00:56:03</t>
  </si>
  <si>
    <t>0:00:56:04</t>
  </si>
  <si>
    <t>0:00:56:05</t>
  </si>
  <si>
    <t>0:00:56:06</t>
  </si>
  <si>
    <t>0:00:56:07</t>
  </si>
  <si>
    <t>0:00:56:08</t>
  </si>
  <si>
    <t>0:00:56:09</t>
  </si>
  <si>
    <t>0:00:56:10</t>
  </si>
  <si>
    <t>0:00:56:11</t>
  </si>
  <si>
    <t>0:00:56:12</t>
  </si>
  <si>
    <t>0:00:56:13</t>
  </si>
  <si>
    <t>0:00:56:14</t>
  </si>
  <si>
    <t>0:00:56:15</t>
  </si>
  <si>
    <t>0:00:56:16</t>
  </si>
  <si>
    <t>0:00:56:17</t>
  </si>
  <si>
    <t>0:00:56:18</t>
  </si>
  <si>
    <t>0:00:56:19</t>
  </si>
  <si>
    <t>0:00:56:20</t>
  </si>
  <si>
    <t>0:00:56:21</t>
  </si>
  <si>
    <t>0:00:56:22</t>
  </si>
  <si>
    <t>0:00:56:23</t>
  </si>
  <si>
    <t>0:00:56:24</t>
  </si>
  <si>
    <t>0:00:57:00</t>
  </si>
  <si>
    <t>0:00:57:01</t>
  </si>
  <si>
    <t>0:00:57:02</t>
  </si>
  <si>
    <t>0:00:57:03</t>
  </si>
  <si>
    <t>0:00:57:04</t>
  </si>
  <si>
    <t>0:00:57:05</t>
  </si>
  <si>
    <t>0:00:57:06</t>
  </si>
  <si>
    <t>0:00:57:07</t>
  </si>
  <si>
    <t>0:00:57:08</t>
  </si>
  <si>
    <t>0:00:57:09</t>
  </si>
  <si>
    <t>0:00:57:10</t>
  </si>
  <si>
    <t>0:00:57:11</t>
  </si>
  <si>
    <t>0:00:57:12</t>
  </si>
  <si>
    <t>0:00:57:13</t>
  </si>
  <si>
    <t>0:00:57:14</t>
  </si>
  <si>
    <t>0:00:57:15</t>
  </si>
  <si>
    <t>0:00:57:16</t>
  </si>
  <si>
    <t>0:00:57:17</t>
  </si>
  <si>
    <t>0:00:57:18</t>
  </si>
  <si>
    <t>0:00:57:19</t>
  </si>
  <si>
    <t>0:00:57:20</t>
  </si>
  <si>
    <t>0:00:57:21</t>
  </si>
  <si>
    <t>0:00:57:22</t>
  </si>
  <si>
    <t>0:00:57:23</t>
  </si>
  <si>
    <t>0:00:57:24</t>
  </si>
  <si>
    <t>0:00:58:00</t>
  </si>
  <si>
    <t>0:00:58:01</t>
  </si>
  <si>
    <t>0:00:58:02</t>
  </si>
  <si>
    <t>0:00:58:03</t>
  </si>
  <si>
    <t>0:00:58:04</t>
  </si>
  <si>
    <t>0:00:58:05</t>
  </si>
  <si>
    <t>0:00:58:06</t>
  </si>
  <si>
    <t>0:00:58:07</t>
  </si>
  <si>
    <t>0:00:58:08</t>
  </si>
  <si>
    <t>0:00:58:09</t>
  </si>
  <si>
    <t>0:00:58:10</t>
  </si>
  <si>
    <t>0:00:58:11</t>
  </si>
  <si>
    <t>0:00:58:12</t>
  </si>
  <si>
    <t>0:00:58:13</t>
  </si>
  <si>
    <t>0:00:58:14</t>
  </si>
  <si>
    <t>0:00:58:15</t>
  </si>
  <si>
    <t>0:00:58:16</t>
  </si>
  <si>
    <t>0:00:58:17</t>
  </si>
  <si>
    <t>0:00:58:18</t>
  </si>
  <si>
    <t>0:00:58:19</t>
  </si>
  <si>
    <t>0:00:58:20</t>
  </si>
  <si>
    <t>0:00:58:21</t>
  </si>
  <si>
    <t>0:00:58:22</t>
  </si>
  <si>
    <t>0:00:58:23</t>
  </si>
  <si>
    <t>0:00:58:24</t>
  </si>
  <si>
    <t>0:00:59:00</t>
  </si>
  <si>
    <t>0:00:59:01</t>
  </si>
  <si>
    <t>0:00:59:02</t>
  </si>
  <si>
    <t>0:00:59:03</t>
  </si>
  <si>
    <t>0:00:59:04</t>
  </si>
  <si>
    <t>0:00:59:05</t>
  </si>
  <si>
    <t>0:00:59:06</t>
  </si>
  <si>
    <t>0:00:59:07</t>
  </si>
  <si>
    <t>0:00:59:08</t>
  </si>
  <si>
    <t>0:00:59:09</t>
  </si>
  <si>
    <t>0:00:59:10</t>
  </si>
  <si>
    <t>0:00:59:11</t>
  </si>
  <si>
    <t>0:00:59:12</t>
  </si>
  <si>
    <t>0:00:59:13</t>
  </si>
  <si>
    <t>0:00:59:14</t>
  </si>
  <si>
    <t>0:00:59:15</t>
  </si>
  <si>
    <t>0:00:59:16</t>
  </si>
  <si>
    <t>0:00:59:17</t>
  </si>
  <si>
    <t>0:00:59:18</t>
  </si>
  <si>
    <t>0:00:59:19</t>
  </si>
  <si>
    <t>0:00:59:20</t>
  </si>
  <si>
    <t>0:00:59:21</t>
  </si>
  <si>
    <t>0:00:59:22</t>
  </si>
  <si>
    <t>0:00:59:23</t>
  </si>
  <si>
    <t>0:00:59:24</t>
  </si>
  <si>
    <t>0:01:00:00</t>
  </si>
  <si>
    <t>0:01:00:01</t>
  </si>
  <si>
    <t>0:01:00:02</t>
  </si>
  <si>
    <t>0:01:00:03</t>
  </si>
  <si>
    <t>0:01:00:04</t>
  </si>
  <si>
    <t>0:01:00:05</t>
  </si>
  <si>
    <t>0:01:00:06</t>
  </si>
  <si>
    <t>0:01:00:07</t>
  </si>
  <si>
    <t>0:01:00:08</t>
  </si>
  <si>
    <t>0:01:00:09</t>
  </si>
  <si>
    <t>0:01:00:10</t>
  </si>
  <si>
    <t>0:01:00:11</t>
  </si>
  <si>
    <t>0:01:00:12</t>
  </si>
  <si>
    <t>0:01:00:13</t>
  </si>
  <si>
    <t>0:01:00:14</t>
  </si>
  <si>
    <t>0:01:00:15</t>
  </si>
  <si>
    <t>0:01:00:16</t>
  </si>
  <si>
    <t>0:01:00:17</t>
  </si>
  <si>
    <t>0:01:00:18</t>
  </si>
  <si>
    <t>0:01:00:19</t>
  </si>
  <si>
    <t>0:01:00:20</t>
  </si>
  <si>
    <t>0:01:00:21</t>
  </si>
  <si>
    <t>0:01:00:22</t>
  </si>
  <si>
    <t>0:01:00:23</t>
  </si>
  <si>
    <t>0:01:00:24</t>
  </si>
  <si>
    <t>0:01:01:00</t>
  </si>
  <si>
    <t>0:01:01:01</t>
  </si>
  <si>
    <t>0:01:01:02</t>
  </si>
  <si>
    <t>0:01:01:03</t>
  </si>
  <si>
    <t>0:01:01:04</t>
  </si>
  <si>
    <t>0:01:01:05</t>
  </si>
  <si>
    <t>0:01:01:06</t>
  </si>
  <si>
    <t>0:01:01:07</t>
  </si>
  <si>
    <t>0:01:01:08</t>
  </si>
  <si>
    <t>0:01:01:09</t>
  </si>
  <si>
    <t>0:01:01:10</t>
  </si>
  <si>
    <t>0:01:01:11</t>
  </si>
  <si>
    <t>0:01:01:12</t>
  </si>
  <si>
    <t>0:01:01:13</t>
  </si>
  <si>
    <t>0:01:01:14</t>
  </si>
  <si>
    <t>0:01:01:15</t>
  </si>
  <si>
    <t>0:01:01:16</t>
  </si>
  <si>
    <t>0:01:01:17</t>
  </si>
  <si>
    <t>0:01:01:18</t>
  </si>
  <si>
    <t>0:01:01:19</t>
  </si>
  <si>
    <t>0:01:01:20</t>
  </si>
  <si>
    <t>0:01:01:21</t>
  </si>
  <si>
    <t>0:01:01:22</t>
  </si>
  <si>
    <t>0:01:01:23</t>
  </si>
  <si>
    <t>0:01:01:24</t>
  </si>
  <si>
    <t>0:01:02:00</t>
  </si>
  <si>
    <t>0:01:02:01</t>
  </si>
  <si>
    <t>0:01:02:02</t>
  </si>
  <si>
    <t>0:01:02:03</t>
  </si>
  <si>
    <t>0:01:02:04</t>
  </si>
  <si>
    <t>0:01:02:05</t>
  </si>
  <si>
    <t>0:01:02:06</t>
  </si>
  <si>
    <t>0:01:02:07</t>
  </si>
  <si>
    <t>0:01:02:08</t>
  </si>
  <si>
    <t>0:01:02:09</t>
  </si>
  <si>
    <t>0:01:02:10</t>
  </si>
  <si>
    <t>0:01:02:11</t>
  </si>
  <si>
    <t>0:01:02:12</t>
  </si>
  <si>
    <t>0:01:02:13</t>
  </si>
  <si>
    <t>0:01:02:14</t>
  </si>
  <si>
    <t>0:01:02:15</t>
  </si>
  <si>
    <t>0:01:02:16</t>
  </si>
  <si>
    <t>0:01:02:17</t>
  </si>
  <si>
    <t>0:01:02:18</t>
  </si>
  <si>
    <t>0:01:02:19</t>
  </si>
  <si>
    <t>0:01:02:20</t>
  </si>
  <si>
    <t>0:01:02:21</t>
  </si>
  <si>
    <t>0:01:02:22</t>
  </si>
  <si>
    <t>0:01:02:23</t>
  </si>
  <si>
    <t>0:01:02:24</t>
  </si>
  <si>
    <t>0:01:03:00</t>
  </si>
  <si>
    <t>0:01:03:01</t>
  </si>
  <si>
    <t>0:01:03:02</t>
  </si>
  <si>
    <t>0:01:03:03</t>
  </si>
  <si>
    <t>0:01:03:04</t>
  </si>
  <si>
    <t>0:01:03:05</t>
  </si>
  <si>
    <t>0:01:03:06</t>
  </si>
  <si>
    <t>0:01:03:07</t>
  </si>
  <si>
    <t>0:01:03:08</t>
  </si>
  <si>
    <t>0:01:03:09</t>
  </si>
  <si>
    <t>0:01:03:10</t>
  </si>
  <si>
    <t>0:01:03:11</t>
  </si>
  <si>
    <t>0:01:03:12</t>
  </si>
  <si>
    <t>0:01:03:13</t>
  </si>
  <si>
    <t>0:01:03:14</t>
  </si>
  <si>
    <t>0:01:03:15</t>
  </si>
  <si>
    <t>0:01:03:16</t>
  </si>
  <si>
    <t>0:01:03:17</t>
  </si>
  <si>
    <t>0:01:03:18</t>
  </si>
  <si>
    <t>0:01:03:19</t>
  </si>
  <si>
    <t>0:01:03:20</t>
  </si>
  <si>
    <t>0:01:03:21</t>
  </si>
  <si>
    <t>0:01:03:22</t>
  </si>
  <si>
    <t>0:01:03:23</t>
  </si>
  <si>
    <t>0:01:03:24</t>
  </si>
  <si>
    <t>0:01:04:00</t>
  </si>
  <si>
    <t>0:01:04:01</t>
  </si>
  <si>
    <t>0:01:04:02</t>
  </si>
  <si>
    <t>0:01:04:03</t>
  </si>
  <si>
    <t>0:01:04:04</t>
  </si>
  <si>
    <t>0:01:04:05</t>
  </si>
  <si>
    <t>0:01:04:06</t>
  </si>
  <si>
    <t>0:01:04:07</t>
  </si>
  <si>
    <t>0:01:04:08</t>
  </si>
  <si>
    <t>0:01:04:09</t>
  </si>
  <si>
    <t>0:01:04:10</t>
  </si>
  <si>
    <t>0:01:04:11</t>
  </si>
  <si>
    <t>0:01:04:12</t>
  </si>
  <si>
    <t>0:01:04:13</t>
  </si>
  <si>
    <t>0:01:04:14</t>
  </si>
  <si>
    <t>0:01:04:15</t>
  </si>
  <si>
    <t>0:01:04:16</t>
  </si>
  <si>
    <t>0:01:04:17</t>
  </si>
  <si>
    <t>0:01:04:18</t>
  </si>
  <si>
    <t>0:01:04:19</t>
  </si>
  <si>
    <t>0:01:04:20</t>
  </si>
  <si>
    <t>0:01:04:21</t>
  </si>
  <si>
    <t>0:01:04:22</t>
  </si>
  <si>
    <t>0:01:04:23</t>
  </si>
  <si>
    <t>0:01:04:24</t>
  </si>
  <si>
    <t>0:01:05:00</t>
  </si>
  <si>
    <t>0:01:05:01</t>
  </si>
  <si>
    <t>0:01:05:02</t>
  </si>
  <si>
    <t>0:01:05:03</t>
  </si>
  <si>
    <t>0:01:05:04</t>
  </si>
  <si>
    <t>0:01:05:05</t>
  </si>
  <si>
    <t>0:01:05:06</t>
  </si>
  <si>
    <t>0:01:05:07</t>
  </si>
  <si>
    <t>0:01:05:08</t>
  </si>
  <si>
    <t>0:01:05:09</t>
  </si>
  <si>
    <t>0:01:05:10</t>
  </si>
  <si>
    <t>0:01:05:11</t>
  </si>
  <si>
    <t>0:01:05:12</t>
  </si>
  <si>
    <t>0:01:05:13</t>
  </si>
  <si>
    <t>0:01:05:14</t>
  </si>
  <si>
    <t>0:01:05:15</t>
  </si>
  <si>
    <t>0:01:05:16</t>
  </si>
  <si>
    <t>0:01:05:17</t>
  </si>
  <si>
    <t>0:01:05:18</t>
  </si>
  <si>
    <t>0:01:05:19</t>
  </si>
  <si>
    <t>0:01:05:20</t>
  </si>
  <si>
    <t>0:01:05:21</t>
  </si>
  <si>
    <t>0:01:05:22</t>
  </si>
  <si>
    <t>0:01:05:23</t>
  </si>
  <si>
    <t>0:01:05:24</t>
  </si>
  <si>
    <t>0:01:06:00</t>
  </si>
  <si>
    <t>0:01:06:01</t>
  </si>
  <si>
    <t>0:01:06:02</t>
  </si>
  <si>
    <t>0:01:06:03</t>
  </si>
  <si>
    <t>0:01:06:04</t>
  </si>
  <si>
    <t>0:01:06:05</t>
  </si>
  <si>
    <t>0:01:06:06</t>
  </si>
  <si>
    <t>0:01:06:07</t>
  </si>
  <si>
    <t>0:01:06:08</t>
  </si>
  <si>
    <t>0:01:06:09</t>
  </si>
  <si>
    <t>0:01:06:10</t>
  </si>
  <si>
    <t>0:01:06:11</t>
  </si>
  <si>
    <t>0:01:06:12</t>
  </si>
  <si>
    <t>0:01:06:13</t>
  </si>
  <si>
    <t>0:01:06:14</t>
  </si>
  <si>
    <t>0:01:06:15</t>
  </si>
  <si>
    <t>0:01:06:16</t>
  </si>
  <si>
    <t>0:01:06:17</t>
  </si>
  <si>
    <t>0:01:06:18</t>
  </si>
  <si>
    <t>0:01:06:19</t>
  </si>
  <si>
    <t>0:01:06:20</t>
  </si>
  <si>
    <t>0:01:06:21</t>
  </si>
  <si>
    <t>0:01:06:22</t>
  </si>
  <si>
    <t>0:01:06:23</t>
  </si>
  <si>
    <t>0:01:06:24</t>
  </si>
  <si>
    <t>0:01:07:00</t>
  </si>
  <si>
    <t>0:01:07:01</t>
  </si>
  <si>
    <t>0:01:07:02</t>
  </si>
  <si>
    <t>0:01:07:03</t>
  </si>
  <si>
    <t>0:01:07:04</t>
  </si>
  <si>
    <t>0:01:07:05</t>
  </si>
  <si>
    <t>0:01:07:06</t>
  </si>
  <si>
    <t>0:01:07:07</t>
  </si>
  <si>
    <t>0:01:07:08</t>
  </si>
  <si>
    <t>0:01:07:09</t>
  </si>
  <si>
    <t>0:01:07:10</t>
  </si>
  <si>
    <t>0:01:07:11</t>
  </si>
  <si>
    <t>0:01:07:12</t>
  </si>
  <si>
    <t>0:01:07:13</t>
  </si>
  <si>
    <t>0:01:07:14</t>
  </si>
  <si>
    <t>0:01:07:15</t>
  </si>
  <si>
    <t>0:01:07:16</t>
  </si>
  <si>
    <t>0:01:07:17</t>
  </si>
  <si>
    <t>0:01:07:18</t>
  </si>
  <si>
    <t>0:01:07:19</t>
  </si>
  <si>
    <t>0:01:07:20</t>
  </si>
  <si>
    <t>0:01:07:21</t>
  </si>
  <si>
    <t>0:01:07:22</t>
  </si>
  <si>
    <t>0:01:07:23</t>
  </si>
  <si>
    <t>0:01:07:24</t>
  </si>
  <si>
    <t>0:01:08:00</t>
  </si>
  <si>
    <t>0:01:08:01</t>
  </si>
  <si>
    <t>0:01:08:02</t>
  </si>
  <si>
    <t>0:01:08:03</t>
  </si>
  <si>
    <t>0:01:08:04</t>
  </si>
  <si>
    <t>0:01:08:05</t>
  </si>
  <si>
    <t>0:01:08:06</t>
  </si>
  <si>
    <t>0:01:08:07</t>
  </si>
  <si>
    <t>0:01:08:08</t>
  </si>
  <si>
    <t>0:01:08:09</t>
  </si>
  <si>
    <t>0:01:08:10</t>
  </si>
  <si>
    <t>0:01:08:11</t>
  </si>
  <si>
    <t>0:01:08:12</t>
  </si>
  <si>
    <t>0:01:08:13</t>
  </si>
  <si>
    <t>0:01:08:14</t>
  </si>
  <si>
    <t>0:01:08:15</t>
  </si>
  <si>
    <t>0:01:08:16</t>
  </si>
  <si>
    <t>0:01:08:17</t>
  </si>
  <si>
    <t>0:01:08:18</t>
  </si>
  <si>
    <t>0:01:08:19</t>
  </si>
  <si>
    <t>0:01:08:20</t>
  </si>
  <si>
    <t>0:01:08:21</t>
  </si>
  <si>
    <t>0:01:08:22</t>
  </si>
  <si>
    <t>0:01:08:23</t>
  </si>
  <si>
    <t>0:01:08:24</t>
  </si>
  <si>
    <t>0:01:09:00</t>
  </si>
  <si>
    <t>0:01:09:01</t>
  </si>
  <si>
    <t>0:01:09:02</t>
  </si>
  <si>
    <t>0:01:09:03</t>
  </si>
  <si>
    <t>0:01:09:04</t>
  </si>
  <si>
    <t>0:01:09:05</t>
  </si>
  <si>
    <t>0:01:09:06</t>
  </si>
  <si>
    <t>0:01:09:07</t>
  </si>
  <si>
    <t>0:01:09:08</t>
  </si>
  <si>
    <t>0:01:09:09</t>
  </si>
  <si>
    <t>0:01:09:10</t>
  </si>
  <si>
    <t>0:01:09:11</t>
  </si>
  <si>
    <t>0:01:09:12</t>
  </si>
  <si>
    <t>0:01:09:13</t>
  </si>
  <si>
    <t>0:01:09:14</t>
  </si>
  <si>
    <t>0:01:09:15</t>
  </si>
  <si>
    <t>0:01:09:16</t>
  </si>
  <si>
    <t>0:01:09:17</t>
  </si>
  <si>
    <t>0:01:09:18</t>
  </si>
  <si>
    <t>0:01:09:19</t>
  </si>
  <si>
    <t>0:01:09:20</t>
  </si>
  <si>
    <t>0:01:09:21</t>
  </si>
  <si>
    <t>0:01:09:22</t>
  </si>
  <si>
    <t>0:01:09:23</t>
  </si>
  <si>
    <t>0:01:09:24</t>
  </si>
  <si>
    <t>0:01:10:00</t>
  </si>
  <si>
    <t>0:01:10:01</t>
  </si>
  <si>
    <t>0:01:10:02</t>
  </si>
  <si>
    <t>0:01:10:03</t>
  </si>
  <si>
    <t>0:01:10:04</t>
  </si>
  <si>
    <t>0:01:10:05</t>
  </si>
  <si>
    <t>0:01:10:06</t>
  </si>
  <si>
    <t>0:01:10:07</t>
  </si>
  <si>
    <t>0:01:10:08</t>
  </si>
  <si>
    <t>0:01:10:09</t>
  </si>
  <si>
    <t>0:01:10:10</t>
  </si>
  <si>
    <t>0:01:10:11</t>
  </si>
  <si>
    <t>0:01:10:12</t>
  </si>
  <si>
    <t>0:01:10:13</t>
  </si>
  <si>
    <t>0:01:10:14</t>
  </si>
  <si>
    <t>0:01:10:15</t>
  </si>
  <si>
    <t>0:01:10:16</t>
  </si>
  <si>
    <t>0:01:10:17</t>
  </si>
  <si>
    <t>0:01:10:18</t>
  </si>
  <si>
    <t>0:01:10:19</t>
  </si>
  <si>
    <t>0:01:10:20</t>
  </si>
  <si>
    <t>0:01:10:21</t>
  </si>
  <si>
    <t>0:01:10:22</t>
  </si>
  <si>
    <t>0:01:10:23</t>
  </si>
  <si>
    <t>0:01:10:24</t>
  </si>
  <si>
    <t>0:01:11:00</t>
  </si>
  <si>
    <t>0:01:11:01</t>
  </si>
  <si>
    <t>0:01:11:02</t>
  </si>
  <si>
    <t>0:01:11:03</t>
  </si>
  <si>
    <t>0:01:11:04</t>
  </si>
  <si>
    <t>0:01:11:05</t>
  </si>
  <si>
    <t>0:01:11:06</t>
  </si>
  <si>
    <t>0:01:11:07</t>
  </si>
  <si>
    <t>0:01:11:08</t>
  </si>
  <si>
    <t>0:01:11:09</t>
  </si>
  <si>
    <t>0:01:11:10</t>
  </si>
  <si>
    <t>0:01:11:11</t>
  </si>
  <si>
    <t>0:01:11:12</t>
  </si>
  <si>
    <t>0:01:11:13</t>
  </si>
  <si>
    <t>0:01:11:14</t>
  </si>
  <si>
    <t>0:01:11:15</t>
  </si>
  <si>
    <t>0:01:11:16</t>
  </si>
  <si>
    <t>0:01:11:17</t>
  </si>
  <si>
    <t>0:01:11:18</t>
  </si>
  <si>
    <t>0:01:11:19</t>
  </si>
  <si>
    <t>0:01:11:20</t>
  </si>
  <si>
    <t>0:01:11:21</t>
  </si>
  <si>
    <t>0:01:11:22</t>
  </si>
  <si>
    <t>0:01:11:23</t>
  </si>
  <si>
    <t>0:01:11:24</t>
  </si>
  <si>
    <t>0:01:12:00</t>
  </si>
  <si>
    <t>0:01:12:01</t>
  </si>
  <si>
    <t>0:01:12:02</t>
  </si>
  <si>
    <t>0:01:12:03</t>
  </si>
  <si>
    <t>0:01:12:04</t>
  </si>
  <si>
    <t>0:01:12:05</t>
  </si>
  <si>
    <t>0:01:12:06</t>
  </si>
  <si>
    <t>0:01:12:07</t>
  </si>
  <si>
    <t>0:01:12:08</t>
  </si>
  <si>
    <t>0:01:12:09</t>
  </si>
  <si>
    <t>0:01:12:10</t>
  </si>
  <si>
    <t>0:01:12:11</t>
  </si>
  <si>
    <t>0:01:12:12</t>
  </si>
  <si>
    <t>0:01:12:13</t>
  </si>
  <si>
    <t>0:01:12:14</t>
  </si>
  <si>
    <t>0:01:12:15</t>
  </si>
  <si>
    <t>0:01:12:16</t>
  </si>
  <si>
    <t>0:01:12:17</t>
  </si>
  <si>
    <t>0:01:12:18</t>
  </si>
  <si>
    <t>0:01:12:19</t>
  </si>
  <si>
    <t>0:01:12:20</t>
  </si>
  <si>
    <t>0:01:12:21</t>
  </si>
  <si>
    <t>0:01:12:22</t>
  </si>
  <si>
    <t>0:01:12:23</t>
  </si>
  <si>
    <t>0:01:12:24</t>
  </si>
  <si>
    <t>0:01:13:00</t>
  </si>
  <si>
    <t>0:01:13:01</t>
  </si>
  <si>
    <t>0:01:13:02</t>
  </si>
  <si>
    <t>0:01:13:03</t>
  </si>
  <si>
    <t>0:01:13:04</t>
  </si>
  <si>
    <t>0:01:13:05</t>
  </si>
  <si>
    <t>0:01:13:06</t>
  </si>
  <si>
    <t>0:01:13:07</t>
  </si>
  <si>
    <t>0:01:13:08</t>
  </si>
  <si>
    <t>0:01:13:09</t>
  </si>
  <si>
    <t>0:01:13:10</t>
  </si>
  <si>
    <t>0:01:13:11</t>
  </si>
  <si>
    <t>0:01:13:12</t>
  </si>
  <si>
    <t>0:01:13:13</t>
  </si>
  <si>
    <t>0:01:13:14</t>
  </si>
  <si>
    <t>0:01:13:15</t>
  </si>
  <si>
    <t>0:01:13:16</t>
  </si>
  <si>
    <t>0:01:13:17</t>
  </si>
  <si>
    <t>0:01:13:18</t>
  </si>
  <si>
    <t>0:01:13:19</t>
  </si>
  <si>
    <t>0:01:13:20</t>
  </si>
  <si>
    <t>0:01:13:21</t>
  </si>
  <si>
    <t>0:01:13:22</t>
  </si>
  <si>
    <t>0:01:13:23</t>
  </si>
  <si>
    <t>0:01:13:24</t>
  </si>
  <si>
    <t>0:01:14:00</t>
  </si>
  <si>
    <t>0:01:14:01</t>
  </si>
  <si>
    <t>0:01:14:02</t>
  </si>
  <si>
    <t>0:01:14:03</t>
  </si>
  <si>
    <t>0:01:14:04</t>
  </si>
  <si>
    <t>0:01:14:05</t>
  </si>
  <si>
    <t>0:01:14:06</t>
  </si>
  <si>
    <t>0:01:14:07</t>
  </si>
  <si>
    <t>0:01:14:08</t>
  </si>
  <si>
    <t>0:01:14:09</t>
  </si>
  <si>
    <t>0:01:14:10</t>
  </si>
  <si>
    <t>0:01:14:11</t>
  </si>
  <si>
    <t>0:01:14:12</t>
  </si>
  <si>
    <t>0:01:14:13</t>
  </si>
  <si>
    <t>0:01:14:14</t>
  </si>
  <si>
    <t>0:01:14:15</t>
  </si>
  <si>
    <t>0:01:14:16</t>
  </si>
  <si>
    <t>0:01:14:17</t>
  </si>
  <si>
    <t>0:01:14:18</t>
  </si>
  <si>
    <t>0:01:14:19</t>
  </si>
  <si>
    <t>0:01:14:20</t>
  </si>
  <si>
    <t>0:01:14:21</t>
  </si>
  <si>
    <t>0:01:14:22</t>
  </si>
  <si>
    <t>0:01:14:23</t>
  </si>
  <si>
    <t>0:01:14:24</t>
  </si>
  <si>
    <t>0:01:15:00</t>
  </si>
  <si>
    <t>0:01:15:01</t>
  </si>
  <si>
    <t>0:01:15:02</t>
  </si>
  <si>
    <t>0:01:15:03</t>
  </si>
  <si>
    <t>0:01:15:04</t>
  </si>
  <si>
    <t>0:01:15:05</t>
  </si>
  <si>
    <t>0:01:15:06</t>
  </si>
  <si>
    <t>0:01:15:07</t>
  </si>
  <si>
    <t>0:01:15:08</t>
  </si>
  <si>
    <t>0:01:15:09</t>
  </si>
  <si>
    <t>0:01:15:10</t>
  </si>
  <si>
    <t>0:01:15:11</t>
  </si>
  <si>
    <t>0:01:15:12</t>
  </si>
  <si>
    <t>0:01:15:13</t>
  </si>
  <si>
    <t>0:01:15:14</t>
  </si>
  <si>
    <t>0:01:15:15</t>
  </si>
  <si>
    <t>0:01:15:16</t>
  </si>
  <si>
    <t>0:01:15:17</t>
  </si>
  <si>
    <t>0:01:15:18</t>
  </si>
  <si>
    <t>0:01:15:19</t>
  </si>
  <si>
    <t>0:01:15:20</t>
  </si>
  <si>
    <t>0:01:15:21</t>
  </si>
  <si>
    <t>0:01:15:22</t>
  </si>
  <si>
    <t>0:01:15:23</t>
  </si>
  <si>
    <t>0:01:15:24</t>
  </si>
  <si>
    <t>0:01:16:00</t>
  </si>
  <si>
    <t>0:01:16:01</t>
  </si>
  <si>
    <t>0:01:16:02</t>
  </si>
  <si>
    <t>0:01:16:03</t>
  </si>
  <si>
    <t>0:01:16:04</t>
  </si>
  <si>
    <t>0:01:16:05</t>
  </si>
  <si>
    <t>0:01:16:06</t>
  </si>
  <si>
    <t>0:01:16:07</t>
  </si>
  <si>
    <t>0:01:16:08</t>
  </si>
  <si>
    <t>0:01:16:09</t>
  </si>
  <si>
    <t>0:01:16:10</t>
  </si>
  <si>
    <t>0:01:16:11</t>
  </si>
  <si>
    <t>0:01:16:12</t>
  </si>
  <si>
    <t>0:01:16:13</t>
  </si>
  <si>
    <t>0:01:16:14</t>
  </si>
  <si>
    <t>0:01:16:15</t>
  </si>
  <si>
    <t>0:01:16:16</t>
  </si>
  <si>
    <t>0:01:16:17</t>
  </si>
  <si>
    <t>0:01:16:18</t>
  </si>
  <si>
    <t>0:01:16:19</t>
  </si>
  <si>
    <t>0:01:16:20</t>
  </si>
  <si>
    <t>0:01:16:21</t>
  </si>
  <si>
    <t>0:01:16:22</t>
  </si>
  <si>
    <t>0:01:16:23</t>
  </si>
  <si>
    <t>0:01:16:24</t>
  </si>
  <si>
    <t>0:01:17:00</t>
  </si>
  <si>
    <t>0:01:17:01</t>
  </si>
  <si>
    <t>0:01:17:02</t>
  </si>
  <si>
    <t>0:01:17:03</t>
  </si>
  <si>
    <t>0:01:17:04</t>
  </si>
  <si>
    <t>0:01:17:05</t>
  </si>
  <si>
    <t>0:01:17:06</t>
  </si>
  <si>
    <t>0:01:17:07</t>
  </si>
  <si>
    <t>0:01:17:08</t>
  </si>
  <si>
    <t>0:01:17:09</t>
  </si>
  <si>
    <t>0:01:17:10</t>
  </si>
  <si>
    <t>0:01:17:11</t>
  </si>
  <si>
    <t>0:01:17:12</t>
  </si>
  <si>
    <t>0:01:17:13</t>
  </si>
  <si>
    <t>0:01:17:14</t>
  </si>
  <si>
    <t>0:01:17:15</t>
  </si>
  <si>
    <t>0:01:17:16</t>
  </si>
  <si>
    <t>0:01:17:17</t>
  </si>
  <si>
    <t>0:01:17:18</t>
  </si>
  <si>
    <t>0:01:17:19</t>
  </si>
  <si>
    <t>0:01:17:20</t>
  </si>
  <si>
    <t>0:01:17:21</t>
  </si>
  <si>
    <t>0:01:17:22</t>
  </si>
  <si>
    <t>0:01:17:23</t>
  </si>
  <si>
    <t>0:01:17:24</t>
  </si>
  <si>
    <t>0:01:18:00</t>
  </si>
  <si>
    <t>0:01:18:01</t>
  </si>
  <si>
    <t>0:01:18:02</t>
  </si>
  <si>
    <t>0:01:18:03</t>
  </si>
  <si>
    <t>0:01:18:04</t>
  </si>
  <si>
    <t>0:01:18:05</t>
  </si>
  <si>
    <t>0:01:18:06</t>
  </si>
  <si>
    <t>0:01:18:07</t>
  </si>
  <si>
    <t>0:01:18:08</t>
  </si>
  <si>
    <t>0:01:18:09</t>
  </si>
  <si>
    <t>0:01:18:10</t>
  </si>
  <si>
    <t>0:01:18:11</t>
  </si>
  <si>
    <t>0:01:18:12</t>
  </si>
  <si>
    <t>0:01:18:13</t>
  </si>
  <si>
    <t>0:01:18:14</t>
  </si>
  <si>
    <t>0:01:18:15</t>
  </si>
  <si>
    <t>0:01:18:16</t>
  </si>
  <si>
    <t>0:01:18:17</t>
  </si>
  <si>
    <t>0:01:18:18</t>
  </si>
  <si>
    <t>0:01:18:19</t>
  </si>
  <si>
    <t>0:01:18:20</t>
  </si>
  <si>
    <t>0:01:18:21</t>
  </si>
  <si>
    <t>0:01:18:22</t>
  </si>
  <si>
    <t>0:01:18:23</t>
  </si>
  <si>
    <t>0:01:18:24</t>
  </si>
  <si>
    <t>0:01:19:00</t>
  </si>
  <si>
    <t>0:01:19:01</t>
  </si>
  <si>
    <t>0:01:19:02</t>
  </si>
  <si>
    <t>0:01:19:03</t>
  </si>
  <si>
    <t>0:01:19:04</t>
  </si>
  <si>
    <t>0:01:19:05</t>
  </si>
  <si>
    <t>0:01:19:06</t>
  </si>
  <si>
    <t>0:01:19:07</t>
  </si>
  <si>
    <t>0:01:19:08</t>
  </si>
  <si>
    <t>0:01:19:09</t>
  </si>
  <si>
    <t>0:01:19:10</t>
  </si>
  <si>
    <t>0:01:19:11</t>
  </si>
  <si>
    <t>0:01:19:12</t>
  </si>
  <si>
    <t>0:01:19:13</t>
  </si>
  <si>
    <t>0:01:19:14</t>
  </si>
  <si>
    <t>0:01:19:15</t>
  </si>
  <si>
    <t>0:01:19:16</t>
  </si>
  <si>
    <t>0:01:19:17</t>
  </si>
  <si>
    <t>0:01:19:18</t>
  </si>
  <si>
    <t>0:01:19:19</t>
  </si>
  <si>
    <t>0:01:19:20</t>
  </si>
  <si>
    <t>0:01:19:21</t>
  </si>
  <si>
    <t>0:01:19:22</t>
  </si>
  <si>
    <t>0:01:19:23</t>
  </si>
  <si>
    <t>0:01:19:24</t>
  </si>
  <si>
    <t>0:01:20:00</t>
  </si>
  <si>
    <t>0:01:20:01</t>
  </si>
  <si>
    <t>0:01:20:02</t>
  </si>
  <si>
    <t>0:01:20:03</t>
  </si>
  <si>
    <t>0:01:20:04</t>
  </si>
  <si>
    <t>0:01:20:05</t>
  </si>
  <si>
    <t>0:01:20:06</t>
  </si>
  <si>
    <t>0:01:20:07</t>
  </si>
  <si>
    <t>0:01:20:08</t>
  </si>
  <si>
    <t>0:01:20:09</t>
  </si>
  <si>
    <t>0:01:20:10</t>
  </si>
  <si>
    <t>0:01:20:11</t>
  </si>
  <si>
    <t>0:01:20:12</t>
  </si>
  <si>
    <t>0:01:20:13</t>
  </si>
  <si>
    <t>0:01:20:14</t>
  </si>
  <si>
    <t>0:01:20:15</t>
  </si>
  <si>
    <t>0:01:20:16</t>
  </si>
  <si>
    <t>0:01:20:17</t>
  </si>
  <si>
    <t>0:01:20:18</t>
  </si>
  <si>
    <t>0:01:20:19</t>
  </si>
  <si>
    <t>0:01:20:20</t>
  </si>
  <si>
    <t>0:01:20:21</t>
  </si>
  <si>
    <t>0:01:20:22</t>
  </si>
  <si>
    <t>0:01:20:23</t>
  </si>
  <si>
    <t>0:01:20:24</t>
  </si>
  <si>
    <t>0:01:21:00</t>
  </si>
  <si>
    <t>0:01:21:01</t>
  </si>
  <si>
    <t>0:01:21:02</t>
  </si>
  <si>
    <t>0:01:21:03</t>
  </si>
  <si>
    <t>0:01:21:04</t>
  </si>
  <si>
    <t>0:01:21:05</t>
  </si>
  <si>
    <t>0:01:21:06</t>
  </si>
  <si>
    <t>0:01:21:07</t>
  </si>
  <si>
    <t>0:01:21:08</t>
  </si>
  <si>
    <t>0:01:21:09</t>
  </si>
  <si>
    <t>0:01:21:10</t>
  </si>
  <si>
    <t>0:01:21:11</t>
  </si>
  <si>
    <t>0:01:21:12</t>
  </si>
  <si>
    <t>0:01:21:13</t>
  </si>
  <si>
    <t>0:01:21:14</t>
  </si>
  <si>
    <t>0:01:21:15</t>
  </si>
  <si>
    <t>0:01:21:16</t>
  </si>
  <si>
    <t>0:01:21:17</t>
  </si>
  <si>
    <t>0:01:21:18</t>
  </si>
  <si>
    <t>0:01:21:19</t>
  </si>
  <si>
    <t>0:01:21:20</t>
  </si>
  <si>
    <t>0:01:21:21</t>
  </si>
  <si>
    <t>0:01:21:22</t>
  </si>
  <si>
    <t>0:01:21:23</t>
  </si>
  <si>
    <t>0:01:21:24</t>
  </si>
  <si>
    <t>0:01:22:00</t>
  </si>
  <si>
    <t>0:01:22:01</t>
  </si>
  <si>
    <t>0:01:22:02</t>
  </si>
  <si>
    <t>0:01:22:03</t>
  </si>
  <si>
    <t>0:01:22:04</t>
  </si>
  <si>
    <t>0:01:22:05</t>
  </si>
  <si>
    <t>0:01:22:06</t>
  </si>
  <si>
    <t>0:01:22:07</t>
  </si>
  <si>
    <t>0:01:22:08</t>
  </si>
  <si>
    <t>0:01:22:09</t>
  </si>
  <si>
    <t>0:01:22:10</t>
  </si>
  <si>
    <t>0:01:22:11</t>
  </si>
  <si>
    <t>0:01:22:12</t>
  </si>
  <si>
    <t>0:01:22:13</t>
  </si>
  <si>
    <t>0:01:22:14</t>
  </si>
  <si>
    <t>0:01:22:15</t>
  </si>
  <si>
    <t>0:01:22:16</t>
  </si>
  <si>
    <t>0:01:22:17</t>
  </si>
  <si>
    <t>0:01:22:18</t>
  </si>
  <si>
    <t>0:01:22:19</t>
  </si>
  <si>
    <t>0:01:22:20</t>
  </si>
  <si>
    <t>0:01:22:21</t>
  </si>
  <si>
    <t>0:01:22:22</t>
  </si>
  <si>
    <t>0:01:22:23</t>
  </si>
  <si>
    <t>0:01:22:24</t>
  </si>
  <si>
    <t>0:01:23:00</t>
  </si>
  <si>
    <t>0:01:23:01</t>
  </si>
  <si>
    <t>0:01:23:02</t>
  </si>
  <si>
    <t>0:01:23:03</t>
  </si>
  <si>
    <t>0:01:23:04</t>
  </si>
  <si>
    <t>0:01:23:05</t>
  </si>
  <si>
    <t>0:01:23:06</t>
  </si>
  <si>
    <t>0:01:23:07</t>
  </si>
  <si>
    <t>0:01:23:08</t>
  </si>
  <si>
    <t>0:01:23:09</t>
  </si>
  <si>
    <t>0:01:23:10</t>
  </si>
  <si>
    <t>0:01:23:11</t>
  </si>
  <si>
    <t>0:01:23:12</t>
  </si>
  <si>
    <t>0:01:23:13</t>
  </si>
  <si>
    <t>0:01:23:14</t>
  </si>
  <si>
    <t>0:01:23:15</t>
  </si>
  <si>
    <t>0:01:23:16</t>
  </si>
  <si>
    <t>0:01:23:17</t>
  </si>
  <si>
    <t>0:01:23:18</t>
  </si>
  <si>
    <t>0:01:23:19</t>
  </si>
  <si>
    <t>0:01:23:20</t>
  </si>
  <si>
    <t>0:01:23:21</t>
  </si>
  <si>
    <t>0:01:23:22</t>
  </si>
  <si>
    <t>0:01:23:23</t>
  </si>
  <si>
    <t>0:01:23:24</t>
  </si>
  <si>
    <t>0:01:24:00</t>
  </si>
  <si>
    <t>0:01:24:01</t>
  </si>
  <si>
    <t>0:01:24:02</t>
  </si>
  <si>
    <t>0:01:24:03</t>
  </si>
  <si>
    <t>0:01:24:04</t>
  </si>
  <si>
    <t>0:01:24:05</t>
  </si>
  <si>
    <t>0:01:24:06</t>
  </si>
  <si>
    <t>0:01:24:07</t>
  </si>
  <si>
    <t>0:01:24:08</t>
  </si>
  <si>
    <t>0:01:24:09</t>
  </si>
  <si>
    <t>0:01:24:10</t>
  </si>
  <si>
    <t>0:01:24:11</t>
  </si>
  <si>
    <t>0:01:24:12</t>
  </si>
  <si>
    <t>0:01:24:13</t>
  </si>
  <si>
    <t>0:01:24:14</t>
  </si>
  <si>
    <t>0:01:24:15</t>
  </si>
  <si>
    <t>0:01:24:16</t>
  </si>
  <si>
    <t>0:01:24:17</t>
  </si>
  <si>
    <t>0:01:24:18</t>
  </si>
  <si>
    <t>0:01:24:19</t>
  </si>
  <si>
    <t>0:01:24:20</t>
  </si>
  <si>
    <t>0:01:24:21</t>
  </si>
  <si>
    <t>0:01:24:22</t>
  </si>
  <si>
    <t>0:01:24:23</t>
  </si>
  <si>
    <t>0:01:24:24</t>
  </si>
  <si>
    <t>0:01:25:00</t>
  </si>
  <si>
    <t>0:01:25:01</t>
  </si>
  <si>
    <t>0:01:25:02</t>
  </si>
  <si>
    <t>0:01:25:03</t>
  </si>
  <si>
    <t>0:01:25:04</t>
  </si>
  <si>
    <t>0:01:25:05</t>
  </si>
  <si>
    <t>0:01:25:06</t>
  </si>
  <si>
    <t>0:01:25:07</t>
  </si>
  <si>
    <t>0:01:25:08</t>
  </si>
  <si>
    <t>0:01:25:09</t>
  </si>
  <si>
    <t>0:01:25:10</t>
  </si>
  <si>
    <t>0:01:25:11</t>
  </si>
  <si>
    <t>0:01:25:12</t>
  </si>
  <si>
    <t>0:01:25:13</t>
  </si>
  <si>
    <t>0:01:25:14</t>
  </si>
  <si>
    <t>0:01:25:15</t>
  </si>
  <si>
    <t>0:01:25:16</t>
  </si>
  <si>
    <t>0:01:25:17</t>
  </si>
  <si>
    <t>0:01:25:18</t>
  </si>
  <si>
    <t>0:01:25:19</t>
  </si>
  <si>
    <t>0:01:25:20</t>
  </si>
  <si>
    <t>0:01:25:21</t>
  </si>
  <si>
    <t>0:01:25:22</t>
  </si>
  <si>
    <t>0:01:25:23</t>
  </si>
  <si>
    <t>0:01:25:24</t>
  </si>
  <si>
    <t>0:01:26:00</t>
  </si>
  <si>
    <t>0:01:26:01</t>
  </si>
  <si>
    <t>0:01:26:02</t>
  </si>
  <si>
    <t>0:01:26:03</t>
  </si>
  <si>
    <t>0:01:26:04</t>
  </si>
  <si>
    <t>0:01:26:05</t>
  </si>
  <si>
    <t>0:01:26:06</t>
  </si>
  <si>
    <t>0:01:26:07</t>
  </si>
  <si>
    <t>0:01:26:08</t>
  </si>
  <si>
    <t>0:01:26:09</t>
  </si>
  <si>
    <t>0:01:26:10</t>
  </si>
  <si>
    <t>0:01:26:11</t>
  </si>
  <si>
    <t>0:01:26:12</t>
  </si>
  <si>
    <t>0:01:26:13</t>
  </si>
  <si>
    <t>0:01:26:14</t>
  </si>
  <si>
    <t>0:01:26:15</t>
  </si>
  <si>
    <t>0:01:26:16</t>
  </si>
  <si>
    <t>0:01:26:17</t>
  </si>
  <si>
    <t>0:01:26:18</t>
  </si>
  <si>
    <t>0:01:26:19</t>
  </si>
  <si>
    <t>0:01:26:20</t>
  </si>
  <si>
    <t>0:01:26:21</t>
  </si>
  <si>
    <t>0:01:26:22</t>
  </si>
  <si>
    <t>0:01:26:23</t>
  </si>
  <si>
    <t>0:01:26:24</t>
  </si>
  <si>
    <t>0:01:27:00</t>
  </si>
  <si>
    <t>0:01:27:01</t>
  </si>
  <si>
    <t>0:01:27:02</t>
  </si>
  <si>
    <t>0:01:27:03</t>
  </si>
  <si>
    <t>0:01:27:04</t>
  </si>
  <si>
    <t>0:01:27:05</t>
  </si>
  <si>
    <t>0:01:27:06</t>
  </si>
  <si>
    <t>0:01:27:07</t>
  </si>
  <si>
    <t>0:01:27:08</t>
  </si>
  <si>
    <t>0:01:27:09</t>
  </si>
  <si>
    <t>0:01:27:10</t>
  </si>
  <si>
    <t>0:01:27:11</t>
  </si>
  <si>
    <t>0:01:27:12</t>
  </si>
  <si>
    <t>0:01:27:13</t>
  </si>
  <si>
    <t>0:01:27:14</t>
  </si>
  <si>
    <t>0:01:27:15</t>
  </si>
  <si>
    <t>0:01:27:16</t>
  </si>
  <si>
    <t>0:01:27:17</t>
  </si>
  <si>
    <t>0:01:27:18</t>
  </si>
  <si>
    <t>0:01:27:19</t>
  </si>
  <si>
    <t>0:01:27:20</t>
  </si>
  <si>
    <t>0:01:27:21</t>
  </si>
  <si>
    <t>0:01:27:22</t>
  </si>
  <si>
    <t>0:01:27:23</t>
  </si>
  <si>
    <t>0:01:27:24</t>
  </si>
  <si>
    <t>0:01:28:00</t>
  </si>
  <si>
    <t>0:01:28:01</t>
  </si>
  <si>
    <t>0:01:28:02</t>
  </si>
  <si>
    <t>0:01:28:03</t>
  </si>
  <si>
    <t>0:01:28:04</t>
  </si>
  <si>
    <t>0:01:28:05</t>
  </si>
  <si>
    <t>0:01:28:06</t>
  </si>
  <si>
    <t>0:01:28:07</t>
  </si>
  <si>
    <t>0:01:28:08</t>
  </si>
  <si>
    <t>0:01:28:09</t>
  </si>
  <si>
    <t>0:01:28:10</t>
  </si>
  <si>
    <t>0:01:28:11</t>
  </si>
  <si>
    <t>0:01:28:12</t>
  </si>
  <si>
    <t>0:01:28:13</t>
  </si>
  <si>
    <t>0:01:28:14</t>
  </si>
  <si>
    <t>0:01:28:15</t>
  </si>
  <si>
    <t>0:01:28:16</t>
  </si>
  <si>
    <t>0:01:28:17</t>
  </si>
  <si>
    <t>0:01:28:18</t>
  </si>
  <si>
    <t>0:01:28:19</t>
  </si>
  <si>
    <t>0:01:28:20</t>
  </si>
  <si>
    <t>0:01:28:21</t>
  </si>
  <si>
    <t>0:01:28:22</t>
  </si>
  <si>
    <t>0:01:28:23</t>
  </si>
  <si>
    <t>0:01:28:24</t>
  </si>
  <si>
    <t>0:01:29:00</t>
  </si>
  <si>
    <t>0:01:29:01</t>
  </si>
  <si>
    <t>0:01:29:02</t>
  </si>
  <si>
    <t>0:01:29:03</t>
  </si>
  <si>
    <t>0:01:29:04</t>
  </si>
  <si>
    <t>0:01:29:05</t>
  </si>
  <si>
    <t>0:01:29:06</t>
  </si>
  <si>
    <t>0:01:29:07</t>
  </si>
  <si>
    <t>0:01:29:08</t>
  </si>
  <si>
    <t>0:01:29:09</t>
  </si>
  <si>
    <t>0:01:29:10</t>
  </si>
  <si>
    <t>0:01:29:11</t>
  </si>
  <si>
    <t>0:01:29:12</t>
  </si>
  <si>
    <t>0:01:29:13</t>
  </si>
  <si>
    <t>0:01:29:14</t>
  </si>
  <si>
    <t>0:01:29:15</t>
  </si>
  <si>
    <t>0:01:29:16</t>
  </si>
  <si>
    <t>0:01:29:17</t>
  </si>
  <si>
    <t>0:01:29:18</t>
  </si>
  <si>
    <t>0:01:29:19</t>
  </si>
  <si>
    <t>0:01:29:20</t>
  </si>
  <si>
    <t>0:01:29:21</t>
  </si>
  <si>
    <t>0:01:29:22</t>
  </si>
  <si>
    <t>0:01:29:23</t>
  </si>
  <si>
    <t>0:01:29:24</t>
  </si>
  <si>
    <t>0:01:30:00</t>
  </si>
  <si>
    <t>0:01:30:01</t>
  </si>
  <si>
    <t>0:01:30:02</t>
  </si>
  <si>
    <t>0:01:30:03</t>
  </si>
  <si>
    <t>0:01:30:04</t>
  </si>
  <si>
    <t>0:01:30:05</t>
  </si>
  <si>
    <t>0:01:30:06</t>
  </si>
  <si>
    <t>0:01:30:07</t>
  </si>
  <si>
    <t>0:01:30:08</t>
  </si>
  <si>
    <t>0:01:30:09</t>
  </si>
  <si>
    <t>0:01:30:10</t>
  </si>
  <si>
    <t>0:01:30:11</t>
  </si>
  <si>
    <t>0:01:30:12</t>
  </si>
  <si>
    <t>0:01:30:13</t>
  </si>
  <si>
    <t>0:01:30:14</t>
  </si>
  <si>
    <t>0:01:30:15</t>
  </si>
  <si>
    <t>0:01:30:16</t>
  </si>
  <si>
    <t>0:01:30:17</t>
  </si>
  <si>
    <t>0:01:30:18</t>
  </si>
  <si>
    <t>0:01:30:19</t>
  </si>
  <si>
    <t>0:01:30:20</t>
  </si>
  <si>
    <t>0:01:30:21</t>
  </si>
  <si>
    <t>0:01:30:22</t>
  </si>
  <si>
    <t>0:01:30:23</t>
  </si>
  <si>
    <t>0:01:30:24</t>
  </si>
  <si>
    <t>0:01:31:00</t>
  </si>
  <si>
    <t>0:01:31:01</t>
  </si>
  <si>
    <t>0:01:31:02</t>
  </si>
  <si>
    <t>0:01:31:03</t>
  </si>
  <si>
    <t>0:01:31:04</t>
  </si>
  <si>
    <t>0:01:31:05</t>
  </si>
  <si>
    <t>0:01:31:06</t>
  </si>
  <si>
    <t>0:01:31:07</t>
  </si>
  <si>
    <t>0:01:31:08</t>
  </si>
  <si>
    <t>0:01:31:09</t>
  </si>
  <si>
    <t>0:01:31:10</t>
  </si>
  <si>
    <t>0:01:31:11</t>
  </si>
  <si>
    <t>0:01:31:12</t>
  </si>
  <si>
    <t>0:01:31:13</t>
  </si>
  <si>
    <t>0:01:31:14</t>
  </si>
  <si>
    <t>0:01:31:15</t>
  </si>
  <si>
    <t>0:01:31:16</t>
  </si>
  <si>
    <t>0:01:31:17</t>
  </si>
  <si>
    <t>0:01:31:18</t>
  </si>
  <si>
    <t>0:01:31:19</t>
  </si>
  <si>
    <t>0:01:31:20</t>
  </si>
  <si>
    <t>0:01:31:21</t>
  </si>
  <si>
    <t>0:01:31:22</t>
  </si>
  <si>
    <t>0:01:31:23</t>
  </si>
  <si>
    <t>0:01:31:24</t>
  </si>
  <si>
    <t>0:01:32:00</t>
  </si>
  <si>
    <t>0:01:32:01</t>
  </si>
  <si>
    <t>0:01:32:02</t>
  </si>
  <si>
    <t>0:01:32:03</t>
  </si>
  <si>
    <t>0:01:32:04</t>
  </si>
  <si>
    <t>0:01:32:05</t>
  </si>
  <si>
    <t>0:01:32:06</t>
  </si>
  <si>
    <t>0:01:32:07</t>
  </si>
  <si>
    <t>0:01:32:08</t>
  </si>
  <si>
    <t>0:01:32:09</t>
  </si>
  <si>
    <t>0:01:32:10</t>
  </si>
  <si>
    <t>0:01:32:11</t>
  </si>
  <si>
    <t>0:01:32:12</t>
  </si>
  <si>
    <t>0:01:32:13</t>
  </si>
  <si>
    <t>0:01:32:14</t>
  </si>
  <si>
    <t>0:01:32:15</t>
  </si>
  <si>
    <t>0:01:32:16</t>
  </si>
  <si>
    <t>0:01:32:17</t>
  </si>
  <si>
    <t>0:01:32:18</t>
  </si>
  <si>
    <t>0:01:32:19</t>
  </si>
  <si>
    <t>0:01:32:20</t>
  </si>
  <si>
    <t>0:01:32:21</t>
  </si>
  <si>
    <t>0:01:32:22</t>
  </si>
  <si>
    <t>0:01:32:23</t>
  </si>
  <si>
    <t>0:01:32:24</t>
  </si>
  <si>
    <t>0:01:33:00</t>
  </si>
  <si>
    <t>0:01:33:01</t>
  </si>
  <si>
    <t>0:01:33:02</t>
  </si>
  <si>
    <t>0:01:33:03</t>
  </si>
  <si>
    <t>0:01:33:04</t>
  </si>
  <si>
    <t>0:01:33:05</t>
  </si>
  <si>
    <t>0:01:33:06</t>
  </si>
  <si>
    <t>0:01:33:07</t>
  </si>
  <si>
    <t>0:01:33:08</t>
  </si>
  <si>
    <t>0:01:33:09</t>
  </si>
  <si>
    <t>0:01:33:10</t>
  </si>
  <si>
    <t>0:01:33:11</t>
  </si>
  <si>
    <t>0:01:33:12</t>
  </si>
  <si>
    <t>0:01:33:13</t>
  </si>
  <si>
    <t>0:01:33:14</t>
  </si>
  <si>
    <t>0:01:33:15</t>
  </si>
  <si>
    <t>0:01:33:16</t>
  </si>
  <si>
    <t>0:01:33:17</t>
  </si>
  <si>
    <t>0:01:33:18</t>
  </si>
  <si>
    <t>0:01:33:19</t>
  </si>
  <si>
    <t>0:01:33:20</t>
  </si>
  <si>
    <t>0:01:33:21</t>
  </si>
  <si>
    <t>0:01:33:22</t>
  </si>
  <si>
    <t>0:01:33:23</t>
  </si>
  <si>
    <t>0:01:33:24</t>
  </si>
  <si>
    <t>0:01:34:00</t>
  </si>
  <si>
    <t>0:01:34:01</t>
  </si>
  <si>
    <t>0:01:34:02</t>
  </si>
  <si>
    <t>0:01:34:03</t>
  </si>
  <si>
    <t>0:01:34:04</t>
  </si>
  <si>
    <t>0:01:34:05</t>
  </si>
  <si>
    <t>0:01:34:06</t>
  </si>
  <si>
    <t>0:01:34:07</t>
  </si>
  <si>
    <t>0:01:34:08</t>
  </si>
  <si>
    <t>0:01:34:09</t>
  </si>
  <si>
    <t>0:01:34:10</t>
  </si>
  <si>
    <t>0:01:34:11</t>
  </si>
  <si>
    <t>0:01:34:12</t>
  </si>
  <si>
    <t>0:01:34:13</t>
  </si>
  <si>
    <t>0:01:34:14</t>
  </si>
  <si>
    <t>0:01:34:15</t>
  </si>
  <si>
    <t>0:01:34:16</t>
  </si>
  <si>
    <t>0:01:34:17</t>
  </si>
  <si>
    <t>0:01:34:18</t>
  </si>
  <si>
    <t>0:01:34:19</t>
  </si>
  <si>
    <t>0:01:34:20</t>
  </si>
  <si>
    <t>0:01:34:21</t>
  </si>
  <si>
    <t>0:01:34:22</t>
  </si>
  <si>
    <t>0:01:34:23</t>
  </si>
  <si>
    <t>0:01:34:24</t>
  </si>
  <si>
    <t>0:01:35:00</t>
  </si>
  <si>
    <t>0:01:35:01</t>
  </si>
  <si>
    <t>0:01:35:02</t>
  </si>
  <si>
    <t>0:01:35:03</t>
  </si>
  <si>
    <t>0:01:35:04</t>
  </si>
  <si>
    <t>0:01:35:05</t>
  </si>
  <si>
    <t>0:01:35:06</t>
  </si>
  <si>
    <t>0:01:35:07</t>
  </si>
  <si>
    <t>0:01:35:08</t>
  </si>
  <si>
    <t>0:01:35:09</t>
  </si>
  <si>
    <t>0:01:35:10</t>
  </si>
  <si>
    <t>0:01:35:11</t>
  </si>
  <si>
    <t>0:01:35:12</t>
  </si>
  <si>
    <t>0:01:35:13</t>
  </si>
  <si>
    <t>0:01:35:14</t>
  </si>
  <si>
    <t>0:01:35:15</t>
  </si>
  <si>
    <t>0:01:35:16</t>
  </si>
  <si>
    <t>0:01:35:17</t>
  </si>
  <si>
    <t>0:01:35:18</t>
  </si>
  <si>
    <t>0:01:35:19</t>
  </si>
  <si>
    <t>0:01:35:20</t>
  </si>
  <si>
    <t>0:01:35:21</t>
  </si>
  <si>
    <t>0:01:35:22</t>
  </si>
  <si>
    <t>0:01:35:23</t>
  </si>
  <si>
    <t>0:01:35:24</t>
  </si>
  <si>
    <t>0:01:36:00</t>
  </si>
  <si>
    <t>0:01:36:01</t>
  </si>
  <si>
    <t>0:01:36:02</t>
  </si>
  <si>
    <t>0:01:36:03</t>
  </si>
  <si>
    <t>0:01:36:04</t>
  </si>
  <si>
    <t>0:01:36:05</t>
  </si>
  <si>
    <t>0:01:36:06</t>
  </si>
  <si>
    <t>0:01:36:07</t>
  </si>
  <si>
    <t>0:01:36:08</t>
  </si>
  <si>
    <t>0:01:36:09</t>
  </si>
  <si>
    <t>0:01:36:10</t>
  </si>
  <si>
    <t>0:01:36:11</t>
  </si>
  <si>
    <t>0:01:36:12</t>
  </si>
  <si>
    <t>0:01:36:13</t>
  </si>
  <si>
    <t>0:01:36:14</t>
  </si>
  <si>
    <t>0:01:36:15</t>
  </si>
  <si>
    <t>0:01:36:16</t>
  </si>
  <si>
    <t>0:01:36:17</t>
  </si>
  <si>
    <t>0:01:36:18</t>
  </si>
  <si>
    <t>0:01:36:19</t>
  </si>
  <si>
    <t>0:01:36:20</t>
  </si>
  <si>
    <t>0:01:36:21</t>
  </si>
  <si>
    <t>0:01:36:22</t>
  </si>
  <si>
    <t>0:01:36:23</t>
  </si>
  <si>
    <t>0:01:36:24</t>
  </si>
  <si>
    <t>0:01:37:00</t>
  </si>
  <si>
    <t>0:01:37:01</t>
  </si>
  <si>
    <t>0:01:37:02</t>
  </si>
  <si>
    <t>0:01:37:03</t>
  </si>
  <si>
    <t>0:01:37:04</t>
  </si>
  <si>
    <t>0:01:37:05</t>
  </si>
  <si>
    <t>0:01:37:06</t>
  </si>
  <si>
    <t>0:01:37:07</t>
  </si>
  <si>
    <t>0:01:37:08</t>
  </si>
  <si>
    <t>0:01:37:09</t>
  </si>
  <si>
    <t>0:01:37:10</t>
  </si>
  <si>
    <t>0:01:37:11</t>
  </si>
  <si>
    <t>0:01:37:12</t>
  </si>
  <si>
    <t>0:01:37:13</t>
  </si>
  <si>
    <t>0:01:37:14</t>
  </si>
  <si>
    <t>0:01:37:15</t>
  </si>
  <si>
    <t>0:01:37:16</t>
  </si>
  <si>
    <t>0:01:37:17</t>
  </si>
  <si>
    <t>0:01:37:18</t>
  </si>
  <si>
    <t>0:01:37:19</t>
  </si>
  <si>
    <t>0:01:37:20</t>
  </si>
  <si>
    <t>0:01:37:21</t>
  </si>
  <si>
    <t>0:01:37:22</t>
  </si>
  <si>
    <t>0:01:37:23</t>
  </si>
  <si>
    <t>0:01:37:24</t>
  </si>
  <si>
    <t>0:01:38:00</t>
  </si>
  <si>
    <t>0:01:38:01</t>
  </si>
  <si>
    <t>0:01:38:02</t>
  </si>
  <si>
    <t>0:01:38:03</t>
  </si>
  <si>
    <t>0:01:38:04</t>
  </si>
  <si>
    <t>0:01:38:05</t>
  </si>
  <si>
    <t>0:01:38:06</t>
  </si>
  <si>
    <t>0:01:38:07</t>
  </si>
  <si>
    <t>0:01:38:08</t>
  </si>
  <si>
    <t>0:01:38:09</t>
  </si>
  <si>
    <t>0:01:38:10</t>
  </si>
  <si>
    <t>0:01:38:11</t>
  </si>
  <si>
    <t>0:01:38:12</t>
  </si>
  <si>
    <t>0:01:38:13</t>
  </si>
  <si>
    <t>0:01:38:14</t>
  </si>
  <si>
    <t>0:01:38:15</t>
  </si>
  <si>
    <t>0:01:38:16</t>
  </si>
  <si>
    <t>0:01:38:17</t>
  </si>
  <si>
    <t>0:01:38:18</t>
  </si>
  <si>
    <t>0:01:38:19</t>
  </si>
  <si>
    <t>0:01:38:20</t>
  </si>
  <si>
    <t>0:01:38:21</t>
  </si>
  <si>
    <t>0:01:38:22</t>
  </si>
  <si>
    <t>0:01:38:23</t>
  </si>
  <si>
    <t>0:01:38:24</t>
  </si>
  <si>
    <t>0:01:39:00</t>
  </si>
  <si>
    <t>0:01:39:01</t>
  </si>
  <si>
    <t>0:01:39:02</t>
  </si>
  <si>
    <t>0:01:39:03</t>
  </si>
  <si>
    <t>0:01:39:04</t>
  </si>
  <si>
    <t>0:01:39:05</t>
  </si>
  <si>
    <t>0:01:39:06</t>
  </si>
  <si>
    <t>0:01:39:07</t>
  </si>
  <si>
    <t>0:01:39:08</t>
  </si>
  <si>
    <t>0:01:39:09</t>
  </si>
  <si>
    <t>0:01:39:10</t>
  </si>
  <si>
    <t>0:01:39:11</t>
  </si>
  <si>
    <t>0:01:39:12</t>
  </si>
  <si>
    <t>0:01:39:13</t>
  </si>
  <si>
    <t>0:01:39:14</t>
  </si>
  <si>
    <t>0:01:39:15</t>
  </si>
  <si>
    <t>0:01:39:16</t>
  </si>
  <si>
    <t>0:01:39:17</t>
  </si>
  <si>
    <t>0:01:39:18</t>
  </si>
  <si>
    <t>0:01:39:19</t>
  </si>
  <si>
    <t>0:01:39:20</t>
  </si>
  <si>
    <t>0:01:39:21</t>
  </si>
  <si>
    <t>0:01:39:22</t>
  </si>
  <si>
    <t>0:01:39:23</t>
  </si>
  <si>
    <t>0:01:39:24</t>
  </si>
  <si>
    <t>0:01:40:00</t>
  </si>
  <si>
    <t>0:01:40:01</t>
  </si>
  <si>
    <t>0:01:40:02</t>
  </si>
  <si>
    <t>0:01:40:03</t>
  </si>
  <si>
    <t>0:01:40:04</t>
  </si>
  <si>
    <t>0:01:40:05</t>
  </si>
  <si>
    <t>0:01:40:06</t>
  </si>
  <si>
    <t>0:01:40:07</t>
  </si>
  <si>
    <t>0:01:40:08</t>
  </si>
  <si>
    <t>0:01:40:09</t>
  </si>
  <si>
    <t>0:01:40:10</t>
  </si>
  <si>
    <t>0:01:40:11</t>
  </si>
  <si>
    <t>0:01:40:12</t>
  </si>
  <si>
    <t>0:01:40:13</t>
  </si>
  <si>
    <t>0:01:40:14</t>
  </si>
  <si>
    <t>0:01:40:15</t>
  </si>
  <si>
    <t>0:01:40:16</t>
  </si>
  <si>
    <t>0:01:40:17</t>
  </si>
  <si>
    <t>0:01:40:18</t>
  </si>
  <si>
    <t>0:01:40:19</t>
  </si>
  <si>
    <t>0:01:40:20</t>
  </si>
  <si>
    <t>0:01:40:21</t>
  </si>
  <si>
    <t>0:01:40:22</t>
  </si>
  <si>
    <t>0:01:40:23</t>
  </si>
  <si>
    <t>0:01:40:24</t>
  </si>
  <si>
    <t>0:01:41:00</t>
  </si>
  <si>
    <t>0:01:41:01</t>
  </si>
  <si>
    <t>0:01:41:02</t>
  </si>
  <si>
    <t>0:01:41:03</t>
  </si>
  <si>
    <t>0:01:41:04</t>
  </si>
  <si>
    <t>0:01:41:05</t>
  </si>
  <si>
    <t>0:01:41:06</t>
  </si>
  <si>
    <t>0:01:41:07</t>
  </si>
  <si>
    <t>0:01:41:08</t>
  </si>
  <si>
    <t>0:01:41:09</t>
  </si>
  <si>
    <t>0:01:41:10</t>
  </si>
  <si>
    <t>0:01:41:11</t>
  </si>
  <si>
    <t>0:01:41:12</t>
  </si>
  <si>
    <t>0:01:41:13</t>
  </si>
  <si>
    <t>0:01:41:14</t>
  </si>
  <si>
    <t>0:01:41:15</t>
  </si>
  <si>
    <t>0:01:41:16</t>
  </si>
  <si>
    <t>0:01:41:17</t>
  </si>
  <si>
    <t>0:01:41:18</t>
  </si>
  <si>
    <t>0:01:41:19</t>
  </si>
  <si>
    <t>0:01:41:20</t>
  </si>
  <si>
    <t>0:01:41:21</t>
  </si>
  <si>
    <t>0:01:41:22</t>
  </si>
  <si>
    <t>0:01:41:23</t>
  </si>
  <si>
    <t>0:01:41:24</t>
  </si>
  <si>
    <t>0:01:42:00</t>
  </si>
  <si>
    <t>0:01:42:01</t>
  </si>
  <si>
    <t>0:01:42:02</t>
  </si>
  <si>
    <t>0:01:42:03</t>
  </si>
  <si>
    <t>0:01:42:04</t>
  </si>
  <si>
    <t>0:01:42:05</t>
  </si>
  <si>
    <t>0:01:42:06</t>
  </si>
  <si>
    <t>0:01:42:07</t>
  </si>
  <si>
    <t>0:01:42:08</t>
  </si>
  <si>
    <t>0:01:42:09</t>
  </si>
  <si>
    <t>0:01:42:10</t>
  </si>
  <si>
    <t>0:01:42:11</t>
  </si>
  <si>
    <t>0:01:42:12</t>
  </si>
  <si>
    <t>0:01:42:13</t>
  </si>
  <si>
    <t>0:01:42:14</t>
  </si>
  <si>
    <t>0:01:42:15</t>
  </si>
  <si>
    <t>0:01:42:16</t>
  </si>
  <si>
    <t>0:01:42:17</t>
  </si>
  <si>
    <t>0:01:42:18</t>
  </si>
  <si>
    <t>0:01:42:19</t>
  </si>
  <si>
    <t>0:01:42:20</t>
  </si>
  <si>
    <t>0:01:42:21</t>
  </si>
  <si>
    <t>0:01:42:22</t>
  </si>
  <si>
    <t>0:01:42:23</t>
  </si>
  <si>
    <t>0:01:42:24</t>
  </si>
  <si>
    <t>0:01:43:00</t>
  </si>
  <si>
    <t>0:01:43:01</t>
  </si>
  <si>
    <t>0:01:43:02</t>
  </si>
  <si>
    <t>0:01:43:03</t>
  </si>
  <si>
    <t>0:01:43:04</t>
  </si>
  <si>
    <t>0:01:43:05</t>
  </si>
  <si>
    <t>0:01:43:06</t>
  </si>
  <si>
    <t>0:01:43:07</t>
  </si>
  <si>
    <t>0:01:43:08</t>
  </si>
  <si>
    <t>0:01:43:09</t>
  </si>
  <si>
    <t>0:01:43:10</t>
  </si>
  <si>
    <t>0:01:43:11</t>
  </si>
  <si>
    <t>0:01:43:12</t>
  </si>
  <si>
    <t>0:01:43:13</t>
  </si>
  <si>
    <t>0:01:43:14</t>
  </si>
  <si>
    <t>0:01:43:15</t>
  </si>
  <si>
    <t>0:01:43:16</t>
  </si>
  <si>
    <t>0:01:43:17</t>
  </si>
  <si>
    <t>0:01:43:18</t>
  </si>
  <si>
    <t>0:01:43:19</t>
  </si>
  <si>
    <t>0:01:43:20</t>
  </si>
  <si>
    <t>0:01:43:21</t>
  </si>
  <si>
    <t>0:01:43:22</t>
  </si>
  <si>
    <t>0:01:43:23</t>
  </si>
  <si>
    <t>0:01:43:24</t>
  </si>
  <si>
    <t>0:01:44:00</t>
  </si>
  <si>
    <t>0:01:44:01</t>
  </si>
  <si>
    <t>0:01:44:02</t>
  </si>
  <si>
    <t>0:01:44:03</t>
  </si>
  <si>
    <t>0:01:44:04</t>
  </si>
  <si>
    <t>0:01:44:05</t>
  </si>
  <si>
    <t>0:01:44:06</t>
  </si>
  <si>
    <t>0:01:44:07</t>
  </si>
  <si>
    <t>0:01:44:08</t>
  </si>
  <si>
    <t>0:01:44:09</t>
  </si>
  <si>
    <t>0:01:44:10</t>
  </si>
  <si>
    <t>0:01:44:11</t>
  </si>
  <si>
    <t>0:01:44:12</t>
  </si>
  <si>
    <t>0:01:44:13</t>
  </si>
  <si>
    <t>0:01:44:14</t>
  </si>
  <si>
    <t>0:01:44:15</t>
  </si>
  <si>
    <t>0:01:44:16</t>
  </si>
  <si>
    <t>0:01:44:17</t>
  </si>
  <si>
    <t>0:01:44:18</t>
  </si>
  <si>
    <t>0:01:44:19</t>
  </si>
  <si>
    <t>0:01:44:20</t>
  </si>
  <si>
    <t>0:01:44:21</t>
  </si>
  <si>
    <t>0:01:44:22</t>
  </si>
  <si>
    <t>0:01:44:23</t>
  </si>
  <si>
    <t>0:01:44:24</t>
  </si>
  <si>
    <t>0:01:45:00</t>
  </si>
  <si>
    <t>0:01:45:01</t>
  </si>
  <si>
    <t>0:01:45:02</t>
  </si>
  <si>
    <t>0:01:45:03</t>
  </si>
  <si>
    <t>0:01:45:04</t>
  </si>
  <si>
    <t>0:01:45:05</t>
  </si>
  <si>
    <t>0:01:45:06</t>
  </si>
  <si>
    <t>0:01:45:07</t>
  </si>
  <si>
    <t>0:01:45:08</t>
  </si>
  <si>
    <t>0:01:45:09</t>
  </si>
  <si>
    <t>0:01:45:10</t>
  </si>
  <si>
    <t>0:01:45:11</t>
  </si>
  <si>
    <t>0:01:45:12</t>
  </si>
  <si>
    <t>0:01:45:13</t>
  </si>
  <si>
    <t>0:01:45:14</t>
  </si>
  <si>
    <t>0:01:45:15</t>
  </si>
  <si>
    <t>0:01:45:16</t>
  </si>
  <si>
    <t>0:01:45:17</t>
  </si>
  <si>
    <t>0:01:45:18</t>
  </si>
  <si>
    <t>0:01:45:19</t>
  </si>
  <si>
    <t>0:01:45:20</t>
  </si>
  <si>
    <t>0:01:45:21</t>
  </si>
  <si>
    <t>0:01:45:22</t>
  </si>
  <si>
    <t>0:01:45:23</t>
  </si>
  <si>
    <t>0:01:45:24</t>
  </si>
  <si>
    <t>0:01:46:00</t>
  </si>
  <si>
    <t>0:01:46:01</t>
  </si>
  <si>
    <t>0:01:46:02</t>
  </si>
  <si>
    <t>0:01:46:03</t>
  </si>
  <si>
    <t>0:01:46:04</t>
  </si>
  <si>
    <t>0:01:46:05</t>
  </si>
  <si>
    <t>0:01:46:06</t>
  </si>
  <si>
    <t>0:01:46:07</t>
  </si>
  <si>
    <t>0:01:46:08</t>
  </si>
  <si>
    <t>0:01:46:09</t>
  </si>
  <si>
    <t>0:01:46:10</t>
  </si>
  <si>
    <t>0:01:46:11</t>
  </si>
  <si>
    <t>0:01:46:12</t>
  </si>
  <si>
    <t>0:01:46:13</t>
  </si>
  <si>
    <t>0:01:46:14</t>
  </si>
  <si>
    <t>0:01:46:15</t>
  </si>
  <si>
    <t>0:01:46:16</t>
  </si>
  <si>
    <t>0:01:46:17</t>
  </si>
  <si>
    <t>0:01:46:18</t>
  </si>
  <si>
    <t>0:01:46:19</t>
  </si>
  <si>
    <t>0:01:46:20</t>
  </si>
  <si>
    <t>0:01:46:21</t>
  </si>
  <si>
    <t>0:01:46:22</t>
  </si>
  <si>
    <t>0:01:46:23</t>
  </si>
  <si>
    <t>0:01:46:24</t>
  </si>
  <si>
    <t>0:01:47:00</t>
  </si>
  <si>
    <t>0:01:47:01</t>
  </si>
  <si>
    <t>0:01:47:02</t>
  </si>
  <si>
    <t>0:01:47:03</t>
  </si>
  <si>
    <t>0:01:47:04</t>
  </si>
  <si>
    <t>0:01:47:05</t>
  </si>
  <si>
    <t>0:01:47:06</t>
  </si>
  <si>
    <t>0:01:47:07</t>
  </si>
  <si>
    <t>0:01:47:08</t>
  </si>
  <si>
    <t>0:01:47:09</t>
  </si>
  <si>
    <t>0:01:47:10</t>
  </si>
  <si>
    <t>0:01:47:11</t>
  </si>
  <si>
    <t>0:01:47:12</t>
  </si>
  <si>
    <t>0:01:47:13</t>
  </si>
  <si>
    <t>0:01:47:14</t>
  </si>
  <si>
    <t>0:01:47:15</t>
  </si>
  <si>
    <t>0:01:47:16</t>
  </si>
  <si>
    <t>0:01:47:17</t>
  </si>
  <si>
    <t>0:01:47:18</t>
  </si>
  <si>
    <t>0:01:47:19</t>
  </si>
  <si>
    <t>0:01:47:20</t>
  </si>
  <si>
    <t>0:01:47:21</t>
  </si>
  <si>
    <t>0:01:47:22</t>
  </si>
  <si>
    <t>0:01:47:23</t>
  </si>
  <si>
    <t>0:01:47:24</t>
  </si>
  <si>
    <t>0:01:48:00</t>
  </si>
  <si>
    <t>0:01:48:01</t>
  </si>
  <si>
    <t>0:01:48:02</t>
  </si>
  <si>
    <t>0:01:48:03</t>
  </si>
  <si>
    <t>0:01:48:04</t>
  </si>
  <si>
    <t>0:01:48:05</t>
  </si>
  <si>
    <t>0:01:48:06</t>
  </si>
  <si>
    <t>0:01:48:07</t>
  </si>
  <si>
    <t>0:01:48:08</t>
  </si>
  <si>
    <t>0:01:48:09</t>
  </si>
  <si>
    <t>0:01:48:10</t>
  </si>
  <si>
    <t>0:01:48:11</t>
  </si>
  <si>
    <t>0:01:48:12</t>
  </si>
  <si>
    <t>0:01:48:13</t>
  </si>
  <si>
    <t>0:01:48:14</t>
  </si>
  <si>
    <t>0:01:48:15</t>
  </si>
  <si>
    <t>0:01:48:16</t>
  </si>
  <si>
    <t>0:01:48:17</t>
  </si>
  <si>
    <t>0:01:48:18</t>
  </si>
  <si>
    <t>0:01:48:19</t>
  </si>
  <si>
    <t>0:01:48:20</t>
  </si>
  <si>
    <t>0:01:48:21</t>
  </si>
  <si>
    <t>0:01:48:22</t>
  </si>
  <si>
    <t>0:01:48:23</t>
  </si>
  <si>
    <t>0:01:48:24</t>
  </si>
  <si>
    <t>0:01:49:00</t>
  </si>
  <si>
    <t>0:01:49:01</t>
  </si>
  <si>
    <t>0:01:49:02</t>
  </si>
  <si>
    <t>0:01:49:03</t>
  </si>
  <si>
    <t>0:01:49:04</t>
  </si>
  <si>
    <t>0:01:49:05</t>
  </si>
  <si>
    <t>0:01:49:06</t>
  </si>
  <si>
    <t>0:01:49:07</t>
  </si>
  <si>
    <t>0:01:49:08</t>
  </si>
  <si>
    <t>0:01:49:09</t>
  </si>
  <si>
    <t>0:01:49:10</t>
  </si>
  <si>
    <t>0:01:49:11</t>
  </si>
  <si>
    <t>0:01:49:12</t>
  </si>
  <si>
    <t>0:01:49:13</t>
  </si>
  <si>
    <t>0:01:49:14</t>
  </si>
  <si>
    <t>0:01:49:15</t>
  </si>
  <si>
    <t>0:01:49:16</t>
  </si>
  <si>
    <t>0:01:49:17</t>
  </si>
  <si>
    <t>0:01:49:18</t>
  </si>
  <si>
    <t>0:01:49:19</t>
  </si>
  <si>
    <t>0:01:49:20</t>
  </si>
  <si>
    <t>0:01:49:21</t>
  </si>
  <si>
    <t>0:01:49:22</t>
  </si>
  <si>
    <t>0:01:49:23</t>
  </si>
  <si>
    <t>0:01:49:24</t>
  </si>
  <si>
    <t>0:01:50:00</t>
  </si>
  <si>
    <t>0:01:50:01</t>
  </si>
  <si>
    <t>0:01:50:02</t>
  </si>
  <si>
    <t>0:01:50:03</t>
  </si>
  <si>
    <t>0:01:50:04</t>
  </si>
  <si>
    <t>0:01:50:05</t>
  </si>
  <si>
    <t>0:01:50:06</t>
  </si>
  <si>
    <t>0:01:50:07</t>
  </si>
  <si>
    <t>0:01:50:08</t>
  </si>
  <si>
    <t>0:01:50:09</t>
  </si>
  <si>
    <t>0:01:50:10</t>
  </si>
  <si>
    <t>0:01:50:11</t>
  </si>
  <si>
    <t>0:01:50:12</t>
  </si>
  <si>
    <t>0:01:50:13</t>
  </si>
  <si>
    <t>0:01:50:14</t>
  </si>
  <si>
    <t>0:01:50:15</t>
  </si>
  <si>
    <t>0:01:50:16</t>
  </si>
  <si>
    <t>0:01:50:17</t>
  </si>
  <si>
    <t>0:01:50:18</t>
  </si>
  <si>
    <t>0:01:50:19</t>
  </si>
  <si>
    <t>0:01:50:20</t>
  </si>
  <si>
    <t>0:01:50:21</t>
  </si>
  <si>
    <t>0:01:50:22</t>
  </si>
  <si>
    <t>0:01:50:23</t>
  </si>
  <si>
    <t>0:01:50:24</t>
  </si>
  <si>
    <t>0:01:51:00</t>
  </si>
  <si>
    <t>0:01:51:01</t>
  </si>
  <si>
    <t>0:01:51:02</t>
  </si>
  <si>
    <t>0:01:51:03</t>
  </si>
  <si>
    <t>0:01:51:04</t>
  </si>
  <si>
    <t>0:01:51:05</t>
  </si>
  <si>
    <t>0:01:51:06</t>
  </si>
  <si>
    <t>0:01:51:07</t>
  </si>
  <si>
    <t>0:01:51:08</t>
  </si>
  <si>
    <t>0:01:51:09</t>
  </si>
  <si>
    <t>0:01:51:10</t>
  </si>
  <si>
    <t>0:01:51:11</t>
  </si>
  <si>
    <t>0:01:51:12</t>
  </si>
  <si>
    <t>0:01:51:13</t>
  </si>
  <si>
    <t>0:01:51:14</t>
  </si>
  <si>
    <t>0:01:51:15</t>
  </si>
  <si>
    <t>0:01:51:16</t>
  </si>
  <si>
    <t>0:01:51:17</t>
  </si>
  <si>
    <t>0:01:51:18</t>
  </si>
  <si>
    <t>0:01:51:19</t>
  </si>
  <si>
    <t>0:01:51:20</t>
  </si>
  <si>
    <t>0:01:51:21</t>
  </si>
  <si>
    <t>0:01:51:22</t>
  </si>
  <si>
    <t>0:01:51:23</t>
  </si>
  <si>
    <t>0:01:51:24</t>
  </si>
  <si>
    <t>0:01:52:00</t>
  </si>
  <si>
    <t>0:01:52:01</t>
  </si>
  <si>
    <t>0:01:52:02</t>
  </si>
  <si>
    <t>0:01:52:03</t>
  </si>
  <si>
    <t>0:01:52:04</t>
  </si>
  <si>
    <t>0:01:52:05</t>
  </si>
  <si>
    <t>0:01:52:06</t>
  </si>
  <si>
    <t>0:01:52:07</t>
  </si>
  <si>
    <t>0:01:52:08</t>
  </si>
  <si>
    <t>0:01:52:09</t>
  </si>
  <si>
    <t>0:01:52:10</t>
  </si>
  <si>
    <t>0:01:52:11</t>
  </si>
  <si>
    <t>0:01:52:12</t>
  </si>
  <si>
    <t>0:01:52:13</t>
  </si>
  <si>
    <t>0:01:52:14</t>
  </si>
  <si>
    <t>0:01:52:15</t>
  </si>
  <si>
    <t>0:01:52:16</t>
  </si>
  <si>
    <t>0:01:52:17</t>
  </si>
  <si>
    <t>0:01:52:18</t>
  </si>
  <si>
    <t>0:01:52:19</t>
  </si>
  <si>
    <t>0:01:52:20</t>
  </si>
  <si>
    <t>0:01:52:21</t>
  </si>
  <si>
    <t>0:01:52:22</t>
  </si>
  <si>
    <t>0:01:52:23</t>
  </si>
  <si>
    <t>0:01:52:24</t>
  </si>
  <si>
    <t>0:01:53:00</t>
  </si>
  <si>
    <t>0:01:53:01</t>
  </si>
  <si>
    <t>0:01:53:02</t>
  </si>
  <si>
    <t>0:01:53:03</t>
  </si>
  <si>
    <t>0:01:53:04</t>
  </si>
  <si>
    <t>0:01:53:05</t>
  </si>
  <si>
    <t>0:01:53:06</t>
  </si>
  <si>
    <t>0:01:53:07</t>
  </si>
  <si>
    <t>0:01:53:08</t>
  </si>
  <si>
    <t>0:01:53:09</t>
  </si>
  <si>
    <t>0:01:53:10</t>
  </si>
  <si>
    <t>0:01:53:11</t>
  </si>
  <si>
    <t>0:01:53:12</t>
  </si>
  <si>
    <t>0:01:53:13</t>
  </si>
  <si>
    <t>0:01:53:14</t>
  </si>
  <si>
    <t>0:01:53:15</t>
  </si>
  <si>
    <t>0:01:53:16</t>
  </si>
  <si>
    <t>0:01:53:17</t>
  </si>
  <si>
    <t>0:01:53:18</t>
  </si>
  <si>
    <t>0:01:53:19</t>
  </si>
  <si>
    <t>0:01:53:20</t>
  </si>
  <si>
    <t>0:01:53:21</t>
  </si>
  <si>
    <t>0:01:53:22</t>
  </si>
  <si>
    <t>0:01:53:23</t>
  </si>
  <si>
    <t>0:01:53:24</t>
  </si>
  <si>
    <t>0:01:54:00</t>
  </si>
  <si>
    <t>0:01:54:01</t>
  </si>
  <si>
    <t>0:01:54:02</t>
  </si>
  <si>
    <t>0:01:54:03</t>
  </si>
  <si>
    <t>0:01:54:04</t>
  </si>
  <si>
    <t>0:01:54:05</t>
  </si>
  <si>
    <t>0:01:54:06</t>
  </si>
  <si>
    <t>0:01:54:07</t>
  </si>
  <si>
    <t>0:01:54:08</t>
  </si>
  <si>
    <t>0:01:54:09</t>
  </si>
  <si>
    <t>0:01:54:10</t>
  </si>
  <si>
    <t>0:01:54:11</t>
  </si>
  <si>
    <t>0:01:54:12</t>
  </si>
  <si>
    <t>0:01:54:13</t>
  </si>
  <si>
    <t>0:01:54:14</t>
  </si>
  <si>
    <t>0:01:54:15</t>
  </si>
  <si>
    <t>0:01:54:16</t>
  </si>
  <si>
    <t>0:01:54:17</t>
  </si>
  <si>
    <t>0:01:54:18</t>
  </si>
  <si>
    <t>0:01:54:19</t>
  </si>
  <si>
    <t>0:01:54:20</t>
  </si>
  <si>
    <t>0:01:54:21</t>
  </si>
  <si>
    <t>0:01:54:22</t>
  </si>
  <si>
    <t>0:01:54:23</t>
  </si>
  <si>
    <t>0:01:54:24</t>
  </si>
  <si>
    <t>0:01:55:00</t>
  </si>
  <si>
    <t>0:01:55:01</t>
  </si>
  <si>
    <t>0:01:55:02</t>
  </si>
  <si>
    <t>0:01:55:03</t>
  </si>
  <si>
    <t>0:01:55:04</t>
  </si>
  <si>
    <t>0:01:55:05</t>
  </si>
  <si>
    <t>0:01:55:06</t>
  </si>
  <si>
    <t>0:01:55:07</t>
  </si>
  <si>
    <t>0:01:55:08</t>
  </si>
  <si>
    <t>0:01:55:09</t>
  </si>
  <si>
    <t>0:01:55:10</t>
  </si>
  <si>
    <t>0:01:55:11</t>
  </si>
  <si>
    <t>0:01:55:12</t>
  </si>
  <si>
    <t>0:01:55:13</t>
  </si>
  <si>
    <t>0:01:55:14</t>
  </si>
  <si>
    <t>0:01:55:15</t>
  </si>
  <si>
    <t>0:01:55:16</t>
  </si>
  <si>
    <t>0:01:55:17</t>
  </si>
  <si>
    <t>0:01:55:18</t>
  </si>
  <si>
    <t>0:01:55:19</t>
  </si>
  <si>
    <t>0:01:55:20</t>
  </si>
  <si>
    <t>0:01:55:21</t>
  </si>
  <si>
    <t>0:01:55:22</t>
  </si>
  <si>
    <t>0:01:55:23</t>
  </si>
  <si>
    <t>0:01:55:24</t>
  </si>
  <si>
    <t>0:01:56:00</t>
  </si>
  <si>
    <t>0:01:56:01</t>
  </si>
  <si>
    <t>0:01:56:02</t>
  </si>
  <si>
    <t>0:01:56:03</t>
  </si>
  <si>
    <t>0:01:56:04</t>
  </si>
  <si>
    <t>0:01:56:05</t>
  </si>
  <si>
    <t>0:01:56:06</t>
  </si>
  <si>
    <t>0:01:56:07</t>
  </si>
  <si>
    <t>0:01:56:08</t>
  </si>
  <si>
    <t>0:01:56:09</t>
  </si>
  <si>
    <t>0:01:56:10</t>
  </si>
  <si>
    <t>0:01:56:11</t>
  </si>
  <si>
    <t>0:01:56:12</t>
  </si>
  <si>
    <t>0:01:56:13</t>
  </si>
  <si>
    <t>0:01:56:14</t>
  </si>
  <si>
    <t>0:01:56:15</t>
  </si>
  <si>
    <t>0:01:56:16</t>
  </si>
  <si>
    <t>0:01:56:17</t>
  </si>
  <si>
    <t>0:01:56:18</t>
  </si>
  <si>
    <t>0:01:56:19</t>
  </si>
  <si>
    <t>0:01:56:20</t>
  </si>
  <si>
    <t>0:01:56:21</t>
  </si>
  <si>
    <t>0:01:56:22</t>
  </si>
  <si>
    <t>0:01:56:23</t>
  </si>
  <si>
    <t>0:01:56:24</t>
  </si>
  <si>
    <t>0:01:57:00</t>
  </si>
  <si>
    <t>0:01:57:01</t>
  </si>
  <si>
    <t>0:01:57:02</t>
  </si>
  <si>
    <t>0:01:57:03</t>
  </si>
  <si>
    <t>0:01:57:04</t>
  </si>
  <si>
    <t>0:01:57:05</t>
  </si>
  <si>
    <t>0:01:57:06</t>
  </si>
  <si>
    <t>0:01:57:07</t>
  </si>
  <si>
    <t>0:01:57:08</t>
  </si>
  <si>
    <t>0:01:57:09</t>
  </si>
  <si>
    <t>0:01:57:10</t>
  </si>
  <si>
    <t>0:01:57:11</t>
  </si>
  <si>
    <t>0:01:57:12</t>
  </si>
  <si>
    <t>0:01:57:13</t>
  </si>
  <si>
    <t>0:01:57:14</t>
  </si>
  <si>
    <t>0:01:57:15</t>
  </si>
  <si>
    <t>0:01:57:16</t>
  </si>
  <si>
    <t>0:01:57:17</t>
  </si>
  <si>
    <t>0:01:57:18</t>
  </si>
  <si>
    <t>0:01:57:19</t>
  </si>
  <si>
    <t>0:01:57:20</t>
  </si>
  <si>
    <t>0:01:57:21</t>
  </si>
  <si>
    <t>0:01:57:22</t>
  </si>
  <si>
    <t>0:01:57:23</t>
  </si>
  <si>
    <t>0:01:57:24</t>
  </si>
  <si>
    <t>0:01:58:00</t>
  </si>
  <si>
    <t>0:01:58:01</t>
  </si>
  <si>
    <t>0:01:58:02</t>
  </si>
  <si>
    <t>0:01:58:03</t>
  </si>
  <si>
    <t>0:01:58:04</t>
  </si>
  <si>
    <t>0:01:58:05</t>
  </si>
  <si>
    <t>0:01:58:06</t>
  </si>
  <si>
    <t>0:01:58:07</t>
  </si>
  <si>
    <t>0:01:58:08</t>
  </si>
  <si>
    <t>0:01:58:09</t>
  </si>
  <si>
    <t>0:01:58:10</t>
  </si>
  <si>
    <t>0:01:58:11</t>
  </si>
  <si>
    <t>0:01:58:12</t>
  </si>
  <si>
    <t>0:01:58:13</t>
  </si>
  <si>
    <t>0:01:58:14</t>
  </si>
  <si>
    <t>0:01:58:15</t>
  </si>
  <si>
    <t>0:01:58:16</t>
  </si>
  <si>
    <t>0:01:58:17</t>
  </si>
  <si>
    <t>0:01:58:18</t>
  </si>
  <si>
    <t>0:01:58:19</t>
  </si>
  <si>
    <t>0:01:58:20</t>
  </si>
  <si>
    <t>0:01:58:21</t>
  </si>
  <si>
    <t>0:01:58:22</t>
  </si>
  <si>
    <t>0:01:58:23</t>
  </si>
  <si>
    <t>0:01:58:24</t>
  </si>
  <si>
    <t>0:01:59:00</t>
  </si>
  <si>
    <t>0:01:59:01</t>
  </si>
  <si>
    <t>0:01:59:02</t>
  </si>
  <si>
    <t>0:01:59:03</t>
  </si>
  <si>
    <t>0:01:59:04</t>
  </si>
  <si>
    <t>0:01:59:05</t>
  </si>
  <si>
    <t>0:01:59:06</t>
  </si>
  <si>
    <t>0:01:59:07</t>
  </si>
  <si>
    <t>0:01:59:08</t>
  </si>
  <si>
    <t>0:01:59:09</t>
  </si>
  <si>
    <t>0:01:59:10</t>
  </si>
  <si>
    <t>0:01:59:11</t>
  </si>
  <si>
    <t>0:01:59:12</t>
  </si>
  <si>
    <t>0:01:59:13</t>
  </si>
  <si>
    <t>0:01:59:14</t>
  </si>
  <si>
    <t>0:01:59:15</t>
  </si>
  <si>
    <t>0:01:59:16</t>
  </si>
  <si>
    <t>0:01:59:17</t>
  </si>
  <si>
    <t>0:01:59:18</t>
  </si>
  <si>
    <t>0:01:59:19</t>
  </si>
  <si>
    <t>0:01:59:20</t>
  </si>
  <si>
    <t>0:01:59:21</t>
  </si>
  <si>
    <t>0:01:59:22</t>
  </si>
  <si>
    <t>0:01:59:23</t>
  </si>
  <si>
    <t>0:01:59:24</t>
  </si>
  <si>
    <t>0:02:00:00</t>
  </si>
  <si>
    <t>0:02:00:01</t>
  </si>
  <si>
    <t>0:02:00:02</t>
  </si>
  <si>
    <t>0:02:00:03</t>
  </si>
  <si>
    <t>0:02:00:04</t>
  </si>
  <si>
    <t>0:02:00:05</t>
  </si>
  <si>
    <t>0:02:00:06</t>
  </si>
  <si>
    <t>0:02:00:07</t>
  </si>
  <si>
    <t>0:02:00:08</t>
  </si>
  <si>
    <t>0:02:00:09</t>
  </si>
  <si>
    <t>0:02:00:10</t>
  </si>
  <si>
    <t>0:02:00:11</t>
  </si>
  <si>
    <t>0:02:00:12</t>
  </si>
  <si>
    <t>0:02:00:13</t>
  </si>
  <si>
    <t>0:02:00:14</t>
  </si>
  <si>
    <t>0:02:00:15</t>
  </si>
  <si>
    <t>0:02:00:16</t>
  </si>
  <si>
    <t>0:02:00:17</t>
  </si>
  <si>
    <t>0:02:00:18</t>
  </si>
  <si>
    <t>0:02:00:19</t>
  </si>
  <si>
    <t>0:02:00:20</t>
  </si>
  <si>
    <t>0:02:00:21</t>
  </si>
  <si>
    <t>0:02:00:22</t>
  </si>
  <si>
    <t>0:02:00:23</t>
  </si>
  <si>
    <t>0:02:00:24</t>
  </si>
  <si>
    <t>0:02:01:00</t>
  </si>
  <si>
    <t>0:02:01:01</t>
  </si>
  <si>
    <t>0:02:01:02</t>
  </si>
  <si>
    <t>0:02:01:03</t>
  </si>
  <si>
    <t>0:02:01:04</t>
  </si>
  <si>
    <t>0:02:01:05</t>
  </si>
  <si>
    <t>0:02:01:06</t>
  </si>
  <si>
    <t>0:02:01:07</t>
  </si>
  <si>
    <t>0:02:01:08</t>
  </si>
  <si>
    <t>0:02:01:09</t>
  </si>
  <si>
    <t>0:02:01:10</t>
  </si>
  <si>
    <t>0:02:01:11</t>
  </si>
  <si>
    <t>0:02:01:12</t>
  </si>
  <si>
    <t>0:02:01:13</t>
  </si>
  <si>
    <t>0:02:01:14</t>
  </si>
  <si>
    <t>0:02:01:15</t>
  </si>
  <si>
    <t>0:02:01:16</t>
  </si>
  <si>
    <t>0:02:01:17</t>
  </si>
  <si>
    <t>0:02:01:18</t>
  </si>
  <si>
    <t>0:02:01:19</t>
  </si>
  <si>
    <t>0:02:01:20</t>
  </si>
  <si>
    <t>0:02:01:21</t>
  </si>
  <si>
    <t>0:02:01:22</t>
  </si>
  <si>
    <t>0:02:01:23</t>
  </si>
  <si>
    <t>0:02:01:24</t>
  </si>
  <si>
    <t>0:02:02:00</t>
  </si>
  <si>
    <t>0:02:02:01</t>
  </si>
  <si>
    <t>0:02:02:02</t>
  </si>
  <si>
    <t>0:02:02:03</t>
  </si>
  <si>
    <t>0:02:02:04</t>
  </si>
  <si>
    <t>0:02:02:05</t>
  </si>
  <si>
    <t>0:02:02:06</t>
  </si>
  <si>
    <t>0:02:02:07</t>
  </si>
  <si>
    <t>0:02:02:08</t>
  </si>
  <si>
    <t>0:02:02:09</t>
  </si>
  <si>
    <t>0:02:02:10</t>
  </si>
  <si>
    <t>0:02:02:11</t>
  </si>
  <si>
    <t>0:02:02:12</t>
  </si>
  <si>
    <t>0:02:02:13</t>
  </si>
  <si>
    <t>0:02:02:14</t>
  </si>
  <si>
    <t>0:02:02:15</t>
  </si>
  <si>
    <t>0:02:02:16</t>
  </si>
  <si>
    <t>0:02:02:17</t>
  </si>
  <si>
    <t>0:02:02:18</t>
  </si>
  <si>
    <t>0:02:02:19</t>
  </si>
  <si>
    <t>0:02:02:20</t>
  </si>
  <si>
    <t>0:02:02:21</t>
  </si>
  <si>
    <t>0:02:02:22</t>
  </si>
  <si>
    <t>0:02:02:23</t>
  </si>
  <si>
    <t>0:02:02:24</t>
  </si>
  <si>
    <t>0:02:03:00</t>
  </si>
  <si>
    <t>0:02:03:01</t>
  </si>
  <si>
    <t>0:02:03:02</t>
  </si>
  <si>
    <t>0:02:03:03</t>
  </si>
  <si>
    <t>0:02:03:04</t>
  </si>
  <si>
    <t>0:02:03:05</t>
  </si>
  <si>
    <t>0:02:03:06</t>
  </si>
  <si>
    <t>0:02:03:07</t>
  </si>
  <si>
    <t>0:02:03:08</t>
  </si>
  <si>
    <t>0:02:03:09</t>
  </si>
  <si>
    <t>0:02:03:10</t>
  </si>
  <si>
    <t>0:02:03:11</t>
  </si>
  <si>
    <t>0:02:03:12</t>
  </si>
  <si>
    <t>0:02:03:13</t>
  </si>
  <si>
    <t>0:02:03:14</t>
  </si>
  <si>
    <t>0:02:03:15</t>
  </si>
  <si>
    <t>0:02:03:16</t>
  </si>
  <si>
    <t>0:02:03:17</t>
  </si>
  <si>
    <t>0:02:03:18</t>
  </si>
  <si>
    <t>0:02:03:19</t>
  </si>
  <si>
    <t>0:02:03:20</t>
  </si>
  <si>
    <t>0:02:03:21</t>
  </si>
  <si>
    <t>0:02:03:22</t>
  </si>
  <si>
    <t>0:02:03:23</t>
  </si>
  <si>
    <t>0:02:03:24</t>
  </si>
  <si>
    <t>0:02:04:00</t>
  </si>
  <si>
    <t>0:02:04:01</t>
  </si>
  <si>
    <t>0:02:04:02</t>
  </si>
  <si>
    <t>0:02:04:03</t>
  </si>
  <si>
    <t>0:02:04:04</t>
  </si>
  <si>
    <t>0:02:04:05</t>
  </si>
  <si>
    <t>0:02:04:06</t>
  </si>
  <si>
    <t>0:02:04:07</t>
  </si>
  <si>
    <t>0:02:04:08</t>
  </si>
  <si>
    <t>0:02:04:09</t>
  </si>
  <si>
    <t>0:02:04:10</t>
  </si>
  <si>
    <t>0:02:04:11</t>
  </si>
  <si>
    <t>0:02:04:12</t>
  </si>
  <si>
    <t>0:02:04:13</t>
  </si>
  <si>
    <t>0:02:04:14</t>
  </si>
  <si>
    <t>0:02:04:15</t>
  </si>
  <si>
    <t>0:02:04:16</t>
  </si>
  <si>
    <t>0:02:04:17</t>
  </si>
  <si>
    <t>0:02:04:18</t>
  </si>
  <si>
    <t>0:02:04:19</t>
  </si>
  <si>
    <t>0:02:04:20</t>
  </si>
  <si>
    <t>0:02:04:21</t>
  </si>
  <si>
    <t>0:02:04:22</t>
  </si>
  <si>
    <t>0:02:04:23</t>
  </si>
  <si>
    <t>0:02:04:24</t>
  </si>
  <si>
    <t>0:02:05:00</t>
  </si>
  <si>
    <t>0:02:05:01</t>
  </si>
  <si>
    <t>0:02:05:02</t>
  </si>
  <si>
    <t>0:02:05:03</t>
  </si>
  <si>
    <t>0:02:05:04</t>
  </si>
  <si>
    <t>0:02:05:05</t>
  </si>
  <si>
    <t>0:02:05:06</t>
  </si>
  <si>
    <t>0:02:05:07</t>
  </si>
  <si>
    <t>0:02:05:08</t>
  </si>
  <si>
    <t>0:02:05:09</t>
  </si>
  <si>
    <t>0:02:05:10</t>
  </si>
  <si>
    <t>0:02:05:11</t>
  </si>
  <si>
    <t>0:02:05:12</t>
  </si>
  <si>
    <t>0:02:05:13</t>
  </si>
  <si>
    <t>0:02:05:14</t>
  </si>
  <si>
    <t>0:02:05:15</t>
  </si>
  <si>
    <t>0:02:05:16</t>
  </si>
  <si>
    <t>0:02:05:17</t>
  </si>
  <si>
    <t>0:02:05:18</t>
  </si>
  <si>
    <t>0:02:05:19</t>
  </si>
  <si>
    <t>0:02:05:20</t>
  </si>
  <si>
    <t>0:02:05:21</t>
  </si>
  <si>
    <t>0:02:05:22</t>
  </si>
  <si>
    <t>0:02:05:23</t>
  </si>
  <si>
    <t>0:02:05:24</t>
  </si>
  <si>
    <t>0:02:06:00</t>
  </si>
  <si>
    <t>0:02:06:01</t>
  </si>
  <si>
    <t>0:02:06:02</t>
  </si>
  <si>
    <t>0:02:06:03</t>
  </si>
  <si>
    <t>0:02:06:04</t>
  </si>
  <si>
    <t>0:02:06:05</t>
  </si>
  <si>
    <t>0:02:06:06</t>
  </si>
  <si>
    <t>0:02:06:07</t>
  </si>
  <si>
    <t>0:02:06:08</t>
  </si>
  <si>
    <t>0:02:06:09</t>
  </si>
  <si>
    <t>0:02:06:10</t>
  </si>
  <si>
    <t>0:02:06:11</t>
  </si>
  <si>
    <t>0:02:06:12</t>
  </si>
  <si>
    <t>0:02:06:13</t>
  </si>
  <si>
    <t>0:02:06:14</t>
  </si>
  <si>
    <t>0:02:06:15</t>
  </si>
  <si>
    <t>0:02:06:16</t>
  </si>
  <si>
    <t>0:02:06:17</t>
  </si>
  <si>
    <t>0:02:06:18</t>
  </si>
  <si>
    <t>0:02:06:19</t>
  </si>
  <si>
    <t>0:02:06:20</t>
  </si>
  <si>
    <t>0:02:06:21</t>
  </si>
  <si>
    <t>0:02:06:22</t>
  </si>
  <si>
    <t>0:02:06:23</t>
  </si>
  <si>
    <t>0:02:06:24</t>
  </si>
  <si>
    <t>0:02:07:00</t>
  </si>
  <si>
    <t>0:02:07:01</t>
  </si>
  <si>
    <t>0:02:07:02</t>
  </si>
  <si>
    <t>0:02:07:03</t>
  </si>
  <si>
    <t>0:02:07:04</t>
  </si>
  <si>
    <t>0:02:07:05</t>
  </si>
  <si>
    <t>0:02:07:06</t>
  </si>
  <si>
    <t>0:02:07:07</t>
  </si>
  <si>
    <t>0:02:07:08</t>
  </si>
  <si>
    <t>0:02:07:09</t>
  </si>
  <si>
    <t>0:02:07:10</t>
  </si>
  <si>
    <t>0:02:07:11</t>
  </si>
  <si>
    <t>0:02:07:12</t>
  </si>
  <si>
    <t>0:02:07:13</t>
  </si>
  <si>
    <t>0:02:07:14</t>
  </si>
  <si>
    <t>0:02:07:15</t>
  </si>
  <si>
    <t>0:02:07:16</t>
  </si>
  <si>
    <t>0:02:07:17</t>
  </si>
  <si>
    <t>0:02:07:18</t>
  </si>
  <si>
    <t>0:02:07:19</t>
  </si>
  <si>
    <t>0:02:07:20</t>
  </si>
  <si>
    <t>0:02:07:21</t>
  </si>
  <si>
    <t>0:02:07:22</t>
  </si>
  <si>
    <t>0:02:07:23</t>
  </si>
  <si>
    <t>0:02:07:24</t>
  </si>
  <si>
    <t>0:02:08:00</t>
  </si>
  <si>
    <t>0:02:08:01</t>
  </si>
  <si>
    <t>0:02:08:02</t>
  </si>
  <si>
    <t>0:02:08:03</t>
  </si>
  <si>
    <t>0:02:08:04</t>
  </si>
  <si>
    <t>0:02:08:05</t>
  </si>
  <si>
    <t>0:02:08:06</t>
  </si>
  <si>
    <t>0:02:08:07</t>
  </si>
  <si>
    <t>0:02:08:08</t>
  </si>
  <si>
    <t>0:02:08:09</t>
  </si>
  <si>
    <t>0:02:08:10</t>
  </si>
  <si>
    <t>0:02:08:11</t>
  </si>
  <si>
    <t>0:02:08:12</t>
  </si>
  <si>
    <t>0:02:08:13</t>
  </si>
  <si>
    <t>0:02:08:14</t>
  </si>
  <si>
    <t>0:02:08:15</t>
  </si>
  <si>
    <t>0:02:08:16</t>
  </si>
  <si>
    <t>0:02:08:17</t>
  </si>
  <si>
    <t>0:02:08:18</t>
  </si>
  <si>
    <t>0:02:08:19</t>
  </si>
  <si>
    <t>0:02:08:20</t>
  </si>
  <si>
    <t>0:02:08:21</t>
  </si>
  <si>
    <t>0:02:08:22</t>
  </si>
  <si>
    <t>0:02:08:23</t>
  </si>
  <si>
    <t>0:02:08:24</t>
  </si>
  <si>
    <t>0:02:09:00</t>
  </si>
  <si>
    <t>0:02:09:01</t>
  </si>
  <si>
    <t>0:02:09:02</t>
  </si>
  <si>
    <t>0:02:09:03</t>
  </si>
  <si>
    <t>0:02:09:04</t>
  </si>
  <si>
    <t>0:02:09:05</t>
  </si>
  <si>
    <t>0:02:09:06</t>
  </si>
  <si>
    <t>0:02:09:07</t>
  </si>
  <si>
    <t>0:02:09:08</t>
  </si>
  <si>
    <t>0:02:09:09</t>
  </si>
  <si>
    <t>0:02:09:10</t>
  </si>
  <si>
    <t>0:02:09:11</t>
  </si>
  <si>
    <t>0:02:09:12</t>
  </si>
  <si>
    <t>0:02:09:13</t>
  </si>
  <si>
    <t>0:02:09:14</t>
  </si>
  <si>
    <t>0:02:09:15</t>
  </si>
  <si>
    <t>0:02:09:16</t>
  </si>
  <si>
    <t>0:02:09:17</t>
  </si>
  <si>
    <t>0:02:09:18</t>
  </si>
  <si>
    <t>0:02:09:19</t>
  </si>
  <si>
    <t>0:02:09:20</t>
  </si>
  <si>
    <t>0:02:09:21</t>
  </si>
  <si>
    <t>0:02:09:22</t>
  </si>
  <si>
    <t>0:02:09:23</t>
  </si>
  <si>
    <t>0:02:09:24</t>
  </si>
  <si>
    <t>0:02:10:00</t>
  </si>
  <si>
    <t>0:02:10:01</t>
  </si>
  <si>
    <t>0:02:10:02</t>
  </si>
  <si>
    <t>0:02:10:03</t>
  </si>
  <si>
    <t>0:02:10:04</t>
  </si>
  <si>
    <t>0:02:10:05</t>
  </si>
  <si>
    <t>0:02:10:06</t>
  </si>
  <si>
    <t>0:02:10:07</t>
  </si>
  <si>
    <t>0:02:10:08</t>
  </si>
  <si>
    <t>0:02:10:09</t>
  </si>
  <si>
    <t>0:02:10:10</t>
  </si>
  <si>
    <t>0:02:10:11</t>
  </si>
  <si>
    <t>0:02:10:12</t>
  </si>
  <si>
    <t>0:02:10:13</t>
  </si>
  <si>
    <t>0:02:10:14</t>
  </si>
  <si>
    <t>0:02:10:15</t>
  </si>
  <si>
    <t>0:02:10:16</t>
  </si>
  <si>
    <t>0:02:10:17</t>
  </si>
  <si>
    <t>0:02:10:18</t>
  </si>
  <si>
    <t>0:02:10:19</t>
  </si>
  <si>
    <t>0:02:10:20</t>
  </si>
  <si>
    <t>0:02:10:21</t>
  </si>
  <si>
    <t>0:02:10:22</t>
  </si>
  <si>
    <t>0:02:10:23</t>
  </si>
  <si>
    <t>0:02:10:24</t>
  </si>
  <si>
    <t>0:02:11:00</t>
  </si>
  <si>
    <t>0:02:11:01</t>
  </si>
  <si>
    <t>0:02:11:02</t>
  </si>
  <si>
    <t>0:02:11:03</t>
  </si>
  <si>
    <t>0:02:11:04</t>
  </si>
  <si>
    <t>0:02:11:05</t>
  </si>
  <si>
    <t>0:02:11:06</t>
  </si>
  <si>
    <t>0:02:11:07</t>
  </si>
  <si>
    <t>0:02:11:08</t>
  </si>
  <si>
    <t>0:02:11:09</t>
  </si>
  <si>
    <t>0:02:11:10</t>
  </si>
  <si>
    <t>0:02:11:11</t>
  </si>
  <si>
    <t>0:02:11:12</t>
  </si>
  <si>
    <t>0:02:11:13</t>
  </si>
  <si>
    <t>0:02:11:14</t>
  </si>
  <si>
    <t>0:02:11:15</t>
  </si>
  <si>
    <t>0:02:11:16</t>
  </si>
  <si>
    <t>0:02:11:17</t>
  </si>
  <si>
    <t>0:02:11:18</t>
  </si>
  <si>
    <t>0:02:11:19</t>
  </si>
  <si>
    <t>0:02:11:20</t>
  </si>
  <si>
    <t>0:02:11:21</t>
  </si>
  <si>
    <t>0:02:11:22</t>
  </si>
  <si>
    <t>0:02:11:23</t>
  </si>
  <si>
    <t>0:02:11:24</t>
  </si>
  <si>
    <t>0:02:12:00</t>
  </si>
  <si>
    <t>0:02:12:01</t>
  </si>
  <si>
    <t>0:02:12:02</t>
  </si>
  <si>
    <t>0:02:12:03</t>
  </si>
  <si>
    <t>0:02:12:04</t>
  </si>
  <si>
    <t>0:02:12:05</t>
  </si>
  <si>
    <t>0:02:12:06</t>
  </si>
  <si>
    <t>0:02:12:07</t>
  </si>
  <si>
    <t>0:02:12:08</t>
  </si>
  <si>
    <t>0:02:12:09</t>
  </si>
  <si>
    <t>0:02:12:10</t>
  </si>
  <si>
    <t>0:02:12:11</t>
  </si>
  <si>
    <t>0:02:12:12</t>
  </si>
  <si>
    <t>0:02:12:13</t>
  </si>
  <si>
    <t>0:02:12:14</t>
  </si>
  <si>
    <t>0:02:12:15</t>
  </si>
  <si>
    <t>0:02:12:16</t>
  </si>
  <si>
    <t>0:02:12:17</t>
  </si>
  <si>
    <t>0:02:12:18</t>
  </si>
  <si>
    <t>0:02:12:19</t>
  </si>
  <si>
    <t>0:02:12:20</t>
  </si>
  <si>
    <t>0:02:12:21</t>
  </si>
  <si>
    <t>0:02:12:22</t>
  </si>
  <si>
    <t>0:02:12:23</t>
  </si>
  <si>
    <t>0:02:12:24</t>
  </si>
  <si>
    <t>0:02:13:00</t>
  </si>
  <si>
    <t>0:02:13:01</t>
  </si>
  <si>
    <t>0:02:13:02</t>
  </si>
  <si>
    <t>0:02:13:03</t>
  </si>
  <si>
    <t>0:02:13:04</t>
  </si>
  <si>
    <t>0:02:13:05</t>
  </si>
  <si>
    <t>0:02:13:06</t>
  </si>
  <si>
    <t>0:02:13:07</t>
  </si>
  <si>
    <t>0:02:13:08</t>
  </si>
  <si>
    <t>0:02:13:09</t>
  </si>
  <si>
    <t>0:02:13:10</t>
  </si>
  <si>
    <t>0:02:13:11</t>
  </si>
  <si>
    <t>0:02:13:12</t>
  </si>
  <si>
    <t>0:02:13:13</t>
  </si>
  <si>
    <t>0:02:13:14</t>
  </si>
  <si>
    <t>0:02:13:15</t>
  </si>
  <si>
    <t>0:02:13:16</t>
  </si>
  <si>
    <t>0:02:13:17</t>
  </si>
  <si>
    <t>0:02:13:18</t>
  </si>
  <si>
    <t>0:02:13:19</t>
  </si>
  <si>
    <t>0:02:13:20</t>
  </si>
  <si>
    <t>0:02:13:21</t>
  </si>
  <si>
    <t>0:02:13:22</t>
  </si>
  <si>
    <t>0:02:13:23</t>
  </si>
  <si>
    <t>0:02:13:24</t>
  </si>
  <si>
    <t>0:02:14:00</t>
  </si>
  <si>
    <t>0:02:14:01</t>
  </si>
  <si>
    <t>0:02:14:02</t>
  </si>
  <si>
    <t>0:02:14:03</t>
  </si>
  <si>
    <t>0:02:14:04</t>
  </si>
  <si>
    <t>0:02:14:05</t>
  </si>
  <si>
    <t>0:02:14:06</t>
  </si>
  <si>
    <t>0:02:14:07</t>
  </si>
  <si>
    <t>0:02:14:08</t>
  </si>
  <si>
    <t>0:02:14:09</t>
  </si>
  <si>
    <t>0:02:14:10</t>
  </si>
  <si>
    <t>0:02:14:11</t>
  </si>
  <si>
    <t>0:02:14:12</t>
  </si>
  <si>
    <t>0:02:14:13</t>
  </si>
  <si>
    <t>0:02:14:14</t>
  </si>
  <si>
    <t>0:02:14:15</t>
  </si>
  <si>
    <t>0:02:14:16</t>
  </si>
  <si>
    <t>0:02:14:17</t>
  </si>
  <si>
    <t>0:02:14:18</t>
  </si>
  <si>
    <t>0:02:14:19</t>
  </si>
  <si>
    <t>0:02:14:20</t>
  </si>
  <si>
    <t>0:02:14:21</t>
  </si>
  <si>
    <t>0:02:14:22</t>
  </si>
  <si>
    <t>0:02:14:23</t>
  </si>
  <si>
    <t>0:02:14:24</t>
  </si>
  <si>
    <t>0:02:15:00</t>
  </si>
  <si>
    <t>0:02:15:01</t>
  </si>
  <si>
    <t>0:02:15:02</t>
  </si>
  <si>
    <t>0:02:15:03</t>
  </si>
  <si>
    <t>0:02:15:04</t>
  </si>
  <si>
    <t>0:02:15:05</t>
  </si>
  <si>
    <t>0:02:15:06</t>
  </si>
  <si>
    <t>0:02:15:07</t>
  </si>
  <si>
    <t>0:02:15:08</t>
  </si>
  <si>
    <t>0:02:15:09</t>
  </si>
  <si>
    <t>0:02:15:10</t>
  </si>
  <si>
    <t>0:02:15:11</t>
  </si>
  <si>
    <t>0:02:15:12</t>
  </si>
  <si>
    <t>0:02:15:13</t>
  </si>
  <si>
    <t>0:02:15:14</t>
  </si>
  <si>
    <t>0:02:15:15</t>
  </si>
  <si>
    <t>0:02:15:16</t>
  </si>
  <si>
    <t>0:02:15:17</t>
  </si>
  <si>
    <t>0:02:15:18</t>
  </si>
  <si>
    <t>0:02:15:19</t>
  </si>
  <si>
    <t>0:02:15:20</t>
  </si>
  <si>
    <t>0:02:15:21</t>
  </si>
  <si>
    <t>0:02:15:22</t>
  </si>
  <si>
    <t>0:02:15:23</t>
  </si>
  <si>
    <t>0:02:15:24</t>
  </si>
  <si>
    <t>0:02:16:00</t>
  </si>
  <si>
    <t>0:02:16:01</t>
  </si>
  <si>
    <t>0:02:16:02</t>
  </si>
  <si>
    <t>0:02:16:03</t>
  </si>
  <si>
    <t>0:02:16:04</t>
  </si>
  <si>
    <t>0:02:16:05</t>
  </si>
  <si>
    <t>0:02:16:06</t>
  </si>
  <si>
    <t>0:02:16:07</t>
  </si>
  <si>
    <t>0:02:16:08</t>
  </si>
  <si>
    <t>0:02:16:09</t>
  </si>
  <si>
    <t>0:02:16:10</t>
  </si>
  <si>
    <t>0:02:16:11</t>
  </si>
  <si>
    <t>0:02:16:12</t>
  </si>
  <si>
    <t>0:02:16:13</t>
  </si>
  <si>
    <t>0:02:16:14</t>
  </si>
  <si>
    <t>0:02:16:15</t>
  </si>
  <si>
    <t>0:02:16:16</t>
  </si>
  <si>
    <t>0:02:16:17</t>
  </si>
  <si>
    <t>0:02:16:18</t>
  </si>
  <si>
    <t>0:02:16:19</t>
  </si>
  <si>
    <t>0:02:16:20</t>
  </si>
  <si>
    <t>0:02:16:21</t>
  </si>
  <si>
    <t>0:02:16:22</t>
  </si>
  <si>
    <t>0:02:16:23</t>
  </si>
  <si>
    <t>0:02:16:24</t>
  </si>
  <si>
    <t>0:02:17:00</t>
  </si>
  <si>
    <t>0:02:17:01</t>
  </si>
  <si>
    <t>0:02:17:02</t>
  </si>
  <si>
    <t>0:02:17:03</t>
  </si>
  <si>
    <t>0:02:17:04</t>
  </si>
  <si>
    <t>0:02:17:05</t>
  </si>
  <si>
    <t>0:02:17:06</t>
  </si>
  <si>
    <t>0:02:17:07</t>
  </si>
  <si>
    <t>0:02:17:08</t>
  </si>
  <si>
    <t>0:02:17:09</t>
  </si>
  <si>
    <t>0:02:17:10</t>
  </si>
  <si>
    <t>0:02:17:11</t>
  </si>
  <si>
    <t>0:02:17:12</t>
  </si>
  <si>
    <t>0:02:17:13</t>
  </si>
  <si>
    <t>0:02:17:14</t>
  </si>
  <si>
    <t>0:02:17:15</t>
  </si>
  <si>
    <t>0:02:17:16</t>
  </si>
  <si>
    <t>0:02:17:17</t>
  </si>
  <si>
    <t>0:02:17:18</t>
  </si>
  <si>
    <t>0:02:17:19</t>
  </si>
  <si>
    <t>0:02:17:20</t>
  </si>
  <si>
    <t>0:02:17:21</t>
  </si>
  <si>
    <t>0:02:17:22</t>
  </si>
  <si>
    <t>0:02:17:23</t>
  </si>
  <si>
    <t>0:02:17:24</t>
  </si>
  <si>
    <t>0:02:18:00</t>
  </si>
  <si>
    <t>0:02:18:01</t>
  </si>
  <si>
    <t>0:02:18:02</t>
  </si>
  <si>
    <t>0:02:18:03</t>
  </si>
  <si>
    <t>0:02:18:04</t>
  </si>
  <si>
    <t>0:02:18:05</t>
  </si>
  <si>
    <t>0:02:18:06</t>
  </si>
  <si>
    <t>0:02:18:07</t>
  </si>
  <si>
    <t>0:02:18:08</t>
  </si>
  <si>
    <t>0:02:18:09</t>
  </si>
  <si>
    <t>0:02:18:10</t>
  </si>
  <si>
    <t>0:02:18:11</t>
  </si>
  <si>
    <t>0:02:18:12</t>
  </si>
  <si>
    <t>0:02:18:13</t>
  </si>
  <si>
    <t>0:02:18:14</t>
  </si>
  <si>
    <t>0:02:18:15</t>
  </si>
  <si>
    <t>0:02:18:16</t>
  </si>
  <si>
    <t>0:02:18:17</t>
  </si>
  <si>
    <t>0:02:18:18</t>
  </si>
  <si>
    <t>0:02:18:19</t>
  </si>
  <si>
    <t>0:02:18:20</t>
  </si>
  <si>
    <t>0:02:18:21</t>
  </si>
  <si>
    <t>0:02:18:22</t>
  </si>
  <si>
    <t>0:02:18:23</t>
  </si>
  <si>
    <t>0:02:18:24</t>
  </si>
  <si>
    <t>0:02:19:00</t>
  </si>
  <si>
    <t>0:02:19:01</t>
  </si>
  <si>
    <t>0:02:19:02</t>
  </si>
  <si>
    <t>0:02:19:03</t>
  </si>
  <si>
    <t>0:02:19:04</t>
  </si>
  <si>
    <t>0:02:19:05</t>
  </si>
  <si>
    <t>0:02:19:06</t>
  </si>
  <si>
    <t>0:02:19:07</t>
  </si>
  <si>
    <t>0:02:19:08</t>
  </si>
  <si>
    <t>0:02:19:09</t>
  </si>
  <si>
    <t>0:02:19:10</t>
  </si>
  <si>
    <t>0:02:19:11</t>
  </si>
  <si>
    <t>0:02:19:12</t>
  </si>
  <si>
    <t>0:02:19:13</t>
  </si>
  <si>
    <t>0:02:19:14</t>
  </si>
  <si>
    <t>0:02:19:15</t>
  </si>
  <si>
    <t>0:02:19:16</t>
  </si>
  <si>
    <t>0:02:19:17</t>
  </si>
  <si>
    <t>0:02:19:18</t>
  </si>
  <si>
    <t>0:02:19:19</t>
  </si>
  <si>
    <t>0:02:19:20</t>
  </si>
  <si>
    <t>0:02:19:21</t>
  </si>
  <si>
    <t>0:02:19:22</t>
  </si>
  <si>
    <t>0:02:19:23</t>
  </si>
  <si>
    <t>0:02:19:24</t>
  </si>
  <si>
    <t>0:02:20:00</t>
  </si>
  <si>
    <t>0:02:20:01</t>
  </si>
  <si>
    <t>0:02:20:02</t>
  </si>
  <si>
    <t>0:02:20:03</t>
  </si>
  <si>
    <t>0:02:20:04</t>
  </si>
  <si>
    <t>0:02:20:05</t>
  </si>
  <si>
    <t>0:02:20:06</t>
  </si>
  <si>
    <t>0:02:20:07</t>
  </si>
  <si>
    <t>0:02:20:08</t>
  </si>
  <si>
    <t>0:02:20:09</t>
  </si>
  <si>
    <t>0:02:20:10</t>
  </si>
  <si>
    <t>0:02:20:11</t>
  </si>
  <si>
    <t>0:02:20:12</t>
  </si>
  <si>
    <t>0:02:20:13</t>
  </si>
  <si>
    <t>0:02:20:14</t>
  </si>
  <si>
    <t>0:02:20:15</t>
  </si>
  <si>
    <t>0:02:20:16</t>
  </si>
  <si>
    <t>0:02:20:17</t>
  </si>
  <si>
    <t>0:02:20:18</t>
  </si>
  <si>
    <t>0:02:20:19</t>
  </si>
  <si>
    <t>0:02:20:20</t>
  </si>
  <si>
    <t>0:02:20:21</t>
  </si>
  <si>
    <t>0:02:20:22</t>
  </si>
  <si>
    <t>0:02:20:23</t>
  </si>
  <si>
    <t>0:02:20:24</t>
  </si>
  <si>
    <t>0:02:21:00</t>
  </si>
  <si>
    <t>0:02:21:01</t>
  </si>
  <si>
    <t>0:02:21:02</t>
  </si>
  <si>
    <t>0:02:21:03</t>
  </si>
  <si>
    <t>0:02:21:04</t>
  </si>
  <si>
    <t>0:02:21:05</t>
  </si>
  <si>
    <t>0:02:21:06</t>
  </si>
  <si>
    <t>0:02:21:07</t>
  </si>
  <si>
    <t>0:02:21:08</t>
  </si>
  <si>
    <t>0:02:21:09</t>
  </si>
  <si>
    <t>0:02:21:10</t>
  </si>
  <si>
    <t>0:02:21:11</t>
  </si>
  <si>
    <t>0:02:21:12</t>
  </si>
  <si>
    <t>0:02:21:13</t>
  </si>
  <si>
    <t>0:02:21:14</t>
  </si>
  <si>
    <t>0:02:21:15</t>
  </si>
  <si>
    <t>0:02:21:16</t>
  </si>
  <si>
    <t>0:02:21:17</t>
  </si>
  <si>
    <t>0:02:21:18</t>
  </si>
  <si>
    <t>0:02:21:19</t>
  </si>
  <si>
    <t>0:02:21:20</t>
  </si>
  <si>
    <t>0:02:21:21</t>
  </si>
  <si>
    <t>0:02:21:22</t>
  </si>
  <si>
    <t>0:02:21:23</t>
  </si>
  <si>
    <t>0:02:21:24</t>
  </si>
  <si>
    <t>0:02:22:00</t>
  </si>
  <si>
    <t>0:02:22:01</t>
  </si>
  <si>
    <t>0:02:22:02</t>
  </si>
  <si>
    <t>0:02:22:03</t>
  </si>
  <si>
    <t>0:02:22:04</t>
  </si>
  <si>
    <t>0:02:22:05</t>
  </si>
  <si>
    <t>0:02:22:06</t>
  </si>
  <si>
    <t>0:02:22:07</t>
  </si>
  <si>
    <t>0:02:22:08</t>
  </si>
  <si>
    <t>0:02:22:09</t>
  </si>
  <si>
    <t>0:02:22:10</t>
  </si>
  <si>
    <t>0:02:22:11</t>
  </si>
  <si>
    <t>0:02:22:12</t>
  </si>
  <si>
    <t>0:02:22:13</t>
  </si>
  <si>
    <t>0:02:22:14</t>
  </si>
  <si>
    <t>0:02:22:15</t>
  </si>
  <si>
    <t>0:02:22:16</t>
  </si>
  <si>
    <t>0:02:22:17</t>
  </si>
  <si>
    <t>0:02:22:18</t>
  </si>
  <si>
    <t>0:02:22:19</t>
  </si>
  <si>
    <t>0:02:22:20</t>
  </si>
  <si>
    <t>0:02:22:21</t>
  </si>
  <si>
    <t>0:02:22:22</t>
  </si>
  <si>
    <t>0:02:22:23</t>
  </si>
  <si>
    <t>0:02:22:24</t>
  </si>
  <si>
    <t>0:02:23:00</t>
  </si>
  <si>
    <t>0:02:23:01</t>
  </si>
  <si>
    <t>0:02:23:02</t>
  </si>
  <si>
    <t>0:02:23:03</t>
  </si>
  <si>
    <t>0:02:23:04</t>
  </si>
  <si>
    <t>0:02:23:05</t>
  </si>
  <si>
    <t>0:02:23:06</t>
  </si>
  <si>
    <t>0:02:23:07</t>
  </si>
  <si>
    <t>0:02:23:08</t>
  </si>
  <si>
    <t>0:02:23:09</t>
  </si>
  <si>
    <t>0:02:23:10</t>
  </si>
  <si>
    <t>0:02:23:11</t>
  </si>
  <si>
    <t>0:02:23:12</t>
  </si>
  <si>
    <t>0:02:23:13</t>
  </si>
  <si>
    <t>0:02:23:14</t>
  </si>
  <si>
    <t>0:02:23:15</t>
  </si>
  <si>
    <t>0:02:23:16</t>
  </si>
  <si>
    <t>0:02:23:17</t>
  </si>
  <si>
    <t>0:02:23:18</t>
  </si>
  <si>
    <t>0:02:23:19</t>
  </si>
  <si>
    <t>0:02:23:20</t>
  </si>
  <si>
    <t>0:02:23:21</t>
  </si>
  <si>
    <t>0:02:23:22</t>
  </si>
  <si>
    <t>0:02:23:23</t>
  </si>
  <si>
    <t>0:02:23:24</t>
  </si>
  <si>
    <t>0:02:24:00</t>
  </si>
  <si>
    <t>0:02:24:01</t>
  </si>
  <si>
    <t>0:02:24:02</t>
  </si>
  <si>
    <t>0:02:24:03</t>
  </si>
  <si>
    <t>0:02:24:04</t>
  </si>
  <si>
    <t>0:02:24:05</t>
  </si>
  <si>
    <t>0:02:24:06</t>
  </si>
  <si>
    <t>0:02:24:07</t>
  </si>
  <si>
    <t>0:02:24:08</t>
  </si>
  <si>
    <t>0:02:24:09</t>
  </si>
  <si>
    <t>0:02:24:10</t>
  </si>
  <si>
    <t>0:02:24:11</t>
  </si>
  <si>
    <t>0:02:24:12</t>
  </si>
  <si>
    <t>0:02:24:13</t>
  </si>
  <si>
    <t>0:02:24:14</t>
  </si>
  <si>
    <t>0:02:24:15</t>
  </si>
  <si>
    <t>0:02:24:16</t>
  </si>
  <si>
    <t>0:02:24:17</t>
  </si>
  <si>
    <t>0:02:24:18</t>
  </si>
  <si>
    <t>0:02:24:19</t>
  </si>
  <si>
    <t>0:02:24:20</t>
  </si>
  <si>
    <t>0:02:24:21</t>
  </si>
  <si>
    <t>0:02:24:22</t>
  </si>
  <si>
    <t>0:02:24:23</t>
  </si>
  <si>
    <t>0:02:24:24</t>
  </si>
  <si>
    <t>0:02:25:00</t>
  </si>
  <si>
    <t>0:02:25:01</t>
  </si>
  <si>
    <t>0:02:25:02</t>
  </si>
  <si>
    <t>0:02:25:03</t>
  </si>
  <si>
    <t>0:02:25:04</t>
  </si>
  <si>
    <t>0:02:25:05</t>
  </si>
  <si>
    <t>0:02:25:06</t>
  </si>
  <si>
    <t>0:02:25:07</t>
  </si>
  <si>
    <t>0:02:25:08</t>
  </si>
  <si>
    <t>0:02:25:09</t>
  </si>
  <si>
    <t>0:02:25:10</t>
  </si>
  <si>
    <t>0:02:25:11</t>
  </si>
  <si>
    <t>0:02:25:12</t>
  </si>
  <si>
    <t>0:02:25:13</t>
  </si>
  <si>
    <t>0:02:25:14</t>
  </si>
  <si>
    <t>0:02:25:15</t>
  </si>
  <si>
    <t>0:02:25:16</t>
  </si>
  <si>
    <t>0:02:25:17</t>
  </si>
  <si>
    <t>0:02:25:18</t>
  </si>
  <si>
    <t>0:02:25:19</t>
  </si>
  <si>
    <t>0:02:25:20</t>
  </si>
  <si>
    <t>0:02:25:21</t>
  </si>
  <si>
    <t>0:02:25:22</t>
  </si>
  <si>
    <t>0:02:25:23</t>
  </si>
  <si>
    <t>0:02:25:24</t>
  </si>
  <si>
    <t>0:02:26:00</t>
  </si>
  <si>
    <t>0:02:26:01</t>
  </si>
  <si>
    <t>0:02:26:02</t>
  </si>
  <si>
    <t>0:02:26:03</t>
  </si>
  <si>
    <t>0:02:26:04</t>
  </si>
  <si>
    <t>0:02:26:05</t>
  </si>
  <si>
    <t>0:02:26:06</t>
  </si>
  <si>
    <t>0:02:26:07</t>
  </si>
  <si>
    <t>0:02:26:08</t>
  </si>
  <si>
    <t>0:02:26:09</t>
  </si>
  <si>
    <t>0:02:26:10</t>
  </si>
  <si>
    <t>0:02:26:11</t>
  </si>
  <si>
    <t>0:02:26:12</t>
  </si>
  <si>
    <t>0:02:26:13</t>
  </si>
  <si>
    <t>0:02:26:14</t>
  </si>
  <si>
    <t>0:02:26:15</t>
  </si>
  <si>
    <t>0:02:26:16</t>
  </si>
  <si>
    <t>0:02:26:17</t>
  </si>
  <si>
    <t>0:02:26:18</t>
  </si>
  <si>
    <t>0:02:26:19</t>
  </si>
  <si>
    <t>0:02:26:20</t>
  </si>
  <si>
    <t>0:02:26:21</t>
  </si>
  <si>
    <t>0:02:26:22</t>
  </si>
  <si>
    <t>0:02:26:23</t>
  </si>
  <si>
    <t>0:02:26:24</t>
  </si>
  <si>
    <t>0:02:27:00</t>
  </si>
  <si>
    <t>0:02:27:01</t>
  </si>
  <si>
    <t>0:02:27:02</t>
  </si>
  <si>
    <t>0:02:27:03</t>
  </si>
  <si>
    <t>0:02:27:04</t>
  </si>
  <si>
    <t>0:02:27:05</t>
  </si>
  <si>
    <t>0:02:27:06</t>
  </si>
  <si>
    <t>0:02:27:07</t>
  </si>
  <si>
    <t>0:02:27:08</t>
  </si>
  <si>
    <t>0:02:27:09</t>
  </si>
  <si>
    <t>0:02:27:10</t>
  </si>
  <si>
    <t>0:02:27:11</t>
  </si>
  <si>
    <t>0:02:27:12</t>
  </si>
  <si>
    <t>0:02:27:13</t>
  </si>
  <si>
    <t>0:02:27:14</t>
  </si>
  <si>
    <t>0:02:27:15</t>
  </si>
  <si>
    <t>0:02:27:16</t>
  </si>
  <si>
    <t>0:02:27:17</t>
  </si>
  <si>
    <t>0:02:27:18</t>
  </si>
  <si>
    <t>0:02:27:19</t>
  </si>
  <si>
    <t>0:02:27:20</t>
  </si>
  <si>
    <t>0:02:27:21</t>
  </si>
  <si>
    <t>0:02:27:22</t>
  </si>
  <si>
    <t>0:02:27:23</t>
  </si>
  <si>
    <t>0:02:27:24</t>
  </si>
  <si>
    <t>0:02:28:00</t>
  </si>
  <si>
    <t>0:02:28:01</t>
  </si>
  <si>
    <t>0:02:28:02</t>
  </si>
  <si>
    <t>0:02:28:03</t>
  </si>
  <si>
    <t>0:02:28:04</t>
  </si>
  <si>
    <t>0:02:28:05</t>
  </si>
  <si>
    <t>0:02:28:06</t>
  </si>
  <si>
    <t>0:02:28:07</t>
  </si>
  <si>
    <t>0:02:28:08</t>
  </si>
  <si>
    <t>0:02:28:09</t>
  </si>
  <si>
    <t>0:02:28:10</t>
  </si>
  <si>
    <t>0:02:28:11</t>
  </si>
  <si>
    <t>0:02:28:12</t>
  </si>
  <si>
    <t>0:02:28:13</t>
  </si>
  <si>
    <t>0:02:28:14</t>
  </si>
  <si>
    <t>0:02:28:15</t>
  </si>
  <si>
    <t>0:02:28:16</t>
  </si>
  <si>
    <t>0:02:28:17</t>
  </si>
  <si>
    <t>0:02:28:18</t>
  </si>
  <si>
    <t>0:02:28:19</t>
  </si>
  <si>
    <t>0:02:28:20</t>
  </si>
  <si>
    <t>0:02:28:21</t>
  </si>
  <si>
    <t>0:02:28:22</t>
  </si>
  <si>
    <t>0:02:28:23</t>
  </si>
  <si>
    <t>0:02:28:24</t>
  </si>
  <si>
    <t>0:02:29:00</t>
  </si>
  <si>
    <t>0:02:29:01</t>
  </si>
  <si>
    <t>0:02:29:02</t>
  </si>
  <si>
    <t>0:02:29:03</t>
  </si>
  <si>
    <t>0:02:29:04</t>
  </si>
  <si>
    <t>0:02:29:05</t>
  </si>
  <si>
    <t>0:02:29:06</t>
  </si>
  <si>
    <t>0:02:29:07</t>
  </si>
  <si>
    <t>0:02:29:08</t>
  </si>
  <si>
    <t>0:02:29:09</t>
  </si>
  <si>
    <t>0:02:29:10</t>
  </si>
  <si>
    <t>0:02:29:11</t>
  </si>
  <si>
    <t>0:02:29:12</t>
  </si>
  <si>
    <t>0:02:29:13</t>
  </si>
  <si>
    <t>0:02:29:14</t>
  </si>
  <si>
    <t>0:02:29:15</t>
  </si>
  <si>
    <t>0:02:29:16</t>
  </si>
  <si>
    <t>0:02:29:17</t>
  </si>
  <si>
    <t>0:02:29:18</t>
  </si>
  <si>
    <t>0:02:29:19</t>
  </si>
  <si>
    <t>0:02:29:20</t>
  </si>
  <si>
    <t>0:02:29:21</t>
  </si>
  <si>
    <t>0:02:29:22</t>
  </si>
  <si>
    <t>0:02:29:23</t>
  </si>
  <si>
    <t>0:02:29:24</t>
  </si>
  <si>
    <t>0:02:30:00</t>
  </si>
  <si>
    <t>0:02:30:01</t>
  </si>
  <si>
    <t>0:02:30:02</t>
  </si>
  <si>
    <t>0:02:30:03</t>
  </si>
  <si>
    <t>0:02:30:04</t>
  </si>
  <si>
    <t>0:02:30:05</t>
  </si>
  <si>
    <t>0:02:30:06</t>
  </si>
  <si>
    <t>0:02:30:07</t>
  </si>
  <si>
    <t>0:02:30:08</t>
  </si>
  <si>
    <t>0:02:30:09</t>
  </si>
  <si>
    <t>0:02:30:10</t>
  </si>
  <si>
    <t>0:02:30:11</t>
  </si>
  <si>
    <t>0:02:30:12</t>
  </si>
  <si>
    <t>0:02:30:13</t>
  </si>
  <si>
    <t>0:02:30:14</t>
  </si>
  <si>
    <t>0:02:30:15</t>
  </si>
  <si>
    <t>0:02:30:16</t>
  </si>
  <si>
    <t>0:02:30:17</t>
  </si>
  <si>
    <t>0:02:30:18</t>
  </si>
  <si>
    <t>0:02:30:19</t>
  </si>
  <si>
    <t>0:02:30:20</t>
  </si>
  <si>
    <t>0:02:30:21</t>
  </si>
  <si>
    <t>0:02:30:22</t>
  </si>
  <si>
    <t>0:02:30:23</t>
  </si>
  <si>
    <t>0:02:30:24</t>
  </si>
  <si>
    <t>0:02:31:00</t>
  </si>
  <si>
    <t>0:02:31:01</t>
  </si>
  <si>
    <t>0:02:31:02</t>
  </si>
  <si>
    <t>0:02:31:03</t>
  </si>
  <si>
    <t>0:02:31:04</t>
  </si>
  <si>
    <t>0:02:31:05</t>
  </si>
  <si>
    <t>0:02:31:06</t>
  </si>
  <si>
    <t>0:02:31:07</t>
  </si>
  <si>
    <t>0:02:31:08</t>
  </si>
  <si>
    <t>0:02:31:09</t>
  </si>
  <si>
    <t>0:02:31:10</t>
  </si>
  <si>
    <t>0:02:31:11</t>
  </si>
  <si>
    <t>0:02:31:12</t>
  </si>
  <si>
    <t>0:02:31:13</t>
  </si>
  <si>
    <t>0:02:31:14</t>
  </si>
  <si>
    <t>0:02:31:15</t>
  </si>
  <si>
    <t>0:02:31:16</t>
  </si>
  <si>
    <t>0:02:31:17</t>
  </si>
  <si>
    <t>0:02:31:18</t>
  </si>
  <si>
    <t>0:02:31:19</t>
  </si>
  <si>
    <t>0:02:31:20</t>
  </si>
  <si>
    <t>0:02:31:21</t>
  </si>
  <si>
    <t>0:02:31:22</t>
  </si>
  <si>
    <t>0:02:31:23</t>
  </si>
  <si>
    <t>0:02:31:24</t>
  </si>
  <si>
    <t>0:02:32:00</t>
  </si>
  <si>
    <t>0:02:32:01</t>
  </si>
  <si>
    <t>0:02:32:02</t>
  </si>
  <si>
    <t>0:02:32:03</t>
  </si>
  <si>
    <t>0:02:32:04</t>
  </si>
  <si>
    <t>0:02:32:05</t>
  </si>
  <si>
    <t>0:02:32:06</t>
  </si>
  <si>
    <t>0:02:32:07</t>
  </si>
  <si>
    <t>0:02:32:08</t>
  </si>
  <si>
    <t>0:02:32:09</t>
  </si>
  <si>
    <t>0:02:32:10</t>
  </si>
  <si>
    <t>0:02:32:11</t>
  </si>
  <si>
    <t>0:02:32:12</t>
  </si>
  <si>
    <t>0:02:32:13</t>
  </si>
  <si>
    <t>0:02:32:14</t>
  </si>
  <si>
    <t>0:02:32:15</t>
  </si>
  <si>
    <t>0:02:32:16</t>
  </si>
  <si>
    <t>0:02:32:17</t>
  </si>
  <si>
    <t>0:02:32:18</t>
  </si>
  <si>
    <t>0:02:32:19</t>
  </si>
  <si>
    <t>0:02:32:20</t>
  </si>
  <si>
    <t>0:02:32:21</t>
  </si>
  <si>
    <t>0:02:32:22</t>
  </si>
  <si>
    <t>0:02:32:23</t>
  </si>
  <si>
    <t>0:02:32:24</t>
  </si>
  <si>
    <t>0:02:33:00</t>
  </si>
  <si>
    <t>0:02:33:01</t>
  </si>
  <si>
    <t>0:02:33:02</t>
  </si>
  <si>
    <t>0:02:33:03</t>
  </si>
  <si>
    <t>0:02:33:04</t>
  </si>
  <si>
    <t>0:02:33:05</t>
  </si>
  <si>
    <t>0:02:33:06</t>
  </si>
  <si>
    <t>0:02:33:07</t>
  </si>
  <si>
    <t>0:02:33:08</t>
  </si>
  <si>
    <t>0:02:33:09</t>
  </si>
  <si>
    <t>0:02:33:10</t>
  </si>
  <si>
    <t>0:02:33:11</t>
  </si>
  <si>
    <t>0:02:33:12</t>
  </si>
  <si>
    <t>0:02:33:13</t>
  </si>
  <si>
    <t>0:02:33:14</t>
  </si>
  <si>
    <t>0:02:33:15</t>
  </si>
  <si>
    <t>0:02:33:16</t>
  </si>
  <si>
    <t>0:02:33:17</t>
  </si>
  <si>
    <t>0:02:33:18</t>
  </si>
  <si>
    <t>0:02:33:19</t>
  </si>
  <si>
    <t>0:02:33:20</t>
  </si>
  <si>
    <t>0:02:33:21</t>
  </si>
  <si>
    <t>0:02:33:22</t>
  </si>
  <si>
    <t>0:02:33:23</t>
  </si>
  <si>
    <t>0:02:33:24</t>
  </si>
  <si>
    <t>0:02:34:00</t>
  </si>
  <si>
    <t>0:02:34:01</t>
  </si>
  <si>
    <t>0:02:34:02</t>
  </si>
  <si>
    <t>0:02:34:03</t>
  </si>
  <si>
    <t>0:02:34:04</t>
  </si>
  <si>
    <t>0:02:34:05</t>
  </si>
  <si>
    <t>0:02:34:06</t>
  </si>
  <si>
    <t>0:02:34:07</t>
  </si>
  <si>
    <t>0:02:34:08</t>
  </si>
  <si>
    <t>0:02:34:09</t>
  </si>
  <si>
    <t>0:02:34:10</t>
  </si>
  <si>
    <t>0:02:34:11</t>
  </si>
  <si>
    <t>0:02:34:12</t>
  </si>
  <si>
    <t>0:02:34:13</t>
  </si>
  <si>
    <t>0:02:34:14</t>
  </si>
  <si>
    <t>0:02:34:15</t>
  </si>
  <si>
    <t>0:02:34:16</t>
  </si>
  <si>
    <t>0:02:34:17</t>
  </si>
  <si>
    <t>0:02:34:18</t>
  </si>
  <si>
    <t>0:02:34:19</t>
  </si>
  <si>
    <t>0:02:34:20</t>
  </si>
  <si>
    <t>0:02:34:21</t>
  </si>
  <si>
    <t>0:02:34:22</t>
  </si>
  <si>
    <t>0:02:34:23</t>
  </si>
  <si>
    <t>0:02:34:24</t>
  </si>
  <si>
    <t>0:02:35:00</t>
  </si>
  <si>
    <t>0:02:35:01</t>
  </si>
  <si>
    <t>0:02:35:02</t>
  </si>
  <si>
    <t>0:02:35:03</t>
  </si>
  <si>
    <t>0:02:35:04</t>
  </si>
  <si>
    <t>0:02:35:05</t>
  </si>
  <si>
    <t>0:02:35:06</t>
  </si>
  <si>
    <t>0:02:35:07</t>
  </si>
  <si>
    <t>0:02:35:08</t>
  </si>
  <si>
    <t>0:02:35:09</t>
  </si>
  <si>
    <t>0:02:35:10</t>
  </si>
  <si>
    <t>0:02:35:11</t>
  </si>
  <si>
    <t>0:02:35:12</t>
  </si>
  <si>
    <t>0:02:35:13</t>
  </si>
  <si>
    <t>0:02:35:14</t>
  </si>
  <si>
    <t>0:02:35:15</t>
  </si>
  <si>
    <t>0:02:35:16</t>
  </si>
  <si>
    <t>0:02:35:17</t>
  </si>
  <si>
    <t>0:02:35:18</t>
  </si>
  <si>
    <t>0:02:35:19</t>
  </si>
  <si>
    <t>0:02:35:20</t>
  </si>
  <si>
    <t>0:02:35:21</t>
  </si>
  <si>
    <t>0:02:35:22</t>
  </si>
  <si>
    <t>0:02:35:23</t>
  </si>
  <si>
    <t>0:02:35:24</t>
  </si>
  <si>
    <t>0:02:36:00</t>
  </si>
  <si>
    <t>0:02:36:01</t>
  </si>
  <si>
    <t>0:02:36:02</t>
  </si>
  <si>
    <t>0:02:36:03</t>
  </si>
  <si>
    <t>0:02:36:04</t>
  </si>
  <si>
    <t>0:02:36:05</t>
  </si>
  <si>
    <t>0:02:36:06</t>
  </si>
  <si>
    <t>0:02:36:07</t>
  </si>
  <si>
    <t>0:02:36:08</t>
  </si>
  <si>
    <t>0:02:36:09</t>
  </si>
  <si>
    <t>0:02:36:10</t>
  </si>
  <si>
    <t>0:02:36:11</t>
  </si>
  <si>
    <t>0:02:36:12</t>
  </si>
  <si>
    <t>0:02:36:13</t>
  </si>
  <si>
    <t>0:02:36:14</t>
  </si>
  <si>
    <t>0:02:36:15</t>
  </si>
  <si>
    <t>0:02:36:16</t>
  </si>
  <si>
    <t>0:02:36:17</t>
  </si>
  <si>
    <t>0:02:36:18</t>
  </si>
  <si>
    <t>0:02:36:19</t>
  </si>
  <si>
    <t>0:02:36:20</t>
  </si>
  <si>
    <t>0:02:36:21</t>
  </si>
  <si>
    <t>0:02:36:22</t>
  </si>
  <si>
    <t>0:02:36:23</t>
  </si>
  <si>
    <t>0:02:36:24</t>
  </si>
  <si>
    <t>0:02:37:00</t>
  </si>
  <si>
    <t>0:02:37:01</t>
  </si>
  <si>
    <t>0:02:37:02</t>
  </si>
  <si>
    <t>0:02:37:03</t>
  </si>
  <si>
    <t>0:02:37:04</t>
  </si>
  <si>
    <t>0:02:37:05</t>
  </si>
  <si>
    <t>0:02:37:06</t>
  </si>
  <si>
    <t>0:02:37:07</t>
  </si>
  <si>
    <t>0:02:37:08</t>
  </si>
  <si>
    <t>0:02:37:09</t>
  </si>
  <si>
    <t>0:02:37:10</t>
  </si>
  <si>
    <t>0:02:37:11</t>
  </si>
  <si>
    <t>0:02:37:12</t>
  </si>
  <si>
    <t>0:02:37:13</t>
  </si>
  <si>
    <t>0:02:37:14</t>
  </si>
  <si>
    <t>0:02:37:15</t>
  </si>
  <si>
    <t>0:02:37:16</t>
  </si>
  <si>
    <t>0:02:37:17</t>
  </si>
  <si>
    <t>0:02:37:18</t>
  </si>
  <si>
    <t>0:02:37:19</t>
  </si>
  <si>
    <t>0:02:37:20</t>
  </si>
  <si>
    <t>0:02:37:21</t>
  </si>
  <si>
    <t>0:02:37:22</t>
  </si>
  <si>
    <t>0:02:37:23</t>
  </si>
  <si>
    <t>0:02:37:24</t>
  </si>
  <si>
    <t>0:02:38:00</t>
  </si>
  <si>
    <t>0:02:38:01</t>
  </si>
  <si>
    <t>0:02:38:02</t>
  </si>
  <si>
    <t>0:02:38:03</t>
  </si>
  <si>
    <t>0:02:38:04</t>
  </si>
  <si>
    <t>0:02:38:05</t>
  </si>
  <si>
    <t>0:02:38:06</t>
  </si>
  <si>
    <t>0:02:38:07</t>
  </si>
  <si>
    <t>0:02:38:08</t>
  </si>
  <si>
    <t>0:02:38:09</t>
  </si>
  <si>
    <t>0:02:38:10</t>
  </si>
  <si>
    <t>0:02:38:11</t>
  </si>
  <si>
    <t>0:02:38:12</t>
  </si>
  <si>
    <t>0:02:38:13</t>
  </si>
  <si>
    <t>0:02:38:14</t>
  </si>
  <si>
    <t>0:02:38:15</t>
  </si>
  <si>
    <t>0:02:38:16</t>
  </si>
  <si>
    <t>0:02:38:17</t>
  </si>
  <si>
    <t>0:02:38:18</t>
  </si>
  <si>
    <t>0:02:38:19</t>
  </si>
  <si>
    <t>0:02:38:20</t>
  </si>
  <si>
    <t>0:02:38:21</t>
  </si>
  <si>
    <t>0:02:38:22</t>
  </si>
  <si>
    <t>0:02:38:23</t>
  </si>
  <si>
    <t>0:02:38:24</t>
  </si>
  <si>
    <t>0:02:39:00</t>
  </si>
  <si>
    <t>0:02:39:01</t>
  </si>
  <si>
    <t>0:02:39:02</t>
  </si>
  <si>
    <t>0:02:39:03</t>
  </si>
  <si>
    <t>0:02:39:04</t>
  </si>
  <si>
    <t>0:02:39:05</t>
  </si>
  <si>
    <t>0:02:39:06</t>
  </si>
  <si>
    <t>0:02:39:07</t>
  </si>
  <si>
    <t>0:02:39:08</t>
  </si>
  <si>
    <t>0:02:39:09</t>
  </si>
  <si>
    <t>0:02:39:10</t>
  </si>
  <si>
    <t>0:02:39:11</t>
  </si>
  <si>
    <t>0:02:39:12</t>
  </si>
  <si>
    <t>0:02:39:13</t>
  </si>
  <si>
    <t>0:02:39:14</t>
  </si>
  <si>
    <t>0:02:39:15</t>
  </si>
  <si>
    <t>0:02:39:16</t>
  </si>
  <si>
    <t>0:02:39:17</t>
  </si>
  <si>
    <t>0:02:39:18</t>
  </si>
  <si>
    <t>0:02:39:19</t>
  </si>
  <si>
    <t>0:02:39:20</t>
  </si>
  <si>
    <t>0:02:39:21</t>
  </si>
  <si>
    <t>0:02:39:22</t>
  </si>
  <si>
    <t>0:02:39:23</t>
  </si>
  <si>
    <t>0:02:39:24</t>
  </si>
  <si>
    <t>0:02:40:00</t>
  </si>
  <si>
    <t>0:02:40:01</t>
  </si>
  <si>
    <t>0:02:40:02</t>
  </si>
  <si>
    <t>0:02:40:03</t>
  </si>
  <si>
    <t>0:02:40:04</t>
  </si>
  <si>
    <t>0:02:40:05</t>
  </si>
  <si>
    <t>0:02:40:06</t>
  </si>
  <si>
    <t>0:02:40:07</t>
  </si>
  <si>
    <t>0:02:40:08</t>
  </si>
  <si>
    <t>0:02:40:09</t>
  </si>
  <si>
    <t>0:02:40:10</t>
  </si>
  <si>
    <t>0:02:40:11</t>
  </si>
  <si>
    <t>0:02:40:12</t>
  </si>
  <si>
    <t>0:02:40:13</t>
  </si>
  <si>
    <t>0:02:40:14</t>
  </si>
  <si>
    <t>0:02:40:15</t>
  </si>
  <si>
    <t>0:02:40:16</t>
  </si>
  <si>
    <t>0:02:40:17</t>
  </si>
  <si>
    <t>0:02:40:18</t>
  </si>
  <si>
    <t>0:02:40:19</t>
  </si>
  <si>
    <t>0:02:40:20</t>
  </si>
  <si>
    <t>0:02:40:21</t>
  </si>
  <si>
    <t>0:02:40:22</t>
  </si>
  <si>
    <t>0:02:40:23</t>
  </si>
  <si>
    <t>0:02:40:24</t>
  </si>
  <si>
    <t>0:02:41:00</t>
  </si>
  <si>
    <t>0:02:41:01</t>
  </si>
  <si>
    <t>0:02:41:02</t>
  </si>
  <si>
    <t>0:02:41:03</t>
  </si>
  <si>
    <t>0:02:41:04</t>
  </si>
  <si>
    <t>0:02:41:05</t>
  </si>
  <si>
    <t>0:02:41:06</t>
  </si>
  <si>
    <t>0:02:41:07</t>
  </si>
  <si>
    <t>0:02:41:08</t>
  </si>
  <si>
    <t>0:02:41:09</t>
  </si>
  <si>
    <t>0:02:41:10</t>
  </si>
  <si>
    <t>0:02:41:11</t>
  </si>
  <si>
    <t>0:02:41:12</t>
  </si>
  <si>
    <t>0:02:41:13</t>
  </si>
  <si>
    <t>0:02:41:14</t>
  </si>
  <si>
    <t>0:02:41:15</t>
  </si>
  <si>
    <t>0:02:41:16</t>
  </si>
  <si>
    <t>0:02:41:17</t>
  </si>
  <si>
    <t>0:02:41:18</t>
  </si>
  <si>
    <t>0:02:41:19</t>
  </si>
  <si>
    <t>0:02:41:20</t>
  </si>
  <si>
    <t>0:02:41:21</t>
  </si>
  <si>
    <t>0:02:41:22</t>
  </si>
  <si>
    <t>0:02:41:23</t>
  </si>
  <si>
    <t>0:02:41:24</t>
  </si>
  <si>
    <t>0:02:42:00</t>
  </si>
  <si>
    <t>0:02:42:01</t>
  </si>
  <si>
    <t>0:02:42:02</t>
  </si>
  <si>
    <t>0:02:42:03</t>
  </si>
  <si>
    <t>0:02:42:04</t>
  </si>
  <si>
    <t>0:02:42:05</t>
  </si>
  <si>
    <t>0:02:42:06</t>
  </si>
  <si>
    <t>0:02:42:07</t>
  </si>
  <si>
    <t>0:02:42:08</t>
  </si>
  <si>
    <t>0:02:42:09</t>
  </si>
  <si>
    <t>0:02:42:10</t>
  </si>
  <si>
    <t>0:02:42:11</t>
  </si>
  <si>
    <t>0:02:42:12</t>
  </si>
  <si>
    <t>0:02:42:13</t>
  </si>
  <si>
    <t>0:02:42:14</t>
  </si>
  <si>
    <t>0:02:42:15</t>
  </si>
  <si>
    <t>0:02:42:16</t>
  </si>
  <si>
    <t>0:02:42:17</t>
  </si>
  <si>
    <t>0:02:42:18</t>
  </si>
  <si>
    <t>0:02:42:19</t>
  </si>
  <si>
    <t>0:02:42:20</t>
  </si>
  <si>
    <t>0:02:42:21</t>
  </si>
  <si>
    <t>0:02:42:22</t>
  </si>
  <si>
    <t>0:02:42:23</t>
  </si>
  <si>
    <t>0:02:42:24</t>
  </si>
  <si>
    <t>0:02:43:00</t>
  </si>
  <si>
    <t>0:02:43:01</t>
  </si>
  <si>
    <t>0:02:43:02</t>
  </si>
  <si>
    <t>0:02:43:03</t>
  </si>
  <si>
    <t>0:02:43:04</t>
  </si>
  <si>
    <t>0:02:43:05</t>
  </si>
  <si>
    <t>0:02:43:06</t>
  </si>
  <si>
    <t>0:02:43:07</t>
  </si>
  <si>
    <t>0:02:43:08</t>
  </si>
  <si>
    <t>0:02:43:09</t>
  </si>
  <si>
    <t>0:02:43:10</t>
  </si>
  <si>
    <t>0:02:43:11</t>
  </si>
  <si>
    <t>0:02:43:12</t>
  </si>
  <si>
    <t>0:02:43:13</t>
  </si>
  <si>
    <t>0:02:43:14</t>
  </si>
  <si>
    <t>0:02:43:15</t>
  </si>
  <si>
    <t>0:02:43:16</t>
  </si>
  <si>
    <t>0:02:43:17</t>
  </si>
  <si>
    <t>0:02:43:18</t>
  </si>
  <si>
    <t>0:02:43:19</t>
  </si>
  <si>
    <t>0:02:43:20</t>
  </si>
  <si>
    <t>0:02:43:21</t>
  </si>
  <si>
    <t>0:02:43:22</t>
  </si>
  <si>
    <t>0:02:43:23</t>
  </si>
  <si>
    <t>0:02:43:24</t>
  </si>
  <si>
    <t>0:02:44:00</t>
  </si>
  <si>
    <t>0:02:44:01</t>
  </si>
  <si>
    <t>0:02:44:02</t>
  </si>
  <si>
    <t>0:02:44:03</t>
  </si>
  <si>
    <t>0:02:44:04</t>
  </si>
  <si>
    <t>0:02:44:05</t>
  </si>
  <si>
    <t>0:02:44:06</t>
  </si>
  <si>
    <t>0:02:44:07</t>
  </si>
  <si>
    <t>0:02:44:08</t>
  </si>
  <si>
    <t>0:02:44:09</t>
  </si>
  <si>
    <t>0:02:44:10</t>
  </si>
  <si>
    <t>0:02:44:11</t>
  </si>
  <si>
    <t>0:02:44:12</t>
  </si>
  <si>
    <t>0:02:44:13</t>
  </si>
  <si>
    <t>0:02:44:14</t>
  </si>
  <si>
    <t>0:02:44:15</t>
  </si>
  <si>
    <t>0:02:44:16</t>
  </si>
  <si>
    <t>0:02:44:17</t>
  </si>
  <si>
    <t>0:02:44:18</t>
  </si>
  <si>
    <t>0:02:44:19</t>
  </si>
  <si>
    <t>0:02:44:20</t>
  </si>
  <si>
    <t>0:02:44:21</t>
  </si>
  <si>
    <t>0:02:44:22</t>
  </si>
  <si>
    <t>0:02:44:23</t>
  </si>
  <si>
    <t>0:02:44:24</t>
  </si>
  <si>
    <t>0:02:45:00</t>
  </si>
  <si>
    <t>0:02:45:01</t>
  </si>
  <si>
    <t>0:02:45:02</t>
  </si>
  <si>
    <t>0:02:45:03</t>
  </si>
  <si>
    <t>0:02:45:04</t>
  </si>
  <si>
    <t>0:02:45:05</t>
  </si>
  <si>
    <t>0:02:45:06</t>
  </si>
  <si>
    <t>0:02:45:07</t>
  </si>
  <si>
    <t>0:02:45:08</t>
  </si>
  <si>
    <t>0:02:45:09</t>
  </si>
  <si>
    <t>0:02:45:10</t>
  </si>
  <si>
    <t>0:02:45:11</t>
  </si>
  <si>
    <t>0:02:45:12</t>
  </si>
  <si>
    <t>0:02:45:13</t>
  </si>
  <si>
    <t>0:02:45:14</t>
  </si>
  <si>
    <t>0:02:45:15</t>
  </si>
  <si>
    <t>0:02:45:16</t>
  </si>
  <si>
    <t>0:02:45:17</t>
  </si>
  <si>
    <t>0:02:45:18</t>
  </si>
  <si>
    <t>0:02:45:19</t>
  </si>
  <si>
    <t>0:02:45:20</t>
  </si>
  <si>
    <t>0:02:45:21</t>
  </si>
  <si>
    <t>0:02:45:22</t>
  </si>
  <si>
    <t>0:02:45:23</t>
  </si>
  <si>
    <t>0:02:45:24</t>
  </si>
  <si>
    <t>0:02:46:00</t>
  </si>
  <si>
    <t>0:02:46:01</t>
  </si>
  <si>
    <t>0:02:46:02</t>
  </si>
  <si>
    <t>0:02:46:03</t>
  </si>
  <si>
    <t>0:02:46:04</t>
  </si>
  <si>
    <t>0:02:46:05</t>
  </si>
  <si>
    <t>0:02:46:06</t>
  </si>
  <si>
    <t>0:02:46:07</t>
  </si>
  <si>
    <t>0:02:46:08</t>
  </si>
  <si>
    <t>0:02:46:09</t>
  </si>
  <si>
    <t>0:02:46:10</t>
  </si>
  <si>
    <t>0:02:46:11</t>
  </si>
  <si>
    <t>0:02:46:12</t>
  </si>
  <si>
    <t>0:02:46:13</t>
  </si>
  <si>
    <t>0:02:46:14</t>
  </si>
  <si>
    <t>0:02:46:15</t>
  </si>
  <si>
    <t>0:02:46:16</t>
  </si>
  <si>
    <t>0:02:46:17</t>
  </si>
  <si>
    <t>0:02:46:18</t>
  </si>
  <si>
    <t>0:02:46:19</t>
  </si>
  <si>
    <t>0:02:46:20</t>
  </si>
  <si>
    <t>0:02:46:21</t>
  </si>
  <si>
    <t>0:02:46:22</t>
  </si>
  <si>
    <t>0:02:46:23</t>
  </si>
  <si>
    <t>0:02:46:24</t>
  </si>
  <si>
    <t>0:02:47:00</t>
  </si>
  <si>
    <t>0:02:47:01</t>
  </si>
  <si>
    <t>0:02:47:02</t>
  </si>
  <si>
    <t>0:02:47:03</t>
  </si>
  <si>
    <t>0:02:47:04</t>
  </si>
  <si>
    <t>0:02:47:05</t>
  </si>
  <si>
    <t>0:02:47:06</t>
  </si>
  <si>
    <t>0:02:47:07</t>
  </si>
  <si>
    <t>0:02:47:08</t>
  </si>
  <si>
    <t>0:02:47:09</t>
  </si>
  <si>
    <t>0:02:47:10</t>
  </si>
  <si>
    <t>0:02:47:11</t>
  </si>
  <si>
    <t>0:02:47:12</t>
  </si>
  <si>
    <t>0:02:47:13</t>
  </si>
  <si>
    <t>0:02:47:14</t>
  </si>
  <si>
    <t>0:02:47:15</t>
  </si>
  <si>
    <t>0:02:47:16</t>
  </si>
  <si>
    <t>0:02:47:17</t>
  </si>
  <si>
    <t>0:02:47:18</t>
  </si>
  <si>
    <t>0:02:47:19</t>
  </si>
  <si>
    <t>0:02:47:20</t>
  </si>
  <si>
    <t>0:02:47:21</t>
  </si>
  <si>
    <t>0:02:47:22</t>
  </si>
  <si>
    <t>0:02:47:23</t>
  </si>
  <si>
    <t>0:02:47:24</t>
  </si>
  <si>
    <t>0:02:48:00</t>
  </si>
  <si>
    <t>0:02:48:01</t>
  </si>
  <si>
    <t>0:02:48:02</t>
  </si>
  <si>
    <t>0:02:48:03</t>
  </si>
  <si>
    <t>0:02:48:04</t>
  </si>
  <si>
    <t>0:02:48:05</t>
  </si>
  <si>
    <t>0:02:48:06</t>
  </si>
  <si>
    <t>0:02:48:07</t>
  </si>
  <si>
    <t>0:02:48:08</t>
  </si>
  <si>
    <t>0:02:48:09</t>
  </si>
  <si>
    <t>0:02:48:10</t>
  </si>
  <si>
    <t>0:02:48:11</t>
  </si>
  <si>
    <t>0:02:48:12</t>
  </si>
  <si>
    <t>0:02:48:13</t>
  </si>
  <si>
    <t>0:02:48:14</t>
  </si>
  <si>
    <t>0:02:48:15</t>
  </si>
  <si>
    <t>0:02:48:16</t>
  </si>
  <si>
    <t>0:02:48:17</t>
  </si>
  <si>
    <t>0:02:48:18</t>
  </si>
  <si>
    <t>0:02:48:19</t>
  </si>
  <si>
    <t>0:02:48:20</t>
  </si>
  <si>
    <t>0:02:48:21</t>
  </si>
  <si>
    <t>0:02:48:22</t>
  </si>
  <si>
    <t>0:02:48:23</t>
  </si>
  <si>
    <t>0:02:48:24</t>
  </si>
  <si>
    <t>0:02:49:00</t>
  </si>
  <si>
    <t>0:02:49:01</t>
  </si>
  <si>
    <t>0:02:49:02</t>
  </si>
  <si>
    <t>0:02:49:03</t>
  </si>
  <si>
    <t>0:02:49:04</t>
  </si>
  <si>
    <t>0:02:49:05</t>
  </si>
  <si>
    <t>0:02:49:06</t>
  </si>
  <si>
    <t>0:02:49:07</t>
  </si>
  <si>
    <t>0:02:49:08</t>
  </si>
  <si>
    <t>0:02:49:09</t>
  </si>
  <si>
    <t>0:02:49:10</t>
  </si>
  <si>
    <t>0:02:49:11</t>
  </si>
  <si>
    <t>0:02:49:12</t>
  </si>
  <si>
    <t>0:02:49:13</t>
  </si>
  <si>
    <t>0:02:49:14</t>
  </si>
  <si>
    <t>0:02:49:15</t>
  </si>
  <si>
    <t>0:02:49:16</t>
  </si>
  <si>
    <t>0:02:49:17</t>
  </si>
  <si>
    <t>0:02:49:18</t>
  </si>
  <si>
    <t>0:02:49:19</t>
  </si>
  <si>
    <t>0:02:49:20</t>
  </si>
  <si>
    <t>0:02:49:21</t>
  </si>
  <si>
    <t>0:02:49:22</t>
  </si>
  <si>
    <t>0:02:49:23</t>
  </si>
  <si>
    <t>0:02:49:24</t>
  </si>
  <si>
    <t>0:02:50:00</t>
  </si>
  <si>
    <t>0:02:50:01</t>
  </si>
  <si>
    <t>0:02:50:02</t>
  </si>
  <si>
    <t>0:02:50:03</t>
  </si>
  <si>
    <t>0:02:50:04</t>
  </si>
  <si>
    <t>0:02:50:05</t>
  </si>
  <si>
    <t>0:02:50:06</t>
  </si>
  <si>
    <t>0:02:50:07</t>
  </si>
  <si>
    <t>0:02:50:08</t>
  </si>
  <si>
    <t>0:02:50:09</t>
  </si>
  <si>
    <t>0:02:50:10</t>
  </si>
  <si>
    <t>0:02:50:11</t>
  </si>
  <si>
    <t>0:02:50:12</t>
  </si>
  <si>
    <t>0:02:50:13</t>
  </si>
  <si>
    <t>0:02:50:14</t>
  </si>
  <si>
    <t>0:02:50:15</t>
  </si>
  <si>
    <t>0:02:50:16</t>
  </si>
  <si>
    <t>0:02:50:17</t>
  </si>
  <si>
    <t>0:02:50:18</t>
  </si>
  <si>
    <t>0:02:50:19</t>
  </si>
  <si>
    <t>0:02:50:20</t>
  </si>
  <si>
    <t>0:02:50:21</t>
  </si>
  <si>
    <t>0:02:50:22</t>
  </si>
  <si>
    <t>0:02:50:23</t>
  </si>
  <si>
    <t>0:02:50:24</t>
  </si>
  <si>
    <t>0:02:51:00</t>
  </si>
  <si>
    <t>0:02:51:01</t>
  </si>
  <si>
    <t>0:02:51:02</t>
  </si>
  <si>
    <t>0:02:51:03</t>
  </si>
  <si>
    <t>0:02:51:04</t>
  </si>
  <si>
    <t>0:02:51:05</t>
  </si>
  <si>
    <t>0:02:51:06</t>
  </si>
  <si>
    <t>0:02:51:07</t>
  </si>
  <si>
    <t>0:02:51:08</t>
  </si>
  <si>
    <t>0:02:51:09</t>
  </si>
  <si>
    <t>0:02:51:10</t>
  </si>
  <si>
    <t>0:02:51:11</t>
  </si>
  <si>
    <t>0:02:51:12</t>
  </si>
  <si>
    <t>0:02:51:13</t>
  </si>
  <si>
    <t>0:02:51:14</t>
  </si>
  <si>
    <t>0:02:51:15</t>
  </si>
  <si>
    <t>0:02:51:16</t>
  </si>
  <si>
    <t>0:02:51:17</t>
  </si>
  <si>
    <t>0:02:51:18</t>
  </si>
  <si>
    <t>0:02:51:19</t>
  </si>
  <si>
    <t>0:02:51:20</t>
  </si>
  <si>
    <t>0:02:51:21</t>
  </si>
  <si>
    <t>0:02:51:22</t>
  </si>
  <si>
    <t>0:02:51:23</t>
  </si>
  <si>
    <t>0:02:51:24</t>
  </si>
  <si>
    <t>0:02:52:00</t>
  </si>
  <si>
    <t>0:02:52:01</t>
  </si>
  <si>
    <t>0:02:52:02</t>
  </si>
  <si>
    <t>0:02:52:03</t>
  </si>
  <si>
    <t>0:02:52:04</t>
  </si>
  <si>
    <t>0:02:52:05</t>
  </si>
  <si>
    <t>0:02:52:06</t>
  </si>
  <si>
    <t>0:02:52:07</t>
  </si>
  <si>
    <t>0:02:52:08</t>
  </si>
  <si>
    <t>0:02:52:09</t>
  </si>
  <si>
    <t>0:02:52:10</t>
  </si>
  <si>
    <t>0:02:52:11</t>
  </si>
  <si>
    <t>0:02:52:12</t>
  </si>
  <si>
    <t>0:02:52:13</t>
  </si>
  <si>
    <t>0:02:52:14</t>
  </si>
  <si>
    <t>0:02:52:15</t>
  </si>
  <si>
    <t>0:02:52:16</t>
  </si>
  <si>
    <t>0:02:52:17</t>
  </si>
  <si>
    <t>0:02:52:18</t>
  </si>
  <si>
    <t>0:02:52:19</t>
  </si>
  <si>
    <t>0:02:52:20</t>
  </si>
  <si>
    <t>0:02:52:21</t>
  </si>
  <si>
    <t>0:02:52:22</t>
  </si>
  <si>
    <t>0:02:52:23</t>
  </si>
  <si>
    <t>0:02:52:24</t>
  </si>
  <si>
    <t>0:02:53:00</t>
  </si>
  <si>
    <t>0:02:53:01</t>
  </si>
  <si>
    <t>0:02:53:02</t>
  </si>
  <si>
    <t>0:02:53:03</t>
  </si>
  <si>
    <t>0:02:53:04</t>
  </si>
  <si>
    <t>0:02:53:05</t>
  </si>
  <si>
    <t>0:02:53:06</t>
  </si>
  <si>
    <t>0:02:53:07</t>
  </si>
  <si>
    <t>0:02:53:08</t>
  </si>
  <si>
    <t>0:02:53:09</t>
  </si>
  <si>
    <t>0:02:53:10</t>
  </si>
  <si>
    <t>0:02:53:11</t>
  </si>
  <si>
    <t>0:02:53:12</t>
  </si>
  <si>
    <t>0:02:53:13</t>
  </si>
  <si>
    <t>0:02:53:14</t>
  </si>
  <si>
    <t>0:02:53:15</t>
  </si>
  <si>
    <t>0:02:53:16</t>
  </si>
  <si>
    <t>0:02:53:17</t>
  </si>
  <si>
    <t>0:02:53:18</t>
  </si>
  <si>
    <t>0:02:53:19</t>
  </si>
  <si>
    <t>0:02:53:20</t>
  </si>
  <si>
    <t>0:02:53:21</t>
  </si>
  <si>
    <t>0:02:53:22</t>
  </si>
  <si>
    <t>0:02:53:23</t>
  </si>
  <si>
    <t>0:02:53:24</t>
  </si>
  <si>
    <t>0:02:54:00</t>
  </si>
  <si>
    <t>0:02:54:01</t>
  </si>
  <si>
    <t>0:02:54:02</t>
  </si>
  <si>
    <t>0:02:54:03</t>
  </si>
  <si>
    <t>0:02:54:04</t>
  </si>
  <si>
    <t>0:02:54:05</t>
  </si>
  <si>
    <t>0:02:54:06</t>
  </si>
  <si>
    <t>0:02:54:07</t>
  </si>
  <si>
    <t>0:02:54:08</t>
  </si>
  <si>
    <t>0:02:54:09</t>
  </si>
  <si>
    <t>0:02:54:10</t>
  </si>
  <si>
    <t>0:02:54:11</t>
  </si>
  <si>
    <t>0:02:54:12</t>
  </si>
  <si>
    <t>0:02:54:13</t>
  </si>
  <si>
    <t>0:02:54:14</t>
  </si>
  <si>
    <t>0:02:54:15</t>
  </si>
  <si>
    <t>0:02:54:16</t>
  </si>
  <si>
    <t>0:02:54:17</t>
  </si>
  <si>
    <t>0:02:54:18</t>
  </si>
  <si>
    <t>0:02:54:19</t>
  </si>
  <si>
    <t>0:02:54:20</t>
  </si>
  <si>
    <t>0:02:54:21</t>
  </si>
  <si>
    <t>0:02:54:22</t>
  </si>
  <si>
    <t>0:02:54:23</t>
  </si>
  <si>
    <t>0:02:54:24</t>
  </si>
  <si>
    <t>0:02:55:00</t>
  </si>
  <si>
    <t>0:02:55:01</t>
  </si>
  <si>
    <t>0:02:55:02</t>
  </si>
  <si>
    <t>0:02:55:03</t>
  </si>
  <si>
    <t>0:02:55:04</t>
  </si>
  <si>
    <t>0:02:55:05</t>
  </si>
  <si>
    <t>0:02:55:06</t>
  </si>
  <si>
    <t>0:02:55:07</t>
  </si>
  <si>
    <t>0:02:55:08</t>
  </si>
  <si>
    <t>0:02:55:09</t>
  </si>
  <si>
    <t>0:02:55:10</t>
  </si>
  <si>
    <t>0:02:55:11</t>
  </si>
  <si>
    <t>0:02:55:12</t>
  </si>
  <si>
    <t>0:02:55:13</t>
  </si>
  <si>
    <t>0:02:55:14</t>
  </si>
  <si>
    <t>0:02:55:15</t>
  </si>
  <si>
    <t>0:02:55:16</t>
  </si>
  <si>
    <t>0:02:55:17</t>
  </si>
  <si>
    <t>0:02:55:18</t>
  </si>
  <si>
    <t>0:02:55:19</t>
  </si>
  <si>
    <t>0:02:55:20</t>
  </si>
  <si>
    <t>0:02:55:21</t>
  </si>
  <si>
    <t>0:02:55:22</t>
  </si>
  <si>
    <t>0:02:55:23</t>
  </si>
  <si>
    <t>0:02:55:24</t>
  </si>
  <si>
    <t>0:02:56:00</t>
  </si>
  <si>
    <t>0:02:56:01</t>
  </si>
  <si>
    <t>0:02:56:02</t>
  </si>
  <si>
    <t>0:02:56:03</t>
  </si>
  <si>
    <t>0:02:56:04</t>
  </si>
  <si>
    <t>0:02:56:05</t>
  </si>
  <si>
    <t>0:02:56:06</t>
  </si>
  <si>
    <t>0:02:56:07</t>
  </si>
  <si>
    <t>0:02:56:08</t>
  </si>
  <si>
    <t>0:02:56:09</t>
  </si>
  <si>
    <t>0:02:56:10</t>
  </si>
  <si>
    <t>0:02:56:11</t>
  </si>
  <si>
    <t>0:02:56:12</t>
  </si>
  <si>
    <t>0:02:56:13</t>
  </si>
  <si>
    <t>0:02:56:14</t>
  </si>
  <si>
    <t>0:02:56:15</t>
  </si>
  <si>
    <t>0:02:56:16</t>
  </si>
  <si>
    <t>0:02:56:17</t>
  </si>
  <si>
    <t>0:02:56:18</t>
  </si>
  <si>
    <t>0:02:56:19</t>
  </si>
  <si>
    <t>0:02:56:20</t>
  </si>
  <si>
    <t>0:02:56:21</t>
  </si>
  <si>
    <t>0:02:56:22</t>
  </si>
  <si>
    <t>0:02:56:23</t>
  </si>
  <si>
    <t>0:02:56:24</t>
  </si>
  <si>
    <t>0:02:57:00</t>
  </si>
  <si>
    <t>0:02:57:01</t>
  </si>
  <si>
    <t>0:02:57:02</t>
  </si>
  <si>
    <t>0:02:57:03</t>
  </si>
  <si>
    <t>0:02:57:04</t>
  </si>
  <si>
    <t>0:02:57:05</t>
  </si>
  <si>
    <t>0:02:57:06</t>
  </si>
  <si>
    <t>0:02:57:07</t>
  </si>
  <si>
    <t>0:02:57:08</t>
  </si>
  <si>
    <t>0:02:57:09</t>
  </si>
  <si>
    <t>0:02:57:10</t>
  </si>
  <si>
    <t>0:02:57:11</t>
  </si>
  <si>
    <t>0:02:57:12</t>
  </si>
  <si>
    <t>0:02:57:13</t>
  </si>
  <si>
    <t>0:02:57:14</t>
  </si>
  <si>
    <t>0:02:57:15</t>
  </si>
  <si>
    <t>0:02:57:16</t>
  </si>
  <si>
    <t>0:02:57:17</t>
  </si>
  <si>
    <t>0:02:57:18</t>
  </si>
  <si>
    <t>0:02:57:19</t>
  </si>
  <si>
    <t>0:02:57:20</t>
  </si>
  <si>
    <t>0:02:57:21</t>
  </si>
  <si>
    <t>0:02:57:22</t>
  </si>
  <si>
    <t>0:02:57:23</t>
  </si>
  <si>
    <t>0:02:57:24</t>
  </si>
  <si>
    <t>0:02:58:00</t>
  </si>
  <si>
    <t>0:02:58:01</t>
  </si>
  <si>
    <t>0:02:58:02</t>
  </si>
  <si>
    <t>0:02:58:03</t>
  </si>
  <si>
    <t>0:02:58:04</t>
  </si>
  <si>
    <t>0:02:58:05</t>
  </si>
  <si>
    <t>0:02:58:06</t>
  </si>
  <si>
    <t>0:02:58:07</t>
  </si>
  <si>
    <t>0:02:58:08</t>
  </si>
  <si>
    <t>0:02:58:09</t>
  </si>
  <si>
    <t>0:02:58:10</t>
  </si>
  <si>
    <t>0:02:58:11</t>
  </si>
  <si>
    <t>0:02:58:12</t>
  </si>
  <si>
    <t>0:02:58:13</t>
  </si>
  <si>
    <t>0:02:58:14</t>
  </si>
  <si>
    <t>0:02:58:15</t>
  </si>
  <si>
    <t>0:02:58:16</t>
  </si>
  <si>
    <t>0:02:58:17</t>
  </si>
  <si>
    <t>0:02:58:18</t>
  </si>
  <si>
    <t>0:02:58:19</t>
  </si>
  <si>
    <t>0:02:58:20</t>
  </si>
  <si>
    <t>0:02:58:21</t>
  </si>
  <si>
    <t>0:02:58:22</t>
  </si>
  <si>
    <t>0:02:58:23</t>
  </si>
  <si>
    <t>0:02:58:24</t>
  </si>
  <si>
    <t>0:02:59:00</t>
  </si>
  <si>
    <t>0:02:59:01</t>
  </si>
  <si>
    <t>0:02:59:02</t>
  </si>
  <si>
    <t>0:02:59:03</t>
  </si>
  <si>
    <t>0:02:59:04</t>
  </si>
  <si>
    <t>0:02:59:05</t>
  </si>
  <si>
    <t>0:02:59:06</t>
  </si>
  <si>
    <t>0:02:59:07</t>
  </si>
  <si>
    <t>0:02:59:08</t>
  </si>
  <si>
    <t>0:02:59:09</t>
  </si>
  <si>
    <t>0:02:59:10</t>
  </si>
  <si>
    <t>0:02:59:11</t>
  </si>
  <si>
    <t>0:02:59:12</t>
  </si>
  <si>
    <t>0:02:59:13</t>
  </si>
  <si>
    <t>0:02:59:14</t>
  </si>
  <si>
    <t>0:02:59:15</t>
  </si>
  <si>
    <t>0:02:59:16</t>
  </si>
  <si>
    <t>0:02:59:17</t>
  </si>
  <si>
    <t>0:02:59:18</t>
  </si>
  <si>
    <t>0:02:59:19</t>
  </si>
  <si>
    <t>0:02:59:20</t>
  </si>
  <si>
    <t>0:02:59:21</t>
  </si>
  <si>
    <t>0:02:59:22</t>
  </si>
  <si>
    <t>0:02:59:23</t>
  </si>
  <si>
    <t>0:02:59:24</t>
  </si>
  <si>
    <t>0:03:00:00</t>
  </si>
  <si>
    <t>0:03:00:01</t>
  </si>
  <si>
    <t>0:03:00:02</t>
  </si>
  <si>
    <t>0:03:00:03</t>
  </si>
  <si>
    <t>0:03:00:04</t>
  </si>
  <si>
    <t>0:03:00:05</t>
  </si>
  <si>
    <t>0:03:00:06</t>
  </si>
  <si>
    <t>0:03:00:07</t>
  </si>
  <si>
    <t>0:03:00:08</t>
  </si>
  <si>
    <t>0:03:00:09</t>
  </si>
  <si>
    <t>0:03:00:10</t>
  </si>
  <si>
    <t>0:03:00:11</t>
  </si>
  <si>
    <t>0:03:00:12</t>
  </si>
  <si>
    <t>0:03:00:13</t>
  </si>
  <si>
    <t>0:03:00:14</t>
  </si>
  <si>
    <t>0:03:00:15</t>
  </si>
  <si>
    <t>0:03:00:16</t>
  </si>
  <si>
    <t>0:03:00:17</t>
  </si>
  <si>
    <t>0:03:00:18</t>
  </si>
  <si>
    <t>0:03:00:19</t>
  </si>
  <si>
    <t>0:03:00:20</t>
  </si>
  <si>
    <t>0:03:00:21</t>
  </si>
  <si>
    <t>0:03:00:22</t>
  </si>
  <si>
    <t>0:03:00:23</t>
  </si>
  <si>
    <t>0:03:00:24</t>
  </si>
  <si>
    <t>0:03:01:00</t>
  </si>
  <si>
    <t>0:03:01:01</t>
  </si>
  <si>
    <t>0:03:01:02</t>
  </si>
  <si>
    <t>0:03:01:03</t>
  </si>
  <si>
    <t>0:03:01:04</t>
  </si>
  <si>
    <t>0:03:01:05</t>
  </si>
  <si>
    <t>0:03:01:06</t>
  </si>
  <si>
    <t>0:03:01:07</t>
  </si>
  <si>
    <t>0:03:01:08</t>
  </si>
  <si>
    <t>0:03:01:09</t>
  </si>
  <si>
    <t>0:03:01:10</t>
  </si>
  <si>
    <t>0:03:01:11</t>
  </si>
  <si>
    <t>0:03:01:12</t>
  </si>
  <si>
    <t>0:03:01:13</t>
  </si>
  <si>
    <t>0:03:01:14</t>
  </si>
  <si>
    <t>0:03:01:15</t>
  </si>
  <si>
    <t>0:03:01:16</t>
  </si>
  <si>
    <t>0:03:01:17</t>
  </si>
  <si>
    <t>0:03:01:18</t>
  </si>
  <si>
    <t>0:03:01:19</t>
  </si>
  <si>
    <t>0:03:01:20</t>
  </si>
  <si>
    <t>0:03:01:21</t>
  </si>
  <si>
    <t>0:03:01:22</t>
  </si>
  <si>
    <t>0:03:01:23</t>
  </si>
  <si>
    <t>0:03:01:24</t>
  </si>
  <si>
    <t>0:03:02:00</t>
  </si>
  <si>
    <t>0:03:02:01</t>
  </si>
  <si>
    <t>0:03:02:02</t>
  </si>
  <si>
    <t>0:03:02:03</t>
  </si>
  <si>
    <t>0:03:02:04</t>
  </si>
  <si>
    <t>0:03:02:05</t>
  </si>
  <si>
    <t>0:03:02:06</t>
  </si>
  <si>
    <t>0:03:02:07</t>
  </si>
  <si>
    <t>0:03:02:08</t>
  </si>
  <si>
    <t>0:03:02:09</t>
  </si>
  <si>
    <t>0:03:02:10</t>
  </si>
  <si>
    <t>0:03:02:11</t>
  </si>
  <si>
    <t>0:03:02:12</t>
  </si>
  <si>
    <t>0:03:02:13</t>
  </si>
  <si>
    <t>0:03:02:14</t>
  </si>
  <si>
    <t>0:03:02:15</t>
  </si>
  <si>
    <t>0:03:02:16</t>
  </si>
  <si>
    <t>0:03:02:17</t>
  </si>
  <si>
    <t>0:03:02:18</t>
  </si>
  <si>
    <t>0:03:02:19</t>
  </si>
  <si>
    <t>0:03:02:20</t>
  </si>
  <si>
    <t>0:03:02:21</t>
  </si>
  <si>
    <t>0:03:02:22</t>
  </si>
  <si>
    <t>0:03:02:23</t>
  </si>
  <si>
    <t>0:03:02:24</t>
  </si>
  <si>
    <t>0:03:03:00</t>
  </si>
  <si>
    <t>0:03:03:01</t>
  </si>
  <si>
    <t>0:03:03:02</t>
  </si>
  <si>
    <t>0:03:03:03</t>
  </si>
  <si>
    <t>0:03:03:04</t>
  </si>
  <si>
    <t>0:03:03:05</t>
  </si>
  <si>
    <t>0:03:03:06</t>
  </si>
  <si>
    <t>0:03:03:07</t>
  </si>
  <si>
    <t>0:03:03:08</t>
  </si>
  <si>
    <t>0:03:03:09</t>
  </si>
  <si>
    <t>0:03:03:10</t>
  </si>
  <si>
    <t>0:03:03:11</t>
  </si>
  <si>
    <t>0:03:03:12</t>
  </si>
  <si>
    <t>0:03:03:13</t>
  </si>
  <si>
    <t>0:03:03:14</t>
  </si>
  <si>
    <t>0:03:03:15</t>
  </si>
  <si>
    <t>0:03:03:16</t>
  </si>
  <si>
    <t>0:03:03:17</t>
  </si>
  <si>
    <t>0:03:03:18</t>
  </si>
  <si>
    <t>0:03:03:19</t>
  </si>
  <si>
    <t>0:03:03:20</t>
  </si>
  <si>
    <t>0:03:03:21</t>
  </si>
  <si>
    <t>0:03:03:22</t>
  </si>
  <si>
    <t>0:03:03:23</t>
  </si>
  <si>
    <t>0:03:03:24</t>
  </si>
  <si>
    <t>0:03:04:00</t>
  </si>
  <si>
    <t>0:03:04:01</t>
  </si>
  <si>
    <t>0:03:04:02</t>
  </si>
  <si>
    <t>0:03:04:03</t>
  </si>
  <si>
    <t>0:03:04:04</t>
  </si>
  <si>
    <t>0:03:04:05</t>
  </si>
  <si>
    <t>0:03:04:06</t>
  </si>
  <si>
    <t>0:03:04:07</t>
  </si>
  <si>
    <t>0:03:04:08</t>
  </si>
  <si>
    <t>0:03:04:09</t>
  </si>
  <si>
    <t>0:03:04:10</t>
  </si>
  <si>
    <t>0:03:04:11</t>
  </si>
  <si>
    <t>0:03:04:12</t>
  </si>
  <si>
    <t>0:03:04:13</t>
  </si>
  <si>
    <t>0:03:04:14</t>
  </si>
  <si>
    <t>0:03:04:15</t>
  </si>
  <si>
    <t>0:03:04:16</t>
  </si>
  <si>
    <t>0:03:04:17</t>
  </si>
  <si>
    <t>0:03:04:18</t>
  </si>
  <si>
    <t>0:03:04:19</t>
  </si>
  <si>
    <t>0:03:04:20</t>
  </si>
  <si>
    <t>0:03:04:21</t>
  </si>
  <si>
    <t>0:03:04:22</t>
  </si>
  <si>
    <t>0:03:04:23</t>
  </si>
  <si>
    <t>0:03:04:24</t>
  </si>
  <si>
    <t>0:03:05:00</t>
  </si>
  <si>
    <t>0:03:05:01</t>
  </si>
  <si>
    <t>0:03:05:02</t>
  </si>
  <si>
    <t>0:03:05:03</t>
  </si>
  <si>
    <t>0:03:05:04</t>
  </si>
  <si>
    <t>0:03:05:05</t>
  </si>
  <si>
    <t>0:03:05:06</t>
  </si>
  <si>
    <t>0:03:05:07</t>
  </si>
  <si>
    <t>0:03:05:08</t>
  </si>
  <si>
    <t>0:03:05:09</t>
  </si>
  <si>
    <t>0:03:05:10</t>
  </si>
  <si>
    <t>0:03:05:11</t>
  </si>
  <si>
    <t>0:03:05:12</t>
  </si>
  <si>
    <t>0:03:05:13</t>
  </si>
  <si>
    <t>0:03:05:14</t>
  </si>
  <si>
    <t>0:03:05:15</t>
  </si>
  <si>
    <t>0:03:05:16</t>
  </si>
  <si>
    <t>0:03:05:17</t>
  </si>
  <si>
    <t>0:03:05:18</t>
  </si>
  <si>
    <t>0:03:05:19</t>
  </si>
  <si>
    <t>0:03:05:20</t>
  </si>
  <si>
    <t>0:03:05:21</t>
  </si>
  <si>
    <t>0:03:05:22</t>
  </si>
  <si>
    <t>0:03:05:23</t>
  </si>
  <si>
    <t>0:03:05:24</t>
  </si>
  <si>
    <t>0:03:06:00</t>
  </si>
  <si>
    <t>0:03:06:01</t>
  </si>
  <si>
    <t>0:03:06:02</t>
  </si>
  <si>
    <t>0:03:06:03</t>
  </si>
  <si>
    <t>0:03:06:04</t>
  </si>
  <si>
    <t>0:03:06:05</t>
  </si>
  <si>
    <t>0:03:06:06</t>
  </si>
  <si>
    <t>0:03:06:07</t>
  </si>
  <si>
    <t>0:03:06:08</t>
  </si>
  <si>
    <t>0:03:06:09</t>
  </si>
  <si>
    <t>0:03:06:10</t>
  </si>
  <si>
    <t>0:03:06:11</t>
  </si>
  <si>
    <t>0:03:06:12</t>
  </si>
  <si>
    <t>0:03:06:13</t>
  </si>
  <si>
    <t>0:03:06:14</t>
  </si>
  <si>
    <t>0:03:06:15</t>
  </si>
  <si>
    <t>0:03:06:16</t>
  </si>
  <si>
    <t>0:03:06:17</t>
  </si>
  <si>
    <t>0:03:06:18</t>
  </si>
  <si>
    <t>0:03:06:19</t>
  </si>
  <si>
    <t>0:03:06:20</t>
  </si>
  <si>
    <t>0:03:06:21</t>
  </si>
  <si>
    <t>0:03:06:22</t>
  </si>
  <si>
    <t>0:03:06:23</t>
  </si>
  <si>
    <t>0:03:06:24</t>
  </si>
  <si>
    <t>0:03:07:00</t>
  </si>
  <si>
    <t>0:03:07:01</t>
  </si>
  <si>
    <t>0:03:07:02</t>
  </si>
  <si>
    <t>0:03:07:03</t>
  </si>
  <si>
    <t>0:03:07:04</t>
  </si>
  <si>
    <t>0:03:07:05</t>
  </si>
  <si>
    <t>0:03:07:06</t>
  </si>
  <si>
    <t>0:03:07:07</t>
  </si>
  <si>
    <t>0:03:07:08</t>
  </si>
  <si>
    <t>0:03:07:09</t>
  </si>
  <si>
    <t>0:03:07:10</t>
  </si>
  <si>
    <t>0:03:07:11</t>
  </si>
  <si>
    <t>0:03:07:12</t>
  </si>
  <si>
    <t>0:03:07:13</t>
  </si>
  <si>
    <t>0:03:07:14</t>
  </si>
  <si>
    <t>0:03:07:15</t>
  </si>
  <si>
    <t>0:03:07:16</t>
  </si>
  <si>
    <t>0:03:07:17</t>
  </si>
  <si>
    <t>0:03:07:18</t>
  </si>
  <si>
    <t>0:03:07:19</t>
  </si>
  <si>
    <t>0:03:07:20</t>
  </si>
  <si>
    <t>0:03:07:21</t>
  </si>
  <si>
    <t>0:03:07:22</t>
  </si>
  <si>
    <t>0:03:07:23</t>
  </si>
  <si>
    <t>0:03:07:24</t>
  </si>
  <si>
    <t>0:03:08:00</t>
  </si>
  <si>
    <t>0:03:08:01</t>
  </si>
  <si>
    <t>0:03:08:02</t>
  </si>
  <si>
    <t>0:03:08:03</t>
  </si>
  <si>
    <t>0:03:08:04</t>
  </si>
  <si>
    <t>0:03:08:05</t>
  </si>
  <si>
    <t>0:03:08:06</t>
  </si>
  <si>
    <t>0:03:08:07</t>
  </si>
  <si>
    <t>0:03:08:08</t>
  </si>
  <si>
    <t>0:03:08:09</t>
  </si>
  <si>
    <t>0:03:08:10</t>
  </si>
  <si>
    <t>0:03:08:11</t>
  </si>
  <si>
    <t>0:03:08:12</t>
  </si>
  <si>
    <t>0:03:08:13</t>
  </si>
  <si>
    <t>0:03:08:14</t>
  </si>
  <si>
    <t>0:03:08:15</t>
  </si>
  <si>
    <t>0:03:08:16</t>
  </si>
  <si>
    <t>0:03:08:17</t>
  </si>
  <si>
    <t>0:03:08:18</t>
  </si>
  <si>
    <t>0:03:08:19</t>
  </si>
  <si>
    <t>0:03:08:20</t>
  </si>
  <si>
    <t>0:03:08:21</t>
  </si>
  <si>
    <t>0:03:08:22</t>
  </si>
  <si>
    <t>0:03:08:23</t>
  </si>
  <si>
    <t>0:03:08:24</t>
  </si>
  <si>
    <t>0:03:09:00</t>
  </si>
  <si>
    <t>0:03:09:01</t>
  </si>
  <si>
    <t>0:03:09:02</t>
  </si>
  <si>
    <t>0:03:09:03</t>
  </si>
  <si>
    <t>0:03:09:04</t>
  </si>
  <si>
    <t>0:03:09:05</t>
  </si>
  <si>
    <t>0:03:09:06</t>
  </si>
  <si>
    <t>0:03:09:07</t>
  </si>
  <si>
    <t>0:03:09:08</t>
  </si>
  <si>
    <t>0:03:09:09</t>
  </si>
  <si>
    <t>0:03:09:10</t>
  </si>
  <si>
    <t>0:03:09:11</t>
  </si>
  <si>
    <t>0:03:09:12</t>
  </si>
  <si>
    <t>0:03:09:13</t>
  </si>
  <si>
    <t>0:03:09:14</t>
  </si>
  <si>
    <t>0:03:09:15</t>
  </si>
  <si>
    <t>0:03:09:16</t>
  </si>
  <si>
    <t>0:03:09:17</t>
  </si>
  <si>
    <t>0:03:09:18</t>
  </si>
  <si>
    <t>0:03:09:19</t>
  </si>
  <si>
    <t>0:03:09:20</t>
  </si>
  <si>
    <t>0:03:09:21</t>
  </si>
  <si>
    <t>0:03:09:22</t>
  </si>
  <si>
    <t>0:03:09:23</t>
  </si>
  <si>
    <t>0:03:09:24</t>
  </si>
  <si>
    <t>0:03:10:00</t>
  </si>
  <si>
    <t>0:03:10:01</t>
  </si>
  <si>
    <t>0:03:10:02</t>
  </si>
  <si>
    <t>0:03:10:03</t>
  </si>
  <si>
    <t>0:03:10:04</t>
  </si>
  <si>
    <t>0:03:10:05</t>
  </si>
  <si>
    <t>0:03:10:06</t>
  </si>
  <si>
    <t>0:03:10:07</t>
  </si>
  <si>
    <t>0:03:10:08</t>
  </si>
  <si>
    <t>0:03:10:09</t>
  </si>
  <si>
    <t>0:03:10:10</t>
  </si>
  <si>
    <t>0:03:10:11</t>
  </si>
  <si>
    <t>0:03:10:12</t>
  </si>
  <si>
    <t>0:03:10:13</t>
  </si>
  <si>
    <t>0:03:10:14</t>
  </si>
  <si>
    <t>0:03:10:15</t>
  </si>
  <si>
    <t>0:03:10:16</t>
  </si>
  <si>
    <t>0:03:10:17</t>
  </si>
  <si>
    <t>0:03:10:18</t>
  </si>
  <si>
    <t>0:03:10:19</t>
  </si>
  <si>
    <t>0:03:10:20</t>
  </si>
  <si>
    <t>0:03:10:21</t>
  </si>
  <si>
    <t>0:03:10:22</t>
  </si>
  <si>
    <t>0:03:10:23</t>
  </si>
  <si>
    <t>0:03:10:24</t>
  </si>
  <si>
    <t>0:03:11:00</t>
  </si>
  <si>
    <t>0:03:11:01</t>
  </si>
  <si>
    <t>0:03:11:02</t>
  </si>
  <si>
    <t>0:03:11:03</t>
  </si>
  <si>
    <t>0:03:11:04</t>
  </si>
  <si>
    <t>0:03:11:05</t>
  </si>
  <si>
    <t>0:03:11:06</t>
  </si>
  <si>
    <t>0:03:11:07</t>
  </si>
  <si>
    <t>0:03:11:08</t>
  </si>
  <si>
    <t>0:03:11:09</t>
  </si>
  <si>
    <t>0:03:11:10</t>
  </si>
  <si>
    <t>0:03:11:11</t>
  </si>
  <si>
    <t>0:03:11:12</t>
  </si>
  <si>
    <t>0:03:11:13</t>
  </si>
  <si>
    <t>0:03:11:14</t>
  </si>
  <si>
    <t>0:03:11:15</t>
  </si>
  <si>
    <t>0:03:11:16</t>
  </si>
  <si>
    <t>0:03:11:17</t>
  </si>
  <si>
    <t>0:03:11:18</t>
  </si>
  <si>
    <t>0:03:11:19</t>
  </si>
  <si>
    <t>0:03:11:20</t>
  </si>
  <si>
    <t>0:03:11:21</t>
  </si>
  <si>
    <t>0:03:11:22</t>
  </si>
  <si>
    <t>0:03:11:23</t>
  </si>
  <si>
    <t>0:03:11:24</t>
  </si>
  <si>
    <t>0:03:12:00</t>
  </si>
  <si>
    <t>0:03:12:01</t>
  </si>
  <si>
    <t>0:03:12:02</t>
  </si>
  <si>
    <t>0:03:12:03</t>
  </si>
  <si>
    <t>0:03:12:04</t>
  </si>
  <si>
    <t>0:03:12:05</t>
  </si>
  <si>
    <t>0:03:12:06</t>
  </si>
  <si>
    <t>0:03:12:07</t>
  </si>
  <si>
    <t>0:03:12:08</t>
  </si>
  <si>
    <t>0:03:12:09</t>
  </si>
  <si>
    <t>0:03:12:10</t>
  </si>
  <si>
    <t>0:03:12:11</t>
  </si>
  <si>
    <t>0:03:12:12</t>
  </si>
  <si>
    <t>0:03:12:13</t>
  </si>
  <si>
    <t>0:03:12:14</t>
  </si>
  <si>
    <t>0:03:12:15</t>
  </si>
  <si>
    <t>0:03:12:16</t>
  </si>
  <si>
    <t>0:03:12:17</t>
  </si>
  <si>
    <t>0:03:12:18</t>
  </si>
  <si>
    <t>0:03:12:19</t>
  </si>
  <si>
    <t>0:03:12:20</t>
  </si>
  <si>
    <t>0:03:12:21</t>
  </si>
  <si>
    <t>0:03:12:22</t>
  </si>
  <si>
    <t>0:03:12:23</t>
  </si>
  <si>
    <t>0:03:12:24</t>
  </si>
  <si>
    <t>0:03:13:00</t>
  </si>
  <si>
    <t>0:03:13:01</t>
  </si>
  <si>
    <t>0:03:13:02</t>
  </si>
  <si>
    <t>0:03:13:03</t>
  </si>
  <si>
    <t>0:03:13:04</t>
  </si>
  <si>
    <t>0:03:13:05</t>
  </si>
  <si>
    <t>0:03:13:06</t>
  </si>
  <si>
    <t>0:03:13:07</t>
  </si>
  <si>
    <t>0:03:13:08</t>
  </si>
  <si>
    <t>0:03:13:09</t>
  </si>
  <si>
    <t>0:03:13:10</t>
  </si>
  <si>
    <t>0:03:13:11</t>
  </si>
  <si>
    <t>0:03:13:12</t>
  </si>
  <si>
    <t>0:03:13:13</t>
  </si>
  <si>
    <t>0:03:13:14</t>
  </si>
  <si>
    <t>0:03:13:15</t>
  </si>
  <si>
    <t>0:03:13:16</t>
  </si>
  <si>
    <t>0:03:13:17</t>
  </si>
  <si>
    <t>0:03:13:18</t>
  </si>
  <si>
    <t>0:03:13:19</t>
  </si>
  <si>
    <t>0:03:13:20</t>
  </si>
  <si>
    <t>0:03:13:21</t>
  </si>
  <si>
    <t>0:03:13:22</t>
  </si>
  <si>
    <t>0:03:13:23</t>
  </si>
  <si>
    <t>0:03:13:24</t>
  </si>
  <si>
    <t>0:03:14:00</t>
  </si>
  <si>
    <t>0:03:14:01</t>
  </si>
  <si>
    <t>0:03:14:02</t>
  </si>
  <si>
    <t>0:03:14:03</t>
  </si>
  <si>
    <t>0:03:14:04</t>
  </si>
  <si>
    <t>0:03:14:05</t>
  </si>
  <si>
    <t>0:03:14:06</t>
  </si>
  <si>
    <t>0:03:14:07</t>
  </si>
  <si>
    <t>0:03:14:08</t>
  </si>
  <si>
    <t>0:03:14:09</t>
  </si>
  <si>
    <t>0:03:14:10</t>
  </si>
  <si>
    <t>0:03:14:11</t>
  </si>
  <si>
    <t>0:03:14:12</t>
  </si>
  <si>
    <t>0:03:14:13</t>
  </si>
  <si>
    <t>0:03:14:14</t>
  </si>
  <si>
    <t>0:03:14:15</t>
  </si>
  <si>
    <t>0:03:14:16</t>
  </si>
  <si>
    <t>0:03:14:17</t>
  </si>
  <si>
    <t>0:03:14:18</t>
  </si>
  <si>
    <t>0:03:14:19</t>
  </si>
  <si>
    <t>0:03:14:20</t>
  </si>
  <si>
    <t>0:03:14:21</t>
  </si>
  <si>
    <t>0:03:14:22</t>
  </si>
  <si>
    <t>0:03:14:23</t>
  </si>
  <si>
    <t>0:03:14:24</t>
  </si>
  <si>
    <t>0:03:15:00</t>
  </si>
  <si>
    <t>0:03:15:01</t>
  </si>
  <si>
    <t>0:03:15:02</t>
  </si>
  <si>
    <t>0:03:15:03</t>
  </si>
  <si>
    <t>0:03:15:04</t>
  </si>
  <si>
    <t>0:03:15:05</t>
  </si>
  <si>
    <t>0:03:15:06</t>
  </si>
  <si>
    <t>0:03:15:07</t>
  </si>
  <si>
    <t>0:03:15:08</t>
  </si>
  <si>
    <t>0:03:15:09</t>
  </si>
  <si>
    <t>0:03:15:10</t>
  </si>
  <si>
    <t>0:03:15:11</t>
  </si>
  <si>
    <t>0:03:15:12</t>
  </si>
  <si>
    <t>0:03:15:13</t>
  </si>
  <si>
    <t>0:03:15:14</t>
  </si>
  <si>
    <t>0:03:15:15</t>
  </si>
  <si>
    <t>0:03:15:16</t>
  </si>
  <si>
    <t>0:03:15:17</t>
  </si>
  <si>
    <t>0:03:15:18</t>
  </si>
  <si>
    <t>0:03:15:19</t>
  </si>
  <si>
    <t>0:03:15:20</t>
  </si>
  <si>
    <t>0:03:15:21</t>
  </si>
  <si>
    <t>0:03:15:22</t>
  </si>
  <si>
    <t>0:03:15:23</t>
  </si>
  <si>
    <t>0:03:15:24</t>
  </si>
  <si>
    <t>0:03:16:00</t>
  </si>
  <si>
    <t>0:03:16:01</t>
  </si>
  <si>
    <t>0:03:16:02</t>
  </si>
  <si>
    <t>0:03:16:03</t>
  </si>
  <si>
    <t>0:03:16:04</t>
  </si>
  <si>
    <t>0:03:16:05</t>
  </si>
  <si>
    <t>0:03:16:06</t>
  </si>
  <si>
    <t>0:03:16:07</t>
  </si>
  <si>
    <t>0:03:16:08</t>
  </si>
  <si>
    <t>0:03:16:09</t>
  </si>
  <si>
    <t>0:03:16:10</t>
  </si>
  <si>
    <t>0:03:16:11</t>
  </si>
  <si>
    <t>0:03:16:12</t>
  </si>
  <si>
    <t>0:03:16:13</t>
  </si>
  <si>
    <t>0:03:16:14</t>
  </si>
  <si>
    <t>0:03:16:15</t>
  </si>
  <si>
    <t>0:03:16:16</t>
  </si>
  <si>
    <t>0:03:16:17</t>
  </si>
  <si>
    <t>0:03:16:18</t>
  </si>
  <si>
    <t>0:03:16:19</t>
  </si>
  <si>
    <t>0:03:16:20</t>
  </si>
  <si>
    <t>0:03:16:21</t>
  </si>
  <si>
    <t>0:03:16:22</t>
  </si>
  <si>
    <t>0:03:16:23</t>
  </si>
  <si>
    <t>0:03:16:24</t>
  </si>
  <si>
    <t>0:03:17:00</t>
  </si>
  <si>
    <t>0:03:17:01</t>
  </si>
  <si>
    <t>0:03:17:02</t>
  </si>
  <si>
    <t>0:03:17:03</t>
  </si>
  <si>
    <t>0:03:17:04</t>
  </si>
  <si>
    <t>0:03:17:05</t>
  </si>
  <si>
    <t>0:03:17:06</t>
  </si>
  <si>
    <t>0:03:17:07</t>
  </si>
  <si>
    <t>0:03:17:08</t>
  </si>
  <si>
    <t>0:03:17:09</t>
  </si>
  <si>
    <t>0:03:17:10</t>
  </si>
  <si>
    <t>0:03:17:11</t>
  </si>
  <si>
    <t>0:03:17:12</t>
  </si>
  <si>
    <t>0:03:17:13</t>
  </si>
  <si>
    <t>0:03:17:14</t>
  </si>
  <si>
    <t>0:03:17:15</t>
  </si>
  <si>
    <t>0:03:17:16</t>
  </si>
  <si>
    <t>0:03:17:17</t>
  </si>
  <si>
    <t>0:03:17:18</t>
  </si>
  <si>
    <t>0:03:17:19</t>
  </si>
  <si>
    <t>0:03:17:20</t>
  </si>
  <si>
    <t>0:03:17:21</t>
  </si>
  <si>
    <t>0:03:17:22</t>
  </si>
  <si>
    <t>0:03:17:23</t>
  </si>
  <si>
    <t>0:03:17:24</t>
  </si>
  <si>
    <t>0:03:18:00</t>
  </si>
  <si>
    <t>0:03:18:01</t>
  </si>
  <si>
    <t>0:03:18:02</t>
  </si>
  <si>
    <t>0:03:18:03</t>
  </si>
  <si>
    <t>0:03:18:04</t>
  </si>
  <si>
    <t>0:03:18:05</t>
  </si>
  <si>
    <t>0:03:18:06</t>
  </si>
  <si>
    <t>0:03:18:07</t>
  </si>
  <si>
    <t>0:03:18:08</t>
  </si>
  <si>
    <t>0:03:18:09</t>
  </si>
  <si>
    <t>0:03:18:10</t>
  </si>
  <si>
    <t>0:03:18:11</t>
  </si>
  <si>
    <t>0:03:18:12</t>
  </si>
  <si>
    <t>0:03:18:13</t>
  </si>
  <si>
    <t>0:03:18:14</t>
  </si>
  <si>
    <t>0:03:18:15</t>
  </si>
  <si>
    <t>0:03:18:16</t>
  </si>
  <si>
    <t>0:03:18:17</t>
  </si>
  <si>
    <t>0:03:18:18</t>
  </si>
  <si>
    <t>0:03:18:19</t>
  </si>
  <si>
    <t>0:03:18:20</t>
  </si>
  <si>
    <t>0:03:18:21</t>
  </si>
  <si>
    <t>0:03:18:22</t>
  </si>
  <si>
    <t>0:03:18:23</t>
  </si>
  <si>
    <t>0:03:18:24</t>
  </si>
  <si>
    <t>0:03:19:00</t>
  </si>
  <si>
    <t>0:03:19:01</t>
  </si>
  <si>
    <t>0:03:19:02</t>
  </si>
  <si>
    <t>0:03:19:03</t>
  </si>
  <si>
    <t>0:03:19:04</t>
  </si>
  <si>
    <t>0:03:19:05</t>
  </si>
  <si>
    <t>0:03:19:06</t>
  </si>
  <si>
    <t>0:03:19:07</t>
  </si>
  <si>
    <t>0:03:19:08</t>
  </si>
  <si>
    <t>0:03:19:09</t>
  </si>
  <si>
    <t>0:03:19:10</t>
  </si>
  <si>
    <t>0:03:19:11</t>
  </si>
  <si>
    <t>0:03:19:12</t>
  </si>
  <si>
    <t>0:03:19:13</t>
  </si>
  <si>
    <t>0:03:19:14</t>
  </si>
  <si>
    <t>0:03:19:15</t>
  </si>
  <si>
    <t>0:03:19:16</t>
  </si>
  <si>
    <t>0:03:19:17</t>
  </si>
  <si>
    <t>0:03:19:18</t>
  </si>
  <si>
    <t>0:03:19:19</t>
  </si>
  <si>
    <t>0:03:19:20</t>
  </si>
  <si>
    <t>0:03:19:21</t>
  </si>
  <si>
    <t>0:03:19:22</t>
  </si>
  <si>
    <t>0:03:19:23</t>
  </si>
  <si>
    <t>0:03:19:24</t>
  </si>
  <si>
    <t>0:03:20:00</t>
  </si>
  <si>
    <t>0:03:20:01</t>
  </si>
  <si>
    <t>0:03:20:02</t>
  </si>
  <si>
    <t>0:03:20:03</t>
  </si>
  <si>
    <t>0:03:20:04</t>
  </si>
  <si>
    <t>0:03:20:05</t>
  </si>
  <si>
    <t>0:03:20:06</t>
  </si>
  <si>
    <t>0:03:20:07</t>
  </si>
  <si>
    <t>0:03:20:08</t>
  </si>
  <si>
    <t>0:03:20:09</t>
  </si>
  <si>
    <t>0:03:20:10</t>
  </si>
  <si>
    <t>0:03:20:11</t>
  </si>
  <si>
    <t>0:03:20:12</t>
  </si>
  <si>
    <t>0:03:20:13</t>
  </si>
  <si>
    <t>0:03:20:14</t>
  </si>
  <si>
    <t>0:03:20:15</t>
  </si>
  <si>
    <t>0:03:20:16</t>
  </si>
  <si>
    <t>0:03:20:17</t>
  </si>
  <si>
    <t>0:03:20:18</t>
  </si>
  <si>
    <t>0:03:20:19</t>
  </si>
  <si>
    <t>0:03:20:20</t>
  </si>
  <si>
    <t>0:03:20:21</t>
  </si>
  <si>
    <t>0:03:20:22</t>
  </si>
  <si>
    <t>0:03:20:23</t>
  </si>
  <si>
    <t>0:03:20:24</t>
  </si>
  <si>
    <t>0:03:21:00</t>
  </si>
  <si>
    <t>0:03:21:01</t>
  </si>
  <si>
    <t>0:03:21:02</t>
  </si>
  <si>
    <t>0:03:21:03</t>
  </si>
  <si>
    <t>0:03:21:04</t>
  </si>
  <si>
    <t>0:03:21:05</t>
  </si>
  <si>
    <t>0:03:21:06</t>
  </si>
  <si>
    <t>0:03:21:07</t>
  </si>
  <si>
    <t>0:03:21:08</t>
  </si>
  <si>
    <t>0:03:21:09</t>
  </si>
  <si>
    <t>0:03:21:10</t>
  </si>
  <si>
    <t>0:03:21:11</t>
  </si>
  <si>
    <t>0:03:21:12</t>
  </si>
  <si>
    <t>0:03:21:13</t>
  </si>
  <si>
    <t>0:03:21:14</t>
  </si>
  <si>
    <t>0:03:21:15</t>
  </si>
  <si>
    <t>0:03:21:16</t>
  </si>
  <si>
    <t>0:03:21:17</t>
  </si>
  <si>
    <t>0:03:21:18</t>
  </si>
  <si>
    <t>0:03:21:19</t>
  </si>
  <si>
    <t>0:03:21:20</t>
  </si>
  <si>
    <t>0:03:21:21</t>
  </si>
  <si>
    <t>0:03:21:22</t>
  </si>
  <si>
    <t>0:03:21:23</t>
  </si>
  <si>
    <t>0:03:21:24</t>
  </si>
  <si>
    <t>0:03:22:00</t>
  </si>
  <si>
    <t>0:03:22:01</t>
  </si>
  <si>
    <t>0:03:22:02</t>
  </si>
  <si>
    <t>0:03:22:03</t>
  </si>
  <si>
    <t>0:03:22:04</t>
  </si>
  <si>
    <t>0:03:22:05</t>
  </si>
  <si>
    <t>0:03:22:06</t>
  </si>
  <si>
    <t>0:03:22:07</t>
  </si>
  <si>
    <t>0:03:22:08</t>
  </si>
  <si>
    <t>0:03:22:09</t>
  </si>
  <si>
    <t>0:03:22:10</t>
  </si>
  <si>
    <t>0:03:22:11</t>
  </si>
  <si>
    <t>0:03:22:12</t>
  </si>
  <si>
    <t>0:03:22:13</t>
  </si>
  <si>
    <t>0:03:22:14</t>
  </si>
  <si>
    <t>0:03:22:15</t>
  </si>
  <si>
    <t>0:03:22:16</t>
  </si>
  <si>
    <t>0:03:22:17</t>
  </si>
  <si>
    <t>0:03:22:18</t>
  </si>
  <si>
    <t>0:03:22:19</t>
  </si>
  <si>
    <t>0:03:22:20</t>
  </si>
  <si>
    <t>0:03:22:21</t>
  </si>
  <si>
    <t>0:03:22:22</t>
  </si>
  <si>
    <t>0:03:22:23</t>
  </si>
  <si>
    <t>0:03:22:24</t>
  </si>
  <si>
    <t>0:03:23:00</t>
  </si>
  <si>
    <t>0:03:23:01</t>
  </si>
  <si>
    <t>0:03:23:02</t>
  </si>
  <si>
    <t>0:03:23:03</t>
  </si>
  <si>
    <t>0:03:23:04</t>
  </si>
  <si>
    <t>0:03:23:05</t>
  </si>
  <si>
    <t>0:03:23:06</t>
  </si>
  <si>
    <t>0:03:23:07</t>
  </si>
  <si>
    <t>0:03:23:08</t>
  </si>
  <si>
    <t>0:03:23:09</t>
  </si>
  <si>
    <t>0:03:23:10</t>
  </si>
  <si>
    <t>0:03:23:11</t>
  </si>
  <si>
    <t>0:03:23:12</t>
  </si>
  <si>
    <t>0:03:23:13</t>
  </si>
  <si>
    <t>0:03:23:14</t>
  </si>
  <si>
    <t>0:03:23:15</t>
  </si>
  <si>
    <t>0:03:23:16</t>
  </si>
  <si>
    <t>0:03:23:17</t>
  </si>
  <si>
    <t>0:03:23:18</t>
  </si>
  <si>
    <t>0:03:23:19</t>
  </si>
  <si>
    <t>0:03:23:20</t>
  </si>
  <si>
    <t>0:03:23:21</t>
  </si>
  <si>
    <t>0:03:23:22</t>
  </si>
  <si>
    <t>0:03:23:23</t>
  </si>
  <si>
    <t>0:03:23:24</t>
  </si>
  <si>
    <t>0:03:24:00</t>
  </si>
  <si>
    <t>0:03:24:01</t>
  </si>
  <si>
    <t>0:03:24:02</t>
  </si>
  <si>
    <t>0:03:24:03</t>
  </si>
  <si>
    <t>0:03:24:04</t>
  </si>
  <si>
    <t>0:03:24:05</t>
  </si>
  <si>
    <t>0:03:24:06</t>
  </si>
  <si>
    <t>0:03:24:07</t>
  </si>
  <si>
    <t>0:03:24:08</t>
  </si>
  <si>
    <t>0:03:24:09</t>
  </si>
  <si>
    <t>0:03:24:10</t>
  </si>
  <si>
    <t>0:03:24:11</t>
  </si>
  <si>
    <t>0:03:24:12</t>
  </si>
  <si>
    <t>0:03:24:13</t>
  </si>
  <si>
    <t>0:03:24:14</t>
  </si>
  <si>
    <t>0:03:24:15</t>
  </si>
  <si>
    <t>0:03:24:16</t>
  </si>
  <si>
    <t>0:03:24:17</t>
  </si>
  <si>
    <t>0:03:24:18</t>
  </si>
  <si>
    <t>0:03:24:19</t>
  </si>
  <si>
    <t>0:03:24:20</t>
  </si>
  <si>
    <t>0:03:24:21</t>
  </si>
  <si>
    <t>0:03:24:22</t>
  </si>
  <si>
    <t>0:03:24:23</t>
  </si>
  <si>
    <t>0:03:24:24</t>
  </si>
  <si>
    <t>0:03:25:00</t>
  </si>
  <si>
    <t>0:03:25:01</t>
  </si>
  <si>
    <t>0:03:25:02</t>
  </si>
  <si>
    <t>0:03:25:03</t>
  </si>
  <si>
    <t>0:03:25:04</t>
  </si>
  <si>
    <t>0:03:25:05</t>
  </si>
  <si>
    <t>0:03:25:06</t>
  </si>
  <si>
    <t>0:03:25:07</t>
  </si>
  <si>
    <t>0:03:25:08</t>
  </si>
  <si>
    <t>0:03:25:09</t>
  </si>
  <si>
    <t>0:03:25:10</t>
  </si>
  <si>
    <t>0:03:25:11</t>
  </si>
  <si>
    <t>0:03:25:12</t>
  </si>
  <si>
    <t>0:03:25:13</t>
  </si>
  <si>
    <t>0:03:25:14</t>
  </si>
  <si>
    <t>0:03:25:15</t>
  </si>
  <si>
    <t>0:03:25:16</t>
  </si>
  <si>
    <t>0:03:25:17</t>
  </si>
  <si>
    <t>0:03:25:18</t>
  </si>
  <si>
    <t>0:03:25:19</t>
  </si>
  <si>
    <t>0:03:25:20</t>
  </si>
  <si>
    <t>0:03:25:21</t>
  </si>
  <si>
    <t>0:03:25:22</t>
  </si>
  <si>
    <t>0:03:25:23</t>
  </si>
  <si>
    <t>0:03:25:24</t>
  </si>
  <si>
    <t>0:03:26:00</t>
  </si>
  <si>
    <t>0:03:26:01</t>
  </si>
  <si>
    <t>0:03:26:02</t>
  </si>
  <si>
    <t>0:03:26:03</t>
  </si>
  <si>
    <t>0:03:26:04</t>
  </si>
  <si>
    <t>0:03:26:05</t>
  </si>
  <si>
    <t>0:03:26:06</t>
  </si>
  <si>
    <t>0:03:26:07</t>
  </si>
  <si>
    <t>0:03:26:08</t>
  </si>
  <si>
    <t>0:03:26:09</t>
  </si>
  <si>
    <t>0:03:26:10</t>
  </si>
  <si>
    <t>0:03:26:11</t>
  </si>
  <si>
    <t>0:03:26:12</t>
  </si>
  <si>
    <t>0:03:26:13</t>
  </si>
  <si>
    <t>0:03:26:14</t>
  </si>
  <si>
    <t>0:03:26:15</t>
  </si>
  <si>
    <t>0:03:26:16</t>
  </si>
  <si>
    <t>0:03:26:17</t>
  </si>
  <si>
    <t>0:03:26:18</t>
  </si>
  <si>
    <t>0:03:26:19</t>
  </si>
  <si>
    <t>0:03:26:20</t>
  </si>
  <si>
    <t>0:03:26:21</t>
  </si>
  <si>
    <t>0:03:26:22</t>
  </si>
  <si>
    <t>0:03:26:23</t>
  </si>
  <si>
    <t>0:03:26:24</t>
  </si>
  <si>
    <t>0:03:27:00</t>
  </si>
  <si>
    <t>0:03:27:01</t>
  </si>
  <si>
    <t>0:03:27:02</t>
  </si>
  <si>
    <t>0:03:27:03</t>
  </si>
  <si>
    <t>0:03:27:04</t>
  </si>
  <si>
    <t>0:03:27:05</t>
  </si>
  <si>
    <t>0:03:27:06</t>
  </si>
  <si>
    <t>0:03:27:07</t>
  </si>
  <si>
    <t>0:03:27:08</t>
  </si>
  <si>
    <t>0:03:27:09</t>
  </si>
  <si>
    <t>0:03:27:10</t>
  </si>
  <si>
    <t>0:03:27:11</t>
  </si>
  <si>
    <t>0:03:27:12</t>
  </si>
  <si>
    <t>0:03:27:13</t>
  </si>
  <si>
    <t>0:03:27:14</t>
  </si>
  <si>
    <t>0:03:27:15</t>
  </si>
  <si>
    <t>0:03:27:16</t>
  </si>
  <si>
    <t>0:03:27:17</t>
  </si>
  <si>
    <t>0:03:27:18</t>
  </si>
  <si>
    <t>0:03:27:19</t>
  </si>
  <si>
    <t>0:03:27:20</t>
  </si>
  <si>
    <t>0:03:27:21</t>
  </si>
  <si>
    <t>0:03:27:22</t>
  </si>
  <si>
    <t>0:03:27:23</t>
  </si>
  <si>
    <t>0:03:27:24</t>
  </si>
  <si>
    <t>0:03:28:00</t>
  </si>
  <si>
    <t>0:03:28:01</t>
  </si>
  <si>
    <t>0:03:28:02</t>
  </si>
  <si>
    <t>0:03:28:03</t>
  </si>
  <si>
    <t>0:03:28:04</t>
  </si>
  <si>
    <t>0:03:28:05</t>
  </si>
  <si>
    <t>0:03:28:06</t>
  </si>
  <si>
    <t>0:03:28:07</t>
  </si>
  <si>
    <t>0:03:28:08</t>
  </si>
  <si>
    <t>0:03:28:09</t>
  </si>
  <si>
    <t>0:03:28:10</t>
  </si>
  <si>
    <t>0:03:28:11</t>
  </si>
  <si>
    <t>0:03:28:12</t>
  </si>
  <si>
    <t>0:03:28:13</t>
  </si>
  <si>
    <t>0:03:28:14</t>
  </si>
  <si>
    <t>0:03:28:15</t>
  </si>
  <si>
    <t>0:03:28:16</t>
  </si>
  <si>
    <t>0:03:28:17</t>
  </si>
  <si>
    <t>0:03:28:18</t>
  </si>
  <si>
    <t>0:03:28:19</t>
  </si>
  <si>
    <t>0:03:28:20</t>
  </si>
  <si>
    <t>0:03:28:21</t>
  </si>
  <si>
    <t>0:03:28:22</t>
  </si>
  <si>
    <t>0:03:28:23</t>
  </si>
  <si>
    <t>0:03:28:24</t>
  </si>
  <si>
    <t>0:03:29:00</t>
  </si>
  <si>
    <t>0:03:29:01</t>
  </si>
  <si>
    <t>0:03:29:02</t>
  </si>
  <si>
    <t>0:03:29:03</t>
  </si>
  <si>
    <t>0:03:29:04</t>
  </si>
  <si>
    <t>0:03:29:05</t>
  </si>
  <si>
    <t>0:03:29:06</t>
  </si>
  <si>
    <t>0:03:29:07</t>
  </si>
  <si>
    <t>0:03:29:08</t>
  </si>
  <si>
    <t>0:03:29:09</t>
  </si>
  <si>
    <t>0:03:29:10</t>
  </si>
  <si>
    <t>0:03:29:11</t>
  </si>
  <si>
    <t>0:03:29:12</t>
  </si>
  <si>
    <t>0:03:29:13</t>
  </si>
  <si>
    <t>0:03:29:14</t>
  </si>
  <si>
    <t>0:03:29:15</t>
  </si>
  <si>
    <t>0:03:29:16</t>
  </si>
  <si>
    <t>0:03:29:17</t>
  </si>
  <si>
    <t>0:03:29:18</t>
  </si>
  <si>
    <t>0:03:29:19</t>
  </si>
  <si>
    <t>0:03:29:20</t>
  </si>
  <si>
    <t>0:03:29:21</t>
  </si>
  <si>
    <t>0:03:29:22</t>
  </si>
  <si>
    <t>0:03:29:23</t>
  </si>
  <si>
    <t>0:03:29:24</t>
  </si>
  <si>
    <t>0:03:30:00</t>
  </si>
  <si>
    <t>0:03:30:01</t>
  </si>
  <si>
    <t>0:03:30:02</t>
  </si>
  <si>
    <t>0:03:30:03</t>
  </si>
  <si>
    <t>0:03:30:04</t>
  </si>
  <si>
    <t>0:03:30:05</t>
  </si>
  <si>
    <t>0:03:30:06</t>
  </si>
  <si>
    <t>0:03:30:07</t>
  </si>
  <si>
    <t>0:03:30:08</t>
  </si>
  <si>
    <t>0:03:30:09</t>
  </si>
  <si>
    <t>0:03:30:10</t>
  </si>
  <si>
    <t>0:03:30:11</t>
  </si>
  <si>
    <t>0:03:30:12</t>
  </si>
  <si>
    <t>0:03:30:13</t>
  </si>
  <si>
    <t>0:03:30:14</t>
  </si>
  <si>
    <t>0:03:30:15</t>
  </si>
  <si>
    <t>0:03:30:16</t>
  </si>
  <si>
    <t>0:03:30:17</t>
  </si>
  <si>
    <t>0:03:30:18</t>
  </si>
  <si>
    <t>0:03:30:19</t>
  </si>
  <si>
    <t>0:03:30:20</t>
  </si>
  <si>
    <t>0:03:30:21</t>
  </si>
  <si>
    <t>0:03:30:22</t>
  </si>
  <si>
    <t>0:03:30:23</t>
  </si>
  <si>
    <t>0:03:30:24</t>
  </si>
  <si>
    <t>0:03:31:00</t>
  </si>
  <si>
    <t>0:03:31:01</t>
  </si>
  <si>
    <t>0:03:31:02</t>
  </si>
  <si>
    <t>0:03:31:03</t>
  </si>
  <si>
    <t>0:03:31:04</t>
  </si>
  <si>
    <t>0:03:31:05</t>
  </si>
  <si>
    <t>0:03:31:06</t>
  </si>
  <si>
    <t>0:03:31:07</t>
  </si>
  <si>
    <t>0:03:31:08</t>
  </si>
  <si>
    <t>0:03:31:09</t>
  </si>
  <si>
    <t>0:03:31:10</t>
  </si>
  <si>
    <t>0:03:31:11</t>
  </si>
  <si>
    <t>0:03:31:12</t>
  </si>
  <si>
    <t>0:03:31:13</t>
  </si>
  <si>
    <t>0:03:31:14</t>
  </si>
  <si>
    <t>0:03:31:15</t>
  </si>
  <si>
    <t>0:03:31:16</t>
  </si>
  <si>
    <t>0:03:31:17</t>
  </si>
  <si>
    <t>0:03:31:18</t>
  </si>
  <si>
    <t>0:03:31:19</t>
  </si>
  <si>
    <t>0:03:31:20</t>
  </si>
  <si>
    <t>0:03:31:21</t>
  </si>
  <si>
    <t>0:03:31:22</t>
  </si>
  <si>
    <t>0:03:31:23</t>
  </si>
  <si>
    <t>0:03:31:24</t>
  </si>
  <si>
    <t>0:03:32:00</t>
  </si>
  <si>
    <t>0:03:32:01</t>
  </si>
  <si>
    <t>0:03:32:02</t>
  </si>
  <si>
    <t>0:03:32:03</t>
  </si>
  <si>
    <t>0:03:32:04</t>
  </si>
  <si>
    <t>0:03:32:05</t>
  </si>
  <si>
    <t>0:03:32:06</t>
  </si>
  <si>
    <t>0:03:32:07</t>
  </si>
  <si>
    <t>0:03:32:08</t>
  </si>
  <si>
    <t>0:03:32:09</t>
  </si>
  <si>
    <t>0:03:32:10</t>
  </si>
  <si>
    <t>0:03:32:11</t>
  </si>
  <si>
    <t>0:03:32:12</t>
  </si>
  <si>
    <t>0:03:32:13</t>
  </si>
  <si>
    <t>0:03:32:14</t>
  </si>
  <si>
    <t>0:03:32:15</t>
  </si>
  <si>
    <t>0:03:32:16</t>
  </si>
  <si>
    <t>0:03:32:17</t>
  </si>
  <si>
    <t>0:03:32:18</t>
  </si>
  <si>
    <t>0:03:32:19</t>
  </si>
  <si>
    <t>0:03:32:20</t>
  </si>
  <si>
    <t>0:03:32:21</t>
  </si>
  <si>
    <t>0:03:32:22</t>
  </si>
  <si>
    <t>0:03:32:23</t>
  </si>
  <si>
    <t>0:03:32:24</t>
  </si>
  <si>
    <t>0:03:33:00</t>
  </si>
  <si>
    <t>0:03:33:01</t>
  </si>
  <si>
    <t>0:03:33:02</t>
  </si>
  <si>
    <t>0:03:33:03</t>
  </si>
  <si>
    <t>0:03:33:04</t>
  </si>
  <si>
    <t>0:03:33:05</t>
  </si>
  <si>
    <t>0:03:33:06</t>
  </si>
  <si>
    <t>0:03:33:07</t>
  </si>
  <si>
    <t>0:03:33:08</t>
  </si>
  <si>
    <t>0:03:33:09</t>
  </si>
  <si>
    <t>0:03:33:10</t>
  </si>
  <si>
    <t>0:03:33:11</t>
  </si>
  <si>
    <t>0:03:33:12</t>
  </si>
  <si>
    <t>0:03:33:13</t>
  </si>
  <si>
    <t>0:03:33:14</t>
  </si>
  <si>
    <t>0:03:33:15</t>
  </si>
  <si>
    <t>0:03:33:16</t>
  </si>
  <si>
    <t>0:03:33:17</t>
  </si>
  <si>
    <t>0:03:33:18</t>
  </si>
  <si>
    <t>0:03:33:19</t>
  </si>
  <si>
    <t>0:03:33:20</t>
  </si>
  <si>
    <t>0:03:33:21</t>
  </si>
  <si>
    <t>0:03:33:22</t>
  </si>
  <si>
    <t>0:03:33:23</t>
  </si>
  <si>
    <t>0:03:33:24</t>
  </si>
  <si>
    <t>0:03:34:00</t>
  </si>
  <si>
    <t>0:03:34:01</t>
  </si>
  <si>
    <t>0:03:34:02</t>
  </si>
  <si>
    <t>0:03:34:03</t>
  </si>
  <si>
    <t>0:03:34:04</t>
  </si>
  <si>
    <t>0:03:34:05</t>
  </si>
  <si>
    <t>0:03:34:06</t>
  </si>
  <si>
    <t>0:03:34:07</t>
  </si>
  <si>
    <t>0:03:34:08</t>
  </si>
  <si>
    <t>0:03:34:09</t>
  </si>
  <si>
    <t>0:03:34:10</t>
  </si>
  <si>
    <t>0:03:34:11</t>
  </si>
  <si>
    <t>0:03:34:12</t>
  </si>
  <si>
    <t>0:03:34:13</t>
  </si>
  <si>
    <t>0:03:34:14</t>
  </si>
  <si>
    <t>0:03:34:15</t>
  </si>
  <si>
    <t>0:03:34:16</t>
  </si>
  <si>
    <t>0:03:34:17</t>
  </si>
  <si>
    <t>0:03:34:18</t>
  </si>
  <si>
    <t>0:03:34:19</t>
  </si>
  <si>
    <t>0:03:34:20</t>
  </si>
  <si>
    <t>0:03:34:21</t>
  </si>
  <si>
    <t>0:03:34:22</t>
  </si>
  <si>
    <t>0:03:34:23</t>
  </si>
  <si>
    <t>0:03:34:24</t>
  </si>
  <si>
    <t>0:03:35:00</t>
  </si>
  <si>
    <t>0:03:35:01</t>
  </si>
  <si>
    <t>0:03:35:02</t>
  </si>
  <si>
    <t>0:03:35:03</t>
  </si>
  <si>
    <t>0:03:35:04</t>
  </si>
  <si>
    <t>0:03:35:05</t>
  </si>
  <si>
    <t>0:03:35:06</t>
  </si>
  <si>
    <t>0:03:35:07</t>
  </si>
  <si>
    <t>0:03:35:08</t>
  </si>
  <si>
    <t>0:03:35:09</t>
  </si>
  <si>
    <t>0:03:35:10</t>
  </si>
  <si>
    <t>0:03:35:11</t>
  </si>
  <si>
    <t>0:03:35:12</t>
  </si>
  <si>
    <t>0:03:35:13</t>
  </si>
  <si>
    <t>0:03:35:14</t>
  </si>
  <si>
    <t>0:03:35:15</t>
  </si>
  <si>
    <t>0:03:35:16</t>
  </si>
  <si>
    <t>0:03:35:17</t>
  </si>
  <si>
    <t>0:03:35:18</t>
  </si>
  <si>
    <t>0:03:35:19</t>
  </si>
  <si>
    <t>0:03:35:20</t>
  </si>
  <si>
    <t>0:03:35:21</t>
  </si>
  <si>
    <t>0:03:35:22</t>
  </si>
  <si>
    <t>0:03:35:23</t>
  </si>
  <si>
    <t>0:03:35:24</t>
  </si>
  <si>
    <t>0:03:36:00</t>
  </si>
  <si>
    <t>0:03:36:01</t>
  </si>
  <si>
    <t>0:03:36:02</t>
  </si>
  <si>
    <t>0:03:36:03</t>
  </si>
  <si>
    <t>0:03:36:04</t>
  </si>
  <si>
    <t>0:03:36:05</t>
  </si>
  <si>
    <t>0:03:36:06</t>
  </si>
  <si>
    <t>0:03:36:07</t>
  </si>
  <si>
    <t>0:03:36:08</t>
  </si>
  <si>
    <t>0:03:36:09</t>
  </si>
  <si>
    <t>0:03:36:10</t>
  </si>
  <si>
    <t>0:03:36:11</t>
  </si>
  <si>
    <t>0:03:36:12</t>
  </si>
  <si>
    <t>0:03:36:13</t>
  </si>
  <si>
    <t>0:03:36:14</t>
  </si>
  <si>
    <t>0:03:36:15</t>
  </si>
  <si>
    <t>0:03:36:16</t>
  </si>
  <si>
    <t>0:03:36:17</t>
  </si>
  <si>
    <t>0:03:36:18</t>
  </si>
  <si>
    <t>0:03:36:19</t>
  </si>
  <si>
    <t>0:03:36:20</t>
  </si>
  <si>
    <t>0:03:36:21</t>
  </si>
  <si>
    <t>0:03:36:22</t>
  </si>
  <si>
    <t>0:03:36:23</t>
  </si>
  <si>
    <t>0:03:36:24</t>
  </si>
  <si>
    <t>0:03:37:00</t>
  </si>
  <si>
    <t>0:03:37:01</t>
  </si>
  <si>
    <t>0:03:37:02</t>
  </si>
  <si>
    <t>0:03:37:03</t>
  </si>
  <si>
    <t>0:03:37:04</t>
  </si>
  <si>
    <t>0:03:37:05</t>
  </si>
  <si>
    <t>0:03:37:06</t>
  </si>
  <si>
    <t>0:03:37:07</t>
  </si>
  <si>
    <t>0:03:37:08</t>
  </si>
  <si>
    <t>0:03:37:09</t>
  </si>
  <si>
    <t>0:03:37:10</t>
  </si>
  <si>
    <t>0:03:37:11</t>
  </si>
  <si>
    <t>0:03:37:12</t>
  </si>
  <si>
    <t>0:03:37:13</t>
  </si>
  <si>
    <t>0:03:37:14</t>
  </si>
  <si>
    <t>0:03:37:15</t>
  </si>
  <si>
    <t>0:03:37:16</t>
  </si>
  <si>
    <t>0:03:37:17</t>
  </si>
  <si>
    <t>0:03:37:18</t>
  </si>
  <si>
    <t>0:03:37:19</t>
  </si>
  <si>
    <t>0:03:37:20</t>
  </si>
  <si>
    <t>0:03:37:21</t>
  </si>
  <si>
    <t>0:03:37:22</t>
  </si>
  <si>
    <t>0:03:37:23</t>
  </si>
  <si>
    <t>0:03:37:24</t>
  </si>
  <si>
    <t>0:03:38:00</t>
  </si>
  <si>
    <t>0:03:38:01</t>
  </si>
  <si>
    <t>0:03:38:02</t>
  </si>
  <si>
    <t>0:03:38:03</t>
  </si>
  <si>
    <t>0:03:38:04</t>
  </si>
  <si>
    <t>0:03:38:05</t>
  </si>
  <si>
    <t>0:03:38:06</t>
  </si>
  <si>
    <t>0:03:38:07</t>
  </si>
  <si>
    <t>0:03:38:08</t>
  </si>
  <si>
    <t>0:03:38:09</t>
  </si>
  <si>
    <t>0:03:38:10</t>
  </si>
  <si>
    <t>0:03:38:11</t>
  </si>
  <si>
    <t>0:03:38:12</t>
  </si>
  <si>
    <t>0:03:38:13</t>
  </si>
  <si>
    <t>0:03:38:14</t>
  </si>
  <si>
    <t>0:03:38:15</t>
  </si>
  <si>
    <t>0:03:38:16</t>
  </si>
  <si>
    <t>0:03:38:17</t>
  </si>
  <si>
    <t>0:03:38:18</t>
  </si>
  <si>
    <t>0:03:38:19</t>
  </si>
  <si>
    <t>0:03:38:20</t>
  </si>
  <si>
    <t>0:03:38:21</t>
  </si>
  <si>
    <t>0:03:38:22</t>
  </si>
  <si>
    <t>0:03:38:23</t>
  </si>
  <si>
    <t>0:03:38:24</t>
  </si>
  <si>
    <t>0:03:39:00</t>
  </si>
  <si>
    <t>0:03:39:01</t>
  </si>
  <si>
    <t>0:03:39:02</t>
  </si>
  <si>
    <t>0:03:39:03</t>
  </si>
  <si>
    <t>0:03:39:04</t>
  </si>
  <si>
    <t>0:03:39:05</t>
  </si>
  <si>
    <t>0:03:39:06</t>
  </si>
  <si>
    <t>0:03:39:07</t>
  </si>
  <si>
    <t>0:03:39:08</t>
  </si>
  <si>
    <t>0:03:39:09</t>
  </si>
  <si>
    <t>0:03:39:10</t>
  </si>
  <si>
    <t>0:03:39:11</t>
  </si>
  <si>
    <t>0:03:39:12</t>
  </si>
  <si>
    <t>0:03:39:13</t>
  </si>
  <si>
    <t>0:03:39:14</t>
  </si>
  <si>
    <t>0:03:39:15</t>
  </si>
  <si>
    <t>0:03:39:16</t>
  </si>
  <si>
    <t>0:03:39:17</t>
  </si>
  <si>
    <t>0:03:39:18</t>
  </si>
  <si>
    <t>0:03:39:19</t>
  </si>
  <si>
    <t>0:03:39:20</t>
  </si>
  <si>
    <t>0:03:39:21</t>
  </si>
  <si>
    <t>0:03:39:22</t>
  </si>
  <si>
    <t>0:03:39:23</t>
  </si>
  <si>
    <t>0:03:39:24</t>
  </si>
  <si>
    <t>0:03:40:00</t>
  </si>
  <si>
    <t>0:03:40:01</t>
  </si>
  <si>
    <t>0:03:40:02</t>
  </si>
  <si>
    <t>0:03:40:03</t>
  </si>
  <si>
    <t>0:03:40:04</t>
  </si>
  <si>
    <t>0:03:40:05</t>
  </si>
  <si>
    <t>0:03:40:06</t>
  </si>
  <si>
    <t>0:03:40:07</t>
  </si>
  <si>
    <t>0:03:40:08</t>
  </si>
  <si>
    <t>0:03:40:09</t>
  </si>
  <si>
    <t>0:03:40:10</t>
  </si>
  <si>
    <t>0:03:40:11</t>
  </si>
  <si>
    <t>0:03:40:12</t>
  </si>
  <si>
    <t>0:03:40:13</t>
  </si>
  <si>
    <t>0:03:40:14</t>
  </si>
  <si>
    <t>0:03:40:15</t>
  </si>
  <si>
    <t>0:03:40:16</t>
  </si>
  <si>
    <t>0:03:40:17</t>
  </si>
  <si>
    <t>0:03:40:18</t>
  </si>
  <si>
    <t>0:03:40:19</t>
  </si>
  <si>
    <t>0:03:40:20</t>
  </si>
  <si>
    <t>0:03:40:21</t>
  </si>
  <si>
    <t>0:03:40:22</t>
  </si>
  <si>
    <t>0:03:40:23</t>
  </si>
  <si>
    <t>0:03:40:24</t>
  </si>
  <si>
    <t>0:03:41:00</t>
  </si>
  <si>
    <t>0:03:41:01</t>
  </si>
  <si>
    <t>0:03:41:02</t>
  </si>
  <si>
    <t>0:03:41:03</t>
  </si>
  <si>
    <t>0:03:41:04</t>
  </si>
  <si>
    <t>0:03:41:05</t>
  </si>
  <si>
    <t>0:03:41:06</t>
  </si>
  <si>
    <t>0:03:41:07</t>
  </si>
  <si>
    <t>0:03:41:08</t>
  </si>
  <si>
    <t>0:03:41:09</t>
  </si>
  <si>
    <t>0:03:41:10</t>
  </si>
  <si>
    <t>0:03:41:11</t>
  </si>
  <si>
    <t>0:03:41:12</t>
  </si>
  <si>
    <t>0:03:41:13</t>
  </si>
  <si>
    <t>0:03:41:14</t>
  </si>
  <si>
    <t>0:03:41:15</t>
  </si>
  <si>
    <t>0:03:41:16</t>
  </si>
  <si>
    <t>0:03:41:17</t>
  </si>
  <si>
    <t>0:03:41:18</t>
  </si>
  <si>
    <t>0:03:41:19</t>
  </si>
  <si>
    <t>0:03:41:20</t>
  </si>
  <si>
    <t>0:03:41:21</t>
  </si>
  <si>
    <t>0:03:41:22</t>
  </si>
  <si>
    <t>0:03:41:23</t>
  </si>
  <si>
    <t>0:03:41:24</t>
  </si>
  <si>
    <t>0:03:42:00</t>
  </si>
  <si>
    <t>0:03:42:01</t>
  </si>
  <si>
    <t>0:03:42:02</t>
  </si>
  <si>
    <t>0:03:42:03</t>
  </si>
  <si>
    <t>0:03:42:04</t>
  </si>
  <si>
    <t>0:03:42:05</t>
  </si>
  <si>
    <t>0:03:42:06</t>
  </si>
  <si>
    <t>0:03:42:07</t>
  </si>
  <si>
    <t>0:03:42:08</t>
  </si>
  <si>
    <t>0:03:42:09</t>
  </si>
  <si>
    <t>0:03:42:10</t>
  </si>
  <si>
    <t>0:03:42:11</t>
  </si>
  <si>
    <t>0:03:42:12</t>
  </si>
  <si>
    <t>0:03:42:13</t>
  </si>
  <si>
    <t>0:03:42:14</t>
  </si>
  <si>
    <t>0:03:42:15</t>
  </si>
  <si>
    <t>0:03:42:16</t>
  </si>
  <si>
    <t>0:03:42:17</t>
  </si>
  <si>
    <t>0:03:42:18</t>
  </si>
  <si>
    <t>0:03:42:19</t>
  </si>
  <si>
    <t>0:03:42:20</t>
  </si>
  <si>
    <t>0:03:42:21</t>
  </si>
  <si>
    <t>0:03:42:22</t>
  </si>
  <si>
    <t>0:03:42:23</t>
  </si>
  <si>
    <t>0:03:42:24</t>
  </si>
  <si>
    <t>0:03:43:00</t>
  </si>
  <si>
    <t>0:03:43:01</t>
  </si>
  <si>
    <t>0:03:43:02</t>
  </si>
  <si>
    <t>0:03:43:03</t>
  </si>
  <si>
    <t>0:03:43:04</t>
  </si>
  <si>
    <t>0:03:43:05</t>
  </si>
  <si>
    <t>0:03:43:06</t>
  </si>
  <si>
    <t>0:03:43:07</t>
  </si>
  <si>
    <t>0:03:43:08</t>
  </si>
  <si>
    <t>0:03:43:09</t>
  </si>
  <si>
    <t>0:03:43:10</t>
  </si>
  <si>
    <t>0:03:43:11</t>
  </si>
  <si>
    <t>0:03:43:12</t>
  </si>
  <si>
    <t>0:03:43:13</t>
  </si>
  <si>
    <t>0:03:43:14</t>
  </si>
  <si>
    <t>0:03:43:15</t>
  </si>
  <si>
    <t>0:03:43:16</t>
  </si>
  <si>
    <t>0:03:43:17</t>
  </si>
  <si>
    <t>0:03:43:18</t>
  </si>
  <si>
    <t>0:03:43:19</t>
  </si>
  <si>
    <t>0:03:43:20</t>
  </si>
  <si>
    <t>0:03:43:21</t>
  </si>
  <si>
    <t>0:03:43:22</t>
  </si>
  <si>
    <t>0:03:43:23</t>
  </si>
  <si>
    <t>0:03:43:24</t>
  </si>
  <si>
    <t>0:03:44:00</t>
  </si>
  <si>
    <t>0:03:44:01</t>
  </si>
  <si>
    <t>0:03:44:02</t>
  </si>
  <si>
    <t>0:03:44:03</t>
  </si>
  <si>
    <t>0:03:44:04</t>
  </si>
  <si>
    <t>0:03:44:05</t>
  </si>
  <si>
    <t>0:03:44:06</t>
  </si>
  <si>
    <t>0:03:44:07</t>
  </si>
  <si>
    <t>0:03:44:08</t>
  </si>
  <si>
    <t>0:03:44:09</t>
  </si>
  <si>
    <t>0:03:44:10</t>
  </si>
  <si>
    <t>0:03:44:11</t>
  </si>
  <si>
    <t>0:03:44:12</t>
  </si>
  <si>
    <t>0:03:44:13</t>
  </si>
  <si>
    <t>0:03:44:14</t>
  </si>
  <si>
    <t>0:03:44:15</t>
  </si>
  <si>
    <t>0:03:44:16</t>
  </si>
  <si>
    <t>0:03:44:17</t>
  </si>
  <si>
    <t>0:03:44:18</t>
  </si>
  <si>
    <t>0:03:44:19</t>
  </si>
  <si>
    <t>0:03:44:20</t>
  </si>
  <si>
    <t>0:03:44:21</t>
  </si>
  <si>
    <t>0:03:44:22</t>
  </si>
  <si>
    <t>0:03:44:23</t>
  </si>
  <si>
    <t>0:03:44:24</t>
  </si>
  <si>
    <t>0:03:45:00</t>
  </si>
  <si>
    <t>0:03:45:01</t>
  </si>
  <si>
    <t>0:03:45:02</t>
  </si>
  <si>
    <t>0:03:45:03</t>
  </si>
  <si>
    <t>0:03:45:04</t>
  </si>
  <si>
    <t>0:03:45:05</t>
  </si>
  <si>
    <t>0:03:45:06</t>
  </si>
  <si>
    <t>0:03:45:07</t>
  </si>
  <si>
    <t>0:03:45:08</t>
  </si>
  <si>
    <t>0:03:45:09</t>
  </si>
  <si>
    <t>0:03:45:10</t>
  </si>
  <si>
    <t>0:03:45:11</t>
  </si>
  <si>
    <t>0:03:45:12</t>
  </si>
  <si>
    <t>0:03:45:13</t>
  </si>
  <si>
    <t>0:03:45:14</t>
  </si>
  <si>
    <t>0:03:45:15</t>
  </si>
  <si>
    <t>0:03:45:16</t>
  </si>
  <si>
    <t>0:03:45:17</t>
  </si>
  <si>
    <t>0:03:45:18</t>
  </si>
  <si>
    <t>0:03:45:19</t>
  </si>
  <si>
    <t>0:03:45:20</t>
  </si>
  <si>
    <t>0:03:45:21</t>
  </si>
  <si>
    <t>0:03:45:22</t>
  </si>
  <si>
    <t>0:03:45:23</t>
  </si>
  <si>
    <t>0:03:45:24</t>
  </si>
  <si>
    <t>0:03:46:00</t>
  </si>
  <si>
    <t>0:03:46:01</t>
  </si>
  <si>
    <t>0:03:46:02</t>
  </si>
  <si>
    <t>0:03:46:03</t>
  </si>
  <si>
    <t>0:03:46:04</t>
  </si>
  <si>
    <t>0:03:46:05</t>
  </si>
  <si>
    <t>0:03:46:06</t>
  </si>
  <si>
    <t>0:03:46:07</t>
  </si>
  <si>
    <t>0:03:46:08</t>
  </si>
  <si>
    <t>0:03:46:09</t>
  </si>
  <si>
    <t>0:03:46:10</t>
  </si>
  <si>
    <t>0:03:46:11</t>
  </si>
  <si>
    <t>0:03:46:12</t>
  </si>
  <si>
    <t>0:03:46:13</t>
  </si>
  <si>
    <t>0:03:46:14</t>
  </si>
  <si>
    <t>0:03:46:15</t>
  </si>
  <si>
    <t>0:03:46:16</t>
  </si>
  <si>
    <t>0:03:46:17</t>
  </si>
  <si>
    <t>0:03:46:18</t>
  </si>
  <si>
    <t>0:03:46:19</t>
  </si>
  <si>
    <t>0:03:46:20</t>
  </si>
  <si>
    <t>0:03:46:21</t>
  </si>
  <si>
    <t>0:03:46:22</t>
  </si>
  <si>
    <t>0:03:46:23</t>
  </si>
  <si>
    <t>0:03:46:24</t>
  </si>
  <si>
    <t>0:03:47:00</t>
  </si>
  <si>
    <t>0:03:47:01</t>
  </si>
  <si>
    <t>0:03:47:02</t>
  </si>
  <si>
    <t>0:03:47:03</t>
  </si>
  <si>
    <t>0:03:47:04</t>
  </si>
  <si>
    <t>0:03:47:05</t>
  </si>
  <si>
    <t>0:03:47:06</t>
  </si>
  <si>
    <t>0:03:47:07</t>
  </si>
  <si>
    <t>0:03:47:08</t>
  </si>
  <si>
    <t>0:03:47:09</t>
  </si>
  <si>
    <t>0:03:47:10</t>
  </si>
  <si>
    <t>0:03:47:11</t>
  </si>
  <si>
    <t>0:03:47:12</t>
  </si>
  <si>
    <t>0:03:47:13</t>
  </si>
  <si>
    <t>0:03:47:14</t>
  </si>
  <si>
    <t>0:03:47:15</t>
  </si>
  <si>
    <t>0:03:47:16</t>
  </si>
  <si>
    <t>0:03:47:17</t>
  </si>
  <si>
    <t>0:03:47:18</t>
  </si>
  <si>
    <t>0:03:47:19</t>
  </si>
  <si>
    <t>0:03:47:20</t>
  </si>
  <si>
    <t>0:03:47:21</t>
  </si>
  <si>
    <t>0:03:47:22</t>
  </si>
  <si>
    <t>0:03:47:23</t>
  </si>
  <si>
    <t>0:03:47:24</t>
  </si>
  <si>
    <t>0:03:48:00</t>
  </si>
  <si>
    <t>0:03:48:01</t>
  </si>
  <si>
    <t>0:03:48:02</t>
  </si>
  <si>
    <t>0:03:48:03</t>
  </si>
  <si>
    <t>0:03:48:04</t>
  </si>
  <si>
    <t>0:03:48:05</t>
  </si>
  <si>
    <t>0:03:48:06</t>
  </si>
  <si>
    <t>0:03:48:07</t>
  </si>
  <si>
    <t>0:03:48:08</t>
  </si>
  <si>
    <t>0:03:48:09</t>
  </si>
  <si>
    <t>0:03:48:10</t>
  </si>
  <si>
    <t>0:03:48:11</t>
  </si>
  <si>
    <t>0:03:48:12</t>
  </si>
  <si>
    <t>0:03:48:13</t>
  </si>
  <si>
    <t>0:03:48:14</t>
  </si>
  <si>
    <t>0:03:48:15</t>
  </si>
  <si>
    <t>0:03:48:16</t>
  </si>
  <si>
    <t>0:03:48:17</t>
  </si>
  <si>
    <t>0:03:48:18</t>
  </si>
  <si>
    <t>0:03:48:19</t>
  </si>
  <si>
    <t>0:03:48:20</t>
  </si>
  <si>
    <t>0:03:48:21</t>
  </si>
  <si>
    <t>0:03:48:22</t>
  </si>
  <si>
    <t>0:03:48:23</t>
  </si>
  <si>
    <t>0:03:48:24</t>
  </si>
  <si>
    <t>0:03:49:00</t>
  </si>
  <si>
    <t>0:03:49:01</t>
  </si>
  <si>
    <t>0:03:49:02</t>
  </si>
  <si>
    <t>0:03:49:03</t>
  </si>
  <si>
    <t>0:03:49:04</t>
  </si>
  <si>
    <t>0:03:49:05</t>
  </si>
  <si>
    <t>0:03:49:06</t>
  </si>
  <si>
    <t>0:03:49:07</t>
  </si>
  <si>
    <t>0:03:49:08</t>
  </si>
  <si>
    <t>0:03:49:09</t>
  </si>
  <si>
    <t>0:03:49:10</t>
  </si>
  <si>
    <t>0:03:49:11</t>
  </si>
  <si>
    <t>0:03:49:12</t>
  </si>
  <si>
    <t>0:03:49:13</t>
  </si>
  <si>
    <t>0:03:49:14</t>
  </si>
  <si>
    <t>0:03:49:15</t>
  </si>
  <si>
    <t>0:03:49:16</t>
  </si>
  <si>
    <t>0:03:49:17</t>
  </si>
  <si>
    <t>0:03:49:18</t>
  </si>
  <si>
    <t>0:03:49:19</t>
  </si>
  <si>
    <t>0:03:49:20</t>
  </si>
  <si>
    <t>0:03:49:21</t>
  </si>
  <si>
    <t>0:03:49:22</t>
  </si>
  <si>
    <t>0:03:49:23</t>
  </si>
  <si>
    <t>0:03:49:24</t>
  </si>
  <si>
    <t>0:03:50:00</t>
  </si>
  <si>
    <t>0:03:50:01</t>
  </si>
  <si>
    <t>0:03:50:02</t>
  </si>
  <si>
    <t>0:03:50:03</t>
  </si>
  <si>
    <t>0:03:50:04</t>
  </si>
  <si>
    <t>0:03:50:05</t>
  </si>
  <si>
    <t>0:03:50:06</t>
  </si>
  <si>
    <t>0:03:50:07</t>
  </si>
  <si>
    <t>0:03:50:08</t>
  </si>
  <si>
    <t>0:03:50:09</t>
  </si>
  <si>
    <t>0:03:50:10</t>
  </si>
  <si>
    <t>0:03:50:11</t>
  </si>
  <si>
    <t>0:03:50:12</t>
  </si>
  <si>
    <t>0:03:50:13</t>
  </si>
  <si>
    <t>0:03:50:14</t>
  </si>
  <si>
    <t>0:03:50:15</t>
  </si>
  <si>
    <t>0:03:50:16</t>
  </si>
  <si>
    <t>0:03:50:17</t>
  </si>
  <si>
    <t>0:03:50:18</t>
  </si>
  <si>
    <t>0:03:50:19</t>
  </si>
  <si>
    <t>0:03:50:20</t>
  </si>
  <si>
    <t>0:03:50:21</t>
  </si>
  <si>
    <t>0:03:50:22</t>
  </si>
  <si>
    <t>0:03:50:23</t>
  </si>
  <si>
    <t>0:03:50:24</t>
  </si>
  <si>
    <t>0:03:51:00</t>
  </si>
  <si>
    <t>0:03:51:01</t>
  </si>
  <si>
    <t>0:03:51:02</t>
  </si>
  <si>
    <t>0:03:51:03</t>
  </si>
  <si>
    <t>0:03:51:04</t>
  </si>
  <si>
    <t>0:03:51:05</t>
  </si>
  <si>
    <t>0:03:51:06</t>
  </si>
  <si>
    <t>0:03:51:07</t>
  </si>
  <si>
    <t>0:03:51:08</t>
  </si>
  <si>
    <t>0:03:51:09</t>
  </si>
  <si>
    <t>0:03:51:10</t>
  </si>
  <si>
    <t>0:03:51:11</t>
  </si>
  <si>
    <t>0:03:51:12</t>
  </si>
  <si>
    <t>0:03:51:13</t>
  </si>
  <si>
    <t>0:03:51:14</t>
  </si>
  <si>
    <t>0:03:51:15</t>
  </si>
  <si>
    <t>0:03:51:16</t>
  </si>
  <si>
    <t>0:03:51:17</t>
  </si>
  <si>
    <t>0:03:51:18</t>
  </si>
  <si>
    <t>0:03:51:19</t>
  </si>
  <si>
    <t>0:03:51:20</t>
  </si>
  <si>
    <t>0:03:51:21</t>
  </si>
  <si>
    <t>0:03:51:22</t>
  </si>
  <si>
    <t>0:03:51:23</t>
  </si>
  <si>
    <t>0:03:51:24</t>
  </si>
  <si>
    <t>0:03:52:00</t>
  </si>
  <si>
    <t>0:03:52:01</t>
  </si>
  <si>
    <t>0:03:52:02</t>
  </si>
  <si>
    <t>0:03:52:03</t>
  </si>
  <si>
    <t>0:03:52:04</t>
  </si>
  <si>
    <t>0:03:52:05</t>
  </si>
  <si>
    <t>0:03:52:06</t>
  </si>
  <si>
    <t>0:03:52:07</t>
  </si>
  <si>
    <t>0:03:52:08</t>
  </si>
  <si>
    <t>0:03:52:09</t>
  </si>
  <si>
    <t>0:03:52:10</t>
  </si>
  <si>
    <t>0:03:52:11</t>
  </si>
  <si>
    <t>0:03:52:12</t>
  </si>
  <si>
    <t>0:03:52:13</t>
  </si>
  <si>
    <t>0:03:52:14</t>
  </si>
  <si>
    <t>0:03:52:15</t>
  </si>
  <si>
    <t>0:03:52:16</t>
  </si>
  <si>
    <t>0:03:52:17</t>
  </si>
  <si>
    <t>0:03:52:18</t>
  </si>
  <si>
    <t>0:03:52:19</t>
  </si>
  <si>
    <t>0:03:52:20</t>
  </si>
  <si>
    <t>0:03:52:21</t>
  </si>
  <si>
    <t>0:03:52:22</t>
  </si>
  <si>
    <t>0:03:52:23</t>
  </si>
  <si>
    <t>0:03:52:24</t>
  </si>
  <si>
    <t>0:03:53:00</t>
  </si>
  <si>
    <t>0:03:53:01</t>
  </si>
  <si>
    <t>0:03:53:02</t>
  </si>
  <si>
    <t>0:03:53:03</t>
  </si>
  <si>
    <t>0:03:53:04</t>
  </si>
  <si>
    <t>0:03:53:05</t>
  </si>
  <si>
    <t>0:03:53:06</t>
  </si>
  <si>
    <t>0:03:53:07</t>
  </si>
  <si>
    <t>0:03:53:08</t>
  </si>
  <si>
    <t>0:03:53:09</t>
  </si>
  <si>
    <t>0:03:53:10</t>
  </si>
  <si>
    <t>0:03:53:11</t>
  </si>
  <si>
    <t>0:03:53:12</t>
  </si>
  <si>
    <t>0:03:53:13</t>
  </si>
  <si>
    <t>0:03:53:14</t>
  </si>
  <si>
    <t>0:03:53:15</t>
  </si>
  <si>
    <t>0:03:53:16</t>
  </si>
  <si>
    <t>0:03:53:17</t>
  </si>
  <si>
    <t>0:03:53:18</t>
  </si>
  <si>
    <t>0:03:53:19</t>
  </si>
  <si>
    <t>0:03:53:20</t>
  </si>
  <si>
    <t>0:03:53:21</t>
  </si>
  <si>
    <t>0:03:53:22</t>
  </si>
  <si>
    <t>0:03:53:23</t>
  </si>
  <si>
    <t>0:03:53:24</t>
  </si>
  <si>
    <t>0:03:54:00</t>
  </si>
  <si>
    <t>0:03:54:01</t>
  </si>
  <si>
    <t>0:03:54:02</t>
  </si>
  <si>
    <t>0:03:54:03</t>
  </si>
  <si>
    <t>0:03:54:04</t>
  </si>
  <si>
    <t>0:03:54:05</t>
  </si>
  <si>
    <t>0:03:54:06</t>
  </si>
  <si>
    <t>0:03:54:07</t>
  </si>
  <si>
    <t>0:03:54:08</t>
  </si>
  <si>
    <t>0:03:54:09</t>
  </si>
  <si>
    <t>0:03:54:10</t>
  </si>
  <si>
    <t>0:03:54:11</t>
  </si>
  <si>
    <t>0:03:54:12</t>
  </si>
  <si>
    <t>0:03:54:13</t>
  </si>
  <si>
    <t>0:03:54:14</t>
  </si>
  <si>
    <t>0:03:54:15</t>
  </si>
  <si>
    <t>0:03:54:16</t>
  </si>
  <si>
    <t>0:03:54:17</t>
  </si>
  <si>
    <t>0:03:54:18</t>
  </si>
  <si>
    <t>0:03:54:19</t>
  </si>
  <si>
    <t>0:03:54:20</t>
  </si>
  <si>
    <t>0:03:54:21</t>
  </si>
  <si>
    <t>0:03:54:22</t>
  </si>
  <si>
    <t>0:03:54:23</t>
  </si>
  <si>
    <t>0:03:54:24</t>
  </si>
  <si>
    <t>0:03:55:00</t>
  </si>
  <si>
    <t>0:03:55:01</t>
  </si>
  <si>
    <t>0:03:55:02</t>
  </si>
  <si>
    <t>0:03:55:03</t>
  </si>
  <si>
    <t>0:03:55:04</t>
  </si>
  <si>
    <t>0:03:55:05</t>
  </si>
  <si>
    <t>0:03:55:06</t>
  </si>
  <si>
    <t>0:03:55:07</t>
  </si>
  <si>
    <t>0:03:55:08</t>
  </si>
  <si>
    <t>0:03:55:09</t>
  </si>
  <si>
    <t>0:03:55:10</t>
  </si>
  <si>
    <t>0:03:55:11</t>
  </si>
  <si>
    <t>0:03:55:12</t>
  </si>
  <si>
    <t>0:03:55:13</t>
  </si>
  <si>
    <t>0:03:55:14</t>
  </si>
  <si>
    <t>0:03:55:15</t>
  </si>
  <si>
    <t>0:03:55:16</t>
  </si>
  <si>
    <t>0:03:55:17</t>
  </si>
  <si>
    <t>0:03:55:18</t>
  </si>
  <si>
    <t>0:03:55:19</t>
  </si>
  <si>
    <t>0:03:55:20</t>
  </si>
  <si>
    <t>0:03:55:21</t>
  </si>
  <si>
    <t>0:03:55:22</t>
  </si>
  <si>
    <t>0:03:55:23</t>
  </si>
  <si>
    <t>0:03:55:24</t>
  </si>
  <si>
    <t>0:03:56:00</t>
  </si>
  <si>
    <t>0:03:56:01</t>
  </si>
  <si>
    <t>0:03:56:02</t>
  </si>
  <si>
    <t>0:03:56:03</t>
  </si>
  <si>
    <t>0:03:56:04</t>
  </si>
  <si>
    <t>0:03:56:05</t>
  </si>
  <si>
    <t>0:03:56:06</t>
  </si>
  <si>
    <t>0:03:56:07</t>
  </si>
  <si>
    <t>0:03:56:08</t>
  </si>
  <si>
    <t>0:03:56:09</t>
  </si>
  <si>
    <t>0:03:56:10</t>
  </si>
  <si>
    <t>0:03:56:11</t>
  </si>
  <si>
    <t>0:03:56:12</t>
  </si>
  <si>
    <t>0:03:56:13</t>
  </si>
  <si>
    <t>0:03:56:14</t>
  </si>
  <si>
    <t>0:03:56:15</t>
  </si>
  <si>
    <t>0:03:56:16</t>
  </si>
  <si>
    <t>0:03:56:17</t>
  </si>
  <si>
    <t>0:03:56:18</t>
  </si>
  <si>
    <t>0:03:56:19</t>
  </si>
  <si>
    <t>0:03:56:20</t>
  </si>
  <si>
    <t>0:03:56:21</t>
  </si>
  <si>
    <t>0:03:56:22</t>
  </si>
  <si>
    <t>0:03:56:23</t>
  </si>
  <si>
    <t>0:03:56:24</t>
  </si>
  <si>
    <t>0:03:57:00</t>
  </si>
  <si>
    <t>0:03:57:01</t>
  </si>
  <si>
    <t>0:03:57:02</t>
  </si>
  <si>
    <t>0:03:57:03</t>
  </si>
  <si>
    <t>0:03:57:04</t>
  </si>
  <si>
    <t>0:03:57:05</t>
  </si>
  <si>
    <t>0:03:57:06</t>
  </si>
  <si>
    <t>0:03:57:07</t>
  </si>
  <si>
    <t>0:03:57:08</t>
  </si>
  <si>
    <t>0:03:57:09</t>
  </si>
  <si>
    <t>0:03:57:10</t>
  </si>
  <si>
    <t>0:03:57:11</t>
  </si>
  <si>
    <t>0:03:57:12</t>
  </si>
  <si>
    <t>0:03:57:13</t>
  </si>
  <si>
    <t>0:03:57:14</t>
  </si>
  <si>
    <t>0:03:57:15</t>
  </si>
  <si>
    <t>0:03:57:16</t>
  </si>
  <si>
    <t>0:03:57:17</t>
  </si>
  <si>
    <t>0:03:57:18</t>
  </si>
  <si>
    <t>0:03:57:19</t>
  </si>
  <si>
    <t>0:03:57:20</t>
  </si>
  <si>
    <t>0:03:57:21</t>
  </si>
  <si>
    <t>0:03:57:22</t>
  </si>
  <si>
    <t>0:03:57:23</t>
  </si>
  <si>
    <t>0:03:57:24</t>
  </si>
  <si>
    <t>0:03:58:00</t>
  </si>
  <si>
    <t>0:03:58:01</t>
  </si>
  <si>
    <t>0:03:58:02</t>
  </si>
  <si>
    <t>0:03:58:03</t>
  </si>
  <si>
    <t>0:03:58:04</t>
  </si>
  <si>
    <t>0:03:58:05</t>
  </si>
  <si>
    <t>0:03:58:06</t>
  </si>
  <si>
    <t>0:03:58:07</t>
  </si>
  <si>
    <t>0:03:58:08</t>
  </si>
  <si>
    <t>0:03:58:09</t>
  </si>
  <si>
    <t>0:03:58:10</t>
  </si>
  <si>
    <t>0:03:58:11</t>
  </si>
  <si>
    <t>0:03:58:12</t>
  </si>
  <si>
    <t>0:03:58:13</t>
  </si>
  <si>
    <t>0:03:58:14</t>
  </si>
  <si>
    <t>0:03:58:15</t>
  </si>
  <si>
    <t>0:03:58:16</t>
  </si>
  <si>
    <t>0:03:58:17</t>
  </si>
  <si>
    <t>0:03:58:18</t>
  </si>
  <si>
    <t>0:03:58:19</t>
  </si>
  <si>
    <t>0:03:58:20</t>
  </si>
  <si>
    <t>0:03:58:21</t>
  </si>
  <si>
    <t>0:03:58:22</t>
  </si>
  <si>
    <t>0:03:58:23</t>
  </si>
  <si>
    <t>0:03:58:24</t>
  </si>
  <si>
    <t>0:03:59:00</t>
  </si>
  <si>
    <t>0:03:59:01</t>
  </si>
  <si>
    <t>0:03:59:02</t>
  </si>
  <si>
    <t>0:03:59:03</t>
  </si>
  <si>
    <t>0:03:59:04</t>
  </si>
  <si>
    <t>0:03:59:05</t>
  </si>
  <si>
    <t>0:03:59:06</t>
  </si>
  <si>
    <t>0:03:59:07</t>
  </si>
  <si>
    <t>0:03:59:08</t>
  </si>
  <si>
    <t>0:03:59:09</t>
  </si>
  <si>
    <t>0:03:59:10</t>
  </si>
  <si>
    <t>0:03:59:11</t>
  </si>
  <si>
    <t>0:03:59:12</t>
  </si>
  <si>
    <t>0:03:59:13</t>
  </si>
  <si>
    <t>0:03:59:14</t>
  </si>
  <si>
    <t>0:03:59:15</t>
  </si>
  <si>
    <t>0:03:59:16</t>
  </si>
  <si>
    <t>0:03:59:17</t>
  </si>
  <si>
    <t>0:03:59:18</t>
  </si>
  <si>
    <t>0:03:59:19</t>
  </si>
  <si>
    <t>0:03:59:20</t>
  </si>
  <si>
    <t>0:03:59:21</t>
  </si>
  <si>
    <t>0:03:59:22</t>
  </si>
  <si>
    <t>0:03:59:23</t>
  </si>
  <si>
    <t>0:03:59:24</t>
  </si>
  <si>
    <t>0:04:00:00</t>
  </si>
  <si>
    <t>0:04:00:01</t>
  </si>
  <si>
    <t>0:04:00:02</t>
  </si>
  <si>
    <t>0:04:00:03</t>
  </si>
  <si>
    <t>0:04:00:04</t>
  </si>
  <si>
    <t>0:04:00:05</t>
  </si>
  <si>
    <t>0:04:00:06</t>
  </si>
  <si>
    <t>0:04:00:07</t>
  </si>
  <si>
    <t>0:04:00:08</t>
  </si>
  <si>
    <t>0:04:00:09</t>
  </si>
  <si>
    <t>0:04:00:10</t>
  </si>
  <si>
    <t>0:04:00:11</t>
  </si>
  <si>
    <t>0:04:00:12</t>
  </si>
  <si>
    <t>0:04:00:13</t>
  </si>
  <si>
    <t>0:04:00:14</t>
  </si>
  <si>
    <t>0:04:00:15</t>
  </si>
  <si>
    <t>0:04:00:16</t>
  </si>
  <si>
    <t>0:04:00:17</t>
  </si>
  <si>
    <t>0:04:00:18</t>
  </si>
  <si>
    <t>0:04:00:19</t>
  </si>
  <si>
    <t>0:04:00:20</t>
  </si>
  <si>
    <t>0:04:00:21</t>
  </si>
  <si>
    <t>0:04:00:22</t>
  </si>
  <si>
    <t>0:04:00:23</t>
  </si>
  <si>
    <t>0:04:00:24</t>
  </si>
  <si>
    <t>0:04:01:00</t>
  </si>
  <si>
    <t>0:04:01:01</t>
  </si>
  <si>
    <t>0:04:01:02</t>
  </si>
  <si>
    <t>0:04:01:03</t>
  </si>
  <si>
    <t>0:04:01:04</t>
  </si>
  <si>
    <t>0:04:01:05</t>
  </si>
  <si>
    <t>0:04:01:06</t>
  </si>
  <si>
    <t>0:04:01:07</t>
  </si>
  <si>
    <t>0:04:01:08</t>
  </si>
  <si>
    <t>0:04:01:09</t>
  </si>
  <si>
    <t>0:04:01:10</t>
  </si>
  <si>
    <t>0:04:01:11</t>
  </si>
  <si>
    <t>0:04:01:12</t>
  </si>
  <si>
    <t>0:04:01:13</t>
  </si>
  <si>
    <t>0:04:01:14</t>
  </si>
  <si>
    <t>0:04:01:15</t>
  </si>
  <si>
    <t>0:04:01:16</t>
  </si>
  <si>
    <t>0:04:01:17</t>
  </si>
  <si>
    <t>0:04:01:18</t>
  </si>
  <si>
    <t>0:04:01:19</t>
  </si>
  <si>
    <t>0:04:01:20</t>
  </si>
  <si>
    <t>0:04:01:21</t>
  </si>
  <si>
    <t>0:04:01:22</t>
  </si>
  <si>
    <t>0:04:01:23</t>
  </si>
  <si>
    <t>0:04:01:24</t>
  </si>
  <si>
    <t>0:04:02:00</t>
  </si>
  <si>
    <t>0:04:02:01</t>
  </si>
  <si>
    <t>0:04:02:02</t>
  </si>
  <si>
    <t>0:04:02:03</t>
  </si>
  <si>
    <t>0:04:02:04</t>
  </si>
  <si>
    <t>0:04:02:05</t>
  </si>
  <si>
    <t>0:04:02:06</t>
  </si>
  <si>
    <t>0:04:02:07</t>
  </si>
  <si>
    <t>0:04:02:08</t>
  </si>
  <si>
    <t>0:04:02:09</t>
  </si>
  <si>
    <t>0:04:02:10</t>
  </si>
  <si>
    <t>0:04:02:11</t>
  </si>
  <si>
    <t>0:04:02:12</t>
  </si>
  <si>
    <t>0:04:02:13</t>
  </si>
  <si>
    <t>0:04:02:14</t>
  </si>
  <si>
    <t>0:04:02:15</t>
  </si>
  <si>
    <t>0:04:02:16</t>
  </si>
  <si>
    <t>0:04:02:17</t>
  </si>
  <si>
    <t>0:04:02:18</t>
  </si>
  <si>
    <t>0:04:02:19</t>
  </si>
  <si>
    <t>0:04:02:20</t>
  </si>
  <si>
    <t>0:04:02:21</t>
  </si>
  <si>
    <t>0:04:02:22</t>
  </si>
  <si>
    <t>0:04:02:23</t>
  </si>
  <si>
    <t>0:04:02:24</t>
  </si>
  <si>
    <t>0:04:03:00</t>
  </si>
  <si>
    <t>0:04:03:01</t>
  </si>
  <si>
    <t>0:04:03:02</t>
  </si>
  <si>
    <t>0:04:03:03</t>
  </si>
  <si>
    <t>0:04:03:04</t>
  </si>
  <si>
    <t>0:04:03:05</t>
  </si>
  <si>
    <t>0:04:03:06</t>
  </si>
  <si>
    <t>0:04:03:07</t>
  </si>
  <si>
    <t>0:04:03:08</t>
  </si>
  <si>
    <t>0:04:03:09</t>
  </si>
  <si>
    <t>0:04:03:10</t>
  </si>
  <si>
    <t>0:04:03:11</t>
  </si>
  <si>
    <t>0:04:03:12</t>
  </si>
  <si>
    <t>0:04:03:13</t>
  </si>
  <si>
    <t>0:04:03:14</t>
  </si>
  <si>
    <t>0:04:03:15</t>
  </si>
  <si>
    <t>0:04:03:16</t>
  </si>
  <si>
    <t>0:04:03:17</t>
  </si>
  <si>
    <t>0:04:03:18</t>
  </si>
  <si>
    <t>0:04:03:19</t>
  </si>
  <si>
    <t>0:04:03:20</t>
  </si>
  <si>
    <t>0:04:03:21</t>
  </si>
  <si>
    <t>0:04:03:22</t>
  </si>
  <si>
    <t>0:04:03:23</t>
  </si>
  <si>
    <t>0:04:03:24</t>
  </si>
  <si>
    <t>0:04:04:00</t>
  </si>
  <si>
    <t>0:04:04:01</t>
  </si>
  <si>
    <t>0:04:04:02</t>
  </si>
  <si>
    <t>0:04:04:03</t>
  </si>
  <si>
    <t>0:04:04:04</t>
  </si>
  <si>
    <t>0:04:04:05</t>
  </si>
  <si>
    <t>0:04:04:06</t>
  </si>
  <si>
    <t>0:04:04:07</t>
  </si>
  <si>
    <t>0:04:04:08</t>
  </si>
  <si>
    <t>0:04:04:09</t>
  </si>
  <si>
    <t>0:04:04:10</t>
  </si>
  <si>
    <t>0:04:04:11</t>
  </si>
  <si>
    <t>0:04:04:12</t>
  </si>
  <si>
    <t>0:04:04:13</t>
  </si>
  <si>
    <t>0:04:04:14</t>
  </si>
  <si>
    <t>0:04:04:15</t>
  </si>
  <si>
    <t>0:04:04:16</t>
  </si>
  <si>
    <t>0:04:04:17</t>
  </si>
  <si>
    <t>0:04:04:18</t>
  </si>
  <si>
    <t>0:04:04:19</t>
  </si>
  <si>
    <t>0:04:04:20</t>
  </si>
  <si>
    <t>0:04:04:21</t>
  </si>
  <si>
    <t>0:04:04:22</t>
  </si>
  <si>
    <t>0:04:04:23</t>
  </si>
  <si>
    <t>0:04:04:24</t>
  </si>
  <si>
    <t>0:04:05:00</t>
  </si>
  <si>
    <t>0:04:05:01</t>
  </si>
  <si>
    <t>0:04:05:02</t>
  </si>
  <si>
    <t>0:04:05:03</t>
  </si>
  <si>
    <t>0:04:05:04</t>
  </si>
  <si>
    <t>0:04:05:05</t>
  </si>
  <si>
    <t>0:04:05:06</t>
  </si>
  <si>
    <t>0:04:05:07</t>
  </si>
  <si>
    <t>0:04:05:08</t>
  </si>
  <si>
    <t>0:04:05:09</t>
  </si>
  <si>
    <t>0:04:05:10</t>
  </si>
  <si>
    <t>0:04:05:11</t>
  </si>
  <si>
    <t>0:04:05:12</t>
  </si>
  <si>
    <t>0:04:05:13</t>
  </si>
  <si>
    <t>0:04:05:14</t>
  </si>
  <si>
    <t>0:04:05:15</t>
  </si>
  <si>
    <t>0:04:05:16</t>
  </si>
  <si>
    <t>0:04:05:17</t>
  </si>
  <si>
    <t>0:04:05:18</t>
  </si>
  <si>
    <t>0:04:05:19</t>
  </si>
  <si>
    <t>0:04:05:20</t>
  </si>
  <si>
    <t>0:04:05:21</t>
  </si>
  <si>
    <t>0:04:05:22</t>
  </si>
  <si>
    <t>0:04:05:23</t>
  </si>
  <si>
    <t>0:04:05:24</t>
  </si>
  <si>
    <t>0:04:06:00</t>
  </si>
  <si>
    <t>0:04:06:01</t>
  </si>
  <si>
    <t>0:04:06:02</t>
  </si>
  <si>
    <t>0:04:06:03</t>
  </si>
  <si>
    <t>0:04:06:04</t>
  </si>
  <si>
    <t>0:04:06:05</t>
  </si>
  <si>
    <t>0:04:06:06</t>
  </si>
  <si>
    <t>0:04:06:07</t>
  </si>
  <si>
    <t>0:04:06:08</t>
  </si>
  <si>
    <t>0:04:06:09</t>
  </si>
  <si>
    <t>0:04:06:10</t>
  </si>
  <si>
    <t>0:04:06:11</t>
  </si>
  <si>
    <t>0:04:06:12</t>
  </si>
  <si>
    <t>0:04:06:13</t>
  </si>
  <si>
    <t>0:04:06:14</t>
  </si>
  <si>
    <t>0:04:06:15</t>
  </si>
  <si>
    <t>0:04:06:16</t>
  </si>
  <si>
    <t>0:04:06:17</t>
  </si>
  <si>
    <t>0:04:06:18</t>
  </si>
  <si>
    <t>0:04:06:19</t>
  </si>
  <si>
    <t>0:04:06:20</t>
  </si>
  <si>
    <t>0:04:06:21</t>
  </si>
  <si>
    <t>0:04:06:22</t>
  </si>
  <si>
    <t>0:04:06:23</t>
  </si>
  <si>
    <t>0:04:06:24</t>
  </si>
  <si>
    <t>0:04:07:00</t>
  </si>
  <si>
    <t>0:04:07:01</t>
  </si>
  <si>
    <t>0:04:07:02</t>
  </si>
  <si>
    <t>0:04:07:03</t>
  </si>
  <si>
    <t>0:04:07:04</t>
  </si>
  <si>
    <t>0:04:07:05</t>
  </si>
  <si>
    <t>0:04:07:06</t>
  </si>
  <si>
    <t>0:04:07:07</t>
  </si>
  <si>
    <t>0:04:07:08</t>
  </si>
  <si>
    <t>0:04:07:09</t>
  </si>
  <si>
    <t>0:04:07:10</t>
  </si>
  <si>
    <t>0:04:07:11</t>
  </si>
  <si>
    <t>0:04:07:12</t>
  </si>
  <si>
    <t>0:04:07:13</t>
  </si>
  <si>
    <t>0:04:07:14</t>
  </si>
  <si>
    <t>0:04:07:15</t>
  </si>
  <si>
    <t>0:04:07:16</t>
  </si>
  <si>
    <t>0:04:07:17</t>
  </si>
  <si>
    <t>0:04:07:18</t>
  </si>
  <si>
    <t>0:04:07:19</t>
  </si>
  <si>
    <t>0:04:07:20</t>
  </si>
  <si>
    <t>0:04:07:21</t>
  </si>
  <si>
    <t>0:04:07:22</t>
  </si>
  <si>
    <t>0:04:07:23</t>
  </si>
  <si>
    <t>0:04:07:24</t>
  </si>
  <si>
    <t>0:04:08:00</t>
  </si>
  <si>
    <t>0:04:08:01</t>
  </si>
  <si>
    <t>0:04:08:02</t>
  </si>
  <si>
    <t>0:04:08:03</t>
  </si>
  <si>
    <t>0:04:08:04</t>
  </si>
  <si>
    <t>0:04:08:05</t>
  </si>
  <si>
    <t>0:04:08:06</t>
  </si>
  <si>
    <t>0:04:08:07</t>
  </si>
  <si>
    <t>0:04:08:08</t>
  </si>
  <si>
    <t>0:04:08:09</t>
  </si>
  <si>
    <t>0:04:08:10</t>
  </si>
  <si>
    <t>0:04:08:11</t>
  </si>
  <si>
    <t>0:04:08:12</t>
  </si>
  <si>
    <t>0:04:08:13</t>
  </si>
  <si>
    <t>0:04:08:14</t>
  </si>
  <si>
    <t>0:04:08:15</t>
  </si>
  <si>
    <t>0:04:08:16</t>
  </si>
  <si>
    <t>0:04:08:17</t>
  </si>
  <si>
    <t>0:04:08:18</t>
  </si>
  <si>
    <t>0:04:08:19</t>
  </si>
  <si>
    <t>0:04:08:20</t>
  </si>
  <si>
    <t>0:04:08:21</t>
  </si>
  <si>
    <t>0:04:08:22</t>
  </si>
  <si>
    <t>0:04:08:23</t>
  </si>
  <si>
    <t>0:04:08:24</t>
  </si>
  <si>
    <t>0:04:09:00</t>
  </si>
  <si>
    <t>0:04:09:01</t>
  </si>
  <si>
    <t>0:04:09:02</t>
  </si>
  <si>
    <t>0:04:09:03</t>
  </si>
  <si>
    <t>0:04:09:04</t>
  </si>
  <si>
    <t>0:04:09:05</t>
  </si>
  <si>
    <t>0:04:09:06</t>
  </si>
  <si>
    <t>0:04:09:07</t>
  </si>
  <si>
    <t>0:04:09:08</t>
  </si>
  <si>
    <t>0:04:09:09</t>
  </si>
  <si>
    <t>0:04:09:10</t>
  </si>
  <si>
    <t>0:04:09:11</t>
  </si>
  <si>
    <t>0:04:09:12</t>
  </si>
  <si>
    <t>0:04:09:13</t>
  </si>
  <si>
    <t>0:04:09:14</t>
  </si>
  <si>
    <t>0:04:09:15</t>
  </si>
  <si>
    <t>0:04:09:16</t>
  </si>
  <si>
    <t>0:04:09:17</t>
  </si>
  <si>
    <t>0:04:09:18</t>
  </si>
  <si>
    <t>0:04:09:19</t>
  </si>
  <si>
    <t>0:04:09:20</t>
  </si>
  <si>
    <t>0:04:09:21</t>
  </si>
  <si>
    <t>0:04:09:22</t>
  </si>
  <si>
    <t>0:04:09:23</t>
  </si>
  <si>
    <t>0:04:09:24</t>
  </si>
  <si>
    <t>0:04:10:00</t>
  </si>
  <si>
    <t>0:04:10:01</t>
  </si>
  <si>
    <t>0:04:10:02</t>
  </si>
  <si>
    <t>0:04:10:03</t>
  </si>
  <si>
    <t>0:04:10:04</t>
  </si>
  <si>
    <t>0:04:10:05</t>
  </si>
  <si>
    <t>0:04:10:06</t>
  </si>
  <si>
    <t>0:04:10:07</t>
  </si>
  <si>
    <t>0:04:10:08</t>
  </si>
  <si>
    <t>0:04:10:09</t>
  </si>
  <si>
    <t>0:04:10:10</t>
  </si>
  <si>
    <t>0:04:10:11</t>
  </si>
  <si>
    <t>0:04:10:12</t>
  </si>
  <si>
    <t>0:04:10:13</t>
  </si>
  <si>
    <t>0:04:10:14</t>
  </si>
  <si>
    <t>0:04:10:15</t>
  </si>
  <si>
    <t>0:04:10:16</t>
  </si>
  <si>
    <t>0:04:10:17</t>
  </si>
  <si>
    <t>0:04:10:18</t>
  </si>
  <si>
    <t>0:04:10:19</t>
  </si>
  <si>
    <t>0:04:10:20</t>
  </si>
  <si>
    <t>0:04:10:21</t>
  </si>
  <si>
    <t>0:04:10:22</t>
  </si>
  <si>
    <t>0:04:10:23</t>
  </si>
  <si>
    <t>0:04:10:24</t>
  </si>
  <si>
    <t>0:04:11:00</t>
  </si>
  <si>
    <t>0:04:11:01</t>
  </si>
  <si>
    <t>0:04:11:02</t>
  </si>
  <si>
    <t>0:04:11:03</t>
  </si>
  <si>
    <t>0:04:11:04</t>
  </si>
  <si>
    <t>0:04:11:05</t>
  </si>
  <si>
    <t>0:04:11:06</t>
  </si>
  <si>
    <t>0:04:11:07</t>
  </si>
  <si>
    <t>0:04:11:08</t>
  </si>
  <si>
    <t>0:04:11:09</t>
  </si>
  <si>
    <t>0:04:11:10</t>
  </si>
  <si>
    <t>0:04:11:11</t>
  </si>
  <si>
    <t>0:04:11:12</t>
  </si>
  <si>
    <t>0:04:11:13</t>
  </si>
  <si>
    <t>0:04:11:14</t>
  </si>
  <si>
    <t>0:04:11:15</t>
  </si>
  <si>
    <t>0:04:11:16</t>
  </si>
  <si>
    <t>0:04:11:17</t>
  </si>
  <si>
    <t>0:04:11:18</t>
  </si>
  <si>
    <t>0:04:11:19</t>
  </si>
  <si>
    <t>0:04:11:20</t>
  </si>
  <si>
    <t>0:04:11:21</t>
  </si>
  <si>
    <t>0:04:11:22</t>
  </si>
  <si>
    <t>0:04:11:23</t>
  </si>
  <si>
    <t>0:04:11:24</t>
  </si>
  <si>
    <t>0:04:12:00</t>
  </si>
  <si>
    <t>0:04:12:01</t>
  </si>
  <si>
    <t>0:04:12:02</t>
  </si>
  <si>
    <t>0:04:12:03</t>
  </si>
  <si>
    <t>0:04:12:04</t>
  </si>
  <si>
    <t>0:04:12:05</t>
  </si>
  <si>
    <t>0:04:12:06</t>
  </si>
  <si>
    <t>0:04:12:07</t>
  </si>
  <si>
    <t>0:04:12:08</t>
  </si>
  <si>
    <t>0:04:12:09</t>
  </si>
  <si>
    <t>0:04:12:10</t>
  </si>
  <si>
    <t>0:04:12:11</t>
  </si>
  <si>
    <t>0:04:12:12</t>
  </si>
  <si>
    <t>0:04:12:13</t>
  </si>
  <si>
    <t>0:04:12:14</t>
  </si>
  <si>
    <t>0:04:12:15</t>
  </si>
  <si>
    <t>0:04:12:16</t>
  </si>
  <si>
    <t>0:04:12:17</t>
  </si>
  <si>
    <t>0:04:12:18</t>
  </si>
  <si>
    <t>0:04:12:19</t>
  </si>
  <si>
    <t>0:04:12:20</t>
  </si>
  <si>
    <t>0:04:12:21</t>
  </si>
  <si>
    <t>0:04:12:22</t>
  </si>
  <si>
    <t>0:04:12:23</t>
  </si>
  <si>
    <t>0:04:12:24</t>
  </si>
  <si>
    <t>0:04:13:00</t>
  </si>
  <si>
    <t>0:04:13:01</t>
  </si>
  <si>
    <t>0:04:13:02</t>
  </si>
  <si>
    <t>0:04:13:03</t>
  </si>
  <si>
    <t>0:04:13:04</t>
  </si>
  <si>
    <t>0:04:13:05</t>
  </si>
  <si>
    <t>0:04:13:06</t>
  </si>
  <si>
    <t>0:04:13:07</t>
  </si>
  <si>
    <t>0:04:13:08</t>
  </si>
  <si>
    <t>0:04:13:09</t>
  </si>
  <si>
    <t>0:04:13:10</t>
  </si>
  <si>
    <t>0:04:13:11</t>
  </si>
  <si>
    <t>0:04:13:12</t>
  </si>
  <si>
    <t>0:04:13:13</t>
  </si>
  <si>
    <t>0:04:13:14</t>
  </si>
  <si>
    <t>0:04:13:15</t>
  </si>
  <si>
    <t>0:04:13:16</t>
  </si>
  <si>
    <t>0:04:13:17</t>
  </si>
  <si>
    <t>0:04:13:18</t>
  </si>
  <si>
    <t>0:04:13:19</t>
  </si>
  <si>
    <t>0:04:13:20</t>
  </si>
  <si>
    <t>0:04:13:21</t>
  </si>
  <si>
    <t>0:04:13:22</t>
  </si>
  <si>
    <t>0:04:13:23</t>
  </si>
  <si>
    <t>0:04:13:24</t>
  </si>
  <si>
    <t>0:04:14:00</t>
  </si>
  <si>
    <t>0:04:14:01</t>
  </si>
  <si>
    <t>0:04:14:02</t>
  </si>
  <si>
    <t>0:04:14:03</t>
  </si>
  <si>
    <t>0:04:14:04</t>
  </si>
  <si>
    <t>0:04:14:05</t>
  </si>
  <si>
    <t>0:04:14:06</t>
  </si>
  <si>
    <t>0:04:14:07</t>
  </si>
  <si>
    <t>0:04:14:08</t>
  </si>
  <si>
    <t>0:04:14:09</t>
  </si>
  <si>
    <t>0:04:14:10</t>
  </si>
  <si>
    <t>0:04:14:11</t>
  </si>
  <si>
    <t>0:04:14:12</t>
  </si>
  <si>
    <t>0:04:14:13</t>
  </si>
  <si>
    <t>0:04:14:14</t>
  </si>
  <si>
    <t>0:04:14:15</t>
  </si>
  <si>
    <t>0:04:14:16</t>
  </si>
  <si>
    <t>0:04:14:17</t>
  </si>
  <si>
    <t>0:04:14:18</t>
  </si>
  <si>
    <t>0:04:14:19</t>
  </si>
  <si>
    <t>0:04:14:20</t>
  </si>
  <si>
    <t>0:04:14:21</t>
  </si>
  <si>
    <t>0:04:14:22</t>
  </si>
  <si>
    <t>0:04:14:23</t>
  </si>
  <si>
    <t>0:04:14:24</t>
  </si>
  <si>
    <t>0:04:15:00</t>
  </si>
  <si>
    <t>0:04:15:01</t>
  </si>
  <si>
    <t>0:04:15:02</t>
  </si>
  <si>
    <t>0:04:15:03</t>
  </si>
  <si>
    <t>0:04:15:04</t>
  </si>
  <si>
    <t>0:04:15:05</t>
  </si>
  <si>
    <t>0:04:15:06</t>
  </si>
  <si>
    <t>0:04:15:07</t>
  </si>
  <si>
    <t>0:04:15:08</t>
  </si>
  <si>
    <t>0:04:15:09</t>
  </si>
  <si>
    <t>0:04:15:10</t>
  </si>
  <si>
    <t>0:04:15:11</t>
  </si>
  <si>
    <t>0:04:15:12</t>
  </si>
  <si>
    <t>0:04:15:13</t>
  </si>
  <si>
    <t>0:04:15:14</t>
  </si>
  <si>
    <t>0:04:15:15</t>
  </si>
  <si>
    <t>0:04:15:16</t>
  </si>
  <si>
    <t>0:04:15:17</t>
  </si>
  <si>
    <t>0:04:15:18</t>
  </si>
  <si>
    <t>0:04:15:19</t>
  </si>
  <si>
    <t>0:04:15:20</t>
  </si>
  <si>
    <t>0:04:15:21</t>
  </si>
  <si>
    <t>0:04:15:22</t>
  </si>
  <si>
    <t>0:04:15:23</t>
  </si>
  <si>
    <t>0:04:15:24</t>
  </si>
  <si>
    <t>0:04:16:00</t>
  </si>
  <si>
    <t>0:04:16:01</t>
  </si>
  <si>
    <t>0:04:16:02</t>
  </si>
  <si>
    <t>0:04:16:03</t>
  </si>
  <si>
    <t>0:04:16:04</t>
  </si>
  <si>
    <t>0:04:16:05</t>
  </si>
  <si>
    <t>0:04:16:06</t>
  </si>
  <si>
    <t>0:04:16:07</t>
  </si>
  <si>
    <t>0:04:16:08</t>
  </si>
  <si>
    <t>0:04:16:09</t>
  </si>
  <si>
    <t>0:04:16:10</t>
  </si>
  <si>
    <t>0:04:16:11</t>
  </si>
  <si>
    <t>0:04:16:12</t>
  </si>
  <si>
    <t>0:04:16:13</t>
  </si>
  <si>
    <t>0:04:16:14</t>
  </si>
  <si>
    <t>0:04:16:15</t>
  </si>
  <si>
    <t>0:04:16:16</t>
  </si>
  <si>
    <t>0:04:16:17</t>
  </si>
  <si>
    <t>0:04:16:18</t>
  </si>
  <si>
    <t>0:04:16:19</t>
  </si>
  <si>
    <t>0:04:16:20</t>
  </si>
  <si>
    <t>0:04:16:21</t>
  </si>
  <si>
    <t>0:04:16:22</t>
  </si>
  <si>
    <t>0:04:16:23</t>
  </si>
  <si>
    <t>0:04:16:24</t>
  </si>
  <si>
    <t>0:04:17:00</t>
  </si>
  <si>
    <t>0:04:17:01</t>
  </si>
  <si>
    <t>0:04:17:02</t>
  </si>
  <si>
    <t>0:04:17:03</t>
  </si>
  <si>
    <t>0:04:17:04</t>
  </si>
  <si>
    <t>0:04:17:05</t>
  </si>
  <si>
    <t>0:04:17:06</t>
  </si>
  <si>
    <t>0:04:17:07</t>
  </si>
  <si>
    <t>0:04:17:08</t>
  </si>
  <si>
    <t>0:04:17:09</t>
  </si>
  <si>
    <t>0:04:17:10</t>
  </si>
  <si>
    <t>0:04:17:11</t>
  </si>
  <si>
    <t>0:04:17:12</t>
  </si>
  <si>
    <t>0:04:17:13</t>
  </si>
  <si>
    <t>0:04:17:14</t>
  </si>
  <si>
    <t>0:04:17:15</t>
  </si>
  <si>
    <t>0:04:17:16</t>
  </si>
  <si>
    <t>0:04:17:17</t>
  </si>
  <si>
    <t>0:04:17:18</t>
  </si>
  <si>
    <t>0:04:17:19</t>
  </si>
  <si>
    <t>0:04:17:20</t>
  </si>
  <si>
    <t>0:04:17:21</t>
  </si>
  <si>
    <t>0:04:17:22</t>
  </si>
  <si>
    <t>0:04:17:23</t>
  </si>
  <si>
    <t>0:04:17:24</t>
  </si>
  <si>
    <t>0:04:18:00</t>
  </si>
  <si>
    <t>0:04:18:01</t>
  </si>
  <si>
    <t>0:04:18:02</t>
  </si>
  <si>
    <t>0:04:18:03</t>
  </si>
  <si>
    <t>0:04:18:04</t>
  </si>
  <si>
    <t>0:04:18:05</t>
  </si>
  <si>
    <t>0:04:18:06</t>
  </si>
  <si>
    <t>0:04:18:07</t>
  </si>
  <si>
    <t>0:04:18:08</t>
  </si>
  <si>
    <t>0:04:18:09</t>
  </si>
  <si>
    <t>0:04:18:10</t>
  </si>
  <si>
    <t>0:04:18:11</t>
  </si>
  <si>
    <t>0:04:18:12</t>
  </si>
  <si>
    <t>0:04:18:13</t>
  </si>
  <si>
    <t>0:04:18:14</t>
  </si>
  <si>
    <t>0:04:18:15</t>
  </si>
  <si>
    <t>0:04:18:16</t>
  </si>
  <si>
    <t>0:04:18:17</t>
  </si>
  <si>
    <t>0:04:18:18</t>
  </si>
  <si>
    <t>0:04:18:19</t>
  </si>
  <si>
    <t>0:04:18:20</t>
  </si>
  <si>
    <t>0:04:18:21</t>
  </si>
  <si>
    <t>0:04:18:22</t>
  </si>
  <si>
    <t>0:04:18:23</t>
  </si>
  <si>
    <t>0:04:18:24</t>
  </si>
  <si>
    <t>0:04:19:00</t>
  </si>
  <si>
    <t>0:04:19:01</t>
  </si>
  <si>
    <t>0:04:19:02</t>
  </si>
  <si>
    <t>0:04:19:03</t>
  </si>
  <si>
    <t>0:04:19:04</t>
  </si>
  <si>
    <t>0:04:19:05</t>
  </si>
  <si>
    <t>0:04:19:06</t>
  </si>
  <si>
    <t>0:04:19:07</t>
  </si>
  <si>
    <t>0:04:19:08</t>
  </si>
  <si>
    <t>0:04:19:09</t>
  </si>
  <si>
    <t>0:04:19:10</t>
  </si>
  <si>
    <t>0:04:19:11</t>
  </si>
  <si>
    <t>0:04:19:12</t>
  </si>
  <si>
    <t>0:04:19:13</t>
  </si>
  <si>
    <t>0:04:19:14</t>
  </si>
  <si>
    <t>0:04:19:15</t>
  </si>
  <si>
    <t>0:04:19:16</t>
  </si>
  <si>
    <t>0:04:19:17</t>
  </si>
  <si>
    <t>0:04:19:18</t>
  </si>
  <si>
    <t>0:04:19:19</t>
  </si>
  <si>
    <t>0:04:19:20</t>
  </si>
  <si>
    <t>0:04:19:21</t>
  </si>
  <si>
    <t>0:04:19:22</t>
  </si>
  <si>
    <t>0:04:19:23</t>
  </si>
  <si>
    <t>0:04:19:24</t>
  </si>
  <si>
    <t>0:04:20:00</t>
  </si>
  <si>
    <t>0:04:20:01</t>
  </si>
  <si>
    <t>0:04:20:02</t>
  </si>
  <si>
    <t>0:04:20:03</t>
  </si>
  <si>
    <t>0:04:20:04</t>
  </si>
  <si>
    <t>0:04:20:05</t>
  </si>
  <si>
    <t>0:04:20:06</t>
  </si>
  <si>
    <t>0:04:20:07</t>
  </si>
  <si>
    <t>0:04:20:08</t>
  </si>
  <si>
    <t>0:04:20:09</t>
  </si>
  <si>
    <t>0:04:20:10</t>
  </si>
  <si>
    <t>0:04:20:11</t>
  </si>
  <si>
    <t>0:04:20:12</t>
  </si>
  <si>
    <t>0:04:20:13</t>
  </si>
  <si>
    <t>0:04:20:14</t>
  </si>
  <si>
    <t>0:04:20:15</t>
  </si>
  <si>
    <t>0:04:20:16</t>
  </si>
  <si>
    <t>0:04:20:17</t>
  </si>
  <si>
    <t>0:04:20:18</t>
  </si>
  <si>
    <t>0:04:20:19</t>
  </si>
  <si>
    <t>0:04:20:20</t>
  </si>
  <si>
    <t>0:04:20:21</t>
  </si>
  <si>
    <t>0:04:20:22</t>
  </si>
  <si>
    <t>0:04:20:23</t>
  </si>
  <si>
    <t>0:04:20:24</t>
  </si>
  <si>
    <t>0:04:21:00</t>
  </si>
  <si>
    <t>0:04:21:01</t>
  </si>
  <si>
    <t>0:04:21:02</t>
  </si>
  <si>
    <t>0:04:21:03</t>
  </si>
  <si>
    <t>0:04:21:04</t>
  </si>
  <si>
    <t>0:04:21:05</t>
  </si>
  <si>
    <t>0:04:21:06</t>
  </si>
  <si>
    <t>0:04:21:07</t>
  </si>
  <si>
    <t>0:04:21:08</t>
  </si>
  <si>
    <t>0:04:21:09</t>
  </si>
  <si>
    <t>0:04:21:10</t>
  </si>
  <si>
    <t>0:04:21:11</t>
  </si>
  <si>
    <t>0:04:21:12</t>
  </si>
  <si>
    <t>0:04:21:13</t>
  </si>
  <si>
    <t>0:04:21:14</t>
  </si>
  <si>
    <t>0:04:21:15</t>
  </si>
  <si>
    <t>0:04:21:16</t>
  </si>
  <si>
    <t>0:04:21:17</t>
  </si>
  <si>
    <t>0:04:21:18</t>
  </si>
  <si>
    <t>0:04:21:19</t>
  </si>
  <si>
    <t>0:04:21:20</t>
  </si>
  <si>
    <t>0:04:21:21</t>
  </si>
  <si>
    <t>0:04:21:22</t>
  </si>
  <si>
    <t>0:04:21:23</t>
  </si>
  <si>
    <t>0:04:21:24</t>
  </si>
  <si>
    <t>0:04:22:00</t>
  </si>
  <si>
    <t>0:04:22:01</t>
  </si>
  <si>
    <t>0:04:22:02</t>
  </si>
  <si>
    <t>0:04:22:03</t>
  </si>
  <si>
    <t>0:04:22:04</t>
  </si>
  <si>
    <t>0:04:22:05</t>
  </si>
  <si>
    <t>0:04:22:06</t>
  </si>
  <si>
    <t>0:04:22:07</t>
  </si>
  <si>
    <t>0:04:22:08</t>
  </si>
  <si>
    <t>0:04:22:09</t>
  </si>
  <si>
    <t>0:04:22:10</t>
  </si>
  <si>
    <t>0:04:22:11</t>
  </si>
  <si>
    <t>0:04:22:12</t>
  </si>
  <si>
    <t>0:04:22:13</t>
  </si>
  <si>
    <t>0:04:22:14</t>
  </si>
  <si>
    <t>0:04:22:15</t>
  </si>
  <si>
    <t>0:04:22:16</t>
  </si>
  <si>
    <t>0:04:22:17</t>
  </si>
  <si>
    <t>0:04:22:18</t>
  </si>
  <si>
    <t>0:04:22:19</t>
  </si>
  <si>
    <t>0:04:22:20</t>
  </si>
  <si>
    <t>0:04:22:21</t>
  </si>
  <si>
    <t>0:04:22:22</t>
  </si>
  <si>
    <t>0:04:22:23</t>
  </si>
  <si>
    <t>0:04:22:24</t>
  </si>
  <si>
    <t>0:04:23:00</t>
  </si>
  <si>
    <t>0:04:23:01</t>
  </si>
  <si>
    <t>0:04:23:02</t>
  </si>
  <si>
    <t>0:04:23:03</t>
  </si>
  <si>
    <t>0:04:23:04</t>
  </si>
  <si>
    <t>0:04:23:05</t>
  </si>
  <si>
    <t>0:04:23:06</t>
  </si>
  <si>
    <t>0:04:23:07</t>
  </si>
  <si>
    <t>0:04:23:08</t>
  </si>
  <si>
    <t>0:04:23:09</t>
  </si>
  <si>
    <t>0:04:23:10</t>
  </si>
  <si>
    <t>0:04:23:11</t>
  </si>
  <si>
    <t>0:04:23:12</t>
  </si>
  <si>
    <t>0:04:23:13</t>
  </si>
  <si>
    <t>0:04:23:14</t>
  </si>
  <si>
    <t>0:04:23:15</t>
  </si>
  <si>
    <t>0:04:23:16</t>
  </si>
  <si>
    <t>0:04:23:17</t>
  </si>
  <si>
    <t>0:04:23:18</t>
  </si>
  <si>
    <t>0:04:23:19</t>
  </si>
  <si>
    <t>0:04:23:20</t>
  </si>
  <si>
    <t>0:04:23:21</t>
  </si>
  <si>
    <t>0:04:23:22</t>
  </si>
  <si>
    <t>0:04:23:23</t>
  </si>
  <si>
    <t>0:04:23:24</t>
  </si>
  <si>
    <t>0:04:24:00</t>
  </si>
  <si>
    <t>0:04:24:01</t>
  </si>
  <si>
    <t>0:04:24:02</t>
  </si>
  <si>
    <t>0:04:24:03</t>
  </si>
  <si>
    <t>0:04:24:04</t>
  </si>
  <si>
    <t>0:04:24:05</t>
  </si>
  <si>
    <t>0:04:24:06</t>
  </si>
  <si>
    <t>0:04:24:07</t>
  </si>
  <si>
    <t>0:04:24:08</t>
  </si>
  <si>
    <t>0:04:24:09</t>
  </si>
  <si>
    <t>0:04:24:10</t>
  </si>
  <si>
    <t>0:04:24:11</t>
  </si>
  <si>
    <t>0:04:24:12</t>
  </si>
  <si>
    <t>0:04:24:13</t>
  </si>
  <si>
    <t>0:04:24:14</t>
  </si>
  <si>
    <t>0:04:24:15</t>
  </si>
  <si>
    <t>0:04:24:16</t>
  </si>
  <si>
    <t>0:04:24:17</t>
  </si>
  <si>
    <t>0:04:24:18</t>
  </si>
  <si>
    <t>0:04:24:19</t>
  </si>
  <si>
    <t>0:04:24:20</t>
  </si>
  <si>
    <t>0:04:24:21</t>
  </si>
  <si>
    <t>0:04:24:22</t>
  </si>
  <si>
    <t>0:04:24:23</t>
  </si>
  <si>
    <t>0:04:24:24</t>
  </si>
  <si>
    <t>0:04:25:00</t>
  </si>
  <si>
    <t>0:04:25:01</t>
  </si>
  <si>
    <t>0:04:25:02</t>
  </si>
  <si>
    <t>0:04:25:03</t>
  </si>
  <si>
    <t>0:04:25:04</t>
  </si>
  <si>
    <t>0:04:25:05</t>
  </si>
  <si>
    <t>0:04:25:06</t>
  </si>
  <si>
    <t>0:04:25:07</t>
  </si>
  <si>
    <t>0:04:25:08</t>
  </si>
  <si>
    <t>0:04:25:09</t>
  </si>
  <si>
    <t>0:04:25:10</t>
  </si>
  <si>
    <t>0:04:25:11</t>
  </si>
  <si>
    <t>0:04:25:12</t>
  </si>
  <si>
    <t>0:04:25:13</t>
  </si>
  <si>
    <t>0:04:25:14</t>
  </si>
  <si>
    <t>0:04:25:15</t>
  </si>
  <si>
    <t>0:04:25:16</t>
  </si>
  <si>
    <t>0:04:25:17</t>
  </si>
  <si>
    <t>0:04:25:18</t>
  </si>
  <si>
    <t>0:04:25:19</t>
  </si>
  <si>
    <t>0:04:25:20</t>
  </si>
  <si>
    <t>0:04:25:21</t>
  </si>
  <si>
    <t>0:04:25:22</t>
  </si>
  <si>
    <t>0:04:25:23</t>
  </si>
  <si>
    <t>0:04:25:24</t>
  </si>
  <si>
    <t>0:04:26:00</t>
  </si>
  <si>
    <t>0:04:26:01</t>
  </si>
  <si>
    <t>0:04:26:02</t>
  </si>
  <si>
    <t>0:04:26:03</t>
  </si>
  <si>
    <t>0:04:26:04</t>
  </si>
  <si>
    <t>0:04:26:05</t>
  </si>
  <si>
    <t>0:04:26:06</t>
  </si>
  <si>
    <t>0:04:26:07</t>
  </si>
  <si>
    <t>0:04:26:08</t>
  </si>
  <si>
    <t>0:04:26:09</t>
  </si>
  <si>
    <t>0:04:26:10</t>
  </si>
  <si>
    <t>0:04:26:11</t>
  </si>
  <si>
    <t>0:04:26:12</t>
  </si>
  <si>
    <t>0:04:26:13</t>
  </si>
  <si>
    <t>0:04:26:14</t>
  </si>
  <si>
    <t>0:04:26:15</t>
  </si>
  <si>
    <t>0:04:26:16</t>
  </si>
  <si>
    <t>0:04:26:17</t>
  </si>
  <si>
    <t>0:04:26:18</t>
  </si>
  <si>
    <t>0:04:26:19</t>
  </si>
  <si>
    <t>0:04:26:20</t>
  </si>
  <si>
    <t>0:04:26:21</t>
  </si>
  <si>
    <t>0:04:26:22</t>
  </si>
  <si>
    <t>0:04:26:23</t>
  </si>
  <si>
    <t>0:04:26:24</t>
  </si>
  <si>
    <t>0:04:27:00</t>
  </si>
  <si>
    <t>0:04:27:01</t>
  </si>
  <si>
    <t>0:04:27:02</t>
  </si>
  <si>
    <t>0:04:27:03</t>
  </si>
  <si>
    <t>0:04:27:04</t>
  </si>
  <si>
    <t>0:04:27:05</t>
  </si>
  <si>
    <t>0:04:27:06</t>
  </si>
  <si>
    <t>0:04:27:07</t>
  </si>
  <si>
    <t>0:04:27:08</t>
  </si>
  <si>
    <t>0:04:27:09</t>
  </si>
  <si>
    <t>0:04:27:10</t>
  </si>
  <si>
    <t>0:04:27:11</t>
  </si>
  <si>
    <t>0:04:27:12</t>
  </si>
  <si>
    <t>0:04:27:13</t>
  </si>
  <si>
    <t>0:04:27:14</t>
  </si>
  <si>
    <t>0:04:27:15</t>
  </si>
  <si>
    <t>0:04:27:16</t>
  </si>
  <si>
    <t>0:04:27:17</t>
  </si>
  <si>
    <t>0:04:27:18</t>
  </si>
  <si>
    <t>0:04:27:19</t>
  </si>
  <si>
    <t>0:04:27:20</t>
  </si>
  <si>
    <t>0:04:27:21</t>
  </si>
  <si>
    <t>0:04:27:22</t>
  </si>
  <si>
    <t>0:04:27:23</t>
  </si>
  <si>
    <t>0:04:27:24</t>
  </si>
  <si>
    <t>0:04:28:00</t>
  </si>
  <si>
    <t>0:04:28:01</t>
  </si>
  <si>
    <t>0:04:28:02</t>
  </si>
  <si>
    <t>0:04:28:03</t>
  </si>
  <si>
    <t>0:04:28:04</t>
  </si>
  <si>
    <t>0:04:28:05</t>
  </si>
  <si>
    <t>0:04:28:06</t>
  </si>
  <si>
    <t>0:04:28:07</t>
  </si>
  <si>
    <t>0:04:28:08</t>
  </si>
  <si>
    <t>0:04:28:09</t>
  </si>
  <si>
    <t>0:04:28:10</t>
  </si>
  <si>
    <t>0:04:28:11</t>
  </si>
  <si>
    <t>0:04:28:12</t>
  </si>
  <si>
    <t>0:04:28:13</t>
  </si>
  <si>
    <t>0:04:28:14</t>
  </si>
  <si>
    <t>0:04:28:15</t>
  </si>
  <si>
    <t>0:04:28:16</t>
  </si>
  <si>
    <t>0:04:28:17</t>
  </si>
  <si>
    <t>0:04:28:18</t>
  </si>
  <si>
    <t>0:04:28:19</t>
  </si>
  <si>
    <t>0:04:28:20</t>
  </si>
  <si>
    <t>0:04:28:21</t>
  </si>
  <si>
    <t>0:04:28:22</t>
  </si>
  <si>
    <t>0:04:28:23</t>
  </si>
  <si>
    <t>0:04:28:24</t>
  </si>
  <si>
    <t>0:04:29:00</t>
  </si>
  <si>
    <t>0:04:29:01</t>
  </si>
  <si>
    <t>0:04:29:02</t>
  </si>
  <si>
    <t>0:04:29:03</t>
  </si>
  <si>
    <t>0:04:29:04</t>
  </si>
  <si>
    <t>0:04:29:05</t>
  </si>
  <si>
    <t>0:04:29:06</t>
  </si>
  <si>
    <t>0:04:29:07</t>
  </si>
  <si>
    <t>0:04:29:08</t>
  </si>
  <si>
    <t>0:04:29:09</t>
  </si>
  <si>
    <t>0:04:29:10</t>
  </si>
  <si>
    <t>0:04:29:11</t>
  </si>
  <si>
    <t>0:04:29:12</t>
  </si>
  <si>
    <t>0:04:29:13</t>
  </si>
  <si>
    <t>0:04:29:14</t>
  </si>
  <si>
    <t>0:04:29:15</t>
  </si>
  <si>
    <t>0:04:29:16</t>
  </si>
  <si>
    <t>0:04:29:17</t>
  </si>
  <si>
    <t>0:04:29:18</t>
  </si>
  <si>
    <t>0:04:29:19</t>
  </si>
  <si>
    <t>0:04:29:20</t>
  </si>
  <si>
    <t>0:04:29:21</t>
  </si>
  <si>
    <t>0:04:29:22</t>
  </si>
  <si>
    <t>0:04:29:23</t>
  </si>
  <si>
    <t>0:04:29:24</t>
  </si>
  <si>
    <t>0:04:30:00</t>
  </si>
  <si>
    <t>0:04:30:01</t>
  </si>
  <si>
    <t>0:04:30:02</t>
  </si>
  <si>
    <t>0:04:30:03</t>
  </si>
  <si>
    <t>0:04:30:04</t>
  </si>
  <si>
    <t>0:04:30:05</t>
  </si>
  <si>
    <t>0:04:30:06</t>
  </si>
  <si>
    <t>0:04:30:07</t>
  </si>
  <si>
    <t>0:04:30:08</t>
  </si>
  <si>
    <t>0:04:30:09</t>
  </si>
  <si>
    <t>0:04:30:10</t>
  </si>
  <si>
    <t>0:04:30:11</t>
  </si>
  <si>
    <t>0:04:30:12</t>
  </si>
  <si>
    <t>0:04:30:13</t>
  </si>
  <si>
    <t>0:04:30:14</t>
  </si>
  <si>
    <t>0:04:30:15</t>
  </si>
  <si>
    <t>0:04:30:16</t>
  </si>
  <si>
    <t>0:04:30:17</t>
  </si>
  <si>
    <t>0:04:30:18</t>
  </si>
  <si>
    <t>0:04:30:19</t>
  </si>
  <si>
    <t>0:04:30:20</t>
  </si>
  <si>
    <t>0:04:30:21</t>
  </si>
  <si>
    <t>0:04:30:22</t>
  </si>
  <si>
    <t>0:04:30:23</t>
  </si>
  <si>
    <t>0:04:30:24</t>
  </si>
  <si>
    <t>0:04:31:00</t>
  </si>
  <si>
    <t>0:04:31:01</t>
  </si>
  <si>
    <t>0:04:31:02</t>
  </si>
  <si>
    <t>0:04:31:03</t>
  </si>
  <si>
    <t>0:04:31:04</t>
  </si>
  <si>
    <t>0:04:31:05</t>
  </si>
  <si>
    <t>0:04:31:06</t>
  </si>
  <si>
    <t>0:04:31:07</t>
  </si>
  <si>
    <t>0:04:31:08</t>
  </si>
  <si>
    <t>0:04:31:09</t>
  </si>
  <si>
    <t>0:04:31:10</t>
  </si>
  <si>
    <t>0:04:31:11</t>
  </si>
  <si>
    <t>0:04:31:12</t>
  </si>
  <si>
    <t>0:04:31:13</t>
  </si>
  <si>
    <t>0:04:31:14</t>
  </si>
  <si>
    <t>0:04:31:15</t>
  </si>
  <si>
    <t>0:04:31:16</t>
  </si>
  <si>
    <t>0:04:31:17</t>
  </si>
  <si>
    <t>0:04:31:18</t>
  </si>
  <si>
    <t>0:04:31:19</t>
  </si>
  <si>
    <t>0:04:31:20</t>
  </si>
  <si>
    <t>0:04:31:21</t>
  </si>
  <si>
    <t>0:04:31:22</t>
  </si>
  <si>
    <t>0:04:31:23</t>
  </si>
  <si>
    <t>0:04:31:24</t>
  </si>
  <si>
    <t>0:04:32:00</t>
  </si>
  <si>
    <t>0:04:32:01</t>
  </si>
  <si>
    <t>0:04:32:02</t>
  </si>
  <si>
    <t>0:04:32:03</t>
  </si>
  <si>
    <t>0:04:32:04</t>
  </si>
  <si>
    <t>0:04:32:05</t>
  </si>
  <si>
    <t>0:04:32:06</t>
  </si>
  <si>
    <t>0:04:32:07</t>
  </si>
  <si>
    <t>0:04:32:08</t>
  </si>
  <si>
    <t>0:04:32:09</t>
  </si>
  <si>
    <t>0:04:32:10</t>
  </si>
  <si>
    <t>0:04:32:11</t>
  </si>
  <si>
    <t>0:04:32:12</t>
  </si>
  <si>
    <t>0:04:32:13</t>
  </si>
  <si>
    <t>0:04:32:14</t>
  </si>
  <si>
    <t>0:04:32:15</t>
  </si>
  <si>
    <t>0:04:32:16</t>
  </si>
  <si>
    <t>0:04:32:17</t>
  </si>
  <si>
    <t>0:04:32:18</t>
  </si>
  <si>
    <t>0:04:32:19</t>
  </si>
  <si>
    <t>0:04:32:20</t>
  </si>
  <si>
    <t>0:04:32:21</t>
  </si>
  <si>
    <t>0:04:32:22</t>
  </si>
  <si>
    <t>0:04:32:23</t>
  </si>
  <si>
    <t>0:04:32:24</t>
  </si>
  <si>
    <t>0:04:33:00</t>
  </si>
  <si>
    <t>0:04:33:01</t>
  </si>
  <si>
    <t>0:04:33:02</t>
  </si>
  <si>
    <t>0:04:33:03</t>
  </si>
  <si>
    <t>0:04:33:04</t>
  </si>
  <si>
    <t>0:04:33:05</t>
  </si>
  <si>
    <t>0:04:33:06</t>
  </si>
  <si>
    <t>0:04:33:07</t>
  </si>
  <si>
    <t>0:04:33:08</t>
  </si>
  <si>
    <t>0:04:33:09</t>
  </si>
  <si>
    <t>0:04:33:10</t>
  </si>
  <si>
    <t>0:04:33:11</t>
  </si>
  <si>
    <t>0:04:33:12</t>
  </si>
  <si>
    <t>0:04:33:13</t>
  </si>
  <si>
    <t>0:04:33:14</t>
  </si>
  <si>
    <t>0:04:33:15</t>
  </si>
  <si>
    <t>0:04:33:16</t>
  </si>
  <si>
    <t>0:04:33:17</t>
  </si>
  <si>
    <t>0:04:33:18</t>
  </si>
  <si>
    <t>0:04:33:19</t>
  </si>
  <si>
    <t>0:04:33:20</t>
  </si>
  <si>
    <t>0:04:33:21</t>
  </si>
  <si>
    <t>0:04:33:22</t>
  </si>
  <si>
    <t>0:04:33:23</t>
  </si>
  <si>
    <t>0:04:33:24</t>
  </si>
  <si>
    <t>0:04:34:00</t>
  </si>
  <si>
    <t>0:04:34:01</t>
  </si>
  <si>
    <t>0:04:34:02</t>
  </si>
  <si>
    <t>0:04:34:03</t>
  </si>
  <si>
    <t>0:04:34:04</t>
  </si>
  <si>
    <t>0:04:34:05</t>
  </si>
  <si>
    <t>0:04:34:06</t>
  </si>
  <si>
    <t>0:04:34:07</t>
  </si>
  <si>
    <t>0:04:34:08</t>
  </si>
  <si>
    <t>0:04:34:09</t>
  </si>
  <si>
    <t>0:04:34:10</t>
  </si>
  <si>
    <t>0:04:34:11</t>
  </si>
  <si>
    <t>0:04:34:12</t>
  </si>
  <si>
    <t>0:04:34:13</t>
  </si>
  <si>
    <t>0:04:34:14</t>
  </si>
  <si>
    <t>0:04:34:15</t>
  </si>
  <si>
    <t>0:04:34:16</t>
  </si>
  <si>
    <t>0:04:34:17</t>
  </si>
  <si>
    <t>0:04:34:18</t>
  </si>
  <si>
    <t>0:04:34:19</t>
  </si>
  <si>
    <t>0:04:34:20</t>
  </si>
  <si>
    <t>0:04:34:21</t>
  </si>
  <si>
    <t>0:04:34:22</t>
  </si>
  <si>
    <t>0:04:34:23</t>
  </si>
  <si>
    <t>0:04:34:24</t>
  </si>
  <si>
    <t>0:04:35:00</t>
  </si>
  <si>
    <t>0:04:35:01</t>
  </si>
  <si>
    <t>0:04:35:02</t>
  </si>
  <si>
    <t>0:04:35:03</t>
  </si>
  <si>
    <t>0:04:35:04</t>
  </si>
  <si>
    <t>0:04:35:05</t>
  </si>
  <si>
    <t>0:04:35:06</t>
  </si>
  <si>
    <t>0:04:35:07</t>
  </si>
  <si>
    <t>0:04:35:08</t>
  </si>
  <si>
    <t>0:04:35:09</t>
  </si>
  <si>
    <t>0:04:35:10</t>
  </si>
  <si>
    <t>0:04:35:11</t>
  </si>
  <si>
    <t>0:04:35:12</t>
  </si>
  <si>
    <t>0:04:35:13</t>
  </si>
  <si>
    <t>0:04:35:14</t>
  </si>
  <si>
    <t>0:04:35:15</t>
  </si>
  <si>
    <t>0:04:35:16</t>
  </si>
  <si>
    <t>0:04:35:17</t>
  </si>
  <si>
    <t>0:04:35:18</t>
  </si>
  <si>
    <t>0:04:35:19</t>
  </si>
  <si>
    <t>0:04:35:20</t>
  </si>
  <si>
    <t>0:04:35:21</t>
  </si>
  <si>
    <t>0:04:35:22</t>
  </si>
  <si>
    <t>0:04:35:23</t>
  </si>
  <si>
    <t>0:04:35:24</t>
  </si>
  <si>
    <t>0:04:36:00</t>
  </si>
  <si>
    <t>0:04:36:01</t>
  </si>
  <si>
    <t>0:04:36:02</t>
  </si>
  <si>
    <t>0:04:36:03</t>
  </si>
  <si>
    <t>0:04:36:04</t>
  </si>
  <si>
    <t>0:04:36:05</t>
  </si>
  <si>
    <t>0:04:36:06</t>
  </si>
  <si>
    <t>0:04:36:07</t>
  </si>
  <si>
    <t>0:04:36:08</t>
  </si>
  <si>
    <t>0:04:36:09</t>
  </si>
  <si>
    <t>0:04:36:10</t>
  </si>
  <si>
    <t>0:04:36:11</t>
  </si>
  <si>
    <t>0:04:36:12</t>
  </si>
  <si>
    <t>0:04:36:13</t>
  </si>
  <si>
    <t>0:04:36:14</t>
  </si>
  <si>
    <t>0:04:36:15</t>
  </si>
  <si>
    <t>0:04:36:16</t>
  </si>
  <si>
    <t>0:04:36:17</t>
  </si>
  <si>
    <t>0:04:36:18</t>
  </si>
  <si>
    <t>0:04:36:19</t>
  </si>
  <si>
    <t>0:04:36:20</t>
  </si>
  <si>
    <t>0:04:36:21</t>
  </si>
  <si>
    <t>0:04:36:22</t>
  </si>
  <si>
    <t>0:04:36:23</t>
  </si>
  <si>
    <t>0:04:36:24</t>
  </si>
  <si>
    <t>0:04:37:00</t>
  </si>
  <si>
    <t>0:04:37:01</t>
  </si>
  <si>
    <t>0:04:37:02</t>
  </si>
  <si>
    <t>0:04:37:03</t>
  </si>
  <si>
    <t>0:04:37:04</t>
  </si>
  <si>
    <t>0:04:37:05</t>
  </si>
  <si>
    <t>0:04:37:06</t>
  </si>
  <si>
    <t>0:04:37:07</t>
  </si>
  <si>
    <t>0:04:37:08</t>
  </si>
  <si>
    <t>0:04:37:09</t>
  </si>
  <si>
    <t>0:04:37:10</t>
  </si>
  <si>
    <t>0:04:37:11</t>
  </si>
  <si>
    <t>0:04:37:12</t>
  </si>
  <si>
    <t>0:04:37:13</t>
  </si>
  <si>
    <t>0:04:37:14</t>
  </si>
  <si>
    <t>0:04:37:15</t>
  </si>
  <si>
    <t>0:04:37:16</t>
  </si>
  <si>
    <t>0:04:37:17</t>
  </si>
  <si>
    <t>0:04:37:18</t>
  </si>
  <si>
    <t>0:04:37:19</t>
  </si>
  <si>
    <t>0:04:37:20</t>
  </si>
  <si>
    <t>0:04:37:21</t>
  </si>
  <si>
    <t>0:04:37:22</t>
  </si>
  <si>
    <t>0:04:37:23</t>
  </si>
  <si>
    <t>0:04:37:24</t>
  </si>
  <si>
    <t>0:04:38:00</t>
  </si>
  <si>
    <t>0:04:38:01</t>
  </si>
  <si>
    <t>0:04:38:02</t>
  </si>
  <si>
    <t>0:04:38:03</t>
  </si>
  <si>
    <t>0:04:38:04</t>
  </si>
  <si>
    <t>0:04:38:05</t>
  </si>
  <si>
    <t>0:04:38:06</t>
  </si>
  <si>
    <t>0:04:38:07</t>
  </si>
  <si>
    <t>0:04:38:08</t>
  </si>
  <si>
    <t>0:04:38:09</t>
  </si>
  <si>
    <t>0:04:38:10</t>
  </si>
  <si>
    <t>0:04:38:11</t>
  </si>
  <si>
    <t>0:04:38:12</t>
  </si>
  <si>
    <t>0:04:38:13</t>
  </si>
  <si>
    <t>0:04:38:14</t>
  </si>
  <si>
    <t>0:04:38:15</t>
  </si>
  <si>
    <t>0:04:38:16</t>
  </si>
  <si>
    <t>0:04:38:17</t>
  </si>
  <si>
    <t>0:04:38:18</t>
  </si>
  <si>
    <t>0:04:38:19</t>
  </si>
  <si>
    <t>0:04:38:20</t>
  </si>
  <si>
    <t>0:04:38:21</t>
  </si>
  <si>
    <t>0:04:38:22</t>
  </si>
  <si>
    <t>0:04:38:23</t>
  </si>
  <si>
    <t>0:04:38:24</t>
  </si>
  <si>
    <t>0:04:39:00</t>
  </si>
  <si>
    <t>0:04:39:01</t>
  </si>
  <si>
    <t>0:04:39:02</t>
  </si>
  <si>
    <t>0:04:39:03</t>
  </si>
  <si>
    <t>0:04:39:04</t>
  </si>
  <si>
    <t>0:04:39:05</t>
  </si>
  <si>
    <t>0:04:39:06</t>
  </si>
  <si>
    <t>0:04:39:07</t>
  </si>
  <si>
    <t>0:04:39:08</t>
  </si>
  <si>
    <t>0:04:39:09</t>
  </si>
  <si>
    <t>0:04:39:10</t>
  </si>
  <si>
    <t>0:04:39:11</t>
  </si>
  <si>
    <t>0:04:39:12</t>
  </si>
  <si>
    <t>0:04:39:13</t>
  </si>
  <si>
    <t>0:04:39:14</t>
  </si>
  <si>
    <t>0:04:39:15</t>
  </si>
  <si>
    <t>0:04:39:16</t>
  </si>
  <si>
    <t>0:04:39:17</t>
  </si>
  <si>
    <t>0:04:39:18</t>
  </si>
  <si>
    <t>0:04:39:19</t>
  </si>
  <si>
    <t>0:04:39:20</t>
  </si>
  <si>
    <t>0:04:39:21</t>
  </si>
  <si>
    <t>0:04:39:22</t>
  </si>
  <si>
    <t>0:04:39:23</t>
  </si>
  <si>
    <t>0:04:39:24</t>
  </si>
  <si>
    <t>0:04:40:00</t>
  </si>
  <si>
    <t>0:04:40:01</t>
  </si>
  <si>
    <t>0:04:40:02</t>
  </si>
  <si>
    <t>0:04:40:03</t>
  </si>
  <si>
    <t>0:04:40:04</t>
  </si>
  <si>
    <t>0:04:40:05</t>
  </si>
  <si>
    <t>0:04:40:06</t>
  </si>
  <si>
    <t>0:04:40:07</t>
  </si>
  <si>
    <t>0:04:40:08</t>
  </si>
  <si>
    <t>0:04:40:09</t>
  </si>
  <si>
    <t>0:04:40:10</t>
  </si>
  <si>
    <t>0:04:40:11</t>
  </si>
  <si>
    <t>0:04:40:12</t>
  </si>
  <si>
    <t>0:04:40:13</t>
  </si>
  <si>
    <t>0:04:40:14</t>
  </si>
  <si>
    <t>0:04:40:15</t>
  </si>
  <si>
    <t>0:04:40:16</t>
  </si>
  <si>
    <t>0:04:40:17</t>
  </si>
  <si>
    <t>0:04:40:18</t>
  </si>
  <si>
    <t>0:04:40:19</t>
  </si>
  <si>
    <t>0:04:40:20</t>
  </si>
  <si>
    <t>0:04:40:21</t>
  </si>
  <si>
    <t>0:04:40:22</t>
  </si>
  <si>
    <t>0:04:40:23</t>
  </si>
  <si>
    <t>0:04:40:24</t>
  </si>
  <si>
    <t>0:04:41:00</t>
  </si>
  <si>
    <t>0:04:41:01</t>
  </si>
  <si>
    <t>0:04:41:02</t>
  </si>
  <si>
    <t>0:04:41:03</t>
  </si>
  <si>
    <t>0:04:41:04</t>
  </si>
  <si>
    <t>0:04:41:05</t>
  </si>
  <si>
    <t>0:04:41:06</t>
  </si>
  <si>
    <t>0:04:41:07</t>
  </si>
  <si>
    <t>0:04:41:08</t>
  </si>
  <si>
    <t>0:04:41:09</t>
  </si>
  <si>
    <t>0:04:41:10</t>
  </si>
  <si>
    <t>0:04:41:11</t>
  </si>
  <si>
    <t>0:04:41:12</t>
  </si>
  <si>
    <t>0:04:41:13</t>
  </si>
  <si>
    <t>0:04:41:14</t>
  </si>
  <si>
    <t>0:04:41:15</t>
  </si>
  <si>
    <t>0:04:41:16</t>
  </si>
  <si>
    <t>0:04:41:17</t>
  </si>
  <si>
    <t>0:04:41:18</t>
  </si>
  <si>
    <t>0:04:41:19</t>
  </si>
  <si>
    <t>0:04:41:20</t>
  </si>
  <si>
    <t>0:04:41:21</t>
  </si>
  <si>
    <t>0:04:41:22</t>
  </si>
  <si>
    <t>0:04:41:23</t>
  </si>
  <si>
    <t>0:04:41:24</t>
  </si>
  <si>
    <t>0:04:42:00</t>
  </si>
  <si>
    <t>0:04:42:01</t>
  </si>
  <si>
    <t>0:04:42:02</t>
  </si>
  <si>
    <t>0:04:42:03</t>
  </si>
  <si>
    <t>0:04:42:04</t>
  </si>
  <si>
    <t>0:04:42:05</t>
  </si>
  <si>
    <t>0:04:42:06</t>
  </si>
  <si>
    <t>0:04:42:07</t>
  </si>
  <si>
    <t>0:04:42:08</t>
  </si>
  <si>
    <t>0:04:42:09</t>
  </si>
  <si>
    <t>0:04:42:10</t>
  </si>
  <si>
    <t>0:04:42:11</t>
  </si>
  <si>
    <t>0:04:42:12</t>
  </si>
  <si>
    <t>0:04:42:13</t>
  </si>
  <si>
    <t>0:04:42:14</t>
  </si>
  <si>
    <t>0:04:42:15</t>
  </si>
  <si>
    <t>0:04:42:16</t>
  </si>
  <si>
    <t>0:04:42:17</t>
  </si>
  <si>
    <t>0:04:42:18</t>
  </si>
  <si>
    <t>0:04:42:19</t>
  </si>
  <si>
    <t>0:04:42:20</t>
  </si>
  <si>
    <t>0:04:42:21</t>
  </si>
  <si>
    <t>0:04:42:22</t>
  </si>
  <si>
    <t>0:04:42:23</t>
  </si>
  <si>
    <t>0:04:42:24</t>
  </si>
  <si>
    <t>0:04:43:00</t>
  </si>
  <si>
    <t>0:04:43:01</t>
  </si>
  <si>
    <t>0:04:43:02</t>
  </si>
  <si>
    <t>0:04:43:03</t>
  </si>
  <si>
    <t>0:04:43:04</t>
  </si>
  <si>
    <t>0:04:43:05</t>
  </si>
  <si>
    <t>0:04:43:06</t>
  </si>
  <si>
    <t>0:04:43:07</t>
  </si>
  <si>
    <t>0:04:43:08</t>
  </si>
  <si>
    <t>0:04:43:09</t>
  </si>
  <si>
    <t>0:04:43:10</t>
  </si>
  <si>
    <t>0:04:43:11</t>
  </si>
  <si>
    <t>0:04:43:12</t>
  </si>
  <si>
    <t>0:04:43:13</t>
  </si>
  <si>
    <t>0:04:43:14</t>
  </si>
  <si>
    <t>0:04:43:15</t>
  </si>
  <si>
    <t>0:04:43:16</t>
  </si>
  <si>
    <t>0:04:43:17</t>
  </si>
  <si>
    <t>0:04:43:18</t>
  </si>
  <si>
    <t>0:04:43:19</t>
  </si>
  <si>
    <t>0:04:43:20</t>
  </si>
  <si>
    <t>0:04:43:21</t>
  </si>
  <si>
    <t>0:04:43:22</t>
  </si>
  <si>
    <t>0:04:43:23</t>
  </si>
  <si>
    <t>0:04:43:24</t>
  </si>
  <si>
    <t>0:04:44:00</t>
  </si>
  <si>
    <t>0:04:44:01</t>
  </si>
  <si>
    <t>0:04:44:02</t>
  </si>
  <si>
    <t>0:04:44:03</t>
  </si>
  <si>
    <t>0:04:44:04</t>
  </si>
  <si>
    <t>0:04:44:05</t>
  </si>
  <si>
    <t>0:04:44:06</t>
  </si>
  <si>
    <t>0:04:44:07</t>
  </si>
  <si>
    <t>0:04:44:08</t>
  </si>
  <si>
    <t>0:04:44:09</t>
  </si>
  <si>
    <t>0:04:44:10</t>
  </si>
  <si>
    <t>0:04:44:11</t>
  </si>
  <si>
    <t>0:04:44:12</t>
  </si>
  <si>
    <t>0:04:44:13</t>
  </si>
  <si>
    <t>0:04:44:14</t>
  </si>
  <si>
    <t>0:04:44:15</t>
  </si>
  <si>
    <t>0:04:44:16</t>
  </si>
  <si>
    <t>0:04:44:17</t>
  </si>
  <si>
    <t>0:04:44:18</t>
  </si>
  <si>
    <t>0:04:44:19</t>
  </si>
  <si>
    <t>0:04:44:20</t>
  </si>
  <si>
    <t>0:04:44:21</t>
  </si>
  <si>
    <t>0:04:44:22</t>
  </si>
  <si>
    <t>0:04:44:23</t>
  </si>
  <si>
    <t>0:04:44:24</t>
  </si>
  <si>
    <t>0:04:45:00</t>
  </si>
  <si>
    <t>0:04:45:01</t>
  </si>
  <si>
    <t>0:04:45:02</t>
  </si>
  <si>
    <t>0:04:45:03</t>
  </si>
  <si>
    <t>0:04:45:04</t>
  </si>
  <si>
    <t>0:04:45:05</t>
  </si>
  <si>
    <t>0:04:45:06</t>
  </si>
  <si>
    <t>0:04:45:07</t>
  </si>
  <si>
    <t>0:04:45:08</t>
  </si>
  <si>
    <t>0:04:45:09</t>
  </si>
  <si>
    <t>0:04:45:10</t>
  </si>
  <si>
    <t>0:04:45:11</t>
  </si>
  <si>
    <t>0:04:45:12</t>
  </si>
  <si>
    <t>0:04:45:13</t>
  </si>
  <si>
    <t>0:04:45:14</t>
  </si>
  <si>
    <t>0:04:45:15</t>
  </si>
  <si>
    <t>0:04:45:16</t>
  </si>
  <si>
    <t>0:04:45:17</t>
  </si>
  <si>
    <t>0:04:45:18</t>
  </si>
  <si>
    <t>0:04:45:19</t>
  </si>
  <si>
    <t>0:04:45:20</t>
  </si>
  <si>
    <t>0:04:45:21</t>
  </si>
  <si>
    <t>0:04:45:22</t>
  </si>
  <si>
    <t>0:04:45:23</t>
  </si>
  <si>
    <t>0:04:45:24</t>
  </si>
  <si>
    <t>0:04:46:00</t>
  </si>
  <si>
    <t>0:04:46:01</t>
  </si>
  <si>
    <t>0:04:46:02</t>
  </si>
  <si>
    <t>0:04:46:03</t>
  </si>
  <si>
    <t>0:04:46:04</t>
  </si>
  <si>
    <t>0:04:46:05</t>
  </si>
  <si>
    <t>0:04:46:06</t>
  </si>
  <si>
    <t>0:04:46:07</t>
  </si>
  <si>
    <t>0:04:46:08</t>
  </si>
  <si>
    <t>0:04:46:09</t>
  </si>
  <si>
    <t>0:04:46:10</t>
  </si>
  <si>
    <t>0:04:46:11</t>
  </si>
  <si>
    <t>0:04:46:12</t>
  </si>
  <si>
    <t>0:04:46:13</t>
  </si>
  <si>
    <t>0:04:46:14</t>
  </si>
  <si>
    <t>0:04:46:15</t>
  </si>
  <si>
    <t>0:04:46:16</t>
  </si>
  <si>
    <t>0:04:46:17</t>
  </si>
  <si>
    <t>0:04:46:18</t>
  </si>
  <si>
    <t>0:04:46:19</t>
  </si>
  <si>
    <t>0:04:46:20</t>
  </si>
  <si>
    <t>0:04:46:21</t>
  </si>
  <si>
    <t>0:04:46:22</t>
  </si>
  <si>
    <t>0:04:46:23</t>
  </si>
  <si>
    <t>0:04:46:24</t>
  </si>
  <si>
    <t>0:04:47:00</t>
  </si>
  <si>
    <t>0:04:47:01</t>
  </si>
  <si>
    <t>0:04:47:02</t>
  </si>
  <si>
    <t>0:04:47:03</t>
  </si>
  <si>
    <t>0:04:47:04</t>
  </si>
  <si>
    <t>0:04:47:05</t>
  </si>
  <si>
    <t>0:04:47:06</t>
  </si>
  <si>
    <t>0:04:47:07</t>
  </si>
  <si>
    <t>0:04:47:08</t>
  </si>
  <si>
    <t>0:04:47:09</t>
  </si>
  <si>
    <t>0:04:47:10</t>
  </si>
  <si>
    <t>0:04:47:11</t>
  </si>
  <si>
    <t>0:04:47:12</t>
  </si>
  <si>
    <t>0:04:47:13</t>
  </si>
  <si>
    <t>0:04:47:14</t>
  </si>
  <si>
    <t>0:04:47:15</t>
  </si>
  <si>
    <t>0:04:47:16</t>
  </si>
  <si>
    <t>0:04:47:17</t>
  </si>
  <si>
    <t>0:04:47:18</t>
  </si>
  <si>
    <t>0:04:47:19</t>
  </si>
  <si>
    <t>0:04:47:20</t>
  </si>
  <si>
    <t>0:04:47:21</t>
  </si>
  <si>
    <t>0:04:47:22</t>
  </si>
  <si>
    <t>0:04:47:23</t>
  </si>
  <si>
    <t>0:04:47:24</t>
  </si>
  <si>
    <t>0:04:48:00</t>
  </si>
  <si>
    <t>0:04:48:01</t>
  </si>
  <si>
    <t>0:04:48:02</t>
  </si>
  <si>
    <t>0:04:48:03</t>
  </si>
  <si>
    <t>0:04:48:04</t>
  </si>
  <si>
    <t>0:04:48:05</t>
  </si>
  <si>
    <t>0:04:48:06</t>
  </si>
  <si>
    <t>0:04:48:07</t>
  </si>
  <si>
    <t>0:04:48:08</t>
  </si>
  <si>
    <t>0:04:48:09</t>
  </si>
  <si>
    <t>0:04:48:10</t>
  </si>
  <si>
    <t>0:04:48:11</t>
  </si>
  <si>
    <t>0:04:48:12</t>
  </si>
  <si>
    <t>0:04:48:13</t>
  </si>
  <si>
    <t>0:04:48:14</t>
  </si>
  <si>
    <t>0:04:48:15</t>
  </si>
  <si>
    <t>0:04:48:16</t>
  </si>
  <si>
    <t>0:04:48:17</t>
  </si>
  <si>
    <t>0:04:48:18</t>
  </si>
  <si>
    <t>0:04:48:19</t>
  </si>
  <si>
    <t>0:04:48:20</t>
  </si>
  <si>
    <t>0:04:48:21</t>
  </si>
  <si>
    <t>0:04:48:22</t>
  </si>
  <si>
    <t>0:04:48:23</t>
  </si>
  <si>
    <t>0:04:48:24</t>
  </si>
  <si>
    <t>0:04:49:00</t>
  </si>
  <si>
    <t>0:04:49:01</t>
  </si>
  <si>
    <t>0:04:49:02</t>
  </si>
  <si>
    <t>0:04:49:03</t>
  </si>
  <si>
    <t>0:04:49:04</t>
  </si>
  <si>
    <t>0:04:49:05</t>
  </si>
  <si>
    <t>0:04:49:06</t>
  </si>
  <si>
    <t>0:04:49:07</t>
  </si>
  <si>
    <t>0:04:49:08</t>
  </si>
  <si>
    <t>0:04:49:09</t>
  </si>
  <si>
    <t>0:04:49:10</t>
  </si>
  <si>
    <t>0:04:49:11</t>
  </si>
  <si>
    <t>0:04:49:12</t>
  </si>
  <si>
    <t>0:04:49:13</t>
  </si>
  <si>
    <t>0:04:49:14</t>
  </si>
  <si>
    <t>0:04:49:15</t>
  </si>
  <si>
    <t>0:04:49:16</t>
  </si>
  <si>
    <t>0:04:49:17</t>
  </si>
  <si>
    <t>0:04:49:18</t>
  </si>
  <si>
    <t>0:04:49:19</t>
  </si>
  <si>
    <t>0:04:49:20</t>
  </si>
  <si>
    <t>0:04:49:21</t>
  </si>
  <si>
    <t>0:04:49:22</t>
  </si>
  <si>
    <t>0:04:49:23</t>
  </si>
  <si>
    <t>0:04:49:24</t>
  </si>
  <si>
    <t>0:04:50:00</t>
  </si>
  <si>
    <t>0:04:50:01</t>
  </si>
  <si>
    <t>0:04:50:02</t>
  </si>
  <si>
    <t>0:04:50:03</t>
  </si>
  <si>
    <t>0:04:50:04</t>
  </si>
  <si>
    <t>0:04:50:05</t>
  </si>
  <si>
    <t>0:04:50:06</t>
  </si>
  <si>
    <t>0:04:50:07</t>
  </si>
  <si>
    <t>0:04:50:08</t>
  </si>
  <si>
    <t>0:04:50:09</t>
  </si>
  <si>
    <t>0:04:50:10</t>
  </si>
  <si>
    <t>0:04:50:11</t>
  </si>
  <si>
    <t>0:04:50:12</t>
  </si>
  <si>
    <t>0:04:50:13</t>
  </si>
  <si>
    <t>0:04:50:14</t>
  </si>
  <si>
    <t>0:04:50:15</t>
  </si>
  <si>
    <t>0:04:50:16</t>
  </si>
  <si>
    <t>0:04:50:17</t>
  </si>
  <si>
    <t>0:04:50:18</t>
  </si>
  <si>
    <t>0:04:50:19</t>
  </si>
  <si>
    <t>0:04:50:20</t>
  </si>
  <si>
    <t>0:04:50:21</t>
  </si>
  <si>
    <t>0:04:50:22</t>
  </si>
  <si>
    <t>0:04:50:23</t>
  </si>
  <si>
    <t>0:04:50:24</t>
  </si>
  <si>
    <t>0:04:51:00</t>
  </si>
  <si>
    <t>0:04:51:01</t>
  </si>
  <si>
    <t>0:04:51:02</t>
  </si>
  <si>
    <t>0:04:51:03</t>
  </si>
  <si>
    <t>0:04:51:04</t>
  </si>
  <si>
    <t>0:04:51:05</t>
  </si>
  <si>
    <t>0:04:51:06</t>
  </si>
  <si>
    <t>0:04:51:07</t>
  </si>
  <si>
    <t>0:04:51:08</t>
  </si>
  <si>
    <t>0:04:51:09</t>
  </si>
  <si>
    <t>0:04:51:10</t>
  </si>
  <si>
    <t>0:04:51:11</t>
  </si>
  <si>
    <t>0:04:51:12</t>
  </si>
  <si>
    <t>0:04:51:13</t>
  </si>
  <si>
    <t>0:04:51:14</t>
  </si>
  <si>
    <t>0:04:51:15</t>
  </si>
  <si>
    <t>0:04:51:16</t>
  </si>
  <si>
    <t>0:04:51:17</t>
  </si>
  <si>
    <t>0:04:51:18</t>
  </si>
  <si>
    <t>0:04:51:19</t>
  </si>
  <si>
    <t>0:04:51:20</t>
  </si>
  <si>
    <t>0:04:51:21</t>
  </si>
  <si>
    <t>0:04:51:22</t>
  </si>
  <si>
    <t>0:04:51:23</t>
  </si>
  <si>
    <t>0:04:51:24</t>
  </si>
  <si>
    <t>0:04:52:00</t>
  </si>
  <si>
    <t>0:04:52:01</t>
  </si>
  <si>
    <t>0:04:52:02</t>
  </si>
  <si>
    <t>0:04:52:03</t>
  </si>
  <si>
    <t>0:04:52:04</t>
  </si>
  <si>
    <t>0:04:52:05</t>
  </si>
  <si>
    <t>0:04:52:06</t>
  </si>
  <si>
    <t>0:04:52:07</t>
  </si>
  <si>
    <t>0:04:52:08</t>
  </si>
  <si>
    <t>0:04:52:09</t>
  </si>
  <si>
    <t>0:04:52:10</t>
  </si>
  <si>
    <t>0:04:52:11</t>
  </si>
  <si>
    <t>0:04:52:12</t>
  </si>
  <si>
    <t>0:04:52:13</t>
  </si>
  <si>
    <t>0:04:52:14</t>
  </si>
  <si>
    <t>0:04:52:15</t>
  </si>
  <si>
    <t>0:04:52:16</t>
  </si>
  <si>
    <t>0:04:52:17</t>
  </si>
  <si>
    <t>0:04:52:18</t>
  </si>
  <si>
    <t>0:04:52:19</t>
  </si>
  <si>
    <t>0:04:52:20</t>
  </si>
  <si>
    <t>0:04:52:21</t>
  </si>
  <si>
    <t>0:04:52:22</t>
  </si>
  <si>
    <t>0:04:52:23</t>
  </si>
  <si>
    <t>0:04:52:24</t>
  </si>
  <si>
    <t>0:04:53:00</t>
  </si>
  <si>
    <t>0:04:53:01</t>
  </si>
  <si>
    <t>0:04:53:02</t>
  </si>
  <si>
    <t>0:04:53:03</t>
  </si>
  <si>
    <t>0:04:53:04</t>
  </si>
  <si>
    <t>0:04:53:05</t>
  </si>
  <si>
    <t>0:04:53:06</t>
  </si>
  <si>
    <t>0:04:53:07</t>
  </si>
  <si>
    <t>0:04:53:08</t>
  </si>
  <si>
    <t>0:04:53:09</t>
  </si>
  <si>
    <t>0:04:53:10</t>
  </si>
  <si>
    <t>0:04:53:11</t>
  </si>
  <si>
    <t>0:04:53:12</t>
  </si>
  <si>
    <t>0:04:53:13</t>
  </si>
  <si>
    <t>0:04:53:14</t>
  </si>
  <si>
    <t>0:04:53:15</t>
  </si>
  <si>
    <t>0:04:53:16</t>
  </si>
  <si>
    <t>0:04:53:17</t>
  </si>
  <si>
    <t>0:04:53:18</t>
  </si>
  <si>
    <t>0:04:53:19</t>
  </si>
  <si>
    <t>0:04:53:20</t>
  </si>
  <si>
    <t>0:04:53:21</t>
  </si>
  <si>
    <t>0:04:53:22</t>
  </si>
  <si>
    <t>0:04:53:23</t>
  </si>
  <si>
    <t>0:04:53:24</t>
  </si>
  <si>
    <t>0:04:54:00</t>
  </si>
  <si>
    <t>0:04:54:01</t>
  </si>
  <si>
    <t>0:04:54:02</t>
  </si>
  <si>
    <t>0:04:54:03</t>
  </si>
  <si>
    <t>0:04:54:04</t>
  </si>
  <si>
    <t>0:04:54:05</t>
  </si>
  <si>
    <t>0:04:54:06</t>
  </si>
  <si>
    <t>0:04:54:07</t>
  </si>
  <si>
    <t>0:04:54:08</t>
  </si>
  <si>
    <t>0:04:54:09</t>
  </si>
  <si>
    <t>0:04:54:10</t>
  </si>
  <si>
    <t>0:04:54:11</t>
  </si>
  <si>
    <t>0:04:54:12</t>
  </si>
  <si>
    <t>0:04:54:13</t>
  </si>
  <si>
    <t>0:04:54:14</t>
  </si>
  <si>
    <t>0:04:54:15</t>
  </si>
  <si>
    <t>0:04:54:16</t>
  </si>
  <si>
    <t>0:04:54:17</t>
  </si>
  <si>
    <t>0:04:54:18</t>
  </si>
  <si>
    <t>0:04:54:19</t>
  </si>
  <si>
    <t>0:04:54:20</t>
  </si>
  <si>
    <t>0:04:54:21</t>
  </si>
  <si>
    <t>0:04:54:22</t>
  </si>
  <si>
    <t>0:04:54:23</t>
  </si>
  <si>
    <t>0:04:54:24</t>
  </si>
  <si>
    <t>0:04:55:00</t>
  </si>
  <si>
    <t>0:04:55:01</t>
  </si>
  <si>
    <t>0:04:55:02</t>
  </si>
  <si>
    <t>0:04:55:03</t>
  </si>
  <si>
    <t>0:04:55:04</t>
  </si>
  <si>
    <t>0:04:55:05</t>
  </si>
  <si>
    <t>0:04:55:06</t>
  </si>
  <si>
    <t>0:04:55:07</t>
  </si>
  <si>
    <t>0:04:55:08</t>
  </si>
  <si>
    <t>0:04:55:09</t>
  </si>
  <si>
    <t>0:04:55:10</t>
  </si>
  <si>
    <t>0:04:55:11</t>
  </si>
  <si>
    <t>0:04:55:12</t>
  </si>
  <si>
    <t>0:04:55:13</t>
  </si>
  <si>
    <t>0:04:55:14</t>
  </si>
  <si>
    <t>0:04:55:15</t>
  </si>
  <si>
    <t>0:04:55:16</t>
  </si>
  <si>
    <t>0:04:55:17</t>
  </si>
  <si>
    <t>0:04:55:18</t>
  </si>
  <si>
    <t>0:04:55:19</t>
  </si>
  <si>
    <t>0:04:55:20</t>
  </si>
  <si>
    <t>0:04:55:21</t>
  </si>
  <si>
    <t>0:04:55:22</t>
  </si>
  <si>
    <t>0:04:55:23</t>
  </si>
  <si>
    <t>0:04:55:24</t>
  </si>
  <si>
    <t>0:04:56:00</t>
  </si>
  <si>
    <t>0:04:56:01</t>
  </si>
  <si>
    <t>0:04:56:02</t>
  </si>
  <si>
    <t>0:04:56:03</t>
  </si>
  <si>
    <t>0:04:56:04</t>
  </si>
  <si>
    <t>0:04:56:05</t>
  </si>
  <si>
    <t>0:04:56:06</t>
  </si>
  <si>
    <t>0:04:56:07</t>
  </si>
  <si>
    <t>0:04:56:08</t>
  </si>
  <si>
    <t>0:04:56:09</t>
  </si>
  <si>
    <t>0:04:56:10</t>
  </si>
  <si>
    <t>0:04:56:11</t>
  </si>
  <si>
    <t>0:04:56:12</t>
  </si>
  <si>
    <t>0:04:56:13</t>
  </si>
  <si>
    <t>0:04:56:14</t>
  </si>
  <si>
    <t>0:04:56:15</t>
  </si>
  <si>
    <t>0:04:56:16</t>
  </si>
  <si>
    <t>0:04:56:17</t>
  </si>
  <si>
    <t>0:04:56:18</t>
  </si>
  <si>
    <t>0:04:56:19</t>
  </si>
  <si>
    <t>0:04:56:20</t>
  </si>
  <si>
    <t>0:04:56:21</t>
  </si>
  <si>
    <t>0:04:56:22</t>
  </si>
  <si>
    <t>0:04:56:23</t>
  </si>
  <si>
    <t>0:04:56:24</t>
  </si>
  <si>
    <t>0:04:57:00</t>
  </si>
  <si>
    <t>0:04:57:01</t>
  </si>
  <si>
    <t>0:04:57:02</t>
  </si>
  <si>
    <t>0:04:57:03</t>
  </si>
  <si>
    <t>0:04:57:04</t>
  </si>
  <si>
    <t>0:04:57:05</t>
  </si>
  <si>
    <t>0:04:57:06</t>
  </si>
  <si>
    <t>0:04:57:07</t>
  </si>
  <si>
    <t>0:04:57:08</t>
  </si>
  <si>
    <t>0:04:57:09</t>
  </si>
  <si>
    <t>0:04:57:10</t>
  </si>
  <si>
    <t>0:04:57:11</t>
  </si>
  <si>
    <t>0:04:57:12</t>
  </si>
  <si>
    <t>0:04:57:13</t>
  </si>
  <si>
    <t>0:04:57:14</t>
  </si>
  <si>
    <t>0:04:57:15</t>
  </si>
  <si>
    <t>0:04:57:16</t>
  </si>
  <si>
    <t>0:04:57:17</t>
  </si>
  <si>
    <t>0:04:57:18</t>
  </si>
  <si>
    <t>0:04:57:19</t>
  </si>
  <si>
    <t>0:04:57:20</t>
  </si>
  <si>
    <t>0:04:57:21</t>
  </si>
  <si>
    <t>0:04:57:22</t>
  </si>
  <si>
    <t>0:04:57:23</t>
  </si>
  <si>
    <t>0:04:57:24</t>
  </si>
  <si>
    <t>0:04:58:00</t>
  </si>
  <si>
    <t>0:04:58:01</t>
  </si>
  <si>
    <t>0:04:58:02</t>
  </si>
  <si>
    <t>0:04:58:03</t>
  </si>
  <si>
    <t>0:04:58:04</t>
  </si>
  <si>
    <t>0:04:58:05</t>
  </si>
  <si>
    <t>0:04:58:06</t>
  </si>
  <si>
    <t>0:04:58:07</t>
  </si>
  <si>
    <t>0:04:58:08</t>
  </si>
  <si>
    <t>0:04:58:09</t>
  </si>
  <si>
    <t>0:04:58:10</t>
  </si>
  <si>
    <t>0:04:58:11</t>
  </si>
  <si>
    <t>0:04:58:12</t>
  </si>
  <si>
    <t>0:04:58:13</t>
  </si>
  <si>
    <t>0:04:58:14</t>
  </si>
  <si>
    <t>0:04:58:15</t>
  </si>
  <si>
    <t>0:04:58:16</t>
  </si>
  <si>
    <t>0:04:58:17</t>
  </si>
  <si>
    <t>0:04:58:18</t>
  </si>
  <si>
    <t>0:04:58:19</t>
  </si>
  <si>
    <t>0:04:58:20</t>
  </si>
  <si>
    <t>0:04:58:21</t>
  </si>
  <si>
    <t>0:04:58:22</t>
  </si>
  <si>
    <t>0:04:58:23</t>
  </si>
  <si>
    <t>0:04:58:24</t>
  </si>
  <si>
    <t>0:04:59:00</t>
  </si>
  <si>
    <t>0:04:59:01</t>
  </si>
  <si>
    <t>0:04:59:02</t>
  </si>
  <si>
    <t>0:04:59:03</t>
  </si>
  <si>
    <t>0:04:59:04</t>
  </si>
  <si>
    <t>0:04:59:05</t>
  </si>
  <si>
    <t>0:04:59:06</t>
  </si>
  <si>
    <t>0:04:59:07</t>
  </si>
  <si>
    <t>0:04:59:08</t>
  </si>
  <si>
    <t>0:04:59:09</t>
  </si>
  <si>
    <t>0:04:59:10</t>
  </si>
  <si>
    <t>0:04:59:11</t>
  </si>
  <si>
    <t>0:04:59:12</t>
  </si>
  <si>
    <t>0:04:59:13</t>
  </si>
  <si>
    <t>0:04:59:14</t>
  </si>
  <si>
    <t>0:04:59:15</t>
  </si>
  <si>
    <t>0:04:59:16</t>
  </si>
  <si>
    <t>0:04:59:17</t>
  </si>
  <si>
    <t>0:04:59:18</t>
  </si>
  <si>
    <t>0:04:59:19</t>
  </si>
  <si>
    <t>0:04:59:20</t>
  </si>
  <si>
    <t>0:04:59:21</t>
  </si>
  <si>
    <t>0:04:59:22</t>
  </si>
  <si>
    <t>0:04:59:23</t>
  </si>
  <si>
    <t>0:04:59:24</t>
  </si>
  <si>
    <t>0:05:00:00</t>
  </si>
  <si>
    <t>0:05:00:01</t>
  </si>
  <si>
    <t>0:05:00:02</t>
  </si>
  <si>
    <t>0:05:00:03</t>
  </si>
  <si>
    <t>0:05:00:04</t>
  </si>
  <si>
    <t>0:05:00:05</t>
  </si>
  <si>
    <t>0:05:00:06</t>
  </si>
  <si>
    <t>0:05:00:07</t>
  </si>
  <si>
    <t>0:05:00:08</t>
  </si>
  <si>
    <t>0:05:00:09</t>
  </si>
  <si>
    <t>0:05:00:10</t>
  </si>
  <si>
    <t>0:05:00:11</t>
  </si>
  <si>
    <t>0:05:00:12</t>
  </si>
  <si>
    <t>0:05:00:13</t>
  </si>
  <si>
    <t>0:05:00:14</t>
  </si>
  <si>
    <t>0:05:00:15</t>
  </si>
  <si>
    <t>0:05:00:16</t>
  </si>
  <si>
    <t>0:05:00:17</t>
  </si>
  <si>
    <t>0:05:00:18</t>
  </si>
  <si>
    <t>0:05:00:19</t>
  </si>
  <si>
    <t>0:05:00:20</t>
  </si>
  <si>
    <t>0:05:00:21</t>
  </si>
  <si>
    <t>0:05:00:22</t>
  </si>
  <si>
    <t>0:05:00:23</t>
  </si>
  <si>
    <t>0:05:00:24</t>
  </si>
  <si>
    <t>0:05:01:00</t>
  </si>
  <si>
    <t>0:05:01:01</t>
  </si>
  <si>
    <t>0:05:01:02</t>
  </si>
  <si>
    <t>0:05:01:03</t>
  </si>
  <si>
    <t>0:05:01:04</t>
  </si>
  <si>
    <t>0:05:01:05</t>
  </si>
  <si>
    <t>0:05:01:06</t>
  </si>
  <si>
    <t>0:05:01:07</t>
  </si>
  <si>
    <t>0:05:01:08</t>
  </si>
  <si>
    <t>0:05:01:09</t>
  </si>
  <si>
    <t>0:05:01:10</t>
  </si>
  <si>
    <t>0:05:01:11</t>
  </si>
  <si>
    <t>0:05:01:12</t>
  </si>
  <si>
    <t>0:05:01:13</t>
  </si>
  <si>
    <t>0:05:01:14</t>
  </si>
  <si>
    <t>0:05:01:15</t>
  </si>
  <si>
    <t>0:05:01:16</t>
  </si>
  <si>
    <t>0:05:01:17</t>
  </si>
  <si>
    <t>0:05:01:18</t>
  </si>
  <si>
    <t>0:05:01:19</t>
  </si>
  <si>
    <t>0:05:01:20</t>
  </si>
  <si>
    <t>0:05:01:21</t>
  </si>
  <si>
    <t>0:05:01:22</t>
  </si>
  <si>
    <t>0:05:01:23</t>
  </si>
  <si>
    <t>0:05:01:24</t>
  </si>
  <si>
    <t>0:05:02:00</t>
  </si>
  <si>
    <t>0:05:02:01</t>
  </si>
  <si>
    <t>0:05:02:02</t>
  </si>
  <si>
    <t>0:05:02:03</t>
  </si>
  <si>
    <t>0:05:02:04</t>
  </si>
  <si>
    <t>0:05:02:05</t>
  </si>
  <si>
    <t>0:05:02:06</t>
  </si>
  <si>
    <t>0:05:02:07</t>
  </si>
  <si>
    <t>0:05:02:08</t>
  </si>
  <si>
    <t>0:05:02:09</t>
  </si>
  <si>
    <t>0:05:02:10</t>
  </si>
  <si>
    <t>0:05:02:11</t>
  </si>
  <si>
    <t>0:05:02:12</t>
  </si>
  <si>
    <t>0:05:02:13</t>
  </si>
  <si>
    <t>0:05:02:14</t>
  </si>
  <si>
    <t>0:05:02:15</t>
  </si>
  <si>
    <t>0:05:02:16</t>
  </si>
  <si>
    <t>0:05:02:17</t>
  </si>
  <si>
    <t>0:05:02:18</t>
  </si>
  <si>
    <t>0:05:02:19</t>
  </si>
  <si>
    <t>0:05:02:20</t>
  </si>
  <si>
    <t>0:05:02:21</t>
  </si>
  <si>
    <t>0:05:02:22</t>
  </si>
  <si>
    <t>0:05:02:23</t>
  </si>
  <si>
    <t>0:05:02:24</t>
  </si>
  <si>
    <t>0:05:03:00</t>
  </si>
  <si>
    <t>0:05:03:01</t>
  </si>
  <si>
    <t>0:05:03:02</t>
  </si>
  <si>
    <t>0:05:03:03</t>
  </si>
  <si>
    <t>0:05:03:04</t>
  </si>
  <si>
    <t>0:05:03:05</t>
  </si>
  <si>
    <t>0:05:03:06</t>
  </si>
  <si>
    <t>0:05:03:07</t>
  </si>
  <si>
    <t>0:05:03:08</t>
  </si>
  <si>
    <t>0:05:03:09</t>
  </si>
  <si>
    <t>0:05:03:10</t>
  </si>
  <si>
    <t>0:05:03:11</t>
  </si>
  <si>
    <t>0:05:03:12</t>
  </si>
  <si>
    <t>0:05:03:13</t>
  </si>
  <si>
    <t>0:05:03:14</t>
  </si>
  <si>
    <t>0:05:03:15</t>
  </si>
  <si>
    <t>0:05:03:16</t>
  </si>
  <si>
    <t>0:05:03:17</t>
  </si>
  <si>
    <t>0:05:03:18</t>
  </si>
  <si>
    <t>0:05:03:19</t>
  </si>
  <si>
    <t>0:05:03:20</t>
  </si>
  <si>
    <t>0:05:03:21</t>
  </si>
  <si>
    <t>0:05:03:22</t>
  </si>
  <si>
    <t>0:05:03:23</t>
  </si>
  <si>
    <t>0:05:03:24</t>
  </si>
  <si>
    <t>0:05:04:00</t>
  </si>
  <si>
    <t>0:05:04:01</t>
  </si>
  <si>
    <t>0:05:04:02</t>
  </si>
  <si>
    <t>0:05:04:03</t>
  </si>
  <si>
    <t>0:05:04:04</t>
  </si>
  <si>
    <t>0:05:04:05</t>
  </si>
  <si>
    <t>0:05:04:06</t>
  </si>
  <si>
    <t>0:05:04:07</t>
  </si>
  <si>
    <t>0:05:04:08</t>
  </si>
  <si>
    <t>0:05:04:09</t>
  </si>
  <si>
    <t>0:05:04:10</t>
  </si>
  <si>
    <t>0:05:04:11</t>
  </si>
  <si>
    <t>0:05:04:12</t>
  </si>
  <si>
    <t>0:05:04:13</t>
  </si>
  <si>
    <t>0:05:04:14</t>
  </si>
  <si>
    <t>0:05:04:15</t>
  </si>
  <si>
    <t>0:05:04:16</t>
  </si>
  <si>
    <t>0:05:04:17</t>
  </si>
  <si>
    <t>0:05:04:18</t>
  </si>
  <si>
    <t>0:05:04:19</t>
  </si>
  <si>
    <t>0:05:04:20</t>
  </si>
  <si>
    <t>0:05:04:21</t>
  </si>
  <si>
    <t>0:05:04:22</t>
  </si>
  <si>
    <t>0:05:04:23</t>
  </si>
  <si>
    <t>0:05:04:24</t>
  </si>
  <si>
    <t>0:05:05:00</t>
  </si>
  <si>
    <t>0:05:05:01</t>
  </si>
  <si>
    <t>0:05:05:02</t>
  </si>
  <si>
    <t>0:05:05:03</t>
  </si>
  <si>
    <t>0:05:05:04</t>
  </si>
  <si>
    <t>0:05:05:05</t>
  </si>
  <si>
    <t>0:05:05:06</t>
  </si>
  <si>
    <t>0:05:05:07</t>
  </si>
  <si>
    <t>0:05:05:08</t>
  </si>
  <si>
    <t>0:05:05:09</t>
  </si>
  <si>
    <t>0:05:05:10</t>
  </si>
  <si>
    <t>0:05:05:11</t>
  </si>
  <si>
    <t>0:05:05:12</t>
  </si>
  <si>
    <t>0:05:05:13</t>
  </si>
  <si>
    <t>0:05:05:14</t>
  </si>
  <si>
    <t>0:05:05:15</t>
  </si>
  <si>
    <t>0:05:05:16</t>
  </si>
  <si>
    <t>0:05:05:17</t>
  </si>
  <si>
    <t>0:05:05:18</t>
  </si>
  <si>
    <t>0:05:05:19</t>
  </si>
  <si>
    <t>0:05:05:20</t>
  </si>
  <si>
    <t>0:05:05:21</t>
  </si>
  <si>
    <t>0:05:05:22</t>
  </si>
  <si>
    <t>0:05:05:23</t>
  </si>
  <si>
    <t>0:05:05:24</t>
  </si>
  <si>
    <t>0:05:06:00</t>
  </si>
  <si>
    <t>0:05:06:01</t>
  </si>
  <si>
    <t>0:05:06:02</t>
  </si>
  <si>
    <t>0:05:06:03</t>
  </si>
  <si>
    <t>0:05:06:04</t>
  </si>
  <si>
    <t>0:05:06:05</t>
  </si>
  <si>
    <t>0:05:06:06</t>
  </si>
  <si>
    <t>0:05:06:07</t>
  </si>
  <si>
    <t>0:05:06:08</t>
  </si>
  <si>
    <t>0:05:06:09</t>
  </si>
  <si>
    <t>0:05:06:10</t>
  </si>
  <si>
    <t>0:05:06:11</t>
  </si>
  <si>
    <t>0:05:06:12</t>
  </si>
  <si>
    <t>0:05:06:13</t>
  </si>
  <si>
    <t>0:05:06:14</t>
  </si>
  <si>
    <t>0:05:06:15</t>
  </si>
  <si>
    <t>0:05:06:16</t>
  </si>
  <si>
    <t>0:05:06:17</t>
  </si>
  <si>
    <t>0:05:06:18</t>
  </si>
  <si>
    <t>0:05:06:19</t>
  </si>
  <si>
    <t>0:05:06:20</t>
  </si>
  <si>
    <t>0:05:06:21</t>
  </si>
  <si>
    <t>0:05:06:22</t>
  </si>
  <si>
    <t>0:05:06:23</t>
  </si>
  <si>
    <t>0:05:06:24</t>
  </si>
  <si>
    <t>0:05:07:00</t>
  </si>
  <si>
    <t>0:05:07:01</t>
  </si>
  <si>
    <t>0:05:07:02</t>
  </si>
  <si>
    <t>0:05:07:03</t>
  </si>
  <si>
    <t>0:05:07:04</t>
  </si>
  <si>
    <t>0:05:07:05</t>
  </si>
  <si>
    <t>0:05:07:06</t>
  </si>
  <si>
    <t>0:05:07:07</t>
  </si>
  <si>
    <t>0:05:07:08</t>
  </si>
  <si>
    <t>0:05:07:09</t>
  </si>
  <si>
    <t>0:05:07:10</t>
  </si>
  <si>
    <t>0:05:07:11</t>
  </si>
  <si>
    <t>0:05:07:12</t>
  </si>
  <si>
    <t>0:05:07:13</t>
  </si>
  <si>
    <t>0:05:07:14</t>
  </si>
  <si>
    <t>0:05:07:15</t>
  </si>
  <si>
    <t>0:05:07:16</t>
  </si>
  <si>
    <t>0:05:07:17</t>
  </si>
  <si>
    <t>0:05:07:18</t>
  </si>
  <si>
    <t>0:05:07:19</t>
  </si>
  <si>
    <t>0:05:07:20</t>
  </si>
  <si>
    <t>0:05:07:21</t>
  </si>
  <si>
    <t>0:05:07:22</t>
  </si>
  <si>
    <t>0:05:07:23</t>
  </si>
  <si>
    <t>0:05:07:24</t>
  </si>
  <si>
    <t>0:05:08:00</t>
  </si>
  <si>
    <t>0:05:08:01</t>
  </si>
  <si>
    <t>0:05:08:02</t>
  </si>
  <si>
    <t>0:05:08:03</t>
  </si>
  <si>
    <t>0:05:08:04</t>
  </si>
  <si>
    <t>0:05:08:05</t>
  </si>
  <si>
    <t>0:05:08:06</t>
  </si>
  <si>
    <t>0:05:08:07</t>
  </si>
  <si>
    <t>0:05:08:08</t>
  </si>
  <si>
    <t>0:05:08:09</t>
  </si>
  <si>
    <t>0:05:08:10</t>
  </si>
  <si>
    <t>0:05:08:11</t>
  </si>
  <si>
    <t>0:05:08:12</t>
  </si>
  <si>
    <t>0:05:08:13</t>
  </si>
  <si>
    <t>0:05:08:14</t>
  </si>
  <si>
    <t>0:05:08:15</t>
  </si>
  <si>
    <t>0:05:08:16</t>
  </si>
  <si>
    <t>0:05:08:17</t>
  </si>
  <si>
    <t>0:05:08:18</t>
  </si>
  <si>
    <t>0:05:08:19</t>
  </si>
  <si>
    <t>0:05:08:20</t>
  </si>
  <si>
    <t>0:05:08:21</t>
  </si>
  <si>
    <t>0:05:08:22</t>
  </si>
  <si>
    <t>0:05:08:23</t>
  </si>
  <si>
    <t>0:05:08:24</t>
  </si>
  <si>
    <t>0:05:09:00</t>
  </si>
  <si>
    <t>0:05:09:01</t>
  </si>
  <si>
    <t>0:05:09:02</t>
  </si>
  <si>
    <t>0:05:09:03</t>
  </si>
  <si>
    <t>0:05:09:04</t>
  </si>
  <si>
    <t>0:05:09:05</t>
  </si>
  <si>
    <t>0:05:09:06</t>
  </si>
  <si>
    <t>0:05:09:07</t>
  </si>
  <si>
    <t>0:05:09:08</t>
  </si>
  <si>
    <t>0:05:09:09</t>
  </si>
  <si>
    <t>0:05:09:10</t>
  </si>
  <si>
    <t>0:05:09:11</t>
  </si>
  <si>
    <t>0:05:09:12</t>
  </si>
  <si>
    <t>0:05:09:13</t>
  </si>
  <si>
    <t>0:05:09:14</t>
  </si>
  <si>
    <t>0:05:09:15</t>
  </si>
  <si>
    <t>0:05:09:16</t>
  </si>
  <si>
    <t>0:05:09:17</t>
  </si>
  <si>
    <t>0:05:09:18</t>
  </si>
  <si>
    <t>0:05:09:19</t>
  </si>
  <si>
    <t>0:05:09:20</t>
  </si>
  <si>
    <t>0:05:09:21</t>
  </si>
  <si>
    <t>0:05:09:22</t>
  </si>
  <si>
    <t>0:05:09:23</t>
  </si>
  <si>
    <t>0:05:09:24</t>
  </si>
  <si>
    <t>0:05:10:00</t>
  </si>
  <si>
    <t>0:05:10:01</t>
  </si>
  <si>
    <t>0:05:10:02</t>
  </si>
  <si>
    <t>0:05:10:03</t>
  </si>
  <si>
    <t>0:05:10:04</t>
  </si>
  <si>
    <t>0:05:10:05</t>
  </si>
  <si>
    <t>0:05:10:06</t>
  </si>
  <si>
    <t>0:05:10:07</t>
  </si>
  <si>
    <t>0:05:10:08</t>
  </si>
  <si>
    <t>0:05:10:09</t>
  </si>
  <si>
    <t>0:05:10:10</t>
  </si>
  <si>
    <t>0:05:10:11</t>
  </si>
  <si>
    <t>0:05:10:12</t>
  </si>
  <si>
    <t>0:05:10:13</t>
  </si>
  <si>
    <t>0:05:10:14</t>
  </si>
  <si>
    <t>0:05:10:15</t>
  </si>
  <si>
    <t>0:05:10:16</t>
  </si>
  <si>
    <t>0:05:10:17</t>
  </si>
  <si>
    <t>0:05:10:18</t>
  </si>
  <si>
    <t>0:05:10:19</t>
  </si>
  <si>
    <t>0:05:10:20</t>
  </si>
  <si>
    <t>0:05:10:21</t>
  </si>
  <si>
    <t>0:05:10:22</t>
  </si>
  <si>
    <t>0:05:10:23</t>
  </si>
  <si>
    <t>0:05:10:24</t>
  </si>
  <si>
    <t>0:05:11:00</t>
  </si>
  <si>
    <t>0:05:11:01</t>
  </si>
  <si>
    <t>0:05:11:02</t>
  </si>
  <si>
    <t>0:05:11:03</t>
  </si>
  <si>
    <t>0:05:11:04</t>
  </si>
  <si>
    <t>0:05:11:05</t>
  </si>
  <si>
    <t>0:05:11:06</t>
  </si>
  <si>
    <t>0:05:11:07</t>
  </si>
  <si>
    <t>0:05:11:08</t>
  </si>
  <si>
    <t>0:05:11:09</t>
  </si>
  <si>
    <t>0:05:11:10</t>
  </si>
  <si>
    <t>0:05:11:11</t>
  </si>
  <si>
    <t>0:05:11:12</t>
  </si>
  <si>
    <t>0:05:11:13</t>
  </si>
  <si>
    <t>0:05:11:14</t>
  </si>
  <si>
    <t>0:05:11:15</t>
  </si>
  <si>
    <t>0:05:11:16</t>
  </si>
  <si>
    <t>0:05:11:17</t>
  </si>
  <si>
    <t>0:05:11:18</t>
  </si>
  <si>
    <t>0:05:11:19</t>
  </si>
  <si>
    <t>0:05:11:20</t>
  </si>
  <si>
    <t>0:05:11:21</t>
  </si>
  <si>
    <t>0:05:11:22</t>
  </si>
  <si>
    <t>0:05:11:23</t>
  </si>
  <si>
    <t>0:05:11:24</t>
  </si>
  <si>
    <t>0:05:12:00</t>
  </si>
  <si>
    <t>0:05:12:01</t>
  </si>
  <si>
    <t>0:05:12:02</t>
  </si>
  <si>
    <t>0:05:12:03</t>
  </si>
  <si>
    <t>0:05:12:04</t>
  </si>
  <si>
    <t>0:05:12:05</t>
  </si>
  <si>
    <t>0:05:12:06</t>
  </si>
  <si>
    <t>0:05:12:07</t>
  </si>
  <si>
    <t>0:05:12:08</t>
  </si>
  <si>
    <t>0:05:12:09</t>
  </si>
  <si>
    <t>0:05:12:10</t>
  </si>
  <si>
    <t>0:05:12:11</t>
  </si>
  <si>
    <t>0:05:12:12</t>
  </si>
  <si>
    <t>0:05:12:13</t>
  </si>
  <si>
    <t>0:05:12:14</t>
  </si>
  <si>
    <t>0:05:12:15</t>
  </si>
  <si>
    <t>0:05:12:16</t>
  </si>
  <si>
    <t>0:05:12:17</t>
  </si>
  <si>
    <t>0:05:12:18</t>
  </si>
  <si>
    <t>0:05:12:19</t>
  </si>
  <si>
    <t>0:05:12:20</t>
  </si>
  <si>
    <t>0:05:12:21</t>
  </si>
  <si>
    <t>0:05:12:22</t>
  </si>
  <si>
    <t>0:05:12:23</t>
  </si>
  <si>
    <t>0:05:12:24</t>
  </si>
  <si>
    <t>0:05:13:00</t>
  </si>
  <si>
    <t>0:05:13:01</t>
  </si>
  <si>
    <t>0:05:13:02</t>
  </si>
  <si>
    <t>0:05:13:03</t>
  </si>
  <si>
    <t>0:05:13:04</t>
  </si>
  <si>
    <t>0:05:13:05</t>
  </si>
  <si>
    <t>0:05:13:06</t>
  </si>
  <si>
    <t>0:05:13:07</t>
  </si>
  <si>
    <t>0:05:13:08</t>
  </si>
  <si>
    <t>0:05:13:09</t>
  </si>
  <si>
    <t>0:05:13:10</t>
  </si>
  <si>
    <t>0:05:13:11</t>
  </si>
  <si>
    <t>0:05:13:12</t>
  </si>
  <si>
    <t>0:05:13:13</t>
  </si>
  <si>
    <t>0:05:13:14</t>
  </si>
  <si>
    <t>0:05:13:15</t>
  </si>
  <si>
    <t>0:05:13:16</t>
  </si>
  <si>
    <t>0:05:13:17</t>
  </si>
  <si>
    <t>0:05:13:18</t>
  </si>
  <si>
    <t>0:05:13:19</t>
  </si>
  <si>
    <t>0:05:13:20</t>
  </si>
  <si>
    <t>0:05:13:21</t>
  </si>
  <si>
    <t>0:05:13:22</t>
  </si>
  <si>
    <t>0:05:13:23</t>
  </si>
  <si>
    <t>0:05:13:24</t>
  </si>
  <si>
    <t>0:05:14:00</t>
  </si>
  <si>
    <t>0:05:14:01</t>
  </si>
  <si>
    <t>0:05:14:02</t>
  </si>
  <si>
    <t>0:05:14:03</t>
  </si>
  <si>
    <t>0:05:14:04</t>
  </si>
  <si>
    <t>0:05:14:05</t>
  </si>
  <si>
    <t>0:05:14:06</t>
  </si>
  <si>
    <t>0:05:14:07</t>
  </si>
  <si>
    <t>0:05:14:08</t>
  </si>
  <si>
    <t>0:05:14:09</t>
  </si>
  <si>
    <t>0:05:14:10</t>
  </si>
  <si>
    <t>0:05:14:11</t>
  </si>
  <si>
    <t>0:05:14:12</t>
  </si>
  <si>
    <t>0:05:14:13</t>
  </si>
  <si>
    <t>0:05:14:14</t>
  </si>
  <si>
    <t>0:05:14:15</t>
  </si>
  <si>
    <t>0:05:14:16</t>
  </si>
  <si>
    <t>0:05:14:17</t>
  </si>
  <si>
    <t>0:05:14:18</t>
  </si>
  <si>
    <t>0:05:14:19</t>
  </si>
  <si>
    <t>0:05:14:20</t>
  </si>
  <si>
    <t>0:05:14:21</t>
  </si>
  <si>
    <t>0:05:14:22</t>
  </si>
  <si>
    <t>0:05:14:23</t>
  </si>
  <si>
    <t>0:05:14:24</t>
  </si>
  <si>
    <t>0:05:15:00</t>
  </si>
  <si>
    <t>0:05:15:01</t>
  </si>
  <si>
    <t>0:05:15:02</t>
  </si>
  <si>
    <t>0:05:15:03</t>
  </si>
  <si>
    <t>0:05:15:04</t>
  </si>
  <si>
    <t>0:05:15:05</t>
  </si>
  <si>
    <t>0:05:15:06</t>
  </si>
  <si>
    <t>0:05:15:07</t>
  </si>
  <si>
    <t>0:05:15:08</t>
  </si>
  <si>
    <t>0:05:15:09</t>
  </si>
  <si>
    <t>0:05:15:10</t>
  </si>
  <si>
    <t>0:05:15:11</t>
  </si>
  <si>
    <t>0:05:15:12</t>
  </si>
  <si>
    <t>0:05:15:13</t>
  </si>
  <si>
    <t>0:05:15:14</t>
  </si>
  <si>
    <t>0:05:15:15</t>
  </si>
  <si>
    <t>0:05:15:16</t>
  </si>
  <si>
    <t>0:05:15:17</t>
  </si>
  <si>
    <t>0:05:15:18</t>
  </si>
  <si>
    <t>0:05:15:19</t>
  </si>
  <si>
    <t>0:05:15:20</t>
  </si>
  <si>
    <t>0:05:15:21</t>
  </si>
  <si>
    <t>0:05:15:22</t>
  </si>
  <si>
    <t>0:05:15:23</t>
  </si>
  <si>
    <t>0:05:15:24</t>
  </si>
  <si>
    <t>0:05:16:00</t>
  </si>
  <si>
    <t>0:05:16:01</t>
  </si>
  <si>
    <t>0:05:16:02</t>
  </si>
  <si>
    <t>0:05:16:03</t>
  </si>
  <si>
    <t>0:05:16:04</t>
  </si>
  <si>
    <t>0:05:16:05</t>
  </si>
  <si>
    <t>0:05:16:06</t>
  </si>
  <si>
    <t>0:05:16:07</t>
  </si>
  <si>
    <t>0:05:16:08</t>
  </si>
  <si>
    <t>0:05:16:09</t>
  </si>
  <si>
    <t>0:05:16:10</t>
  </si>
  <si>
    <t>0:05:16:11</t>
  </si>
  <si>
    <t>0:05:16:12</t>
  </si>
  <si>
    <t>0:05:16:13</t>
  </si>
  <si>
    <t>0:05:16:14</t>
  </si>
  <si>
    <t>0:05:16:15</t>
  </si>
  <si>
    <t>0:05:16:16</t>
  </si>
  <si>
    <t>0:05:16:17</t>
  </si>
  <si>
    <t>0:05:16:18</t>
  </si>
  <si>
    <t>0:05:16:19</t>
  </si>
  <si>
    <t>0:05:16:20</t>
  </si>
  <si>
    <t>0:05:16:21</t>
  </si>
  <si>
    <t>0:05:16:22</t>
  </si>
  <si>
    <t>0:05:16:23</t>
  </si>
  <si>
    <t>0:05:16:24</t>
  </si>
  <si>
    <t>0:05:17:00</t>
  </si>
  <si>
    <t>0:05:17:01</t>
  </si>
  <si>
    <t>0:05:17:02</t>
  </si>
  <si>
    <t>0:05:17:03</t>
  </si>
  <si>
    <t>0:05:17:04</t>
  </si>
  <si>
    <t>0:05:17:05</t>
  </si>
  <si>
    <t>0:05:17:06</t>
  </si>
  <si>
    <t>0:05:17:07</t>
  </si>
  <si>
    <t>0:05:17:08</t>
  </si>
  <si>
    <t>0:05:17:09</t>
  </si>
  <si>
    <t>0:05:17:10</t>
  </si>
  <si>
    <t>0:05:17:11</t>
  </si>
  <si>
    <t>0:05:17:12</t>
  </si>
  <si>
    <t>0:05:17:13</t>
  </si>
  <si>
    <t>0:05:17:14</t>
  </si>
  <si>
    <t>0:05:17:15</t>
  </si>
  <si>
    <t>0:05:17:16</t>
  </si>
  <si>
    <t>0:05:17:17</t>
  </si>
  <si>
    <t>0:05:17:18</t>
  </si>
  <si>
    <t>0:05:17:19</t>
  </si>
  <si>
    <t>0:05:17:20</t>
  </si>
  <si>
    <t>0:05:17:21</t>
  </si>
  <si>
    <t>0:05:17:22</t>
  </si>
  <si>
    <t>0:05:17:23</t>
  </si>
  <si>
    <t>0:05:17:24</t>
  </si>
  <si>
    <t>0:05:18:00</t>
  </si>
  <si>
    <t>0:05:18:01</t>
  </si>
  <si>
    <t>0:05:18:02</t>
  </si>
  <si>
    <t>0:05:18:03</t>
  </si>
  <si>
    <t>0:05:18:04</t>
  </si>
  <si>
    <t>0:05:18:05</t>
  </si>
  <si>
    <t>0:05:18:06</t>
  </si>
  <si>
    <t>0:05:18:07</t>
  </si>
  <si>
    <t>0:05:18:08</t>
  </si>
  <si>
    <t>0:05:18:09</t>
  </si>
  <si>
    <t>0:05:18:10</t>
  </si>
  <si>
    <t>0:05:18:11</t>
  </si>
  <si>
    <t>0:05:18:12</t>
  </si>
  <si>
    <t>0:05:18:13</t>
  </si>
  <si>
    <t>0:05:18:14</t>
  </si>
  <si>
    <t>0:05:18:15</t>
  </si>
  <si>
    <t>0:05:18:16</t>
  </si>
  <si>
    <t>0:05:18:17</t>
  </si>
  <si>
    <t>0:05:18:18</t>
  </si>
  <si>
    <t>0:05:18:19</t>
  </si>
  <si>
    <t>0:05:18:20</t>
  </si>
  <si>
    <t>0:05:18:21</t>
  </si>
  <si>
    <t>0:05:18:22</t>
  </si>
  <si>
    <t>0:05:18:23</t>
  </si>
  <si>
    <t>0:05:18:24</t>
  </si>
  <si>
    <t>0:05:19:00</t>
  </si>
  <si>
    <t>0:05:19:01</t>
  </si>
  <si>
    <t>0:05:19:02</t>
  </si>
  <si>
    <t>0:05:19:03</t>
  </si>
  <si>
    <t>0:05:19:04</t>
  </si>
  <si>
    <t>0:05:19:05</t>
  </si>
  <si>
    <t>0:05:19:06</t>
  </si>
  <si>
    <t>0:05:19:07</t>
  </si>
  <si>
    <t>0:05:19:08</t>
  </si>
  <si>
    <t>0:05:19:09</t>
  </si>
  <si>
    <t>0:05:19:10</t>
  </si>
  <si>
    <t>0:05:19:11</t>
  </si>
  <si>
    <t>0:05:19:12</t>
  </si>
  <si>
    <t>0:05:19:13</t>
  </si>
  <si>
    <t>0:05:19:14</t>
  </si>
  <si>
    <t>0:05:19:15</t>
  </si>
  <si>
    <t>0:05:19:16</t>
  </si>
  <si>
    <t>0:05:19:17</t>
  </si>
  <si>
    <t>0:05:19:18</t>
  </si>
  <si>
    <t>0:05:19:19</t>
  </si>
  <si>
    <t>0:05:19:20</t>
  </si>
  <si>
    <t>0:05:19:21</t>
  </si>
  <si>
    <t>0:05:19:22</t>
  </si>
  <si>
    <t>0:05:19:23</t>
  </si>
  <si>
    <t>0:05:19:24</t>
  </si>
  <si>
    <t>0:05:20:00</t>
  </si>
  <si>
    <t>0:05:20:01</t>
  </si>
  <si>
    <t>0:05:20:02</t>
  </si>
  <si>
    <t>0:05:20:03</t>
  </si>
  <si>
    <t>0:05:20:04</t>
  </si>
  <si>
    <t>0:05:20:05</t>
  </si>
  <si>
    <t>0:05:20:06</t>
  </si>
  <si>
    <t>0:05:20:07</t>
  </si>
  <si>
    <t>0:05:20:08</t>
  </si>
  <si>
    <t>0:05:20:09</t>
  </si>
  <si>
    <t>0:05:20:10</t>
  </si>
  <si>
    <t>0:05:20:11</t>
  </si>
  <si>
    <t>0:05:20:12</t>
  </si>
  <si>
    <t>0:05:20:13</t>
  </si>
  <si>
    <t>0:05:20:14</t>
  </si>
  <si>
    <t>0:05:20:15</t>
  </si>
  <si>
    <t>0:05:20:16</t>
  </si>
  <si>
    <t>0:05:20:17</t>
  </si>
  <si>
    <t>0:05:20:18</t>
  </si>
  <si>
    <t>0:05:20:19</t>
  </si>
  <si>
    <t>0:05:20:20</t>
  </si>
  <si>
    <t>0:05:20:21</t>
  </si>
  <si>
    <t>0:05:20:22</t>
  </si>
  <si>
    <t>0:05:20:23</t>
  </si>
  <si>
    <t>0:05:20:24</t>
  </si>
  <si>
    <t>0:05:21:00</t>
  </si>
  <si>
    <t>0:05:21:01</t>
  </si>
  <si>
    <t>0:05:21:02</t>
  </si>
  <si>
    <t>0:05:21:03</t>
  </si>
  <si>
    <t>0:05:21:04</t>
  </si>
  <si>
    <t>0:05:21:05</t>
  </si>
  <si>
    <t>0:05:21:06</t>
  </si>
  <si>
    <t>0:05:21:07</t>
  </si>
  <si>
    <t>0:05:21:08</t>
  </si>
  <si>
    <t>0:05:21:09</t>
  </si>
  <si>
    <t>0:05:21:10</t>
  </si>
  <si>
    <t>0:05:21:11</t>
  </si>
  <si>
    <t>0:05:21:12</t>
  </si>
  <si>
    <t>0:05:21:13</t>
  </si>
  <si>
    <t>0:05:21:14</t>
  </si>
  <si>
    <t>0:05:21:15</t>
  </si>
  <si>
    <t>0:05:21:16</t>
  </si>
  <si>
    <t>0:05:21:17</t>
  </si>
  <si>
    <t>0:05:21:18</t>
  </si>
  <si>
    <t>0:05:21:19</t>
  </si>
  <si>
    <t>0:05:21:20</t>
  </si>
  <si>
    <t>0:05:21:21</t>
  </si>
  <si>
    <t>0:05:21:22</t>
  </si>
  <si>
    <t>0:05:21:23</t>
  </si>
  <si>
    <t>0:05:21:24</t>
  </si>
  <si>
    <t>0:05:22:00</t>
  </si>
  <si>
    <t>0:05:22:01</t>
  </si>
  <si>
    <t>0:05:22:02</t>
  </si>
  <si>
    <t>0:05:22:03</t>
  </si>
  <si>
    <t>0:05:22:04</t>
  </si>
  <si>
    <t>0:05:22:05</t>
  </si>
  <si>
    <t>0:05:22:06</t>
  </si>
  <si>
    <t>0:05:22:07</t>
  </si>
  <si>
    <t>0:05:22:08</t>
  </si>
  <si>
    <t>0:05:22:09</t>
  </si>
  <si>
    <t>0:05:22:10</t>
  </si>
  <si>
    <t>0:05:22:11</t>
  </si>
  <si>
    <t>0:05:22:12</t>
  </si>
  <si>
    <t>0:05:22:13</t>
  </si>
  <si>
    <t>0:05:22:14</t>
  </si>
  <si>
    <t>0:05:22:15</t>
  </si>
  <si>
    <t>0:05:22:16</t>
  </si>
  <si>
    <t>0:05:22:17</t>
  </si>
  <si>
    <t>0:05:22:18</t>
  </si>
  <si>
    <t>0:05:22:19</t>
  </si>
  <si>
    <t>0:05:22:20</t>
  </si>
  <si>
    <t>0:05:22:21</t>
  </si>
  <si>
    <t>0:05:22:22</t>
  </si>
  <si>
    <t>0:05:22:23</t>
  </si>
  <si>
    <t>0:05:22:24</t>
  </si>
  <si>
    <t>0:05:23:00</t>
  </si>
  <si>
    <t>0:05:23:01</t>
  </si>
  <si>
    <t>0:05:23:02</t>
  </si>
  <si>
    <t>0:05:23:03</t>
  </si>
  <si>
    <t>0:05:23:04</t>
  </si>
  <si>
    <t>0:05:23:05</t>
  </si>
  <si>
    <t>0:05:23:06</t>
  </si>
  <si>
    <t>0:05:23:07</t>
  </si>
  <si>
    <t>0:05:23:08</t>
  </si>
  <si>
    <t>0:05:23:09</t>
  </si>
  <si>
    <t>0:05:23:10</t>
  </si>
  <si>
    <t>0:05:23:11</t>
  </si>
  <si>
    <t>0:05:23:12</t>
  </si>
  <si>
    <t>0:05:23:13</t>
  </si>
  <si>
    <t>0:05:23:14</t>
  </si>
  <si>
    <t>0:05:23:15</t>
  </si>
  <si>
    <t>0:05:23:16</t>
  </si>
  <si>
    <t>0:05:23:17</t>
  </si>
  <si>
    <t>0:05:23:18</t>
  </si>
  <si>
    <t>0:05:23:19</t>
  </si>
  <si>
    <t>0:05:23:20</t>
  </si>
  <si>
    <t>0:05:23:21</t>
  </si>
  <si>
    <t>0:05:23:22</t>
  </si>
  <si>
    <t>0:05:23:23</t>
  </si>
  <si>
    <t>0:05:23:24</t>
  </si>
  <si>
    <t>0:05:24:00</t>
  </si>
  <si>
    <t>0:05:24:01</t>
  </si>
  <si>
    <t>0:05:24:02</t>
  </si>
  <si>
    <t>0:05:24:03</t>
  </si>
  <si>
    <t>0:05:24:04</t>
  </si>
  <si>
    <t>0:05:24:05</t>
  </si>
  <si>
    <t>0:05:24:06</t>
  </si>
  <si>
    <t>0:05:24:07</t>
  </si>
  <si>
    <t>0:05:24:08</t>
  </si>
  <si>
    <t>0:05:24:09</t>
  </si>
  <si>
    <t>0:05:24:10</t>
  </si>
  <si>
    <t>0:05:24:11</t>
  </si>
  <si>
    <t>0:05:24:12</t>
  </si>
  <si>
    <t>0:05:24:13</t>
  </si>
  <si>
    <t>0:05:24:14</t>
  </si>
  <si>
    <t>0:05:24:15</t>
  </si>
  <si>
    <t>0:05:24:16</t>
  </si>
  <si>
    <t>0:05:24:17</t>
  </si>
  <si>
    <t>0:05:24:18</t>
  </si>
  <si>
    <t>0:05:24:19</t>
  </si>
  <si>
    <t>0:05:24:20</t>
  </si>
  <si>
    <t>0:05:24:21</t>
  </si>
  <si>
    <t>0:05:24:22</t>
  </si>
  <si>
    <t>0:05:24:23</t>
  </si>
  <si>
    <t>0:05:24:24</t>
  </si>
  <si>
    <t>0:05:25:00</t>
  </si>
  <si>
    <t>0:05:25:01</t>
  </si>
  <si>
    <t>0:05:25:02</t>
  </si>
  <si>
    <t>0:05:25:03</t>
  </si>
  <si>
    <t>0:05:25:04</t>
  </si>
  <si>
    <t>0:05:25:05</t>
  </si>
  <si>
    <t>0:05:25:06</t>
  </si>
  <si>
    <t>0:05:25:07</t>
  </si>
  <si>
    <t>0:05:25:08</t>
  </si>
  <si>
    <t>0:05:25:09</t>
  </si>
  <si>
    <t>0:05:25:10</t>
  </si>
  <si>
    <t>0:05:25:11</t>
  </si>
  <si>
    <t>0:05:25:12</t>
  </si>
  <si>
    <t>0:05:25:13</t>
  </si>
  <si>
    <t>0:05:25:14</t>
  </si>
  <si>
    <t>0:05:25:15</t>
  </si>
  <si>
    <t>0:05:25:16</t>
  </si>
  <si>
    <t>0:05:25:17</t>
  </si>
  <si>
    <t>0:05:25:18</t>
  </si>
  <si>
    <t>0:05:25:19</t>
  </si>
  <si>
    <t>0:05:25:20</t>
  </si>
  <si>
    <t>0:05:25:21</t>
  </si>
  <si>
    <t>0:05:25:22</t>
  </si>
  <si>
    <t>0:05:25:23</t>
  </si>
  <si>
    <t>0:05:25:24</t>
  </si>
  <si>
    <t>0:05:26:00</t>
  </si>
  <si>
    <t>0:05:26:01</t>
  </si>
  <si>
    <t>0:05:26:02</t>
  </si>
  <si>
    <t>0:05:26:03</t>
  </si>
  <si>
    <t>0:05:26:04</t>
  </si>
  <si>
    <t>0:05:26:05</t>
  </si>
  <si>
    <t>0:05:26:06</t>
  </si>
  <si>
    <t>0:05:26:07</t>
  </si>
  <si>
    <t>0:05:26:08</t>
  </si>
  <si>
    <t>0:05:26:09</t>
  </si>
  <si>
    <t>0:05:26:10</t>
  </si>
  <si>
    <t>0:05:26:11</t>
  </si>
  <si>
    <t>0:05:26:12</t>
  </si>
  <si>
    <t>0:05:26:13</t>
  </si>
  <si>
    <t>0:05:26:14</t>
  </si>
  <si>
    <t>0:05:26:15</t>
  </si>
  <si>
    <t>0:05:26:16</t>
  </si>
  <si>
    <t>0:05:26:17</t>
  </si>
  <si>
    <t>0:05:26:18</t>
  </si>
  <si>
    <t>0:05:26:19</t>
  </si>
  <si>
    <t>0:05:26:20</t>
  </si>
  <si>
    <t>0:05:26:21</t>
  </si>
  <si>
    <t>0:05:26:22</t>
  </si>
  <si>
    <t>0:05:26:23</t>
  </si>
  <si>
    <t>0:05:26:24</t>
  </si>
  <si>
    <t>0:05:27:00</t>
  </si>
  <si>
    <t>0:05:27:01</t>
  </si>
  <si>
    <t>0:05:27:02</t>
  </si>
  <si>
    <t>0:05:27:03</t>
  </si>
  <si>
    <t>0:05:27:04</t>
  </si>
  <si>
    <t>0:05:27:05</t>
  </si>
  <si>
    <t>0:05:27:06</t>
  </si>
  <si>
    <t>0:05:27:07</t>
  </si>
  <si>
    <t>0:05:27:08</t>
  </si>
  <si>
    <t>0:05:27:09</t>
  </si>
  <si>
    <t>0:05:27:10</t>
  </si>
  <si>
    <t>0:05:27:11</t>
  </si>
  <si>
    <t>0:05:27:12</t>
  </si>
  <si>
    <t>0:05:27:13</t>
  </si>
  <si>
    <t>0:05:27:14</t>
  </si>
  <si>
    <t>0:05:27:15</t>
  </si>
  <si>
    <t>0:05:27:16</t>
  </si>
  <si>
    <t>0:05:27:17</t>
  </si>
  <si>
    <t>0:05:27:18</t>
  </si>
  <si>
    <t>0:05:27:19</t>
  </si>
  <si>
    <t>0:05:27:20</t>
  </si>
  <si>
    <t>0:05:27:21</t>
  </si>
  <si>
    <t>0:05:27:22</t>
  </si>
  <si>
    <t>0:05:27:23</t>
  </si>
  <si>
    <t>0:05:27:24</t>
  </si>
  <si>
    <t>0:05:28:00</t>
  </si>
  <si>
    <t>0:05:28:01</t>
  </si>
  <si>
    <t>0:05:28:02</t>
  </si>
  <si>
    <t>0:05:28:03</t>
  </si>
  <si>
    <t>0:05:28:04</t>
  </si>
  <si>
    <t>0:05:28:05</t>
  </si>
  <si>
    <t>0:05:28:06</t>
  </si>
  <si>
    <t>0:05:28:07</t>
  </si>
  <si>
    <t>0:05:28:08</t>
  </si>
  <si>
    <t>0:05:28:09</t>
  </si>
  <si>
    <t>0:05:28:10</t>
  </si>
  <si>
    <t>0:05:28:11</t>
  </si>
  <si>
    <t>0:05:28:12</t>
  </si>
  <si>
    <t>0:05:28:13</t>
  </si>
  <si>
    <t>0:05:28:14</t>
  </si>
  <si>
    <t>0:05:28:15</t>
  </si>
  <si>
    <t>0:05:28:16</t>
  </si>
  <si>
    <t>0:05:28:17</t>
  </si>
  <si>
    <t>0:05:28:18</t>
  </si>
  <si>
    <t>0:05:28:19</t>
  </si>
  <si>
    <t>0:05:28:20</t>
  </si>
  <si>
    <t>0:05:28:21</t>
  </si>
  <si>
    <t>0:05:28:22</t>
  </si>
  <si>
    <t>0:05:28:23</t>
  </si>
  <si>
    <t>0:05:28:24</t>
  </si>
  <si>
    <t>0:05:29:00</t>
  </si>
  <si>
    <t>0:05:29:01</t>
  </si>
  <si>
    <t>0:05:29:02</t>
  </si>
  <si>
    <t>0:05:29:03</t>
  </si>
  <si>
    <t>0:05:29:04</t>
  </si>
  <si>
    <t>0:05:29:05</t>
  </si>
  <si>
    <t>0:05:29:06</t>
  </si>
  <si>
    <t>0:05:29:07</t>
  </si>
  <si>
    <t>0:05:29:08</t>
  </si>
  <si>
    <t>0:05:29:09</t>
  </si>
  <si>
    <t>0:05:29:10</t>
  </si>
  <si>
    <t>0:05:29:11</t>
  </si>
  <si>
    <t>0:05:29:12</t>
  </si>
  <si>
    <t>0:05:29:13</t>
  </si>
  <si>
    <t>0:05:29:14</t>
  </si>
  <si>
    <t>0:05:29:15</t>
  </si>
  <si>
    <t>0:05:29:16</t>
  </si>
  <si>
    <t>0:05:29:17</t>
  </si>
  <si>
    <t>0:05:29:18</t>
  </si>
  <si>
    <t>0:05:29:19</t>
  </si>
  <si>
    <t>0:05:29:20</t>
  </si>
  <si>
    <t>0:05:29:21</t>
  </si>
  <si>
    <t>0:05:29:22</t>
  </si>
  <si>
    <t>0:05:29:23</t>
  </si>
  <si>
    <t>0:05:29:24</t>
  </si>
  <si>
    <t>0:05:30:00</t>
  </si>
  <si>
    <t>0:05:30:01</t>
  </si>
  <si>
    <t>0:05:30:02</t>
  </si>
  <si>
    <t>0:05:30:03</t>
  </si>
  <si>
    <t>0:05:30:04</t>
  </si>
  <si>
    <t>0:05:30:05</t>
  </si>
  <si>
    <t>0:05:30:06</t>
  </si>
  <si>
    <t>0:05:30:07</t>
  </si>
  <si>
    <t>0:05:30:08</t>
  </si>
  <si>
    <t>0:05:30:09</t>
  </si>
  <si>
    <t>0:05:30:10</t>
  </si>
  <si>
    <t>0:05:30:11</t>
  </si>
  <si>
    <t>0:05:30:12</t>
  </si>
  <si>
    <t>0:05:30:13</t>
  </si>
  <si>
    <t>0:05:30:14</t>
  </si>
  <si>
    <t>0:05:30:15</t>
  </si>
  <si>
    <t>0:05:30:16</t>
  </si>
  <si>
    <t>0:05:30:17</t>
  </si>
  <si>
    <t>0:05:30:18</t>
  </si>
  <si>
    <t>0:05:30:19</t>
  </si>
  <si>
    <t>0:05:30:20</t>
  </si>
  <si>
    <t>0:05:30:21</t>
  </si>
  <si>
    <t>0:05:30:22</t>
  </si>
  <si>
    <t>0:05:30:23</t>
  </si>
  <si>
    <t>0:05:30:24</t>
  </si>
  <si>
    <t>0:05:31:00</t>
  </si>
  <si>
    <t>0:05:31:01</t>
  </si>
  <si>
    <t>0:05:31:02</t>
  </si>
  <si>
    <t>0:05:31:03</t>
  </si>
  <si>
    <t>0:05:31:04</t>
  </si>
  <si>
    <t>0:05:31:05</t>
  </si>
  <si>
    <t>0:05:31:06</t>
  </si>
  <si>
    <t>0:05:31:07</t>
  </si>
  <si>
    <t>0:05:31:08</t>
  </si>
  <si>
    <t>0:05:31:09</t>
  </si>
  <si>
    <t>0:05:31:10</t>
  </si>
  <si>
    <t>0:05:31:11</t>
  </si>
  <si>
    <t>0:05:31:12</t>
  </si>
  <si>
    <t>0:05:31:13</t>
  </si>
  <si>
    <t>0:05:31:14</t>
  </si>
  <si>
    <t>0:05:31:15</t>
  </si>
  <si>
    <t>0:05:31:16</t>
  </si>
  <si>
    <t>0:05:31:17</t>
  </si>
  <si>
    <t>0:05:31:18</t>
  </si>
  <si>
    <t>0:05:31:19</t>
  </si>
  <si>
    <t>0:05:31:20</t>
  </si>
  <si>
    <t>0:05:31:21</t>
  </si>
  <si>
    <t>0:05:31:22</t>
  </si>
  <si>
    <t>0:05:31:23</t>
  </si>
  <si>
    <t>0:05:31:24</t>
  </si>
  <si>
    <t>0:05:32:00</t>
  </si>
  <si>
    <t>0:05:32:01</t>
  </si>
  <si>
    <t>0:05:32:02</t>
  </si>
  <si>
    <t>0:05:32:03</t>
  </si>
  <si>
    <t>0:05:32:04</t>
  </si>
  <si>
    <t>0:05:32:05</t>
  </si>
  <si>
    <t>0:05:32:06</t>
  </si>
  <si>
    <t>0:05:32:07</t>
  </si>
  <si>
    <t>0:05:32:08</t>
  </si>
  <si>
    <t>0:05:32:09</t>
  </si>
  <si>
    <t>0:05:32:10</t>
  </si>
  <si>
    <t>0:05:32:11</t>
  </si>
  <si>
    <t>0:05:32:12</t>
  </si>
  <si>
    <t>0:05:32:13</t>
  </si>
  <si>
    <t>0:05:32:14</t>
  </si>
  <si>
    <t>0:05:32:15</t>
  </si>
  <si>
    <t>0:05:32:16</t>
  </si>
  <si>
    <t>0:05:32:17</t>
  </si>
  <si>
    <t>0:05:32:18</t>
  </si>
  <si>
    <t>0:05:32:19</t>
  </si>
  <si>
    <t>0:05:32:20</t>
  </si>
  <si>
    <t>0:05:32:21</t>
  </si>
  <si>
    <t>0:05:32:22</t>
  </si>
  <si>
    <t>0:05:32:23</t>
  </si>
  <si>
    <t>0:05:32:24</t>
  </si>
  <si>
    <t>0:05:33:00</t>
  </si>
  <si>
    <t>0:05:33:01</t>
  </si>
  <si>
    <t>0:05:33:02</t>
  </si>
  <si>
    <t>0:05:33:03</t>
  </si>
  <si>
    <t>0:05:33:04</t>
  </si>
  <si>
    <t>0:05:33:05</t>
  </si>
  <si>
    <t>0:05:33:06</t>
  </si>
  <si>
    <t>0:05:33:07</t>
  </si>
  <si>
    <t>0:05:33:08</t>
  </si>
  <si>
    <t>0:05:33:09</t>
  </si>
  <si>
    <t>0:05:33:10</t>
  </si>
  <si>
    <t>0:05:33:11</t>
  </si>
  <si>
    <t>0:05:33:12</t>
  </si>
  <si>
    <t>0:05:33:13</t>
  </si>
  <si>
    <t>0:05:33:14</t>
  </si>
  <si>
    <t>0:05:33:15</t>
  </si>
  <si>
    <t>0:05:33:16</t>
  </si>
  <si>
    <t>0:05:33:17</t>
  </si>
  <si>
    <t>0:05:33:18</t>
  </si>
  <si>
    <t>0:05:33:19</t>
  </si>
  <si>
    <t>0:05:33:20</t>
  </si>
  <si>
    <t>0:05:33:21</t>
  </si>
  <si>
    <t>0:05:33:22</t>
  </si>
  <si>
    <t>0:05:33:23</t>
  </si>
  <si>
    <t>0:05:33:24</t>
  </si>
  <si>
    <t>0:05:34:00</t>
  </si>
  <si>
    <t>0:05:34:01</t>
  </si>
  <si>
    <t>0:05:34:02</t>
  </si>
  <si>
    <t>0:05:34:03</t>
  </si>
  <si>
    <t>0:05:34:04</t>
  </si>
  <si>
    <t>0:05:34:05</t>
  </si>
  <si>
    <t>0:05:34:06</t>
  </si>
  <si>
    <t>0:05:34:07</t>
  </si>
  <si>
    <t>0:05:34:08</t>
  </si>
  <si>
    <t>0:05:34:09</t>
  </si>
  <si>
    <t>0:05:34:10</t>
  </si>
  <si>
    <t>0:05:34:11</t>
  </si>
  <si>
    <t>0:05:34:12</t>
  </si>
  <si>
    <t>0:05:34:13</t>
  </si>
  <si>
    <t>0:05:34:14</t>
  </si>
  <si>
    <t>0:05:34:15</t>
  </si>
  <si>
    <t>0:05:34:16</t>
  </si>
  <si>
    <t>0:05:34:17</t>
  </si>
  <si>
    <t>0:05:34:18</t>
  </si>
  <si>
    <t>0:05:34:19</t>
  </si>
  <si>
    <t>0:05:34:20</t>
  </si>
  <si>
    <t>0:05:34:21</t>
  </si>
  <si>
    <t>0:05:34:22</t>
  </si>
  <si>
    <t>0:05:34:23</t>
  </si>
  <si>
    <t>0:05:34:24</t>
  </si>
  <si>
    <t>0:05:35:00</t>
  </si>
  <si>
    <t>0:05:35:01</t>
  </si>
  <si>
    <t>0:05:35:02</t>
  </si>
  <si>
    <t>0:05:35:03</t>
  </si>
  <si>
    <t>0:05:35:04</t>
  </si>
  <si>
    <t>0:05:35:05</t>
  </si>
  <si>
    <t>0:05:35:06</t>
  </si>
  <si>
    <t>0:05:35:07</t>
  </si>
  <si>
    <t>0:05:35:08</t>
  </si>
  <si>
    <t>0:05:35:09</t>
  </si>
  <si>
    <t>0:05:35:10</t>
  </si>
  <si>
    <t>SZUM</t>
  </si>
  <si>
    <t>Sum_S</t>
  </si>
  <si>
    <t>Location</t>
  </si>
  <si>
    <t>Activity</t>
  </si>
  <si>
    <t>0:05:35:11</t>
  </si>
  <si>
    <t>0:05:35:12</t>
  </si>
  <si>
    <t>0:05:35:13</t>
  </si>
  <si>
    <t>0:05:35:14</t>
  </si>
  <si>
    <t>0:05:35:15</t>
  </si>
  <si>
    <t>0:05:35:16</t>
  </si>
  <si>
    <t>0:05:35:17</t>
  </si>
  <si>
    <t>0:05:35:18</t>
  </si>
  <si>
    <t>0:05:35:19</t>
  </si>
  <si>
    <t>0:05:35:20</t>
  </si>
  <si>
    <t>0:05:35:21</t>
  </si>
  <si>
    <t>0:05:35:22</t>
  </si>
  <si>
    <t>0:05:35:23</t>
  </si>
  <si>
    <t>0:05:35:24</t>
  </si>
  <si>
    <t>0:05:36:00</t>
  </si>
  <si>
    <t>0:05:36:01</t>
  </si>
  <si>
    <t>0:05:36:02</t>
  </si>
  <si>
    <t>0:05:36:03</t>
  </si>
  <si>
    <t>0:05:36:04</t>
  </si>
  <si>
    <t>0:05:36:05</t>
  </si>
  <si>
    <t>0:05:36:06</t>
  </si>
  <si>
    <t>0:05:36:07</t>
  </si>
  <si>
    <t>0:05:36:08</t>
  </si>
  <si>
    <t>0:05:36:09</t>
  </si>
  <si>
    <t>0:05:36:10</t>
  </si>
  <si>
    <t>0:05:36:11</t>
  </si>
  <si>
    <t>0:05:36:12</t>
  </si>
  <si>
    <t>0:05:36:13</t>
  </si>
  <si>
    <t>0:05:36:14</t>
  </si>
  <si>
    <t>0:05:36:15</t>
  </si>
  <si>
    <t>0:05:36:16</t>
  </si>
  <si>
    <t>0:05:36:17</t>
  </si>
  <si>
    <t>0:05:36:18</t>
  </si>
  <si>
    <t>0:05:36:19</t>
  </si>
  <si>
    <t>0:05:36:20</t>
  </si>
  <si>
    <t>0:05:36:21</t>
  </si>
  <si>
    <t>0:05:36:22</t>
  </si>
  <si>
    <t>0:05:36:23</t>
  </si>
  <si>
    <t>0:05:36:24</t>
  </si>
  <si>
    <t>0:05:37:00</t>
  </si>
  <si>
    <t>location</t>
  </si>
  <si>
    <t>ÁLL_rövden</t>
  </si>
  <si>
    <t>Akt</t>
  </si>
  <si>
    <t>LOCO</t>
  </si>
  <si>
    <t>0:05:37:01</t>
  </si>
  <si>
    <t>0:05:37:02</t>
  </si>
  <si>
    <t>0:00:34:01</t>
  </si>
  <si>
    <t>0:00:34:02</t>
  </si>
  <si>
    <t>0:00:34:03</t>
  </si>
  <si>
    <t>0:00:34:04</t>
  </si>
  <si>
    <t>0:00:34:05</t>
  </si>
  <si>
    <t>0:00:34:06</t>
  </si>
  <si>
    <t>0:00:34:07</t>
  </si>
  <si>
    <t>0:00:34:08</t>
  </si>
  <si>
    <t>0:00:34:09</t>
  </si>
  <si>
    <t>0:00:34:10</t>
  </si>
  <si>
    <t>0:00:34:11</t>
  </si>
  <si>
    <t>0:00:34:12</t>
  </si>
  <si>
    <t>0:00:34:13</t>
  </si>
  <si>
    <t>0:00:34:14</t>
  </si>
  <si>
    <t>0:00:34:15</t>
  </si>
  <si>
    <t>0:00:34:16</t>
  </si>
  <si>
    <t>0:00:34:17</t>
  </si>
  <si>
    <t>0:00:34:18</t>
  </si>
  <si>
    <t>0:00:34:19</t>
  </si>
  <si>
    <t>0:00:34:20</t>
  </si>
  <si>
    <t>0:00:34:21</t>
  </si>
  <si>
    <t>0:00:34:22</t>
  </si>
  <si>
    <t>0:00:34:23</t>
  </si>
  <si>
    <t>0:00:34:24</t>
  </si>
  <si>
    <t>0:00:35:00</t>
  </si>
  <si>
    <t>0:00:35:01</t>
  </si>
  <si>
    <t>0:00:35:02</t>
  </si>
  <si>
    <t>0:00:35:03</t>
  </si>
  <si>
    <t>0:00:35:04</t>
  </si>
  <si>
    <t>0:00:35:05</t>
  </si>
  <si>
    <t>0:00:35:06</t>
  </si>
  <si>
    <t>0:00:35:07</t>
  </si>
  <si>
    <t>0:00:35:08</t>
  </si>
  <si>
    <t>0:00:35:09</t>
  </si>
  <si>
    <t>B2</t>
  </si>
  <si>
    <t>0:00:33:24</t>
  </si>
  <si>
    <t>0:00:33:23</t>
  </si>
  <si>
    <t>0:00:33:22</t>
  </si>
  <si>
    <t>0:00:33:21</t>
  </si>
  <si>
    <t>0:00:33:20</t>
  </si>
  <si>
    <t>0:00:33:19</t>
  </si>
  <si>
    <t>0:00:33:18</t>
  </si>
  <si>
    <t>0:00:33:17</t>
  </si>
  <si>
    <t>0:00:33:16</t>
  </si>
  <si>
    <t>0:00:33:15</t>
  </si>
  <si>
    <t>0:00:33:14</t>
  </si>
  <si>
    <t>0:00:33:13</t>
  </si>
  <si>
    <t>0:00:33:12</t>
  </si>
  <si>
    <t>0:00:33:11</t>
  </si>
  <si>
    <t>0:00:33:10</t>
  </si>
  <si>
    <t>0:00:33:09</t>
  </si>
  <si>
    <t>0:00:33:08</t>
  </si>
  <si>
    <t>0:00:33:07</t>
  </si>
  <si>
    <t>0:00:33:06</t>
  </si>
  <si>
    <t>0:00:33:05</t>
  </si>
  <si>
    <t>0:00:33:04</t>
  </si>
  <si>
    <t>0:00:33:03</t>
  </si>
  <si>
    <t>0:00:33:02</t>
  </si>
  <si>
    <t>0:00:33:01</t>
  </si>
  <si>
    <t>B1_ES</t>
  </si>
  <si>
    <t>B1_HD</t>
  </si>
  <si>
    <t>B2_ES</t>
  </si>
  <si>
    <t>B2_HD</t>
  </si>
  <si>
    <t>B3_ES</t>
  </si>
  <si>
    <t>B3_HD</t>
  </si>
  <si>
    <t>B4_ES</t>
  </si>
  <si>
    <t>B4_HD</t>
  </si>
  <si>
    <t>B5_ES</t>
  </si>
  <si>
    <t>B5_HD</t>
  </si>
  <si>
    <t>B6_ES</t>
  </si>
  <si>
    <t>B6_HD</t>
  </si>
  <si>
    <t>B7_ES</t>
  </si>
  <si>
    <t>B7_HD</t>
  </si>
  <si>
    <t>B8_ES</t>
  </si>
  <si>
    <t>B8_HD</t>
  </si>
  <si>
    <t>B9_ES</t>
  </si>
  <si>
    <t>B9_HD</t>
  </si>
  <si>
    <t>B10_ES</t>
  </si>
  <si>
    <t>B10_HD</t>
  </si>
  <si>
    <t>B11_ES</t>
  </si>
  <si>
    <t>B11_HD</t>
  </si>
  <si>
    <t>B12_ES</t>
  </si>
  <si>
    <t>B12_HD</t>
  </si>
  <si>
    <t>B13_ES</t>
  </si>
  <si>
    <t>B13_HD</t>
  </si>
  <si>
    <t>B14_ES</t>
  </si>
  <si>
    <t>B14_HD</t>
  </si>
  <si>
    <t>B15_ES</t>
  </si>
  <si>
    <t>B15_HD</t>
  </si>
  <si>
    <t>B16_ES</t>
  </si>
  <si>
    <t>B16_HD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</si>
</sst>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transpose!$K$1</c:f>
              <c:strCache>
                <c:ptCount val="1"/>
                <c:pt idx="0">
                  <c:v>KI_ÁGASK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transpose!$K$2:$K$7660</c:f>
              <c:numCache>
                <c:formatCode>General</c:formatCode>
                <c:ptCount val="7659"/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861">
                  <c:v>4</c:v>
                </c:pt>
                <c:pt idx="2862">
                  <c:v>4</c:v>
                </c:pt>
                <c:pt idx="2863">
                  <c:v>4</c:v>
                </c:pt>
                <c:pt idx="2864">
                  <c:v>4</c:v>
                </c:pt>
                <c:pt idx="2865">
                  <c:v>4</c:v>
                </c:pt>
                <c:pt idx="2866">
                  <c:v>4</c:v>
                </c:pt>
                <c:pt idx="2867">
                  <c:v>4</c:v>
                </c:pt>
                <c:pt idx="2868">
                  <c:v>4</c:v>
                </c:pt>
                <c:pt idx="2869">
                  <c:v>4</c:v>
                </c:pt>
                <c:pt idx="2870">
                  <c:v>4</c:v>
                </c:pt>
                <c:pt idx="2871">
                  <c:v>4</c:v>
                </c:pt>
                <c:pt idx="2872">
                  <c:v>4</c:v>
                </c:pt>
                <c:pt idx="2873">
                  <c:v>4</c:v>
                </c:pt>
                <c:pt idx="2874">
                  <c:v>4</c:v>
                </c:pt>
                <c:pt idx="2875">
                  <c:v>4</c:v>
                </c:pt>
                <c:pt idx="2876">
                  <c:v>4</c:v>
                </c:pt>
                <c:pt idx="2877">
                  <c:v>4</c:v>
                </c:pt>
                <c:pt idx="2878">
                  <c:v>4</c:v>
                </c:pt>
                <c:pt idx="2879">
                  <c:v>4</c:v>
                </c:pt>
                <c:pt idx="2880">
                  <c:v>4</c:v>
                </c:pt>
                <c:pt idx="2881">
                  <c:v>4</c:v>
                </c:pt>
                <c:pt idx="2882">
                  <c:v>4</c:v>
                </c:pt>
                <c:pt idx="2883">
                  <c:v>4</c:v>
                </c:pt>
                <c:pt idx="2884">
                  <c:v>4</c:v>
                </c:pt>
                <c:pt idx="2885">
                  <c:v>4</c:v>
                </c:pt>
                <c:pt idx="2886">
                  <c:v>4</c:v>
                </c:pt>
                <c:pt idx="2887">
                  <c:v>4</c:v>
                </c:pt>
                <c:pt idx="2888">
                  <c:v>4</c:v>
                </c:pt>
                <c:pt idx="2889">
                  <c:v>4</c:v>
                </c:pt>
                <c:pt idx="2890">
                  <c:v>4</c:v>
                </c:pt>
                <c:pt idx="2891">
                  <c:v>4</c:v>
                </c:pt>
                <c:pt idx="2892">
                  <c:v>4</c:v>
                </c:pt>
                <c:pt idx="5523">
                  <c:v>5</c:v>
                </c:pt>
                <c:pt idx="5524">
                  <c:v>5</c:v>
                </c:pt>
                <c:pt idx="5525">
                  <c:v>5</c:v>
                </c:pt>
                <c:pt idx="5526">
                  <c:v>5</c:v>
                </c:pt>
                <c:pt idx="5527">
                  <c:v>5</c:v>
                </c:pt>
                <c:pt idx="5528">
                  <c:v>5</c:v>
                </c:pt>
                <c:pt idx="5529">
                  <c:v>5</c:v>
                </c:pt>
                <c:pt idx="5530">
                  <c:v>5</c:v>
                </c:pt>
                <c:pt idx="5531">
                  <c:v>5</c:v>
                </c:pt>
                <c:pt idx="5532">
                  <c:v>5</c:v>
                </c:pt>
                <c:pt idx="5533">
                  <c:v>5</c:v>
                </c:pt>
                <c:pt idx="5534">
                  <c:v>5</c:v>
                </c:pt>
                <c:pt idx="5535">
                  <c:v>5</c:v>
                </c:pt>
                <c:pt idx="5536">
                  <c:v>5</c:v>
                </c:pt>
                <c:pt idx="5537">
                  <c:v>5</c:v>
                </c:pt>
                <c:pt idx="5538">
                  <c:v>5</c:v>
                </c:pt>
                <c:pt idx="5539">
                  <c:v>5</c:v>
                </c:pt>
                <c:pt idx="5540">
                  <c:v>5</c:v>
                </c:pt>
                <c:pt idx="5541">
                  <c:v>5</c:v>
                </c:pt>
                <c:pt idx="5542">
                  <c:v>5</c:v>
                </c:pt>
                <c:pt idx="5543">
                  <c:v>5</c:v>
                </c:pt>
                <c:pt idx="5544">
                  <c:v>5</c:v>
                </c:pt>
                <c:pt idx="5545">
                  <c:v>5</c:v>
                </c:pt>
                <c:pt idx="5546">
                  <c:v>5</c:v>
                </c:pt>
                <c:pt idx="5547">
                  <c:v>5</c:v>
                </c:pt>
                <c:pt idx="5548">
                  <c:v>5</c:v>
                </c:pt>
                <c:pt idx="5549">
                  <c:v>5</c:v>
                </c:pt>
                <c:pt idx="5550">
                  <c:v>5</c:v>
                </c:pt>
                <c:pt idx="5551">
                  <c:v>5</c:v>
                </c:pt>
                <c:pt idx="5552">
                  <c:v>5</c:v>
                </c:pt>
                <c:pt idx="5553">
                  <c:v>5</c:v>
                </c:pt>
                <c:pt idx="5554">
                  <c:v>5</c:v>
                </c:pt>
                <c:pt idx="5555">
                  <c:v>5</c:v>
                </c:pt>
                <c:pt idx="5556">
                  <c:v>5</c:v>
                </c:pt>
                <c:pt idx="5557">
                  <c:v>5</c:v>
                </c:pt>
                <c:pt idx="5558">
                  <c:v>5</c:v>
                </c:pt>
                <c:pt idx="5559">
                  <c:v>5</c:v>
                </c:pt>
                <c:pt idx="5560">
                  <c:v>5</c:v>
                </c:pt>
                <c:pt idx="5561">
                  <c:v>5</c:v>
                </c:pt>
                <c:pt idx="5562">
                  <c:v>5</c:v>
                </c:pt>
                <c:pt idx="5563">
                  <c:v>5</c:v>
                </c:pt>
                <c:pt idx="5564">
                  <c:v>5</c:v>
                </c:pt>
                <c:pt idx="5565">
                  <c:v>5</c:v>
                </c:pt>
                <c:pt idx="5566">
                  <c:v>5</c:v>
                </c:pt>
                <c:pt idx="5567">
                  <c:v>5</c:v>
                </c:pt>
                <c:pt idx="5568">
                  <c:v>5</c:v>
                </c:pt>
                <c:pt idx="5569">
                  <c:v>5</c:v>
                </c:pt>
                <c:pt idx="5570">
                  <c:v>5</c:v>
                </c:pt>
                <c:pt idx="5571">
                  <c:v>5</c:v>
                </c:pt>
                <c:pt idx="5572">
                  <c:v>5</c:v>
                </c:pt>
                <c:pt idx="5573">
                  <c:v>5</c:v>
                </c:pt>
                <c:pt idx="5574">
                  <c:v>5</c:v>
                </c:pt>
                <c:pt idx="5575">
                  <c:v>5</c:v>
                </c:pt>
                <c:pt idx="5576">
                  <c:v>5</c:v>
                </c:pt>
                <c:pt idx="5577">
                  <c:v>5</c:v>
                </c:pt>
                <c:pt idx="5578">
                  <c:v>5</c:v>
                </c:pt>
                <c:pt idx="5579">
                  <c:v>5</c:v>
                </c:pt>
                <c:pt idx="5580">
                  <c:v>5</c:v>
                </c:pt>
                <c:pt idx="5581">
                  <c:v>5</c:v>
                </c:pt>
                <c:pt idx="5582">
                  <c:v>5</c:v>
                </c:pt>
                <c:pt idx="5583">
                  <c:v>5</c:v>
                </c:pt>
                <c:pt idx="5584">
                  <c:v>5</c:v>
                </c:pt>
                <c:pt idx="5585">
                  <c:v>5</c:v>
                </c:pt>
                <c:pt idx="5586">
                  <c:v>5</c:v>
                </c:pt>
                <c:pt idx="5587">
                  <c:v>5</c:v>
                </c:pt>
                <c:pt idx="5588">
                  <c:v>5</c:v>
                </c:pt>
                <c:pt idx="5589">
                  <c:v>5</c:v>
                </c:pt>
                <c:pt idx="5590">
                  <c:v>5</c:v>
                </c:pt>
                <c:pt idx="5591">
                  <c:v>5</c:v>
                </c:pt>
                <c:pt idx="5592">
                  <c:v>5</c:v>
                </c:pt>
                <c:pt idx="5593">
                  <c:v>5</c:v>
                </c:pt>
                <c:pt idx="5594">
                  <c:v>5</c:v>
                </c:pt>
                <c:pt idx="5595">
                  <c:v>5</c:v>
                </c:pt>
                <c:pt idx="5596">
                  <c:v>5</c:v>
                </c:pt>
                <c:pt idx="5597">
                  <c:v>5</c:v>
                </c:pt>
                <c:pt idx="5598">
                  <c:v>5</c:v>
                </c:pt>
                <c:pt idx="5599">
                  <c:v>5</c:v>
                </c:pt>
                <c:pt idx="5600">
                  <c:v>5</c:v>
                </c:pt>
                <c:pt idx="5601">
                  <c:v>5</c:v>
                </c:pt>
                <c:pt idx="6367">
                  <c:v>6</c:v>
                </c:pt>
                <c:pt idx="6368">
                  <c:v>6</c:v>
                </c:pt>
                <c:pt idx="6369">
                  <c:v>6</c:v>
                </c:pt>
                <c:pt idx="6370">
                  <c:v>6</c:v>
                </c:pt>
                <c:pt idx="6371">
                  <c:v>6</c:v>
                </c:pt>
                <c:pt idx="6372">
                  <c:v>6</c:v>
                </c:pt>
                <c:pt idx="6373">
                  <c:v>6</c:v>
                </c:pt>
                <c:pt idx="6374">
                  <c:v>6</c:v>
                </c:pt>
                <c:pt idx="6375">
                  <c:v>6</c:v>
                </c:pt>
                <c:pt idx="6376">
                  <c:v>6</c:v>
                </c:pt>
                <c:pt idx="6377">
                  <c:v>6</c:v>
                </c:pt>
                <c:pt idx="6378">
                  <c:v>6</c:v>
                </c:pt>
                <c:pt idx="6379">
                  <c:v>6</c:v>
                </c:pt>
                <c:pt idx="6380">
                  <c:v>6</c:v>
                </c:pt>
                <c:pt idx="6381">
                  <c:v>6</c:v>
                </c:pt>
                <c:pt idx="6382">
                  <c:v>6</c:v>
                </c:pt>
                <c:pt idx="6383">
                  <c:v>6</c:v>
                </c:pt>
                <c:pt idx="6384">
                  <c:v>6</c:v>
                </c:pt>
                <c:pt idx="6385">
                  <c:v>6</c:v>
                </c:pt>
                <c:pt idx="6386">
                  <c:v>6</c:v>
                </c:pt>
                <c:pt idx="6387">
                  <c:v>6</c:v>
                </c:pt>
                <c:pt idx="6388">
                  <c:v>6</c:v>
                </c:pt>
                <c:pt idx="6389">
                  <c:v>6</c:v>
                </c:pt>
                <c:pt idx="6390">
                  <c:v>6</c:v>
                </c:pt>
                <c:pt idx="6391">
                  <c:v>6</c:v>
                </c:pt>
                <c:pt idx="6392">
                  <c:v>6</c:v>
                </c:pt>
                <c:pt idx="6393">
                  <c:v>6</c:v>
                </c:pt>
                <c:pt idx="6394">
                  <c:v>6</c:v>
                </c:pt>
                <c:pt idx="6395">
                  <c:v>6</c:v>
                </c:pt>
                <c:pt idx="6396">
                  <c:v>6</c:v>
                </c:pt>
                <c:pt idx="6397">
                  <c:v>6</c:v>
                </c:pt>
                <c:pt idx="6398">
                  <c:v>6</c:v>
                </c:pt>
                <c:pt idx="6399">
                  <c:v>6</c:v>
                </c:pt>
                <c:pt idx="6400">
                  <c:v>6</c:v>
                </c:pt>
                <c:pt idx="6401">
                  <c:v>6</c:v>
                </c:pt>
                <c:pt idx="6402">
                  <c:v>6</c:v>
                </c:pt>
                <c:pt idx="6403">
                  <c:v>6</c:v>
                </c:pt>
                <c:pt idx="6404">
                  <c:v>6</c:v>
                </c:pt>
                <c:pt idx="6405">
                  <c:v>6</c:v>
                </c:pt>
                <c:pt idx="7037">
                  <c:v>7</c:v>
                </c:pt>
                <c:pt idx="7038">
                  <c:v>7</c:v>
                </c:pt>
                <c:pt idx="7039">
                  <c:v>7</c:v>
                </c:pt>
                <c:pt idx="7040">
                  <c:v>7</c:v>
                </c:pt>
                <c:pt idx="7041">
                  <c:v>7</c:v>
                </c:pt>
                <c:pt idx="7042">
                  <c:v>7</c:v>
                </c:pt>
                <c:pt idx="7043">
                  <c:v>7</c:v>
                </c:pt>
                <c:pt idx="7044">
                  <c:v>7</c:v>
                </c:pt>
                <c:pt idx="7045">
                  <c:v>7</c:v>
                </c:pt>
                <c:pt idx="7046">
                  <c:v>7</c:v>
                </c:pt>
                <c:pt idx="7047">
                  <c:v>7</c:v>
                </c:pt>
                <c:pt idx="7048">
                  <c:v>7</c:v>
                </c:pt>
                <c:pt idx="7049">
                  <c:v>7</c:v>
                </c:pt>
                <c:pt idx="7050">
                  <c:v>7</c:v>
                </c:pt>
                <c:pt idx="7051">
                  <c:v>7</c:v>
                </c:pt>
                <c:pt idx="7052">
                  <c:v>7</c:v>
                </c:pt>
                <c:pt idx="7053">
                  <c:v>7</c:v>
                </c:pt>
                <c:pt idx="7054">
                  <c:v>7</c:v>
                </c:pt>
                <c:pt idx="7055">
                  <c:v>7</c:v>
                </c:pt>
                <c:pt idx="7056">
                  <c:v>7</c:v>
                </c:pt>
                <c:pt idx="7057">
                  <c:v>7</c:v>
                </c:pt>
                <c:pt idx="7058">
                  <c:v>7</c:v>
                </c:pt>
                <c:pt idx="7059">
                  <c:v>7</c:v>
                </c:pt>
                <c:pt idx="7060">
                  <c:v>7</c:v>
                </c:pt>
                <c:pt idx="7061">
                  <c:v>7</c:v>
                </c:pt>
                <c:pt idx="7062">
                  <c:v>7</c:v>
                </c:pt>
                <c:pt idx="7063">
                  <c:v>7</c:v>
                </c:pt>
                <c:pt idx="7064">
                  <c:v>7</c:v>
                </c:pt>
                <c:pt idx="7065">
                  <c:v>7</c:v>
                </c:pt>
                <c:pt idx="7066">
                  <c:v>7</c:v>
                </c:pt>
                <c:pt idx="7067">
                  <c:v>7</c:v>
                </c:pt>
                <c:pt idx="7068">
                  <c:v>7</c:v>
                </c:pt>
                <c:pt idx="7069">
                  <c:v>7</c:v>
                </c:pt>
                <c:pt idx="7070">
                  <c:v>7</c:v>
                </c:pt>
                <c:pt idx="7071">
                  <c:v>7</c:v>
                </c:pt>
                <c:pt idx="7072">
                  <c:v>7</c:v>
                </c:pt>
                <c:pt idx="7073">
                  <c:v>7</c:v>
                </c:pt>
                <c:pt idx="7074">
                  <c:v>7</c:v>
                </c:pt>
                <c:pt idx="7075">
                  <c:v>7</c:v>
                </c:pt>
                <c:pt idx="7076">
                  <c:v>7</c:v>
                </c:pt>
                <c:pt idx="7077">
                  <c:v>7</c:v>
                </c:pt>
                <c:pt idx="7078">
                  <c:v>7</c:v>
                </c:pt>
                <c:pt idx="7079">
                  <c:v>7</c:v>
                </c:pt>
                <c:pt idx="7080">
                  <c:v>7</c:v>
                </c:pt>
                <c:pt idx="7081">
                  <c:v>7</c:v>
                </c:pt>
                <c:pt idx="7082">
                  <c:v>7</c:v>
                </c:pt>
                <c:pt idx="7083">
                  <c:v>7</c:v>
                </c:pt>
                <c:pt idx="7084">
                  <c:v>7</c:v>
                </c:pt>
                <c:pt idx="7085">
                  <c:v>7</c:v>
                </c:pt>
                <c:pt idx="7086">
                  <c:v>7</c:v>
                </c:pt>
                <c:pt idx="7087">
                  <c:v>7</c:v>
                </c:pt>
                <c:pt idx="7088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9-416A-AB63-F6FB6D506E08}"/>
            </c:ext>
          </c:extLst>
        </c:ser>
        <c:ser>
          <c:idx val="1"/>
          <c:order val="1"/>
          <c:tx>
            <c:strRef>
              <c:f>transpose!$L$1</c:f>
              <c:strCache>
                <c:ptCount val="1"/>
                <c:pt idx="0">
                  <c:v>BE_ÁGASK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transpose!$L$2:$L$7660</c:f>
              <c:numCache>
                <c:formatCode>General</c:formatCode>
                <c:ptCount val="7659"/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6282">
                  <c:v>4</c:v>
                </c:pt>
                <c:pt idx="6283">
                  <c:v>4</c:v>
                </c:pt>
                <c:pt idx="6284">
                  <c:v>4</c:v>
                </c:pt>
                <c:pt idx="6285">
                  <c:v>4</c:v>
                </c:pt>
                <c:pt idx="6286">
                  <c:v>4</c:v>
                </c:pt>
                <c:pt idx="6287">
                  <c:v>4</c:v>
                </c:pt>
                <c:pt idx="6288">
                  <c:v>4</c:v>
                </c:pt>
                <c:pt idx="6289">
                  <c:v>4</c:v>
                </c:pt>
                <c:pt idx="6290">
                  <c:v>4</c:v>
                </c:pt>
                <c:pt idx="6291">
                  <c:v>4</c:v>
                </c:pt>
                <c:pt idx="6292">
                  <c:v>4</c:v>
                </c:pt>
                <c:pt idx="6293">
                  <c:v>4</c:v>
                </c:pt>
                <c:pt idx="6294">
                  <c:v>4</c:v>
                </c:pt>
                <c:pt idx="6295">
                  <c:v>4</c:v>
                </c:pt>
                <c:pt idx="6296">
                  <c:v>4</c:v>
                </c:pt>
                <c:pt idx="6297">
                  <c:v>4</c:v>
                </c:pt>
                <c:pt idx="6298">
                  <c:v>4</c:v>
                </c:pt>
                <c:pt idx="6299">
                  <c:v>4</c:v>
                </c:pt>
                <c:pt idx="6300">
                  <c:v>4</c:v>
                </c:pt>
                <c:pt idx="6301">
                  <c:v>4</c:v>
                </c:pt>
                <c:pt idx="6302">
                  <c:v>4</c:v>
                </c:pt>
                <c:pt idx="6303">
                  <c:v>4</c:v>
                </c:pt>
                <c:pt idx="6304">
                  <c:v>4</c:v>
                </c:pt>
                <c:pt idx="6305">
                  <c:v>4</c:v>
                </c:pt>
                <c:pt idx="6306">
                  <c:v>4</c:v>
                </c:pt>
                <c:pt idx="6307">
                  <c:v>4</c:v>
                </c:pt>
                <c:pt idx="6308">
                  <c:v>4</c:v>
                </c:pt>
                <c:pt idx="6309">
                  <c:v>4</c:v>
                </c:pt>
                <c:pt idx="6310">
                  <c:v>4</c:v>
                </c:pt>
                <c:pt idx="6311">
                  <c:v>4</c:v>
                </c:pt>
                <c:pt idx="6312">
                  <c:v>4</c:v>
                </c:pt>
                <c:pt idx="6313">
                  <c:v>4</c:v>
                </c:pt>
                <c:pt idx="6314">
                  <c:v>4</c:v>
                </c:pt>
                <c:pt idx="6315">
                  <c:v>4</c:v>
                </c:pt>
                <c:pt idx="6316">
                  <c:v>4</c:v>
                </c:pt>
                <c:pt idx="6317">
                  <c:v>4</c:v>
                </c:pt>
                <c:pt idx="6318">
                  <c:v>4</c:v>
                </c:pt>
                <c:pt idx="6319">
                  <c:v>4</c:v>
                </c:pt>
                <c:pt idx="6320">
                  <c:v>4</c:v>
                </c:pt>
                <c:pt idx="6321">
                  <c:v>4</c:v>
                </c:pt>
                <c:pt idx="6322">
                  <c:v>4</c:v>
                </c:pt>
                <c:pt idx="6323">
                  <c:v>4</c:v>
                </c:pt>
                <c:pt idx="6417">
                  <c:v>5</c:v>
                </c:pt>
                <c:pt idx="6418">
                  <c:v>5</c:v>
                </c:pt>
                <c:pt idx="6419">
                  <c:v>5</c:v>
                </c:pt>
                <c:pt idx="6420">
                  <c:v>5</c:v>
                </c:pt>
                <c:pt idx="6421">
                  <c:v>5</c:v>
                </c:pt>
                <c:pt idx="6422">
                  <c:v>5</c:v>
                </c:pt>
                <c:pt idx="6423">
                  <c:v>5</c:v>
                </c:pt>
                <c:pt idx="6424">
                  <c:v>5</c:v>
                </c:pt>
                <c:pt idx="6425">
                  <c:v>5</c:v>
                </c:pt>
                <c:pt idx="6426">
                  <c:v>5</c:v>
                </c:pt>
                <c:pt idx="6427">
                  <c:v>5</c:v>
                </c:pt>
                <c:pt idx="6428">
                  <c:v>5</c:v>
                </c:pt>
                <c:pt idx="6429">
                  <c:v>5</c:v>
                </c:pt>
                <c:pt idx="6430">
                  <c:v>5</c:v>
                </c:pt>
                <c:pt idx="6431">
                  <c:v>5</c:v>
                </c:pt>
                <c:pt idx="6432">
                  <c:v>5</c:v>
                </c:pt>
                <c:pt idx="6433">
                  <c:v>5</c:v>
                </c:pt>
                <c:pt idx="6434">
                  <c:v>5</c:v>
                </c:pt>
                <c:pt idx="6435">
                  <c:v>5</c:v>
                </c:pt>
                <c:pt idx="6436">
                  <c:v>5</c:v>
                </c:pt>
                <c:pt idx="6437">
                  <c:v>5</c:v>
                </c:pt>
                <c:pt idx="6438">
                  <c:v>5</c:v>
                </c:pt>
                <c:pt idx="6439">
                  <c:v>5</c:v>
                </c:pt>
                <c:pt idx="6440">
                  <c:v>5</c:v>
                </c:pt>
                <c:pt idx="6441">
                  <c:v>5</c:v>
                </c:pt>
                <c:pt idx="6442">
                  <c:v>5</c:v>
                </c:pt>
                <c:pt idx="6443">
                  <c:v>5</c:v>
                </c:pt>
                <c:pt idx="6444">
                  <c:v>5</c:v>
                </c:pt>
                <c:pt idx="6445">
                  <c:v>5</c:v>
                </c:pt>
                <c:pt idx="6446">
                  <c:v>5</c:v>
                </c:pt>
                <c:pt idx="6447">
                  <c:v>5</c:v>
                </c:pt>
                <c:pt idx="6448">
                  <c:v>5</c:v>
                </c:pt>
                <c:pt idx="6449">
                  <c:v>5</c:v>
                </c:pt>
                <c:pt idx="6450">
                  <c:v>5</c:v>
                </c:pt>
                <c:pt idx="6451">
                  <c:v>5</c:v>
                </c:pt>
                <c:pt idx="6452">
                  <c:v>5</c:v>
                </c:pt>
                <c:pt idx="6453">
                  <c:v>5</c:v>
                </c:pt>
                <c:pt idx="6454">
                  <c:v>5</c:v>
                </c:pt>
                <c:pt idx="6455">
                  <c:v>5</c:v>
                </c:pt>
                <c:pt idx="6456">
                  <c:v>5</c:v>
                </c:pt>
                <c:pt idx="6457">
                  <c:v>5</c:v>
                </c:pt>
                <c:pt idx="6458">
                  <c:v>5</c:v>
                </c:pt>
                <c:pt idx="6459">
                  <c:v>5</c:v>
                </c:pt>
                <c:pt idx="6460">
                  <c:v>5</c:v>
                </c:pt>
                <c:pt idx="6461">
                  <c:v>5</c:v>
                </c:pt>
                <c:pt idx="6462">
                  <c:v>5</c:v>
                </c:pt>
                <c:pt idx="6463">
                  <c:v>5</c:v>
                </c:pt>
                <c:pt idx="6464">
                  <c:v>5</c:v>
                </c:pt>
                <c:pt idx="646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9-416A-AB63-F6FB6D506E08}"/>
            </c:ext>
          </c:extLst>
        </c:ser>
        <c:ser>
          <c:idx val="2"/>
          <c:order val="2"/>
          <c:tx>
            <c:strRef>
              <c:f>transpose!$M$1</c:f>
              <c:strCache>
                <c:ptCount val="1"/>
                <c:pt idx="0">
                  <c:v>Előre_ÁGASK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transpose!$M$2:$M$7660</c:f>
              <c:numCache>
                <c:formatCode>General</c:formatCode>
                <c:ptCount val="7659"/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305">
                  <c:v>4</c:v>
                </c:pt>
                <c:pt idx="1306">
                  <c:v>4</c:v>
                </c:pt>
                <c:pt idx="1307">
                  <c:v>4</c:v>
                </c:pt>
                <c:pt idx="1308">
                  <c:v>4</c:v>
                </c:pt>
                <c:pt idx="1309">
                  <c:v>4</c:v>
                </c:pt>
                <c:pt idx="1310">
                  <c:v>4</c:v>
                </c:pt>
                <c:pt idx="1311">
                  <c:v>4</c:v>
                </c:pt>
                <c:pt idx="1312">
                  <c:v>4</c:v>
                </c:pt>
                <c:pt idx="1313">
                  <c:v>4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4</c:v>
                </c:pt>
                <c:pt idx="1321">
                  <c:v>4</c:v>
                </c:pt>
                <c:pt idx="1322">
                  <c:v>4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4</c:v>
                </c:pt>
                <c:pt idx="1337">
                  <c:v>4</c:v>
                </c:pt>
                <c:pt idx="1338">
                  <c:v>4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2059">
                  <c:v>5</c:v>
                </c:pt>
                <c:pt idx="2060">
                  <c:v>5</c:v>
                </c:pt>
                <c:pt idx="2061">
                  <c:v>5</c:v>
                </c:pt>
                <c:pt idx="2062">
                  <c:v>5</c:v>
                </c:pt>
                <c:pt idx="2063">
                  <c:v>5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5</c:v>
                </c:pt>
                <c:pt idx="2070">
                  <c:v>5</c:v>
                </c:pt>
                <c:pt idx="2071">
                  <c:v>5</c:v>
                </c:pt>
                <c:pt idx="2072">
                  <c:v>5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5</c:v>
                </c:pt>
                <c:pt idx="2083">
                  <c:v>5</c:v>
                </c:pt>
                <c:pt idx="2084">
                  <c:v>5</c:v>
                </c:pt>
                <c:pt idx="2085">
                  <c:v>5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5</c:v>
                </c:pt>
                <c:pt idx="2090">
                  <c:v>5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5</c:v>
                </c:pt>
                <c:pt idx="2096">
                  <c:v>5</c:v>
                </c:pt>
                <c:pt idx="2097">
                  <c:v>5</c:v>
                </c:pt>
                <c:pt idx="3258">
                  <c:v>6</c:v>
                </c:pt>
                <c:pt idx="3259">
                  <c:v>6</c:v>
                </c:pt>
                <c:pt idx="3260">
                  <c:v>6</c:v>
                </c:pt>
                <c:pt idx="3261">
                  <c:v>6</c:v>
                </c:pt>
                <c:pt idx="3262">
                  <c:v>6</c:v>
                </c:pt>
                <c:pt idx="3263">
                  <c:v>6</c:v>
                </c:pt>
                <c:pt idx="3264">
                  <c:v>6</c:v>
                </c:pt>
                <c:pt idx="3265">
                  <c:v>6</c:v>
                </c:pt>
                <c:pt idx="3266">
                  <c:v>6</c:v>
                </c:pt>
                <c:pt idx="3267">
                  <c:v>6</c:v>
                </c:pt>
                <c:pt idx="3268">
                  <c:v>6</c:v>
                </c:pt>
                <c:pt idx="3269">
                  <c:v>6</c:v>
                </c:pt>
                <c:pt idx="3270">
                  <c:v>6</c:v>
                </c:pt>
                <c:pt idx="3271">
                  <c:v>6</c:v>
                </c:pt>
                <c:pt idx="3272">
                  <c:v>6</c:v>
                </c:pt>
                <c:pt idx="3273">
                  <c:v>6</c:v>
                </c:pt>
                <c:pt idx="3274">
                  <c:v>6</c:v>
                </c:pt>
                <c:pt idx="3275">
                  <c:v>6</c:v>
                </c:pt>
                <c:pt idx="3276">
                  <c:v>6</c:v>
                </c:pt>
                <c:pt idx="3277">
                  <c:v>6</c:v>
                </c:pt>
                <c:pt idx="3278">
                  <c:v>6</c:v>
                </c:pt>
                <c:pt idx="3279">
                  <c:v>6</c:v>
                </c:pt>
                <c:pt idx="3280">
                  <c:v>6</c:v>
                </c:pt>
                <c:pt idx="3281">
                  <c:v>6</c:v>
                </c:pt>
                <c:pt idx="3282">
                  <c:v>6</c:v>
                </c:pt>
                <c:pt idx="3283">
                  <c:v>6</c:v>
                </c:pt>
                <c:pt idx="3327">
                  <c:v>7</c:v>
                </c:pt>
                <c:pt idx="3328">
                  <c:v>7</c:v>
                </c:pt>
                <c:pt idx="3329">
                  <c:v>7</c:v>
                </c:pt>
                <c:pt idx="3330">
                  <c:v>7</c:v>
                </c:pt>
                <c:pt idx="3331">
                  <c:v>7</c:v>
                </c:pt>
                <c:pt idx="3332">
                  <c:v>7</c:v>
                </c:pt>
                <c:pt idx="3333">
                  <c:v>7</c:v>
                </c:pt>
                <c:pt idx="3334">
                  <c:v>7</c:v>
                </c:pt>
                <c:pt idx="3335">
                  <c:v>7</c:v>
                </c:pt>
                <c:pt idx="3336">
                  <c:v>7</c:v>
                </c:pt>
                <c:pt idx="3337">
                  <c:v>7</c:v>
                </c:pt>
                <c:pt idx="3338">
                  <c:v>7</c:v>
                </c:pt>
                <c:pt idx="3339">
                  <c:v>7</c:v>
                </c:pt>
                <c:pt idx="3340">
                  <c:v>7</c:v>
                </c:pt>
                <c:pt idx="3341">
                  <c:v>7</c:v>
                </c:pt>
                <c:pt idx="3342">
                  <c:v>7</c:v>
                </c:pt>
                <c:pt idx="3343">
                  <c:v>7</c:v>
                </c:pt>
                <c:pt idx="3344">
                  <c:v>7</c:v>
                </c:pt>
                <c:pt idx="3345">
                  <c:v>7</c:v>
                </c:pt>
                <c:pt idx="3346">
                  <c:v>7</c:v>
                </c:pt>
                <c:pt idx="3347">
                  <c:v>7</c:v>
                </c:pt>
                <c:pt idx="3348">
                  <c:v>7</c:v>
                </c:pt>
                <c:pt idx="3349">
                  <c:v>7</c:v>
                </c:pt>
                <c:pt idx="3350">
                  <c:v>7</c:v>
                </c:pt>
                <c:pt idx="3351">
                  <c:v>7</c:v>
                </c:pt>
                <c:pt idx="3352">
                  <c:v>7</c:v>
                </c:pt>
                <c:pt idx="3353">
                  <c:v>7</c:v>
                </c:pt>
                <c:pt idx="3354">
                  <c:v>7</c:v>
                </c:pt>
                <c:pt idx="3355">
                  <c:v>7</c:v>
                </c:pt>
                <c:pt idx="3356">
                  <c:v>7</c:v>
                </c:pt>
                <c:pt idx="3357">
                  <c:v>7</c:v>
                </c:pt>
                <c:pt idx="3358">
                  <c:v>7</c:v>
                </c:pt>
                <c:pt idx="3359">
                  <c:v>7</c:v>
                </c:pt>
                <c:pt idx="3360">
                  <c:v>7</c:v>
                </c:pt>
                <c:pt idx="3361">
                  <c:v>7</c:v>
                </c:pt>
                <c:pt idx="3362">
                  <c:v>7</c:v>
                </c:pt>
                <c:pt idx="3714">
                  <c:v>8</c:v>
                </c:pt>
                <c:pt idx="3715">
                  <c:v>8</c:v>
                </c:pt>
                <c:pt idx="3716">
                  <c:v>8</c:v>
                </c:pt>
                <c:pt idx="3717">
                  <c:v>8</c:v>
                </c:pt>
                <c:pt idx="3718">
                  <c:v>8</c:v>
                </c:pt>
                <c:pt idx="3719">
                  <c:v>8</c:v>
                </c:pt>
                <c:pt idx="3720">
                  <c:v>8</c:v>
                </c:pt>
                <c:pt idx="3721">
                  <c:v>8</c:v>
                </c:pt>
                <c:pt idx="3722">
                  <c:v>8</c:v>
                </c:pt>
                <c:pt idx="3723">
                  <c:v>8</c:v>
                </c:pt>
                <c:pt idx="3724">
                  <c:v>8</c:v>
                </c:pt>
                <c:pt idx="3725">
                  <c:v>8</c:v>
                </c:pt>
                <c:pt idx="3726">
                  <c:v>8</c:v>
                </c:pt>
                <c:pt idx="3727">
                  <c:v>8</c:v>
                </c:pt>
                <c:pt idx="3728">
                  <c:v>8</c:v>
                </c:pt>
                <c:pt idx="3866">
                  <c:v>9</c:v>
                </c:pt>
                <c:pt idx="3867">
                  <c:v>9</c:v>
                </c:pt>
                <c:pt idx="3868">
                  <c:v>9</c:v>
                </c:pt>
                <c:pt idx="3869">
                  <c:v>9</c:v>
                </c:pt>
                <c:pt idx="3870">
                  <c:v>9</c:v>
                </c:pt>
                <c:pt idx="3871">
                  <c:v>9</c:v>
                </c:pt>
                <c:pt idx="3872">
                  <c:v>9</c:v>
                </c:pt>
                <c:pt idx="3873">
                  <c:v>9</c:v>
                </c:pt>
                <c:pt idx="3874">
                  <c:v>9</c:v>
                </c:pt>
                <c:pt idx="3875">
                  <c:v>9</c:v>
                </c:pt>
                <c:pt idx="3876">
                  <c:v>9</c:v>
                </c:pt>
                <c:pt idx="3877">
                  <c:v>9</c:v>
                </c:pt>
                <c:pt idx="3878">
                  <c:v>9</c:v>
                </c:pt>
                <c:pt idx="3879">
                  <c:v>9</c:v>
                </c:pt>
                <c:pt idx="3880">
                  <c:v>9</c:v>
                </c:pt>
                <c:pt idx="3881">
                  <c:v>9</c:v>
                </c:pt>
                <c:pt idx="3882">
                  <c:v>9</c:v>
                </c:pt>
                <c:pt idx="3883">
                  <c:v>9</c:v>
                </c:pt>
                <c:pt idx="3884">
                  <c:v>9</c:v>
                </c:pt>
                <c:pt idx="3885">
                  <c:v>9</c:v>
                </c:pt>
                <c:pt idx="3886">
                  <c:v>9</c:v>
                </c:pt>
                <c:pt idx="3887">
                  <c:v>9</c:v>
                </c:pt>
                <c:pt idx="3888">
                  <c:v>9</c:v>
                </c:pt>
                <c:pt idx="3889">
                  <c:v>9</c:v>
                </c:pt>
                <c:pt idx="3890">
                  <c:v>9</c:v>
                </c:pt>
                <c:pt idx="5909">
                  <c:v>10</c:v>
                </c:pt>
                <c:pt idx="5910">
                  <c:v>10</c:v>
                </c:pt>
                <c:pt idx="5911">
                  <c:v>10</c:v>
                </c:pt>
                <c:pt idx="5912">
                  <c:v>10</c:v>
                </c:pt>
                <c:pt idx="5913">
                  <c:v>10</c:v>
                </c:pt>
                <c:pt idx="5914">
                  <c:v>10</c:v>
                </c:pt>
                <c:pt idx="5915">
                  <c:v>10</c:v>
                </c:pt>
                <c:pt idx="5916">
                  <c:v>10</c:v>
                </c:pt>
                <c:pt idx="5917">
                  <c:v>10</c:v>
                </c:pt>
                <c:pt idx="5918">
                  <c:v>10</c:v>
                </c:pt>
                <c:pt idx="5919">
                  <c:v>10</c:v>
                </c:pt>
                <c:pt idx="5920">
                  <c:v>10</c:v>
                </c:pt>
                <c:pt idx="5921">
                  <c:v>10</c:v>
                </c:pt>
                <c:pt idx="5922">
                  <c:v>10</c:v>
                </c:pt>
                <c:pt idx="5923">
                  <c:v>10</c:v>
                </c:pt>
                <c:pt idx="5924">
                  <c:v>10</c:v>
                </c:pt>
                <c:pt idx="5925">
                  <c:v>10</c:v>
                </c:pt>
                <c:pt idx="5926">
                  <c:v>10</c:v>
                </c:pt>
                <c:pt idx="5927">
                  <c:v>10</c:v>
                </c:pt>
                <c:pt idx="5928">
                  <c:v>10</c:v>
                </c:pt>
                <c:pt idx="5929">
                  <c:v>10</c:v>
                </c:pt>
                <c:pt idx="5930">
                  <c:v>10</c:v>
                </c:pt>
                <c:pt idx="5931">
                  <c:v>10</c:v>
                </c:pt>
                <c:pt idx="5932">
                  <c:v>10</c:v>
                </c:pt>
                <c:pt idx="5933">
                  <c:v>10</c:v>
                </c:pt>
                <c:pt idx="5934">
                  <c:v>10</c:v>
                </c:pt>
                <c:pt idx="5935">
                  <c:v>10</c:v>
                </c:pt>
                <c:pt idx="5936">
                  <c:v>10</c:v>
                </c:pt>
                <c:pt idx="5937">
                  <c:v>10</c:v>
                </c:pt>
                <c:pt idx="5938">
                  <c:v>10</c:v>
                </c:pt>
                <c:pt idx="5939">
                  <c:v>10</c:v>
                </c:pt>
                <c:pt idx="5940">
                  <c:v>10</c:v>
                </c:pt>
                <c:pt idx="5941">
                  <c:v>10</c:v>
                </c:pt>
                <c:pt idx="5942">
                  <c:v>10</c:v>
                </c:pt>
                <c:pt idx="5943">
                  <c:v>10</c:v>
                </c:pt>
                <c:pt idx="5944">
                  <c:v>10</c:v>
                </c:pt>
                <c:pt idx="594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09-416A-AB63-F6FB6D50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427368"/>
        <c:axId val="630433128"/>
      </c:scatterChart>
      <c:valAx>
        <c:axId val="630427368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0433128"/>
        <c:crosses val="autoZero"/>
        <c:crossBetween val="midCat"/>
      </c:valAx>
      <c:valAx>
        <c:axId val="63043312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042736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layout>
        <c:manualLayout>
          <c:xMode val="edge"/>
          <c:yMode val="edge"/>
          <c:x val="0.16817498067879005"/>
          <c:y val="2.1231353554848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98549969590149E-2"/>
          <c:y val="0.13518561098248072"/>
          <c:w val="0.84903328907378184"/>
          <c:h val="0.46261741499880921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transpose!$N$1</c:f>
              <c:strCache>
                <c:ptCount val="1"/>
                <c:pt idx="0">
                  <c:v>B1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transpose!$N$2:$N$7686</c:f>
              <c:numCache>
                <c:formatCode>General</c:formatCode>
                <c:ptCount val="7685"/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0-4F8A-AE9C-6764C7C86168}"/>
            </c:ext>
          </c:extLst>
        </c:ser>
        <c:ser>
          <c:idx val="1"/>
          <c:order val="1"/>
          <c:tx>
            <c:strRef>
              <c:f>transpose!$R$1</c:f>
              <c:strCache>
                <c:ptCount val="1"/>
                <c:pt idx="0">
                  <c:v>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transpose!$R$2:$R$7686</c:f>
              <c:numCache>
                <c:formatCode>General</c:formatCode>
                <c:ptCount val="7685"/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D0-4F8A-AE9C-6764C7C86168}"/>
            </c:ext>
          </c:extLst>
        </c:ser>
        <c:ser>
          <c:idx val="2"/>
          <c:order val="2"/>
          <c:tx>
            <c:strRef>
              <c:f>transpose!$V$1</c:f>
              <c:strCache>
                <c:ptCount val="1"/>
                <c:pt idx="0">
                  <c:v>B5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transpose!$V$2:$V$7686</c:f>
              <c:numCache>
                <c:formatCode>General</c:formatCode>
                <c:ptCount val="7685"/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D0-4F8A-AE9C-6764C7C86168}"/>
            </c:ext>
          </c:extLst>
        </c:ser>
        <c:ser>
          <c:idx val="3"/>
          <c:order val="3"/>
          <c:tx>
            <c:strRef>
              <c:f>transpose!$Z$1</c:f>
              <c:strCache>
                <c:ptCount val="1"/>
                <c:pt idx="0">
                  <c:v>B7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transpose!$Z$2:$Z$7686</c:f>
              <c:numCache>
                <c:formatCode>General</c:formatCode>
                <c:ptCount val="7685"/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D0-4F8A-AE9C-6764C7C86168}"/>
            </c:ext>
          </c:extLst>
        </c:ser>
        <c:ser>
          <c:idx val="4"/>
          <c:order val="4"/>
          <c:tx>
            <c:strRef>
              <c:f>transpose!$AD$1</c:f>
              <c:strCache>
                <c:ptCount val="1"/>
                <c:pt idx="0">
                  <c:v>B9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transpose!$AD$2:$AD$7686</c:f>
              <c:numCache>
                <c:formatCode>General</c:formatCode>
                <c:ptCount val="7685"/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D0-4F8A-AE9C-6764C7C86168}"/>
            </c:ext>
          </c:extLst>
        </c:ser>
        <c:ser>
          <c:idx val="5"/>
          <c:order val="5"/>
          <c:tx>
            <c:strRef>
              <c:f>transpose!$AH$1</c:f>
              <c:strCache>
                <c:ptCount val="1"/>
                <c:pt idx="0">
                  <c:v>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transpose!$AH$2:$AH$7686</c:f>
              <c:numCache>
                <c:formatCode>General</c:formatCode>
                <c:ptCount val="7685"/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D0-4F8A-AE9C-6764C7C86168}"/>
            </c:ext>
          </c:extLst>
        </c:ser>
        <c:ser>
          <c:idx val="6"/>
          <c:order val="6"/>
          <c:tx>
            <c:strRef>
              <c:f>transpose!$AL$1</c:f>
              <c:strCache>
                <c:ptCount val="1"/>
                <c:pt idx="0">
                  <c:v>B13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transpose!$AL$2:$AL$7686</c:f>
              <c:numCache>
                <c:formatCode>General</c:formatCode>
                <c:ptCount val="7685"/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712">
                  <c:v>4</c:v>
                </c:pt>
                <c:pt idx="6713">
                  <c:v>4</c:v>
                </c:pt>
                <c:pt idx="6714">
                  <c:v>4</c:v>
                </c:pt>
                <c:pt idx="6715">
                  <c:v>4</c:v>
                </c:pt>
                <c:pt idx="6716">
                  <c:v>4</c:v>
                </c:pt>
                <c:pt idx="6717">
                  <c:v>4</c:v>
                </c:pt>
                <c:pt idx="6718">
                  <c:v>4</c:v>
                </c:pt>
                <c:pt idx="6719">
                  <c:v>4</c:v>
                </c:pt>
                <c:pt idx="6720">
                  <c:v>4</c:v>
                </c:pt>
                <c:pt idx="6721">
                  <c:v>4</c:v>
                </c:pt>
                <c:pt idx="6722">
                  <c:v>4</c:v>
                </c:pt>
                <c:pt idx="6723">
                  <c:v>4</c:v>
                </c:pt>
                <c:pt idx="6724">
                  <c:v>4</c:v>
                </c:pt>
                <c:pt idx="6725">
                  <c:v>4</c:v>
                </c:pt>
                <c:pt idx="6726">
                  <c:v>4</c:v>
                </c:pt>
                <c:pt idx="6727">
                  <c:v>4</c:v>
                </c:pt>
                <c:pt idx="6728">
                  <c:v>4</c:v>
                </c:pt>
                <c:pt idx="6729">
                  <c:v>4</c:v>
                </c:pt>
                <c:pt idx="6730">
                  <c:v>4</c:v>
                </c:pt>
                <c:pt idx="6731">
                  <c:v>4</c:v>
                </c:pt>
                <c:pt idx="6732">
                  <c:v>4</c:v>
                </c:pt>
                <c:pt idx="6733">
                  <c:v>4</c:v>
                </c:pt>
                <c:pt idx="6734">
                  <c:v>4</c:v>
                </c:pt>
                <c:pt idx="6735">
                  <c:v>4</c:v>
                </c:pt>
                <c:pt idx="6736">
                  <c:v>4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4</c:v>
                </c:pt>
                <c:pt idx="6752">
                  <c:v>4</c:v>
                </c:pt>
                <c:pt idx="6753">
                  <c:v>4</c:v>
                </c:pt>
                <c:pt idx="6754">
                  <c:v>4</c:v>
                </c:pt>
                <c:pt idx="6755">
                  <c:v>4</c:v>
                </c:pt>
                <c:pt idx="6756">
                  <c:v>4</c:v>
                </c:pt>
                <c:pt idx="6757">
                  <c:v>4</c:v>
                </c:pt>
                <c:pt idx="6758">
                  <c:v>4</c:v>
                </c:pt>
                <c:pt idx="6759">
                  <c:v>4</c:v>
                </c:pt>
                <c:pt idx="676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0D0-4F8A-AE9C-6764C7C86168}"/>
            </c:ext>
          </c:extLst>
        </c:ser>
        <c:ser>
          <c:idx val="7"/>
          <c:order val="7"/>
          <c:tx>
            <c:strRef>
              <c:f>transpose!$AP$1</c:f>
              <c:strCache>
                <c:ptCount val="1"/>
                <c:pt idx="0">
                  <c:v>B15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transpose!$AP$2:$AP$7686</c:f>
              <c:numCache>
                <c:formatCode>General</c:formatCode>
                <c:ptCount val="7685"/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0D0-4F8A-AE9C-6764C7C8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42351"/>
        <c:axId val="770846511"/>
      </c:scatterChart>
      <c:valAx>
        <c:axId val="770842351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46511"/>
        <c:crosses val="autoZero"/>
        <c:crossBetween val="midCat"/>
        <c:majorUnit val="1000"/>
      </c:valAx>
      <c:valAx>
        <c:axId val="770846511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4235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419906981884793E-2"/>
          <c:y val="0.8054516849716018"/>
          <c:w val="0.96072613617247438"/>
          <c:h val="0.186162002367147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1_45_Lisket_Male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transpose!$B$1</c:f>
              <c:strCache>
                <c:ptCount val="1"/>
                <c:pt idx="0">
                  <c:v>F1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transpose!$B$2:$B$7686</c:f>
              <c:numCache>
                <c:formatCode>General</c:formatCode>
                <c:ptCount val="7685"/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999">
                  <c:v>4</c:v>
                </c:pt>
                <c:pt idx="3000">
                  <c:v>4</c:v>
                </c:pt>
                <c:pt idx="3001">
                  <c:v>4</c:v>
                </c:pt>
                <c:pt idx="3002">
                  <c:v>4</c:v>
                </c:pt>
                <c:pt idx="3003">
                  <c:v>4</c:v>
                </c:pt>
                <c:pt idx="3004">
                  <c:v>4</c:v>
                </c:pt>
                <c:pt idx="3005">
                  <c:v>4</c:v>
                </c:pt>
                <c:pt idx="3006">
                  <c:v>4</c:v>
                </c:pt>
                <c:pt idx="3007">
                  <c:v>4</c:v>
                </c:pt>
                <c:pt idx="3008">
                  <c:v>4</c:v>
                </c:pt>
                <c:pt idx="3009">
                  <c:v>4</c:v>
                </c:pt>
                <c:pt idx="3010">
                  <c:v>4</c:v>
                </c:pt>
                <c:pt idx="3011">
                  <c:v>4</c:v>
                </c:pt>
                <c:pt idx="3012">
                  <c:v>4</c:v>
                </c:pt>
                <c:pt idx="3013">
                  <c:v>4</c:v>
                </c:pt>
                <c:pt idx="3014">
                  <c:v>4</c:v>
                </c:pt>
                <c:pt idx="3015">
                  <c:v>4</c:v>
                </c:pt>
                <c:pt idx="3016">
                  <c:v>4</c:v>
                </c:pt>
                <c:pt idx="3017">
                  <c:v>4</c:v>
                </c:pt>
                <c:pt idx="3018">
                  <c:v>4</c:v>
                </c:pt>
                <c:pt idx="3019">
                  <c:v>4</c:v>
                </c:pt>
                <c:pt idx="3020">
                  <c:v>4</c:v>
                </c:pt>
                <c:pt idx="3021">
                  <c:v>4</c:v>
                </c:pt>
                <c:pt idx="3022">
                  <c:v>4</c:v>
                </c:pt>
                <c:pt idx="3023">
                  <c:v>4</c:v>
                </c:pt>
                <c:pt idx="3024">
                  <c:v>4</c:v>
                </c:pt>
                <c:pt idx="3025">
                  <c:v>4</c:v>
                </c:pt>
                <c:pt idx="3026">
                  <c:v>4</c:v>
                </c:pt>
                <c:pt idx="3027">
                  <c:v>4</c:v>
                </c:pt>
                <c:pt idx="3028">
                  <c:v>4</c:v>
                </c:pt>
                <c:pt idx="3029">
                  <c:v>4</c:v>
                </c:pt>
                <c:pt idx="3030">
                  <c:v>4</c:v>
                </c:pt>
                <c:pt idx="3031">
                  <c:v>4</c:v>
                </c:pt>
                <c:pt idx="3032">
                  <c:v>4</c:v>
                </c:pt>
                <c:pt idx="3033">
                  <c:v>4</c:v>
                </c:pt>
                <c:pt idx="3034">
                  <c:v>4</c:v>
                </c:pt>
                <c:pt idx="3035">
                  <c:v>4</c:v>
                </c:pt>
                <c:pt idx="3036">
                  <c:v>4</c:v>
                </c:pt>
                <c:pt idx="3037">
                  <c:v>4</c:v>
                </c:pt>
                <c:pt idx="3038">
                  <c:v>4</c:v>
                </c:pt>
                <c:pt idx="3039">
                  <c:v>4</c:v>
                </c:pt>
                <c:pt idx="3040">
                  <c:v>4</c:v>
                </c:pt>
                <c:pt idx="3041">
                  <c:v>4</c:v>
                </c:pt>
                <c:pt idx="3042">
                  <c:v>4</c:v>
                </c:pt>
                <c:pt idx="3043">
                  <c:v>4</c:v>
                </c:pt>
                <c:pt idx="3044">
                  <c:v>4</c:v>
                </c:pt>
                <c:pt idx="3045">
                  <c:v>4</c:v>
                </c:pt>
                <c:pt idx="3046">
                  <c:v>4</c:v>
                </c:pt>
                <c:pt idx="3047">
                  <c:v>4</c:v>
                </c:pt>
                <c:pt idx="3048">
                  <c:v>4</c:v>
                </c:pt>
                <c:pt idx="3049">
                  <c:v>4</c:v>
                </c:pt>
                <c:pt idx="3050">
                  <c:v>4</c:v>
                </c:pt>
                <c:pt idx="3051">
                  <c:v>4</c:v>
                </c:pt>
                <c:pt idx="3052">
                  <c:v>4</c:v>
                </c:pt>
                <c:pt idx="3053">
                  <c:v>4</c:v>
                </c:pt>
                <c:pt idx="3054">
                  <c:v>4</c:v>
                </c:pt>
                <c:pt idx="3055">
                  <c:v>4</c:v>
                </c:pt>
                <c:pt idx="3056">
                  <c:v>4</c:v>
                </c:pt>
                <c:pt idx="3057">
                  <c:v>4</c:v>
                </c:pt>
                <c:pt idx="3058">
                  <c:v>4</c:v>
                </c:pt>
                <c:pt idx="3059">
                  <c:v>4</c:v>
                </c:pt>
                <c:pt idx="3060">
                  <c:v>4</c:v>
                </c:pt>
                <c:pt idx="3061">
                  <c:v>4</c:v>
                </c:pt>
                <c:pt idx="3062">
                  <c:v>4</c:v>
                </c:pt>
                <c:pt idx="3063">
                  <c:v>4</c:v>
                </c:pt>
                <c:pt idx="3064">
                  <c:v>4</c:v>
                </c:pt>
                <c:pt idx="3065">
                  <c:v>4</c:v>
                </c:pt>
                <c:pt idx="3066">
                  <c:v>4</c:v>
                </c:pt>
                <c:pt idx="3067">
                  <c:v>4</c:v>
                </c:pt>
                <c:pt idx="3068">
                  <c:v>4</c:v>
                </c:pt>
                <c:pt idx="3069">
                  <c:v>4</c:v>
                </c:pt>
                <c:pt idx="3070">
                  <c:v>4</c:v>
                </c:pt>
                <c:pt idx="3071">
                  <c:v>4</c:v>
                </c:pt>
                <c:pt idx="3072">
                  <c:v>4</c:v>
                </c:pt>
                <c:pt idx="3073">
                  <c:v>4</c:v>
                </c:pt>
                <c:pt idx="3074">
                  <c:v>4</c:v>
                </c:pt>
                <c:pt idx="3075">
                  <c:v>4</c:v>
                </c:pt>
                <c:pt idx="3076">
                  <c:v>4</c:v>
                </c:pt>
                <c:pt idx="3077">
                  <c:v>4</c:v>
                </c:pt>
                <c:pt idx="3078">
                  <c:v>4</c:v>
                </c:pt>
                <c:pt idx="3079">
                  <c:v>4</c:v>
                </c:pt>
                <c:pt idx="3080">
                  <c:v>4</c:v>
                </c:pt>
                <c:pt idx="3081">
                  <c:v>4</c:v>
                </c:pt>
                <c:pt idx="3082">
                  <c:v>4</c:v>
                </c:pt>
                <c:pt idx="3083">
                  <c:v>4</c:v>
                </c:pt>
                <c:pt idx="3084">
                  <c:v>4</c:v>
                </c:pt>
                <c:pt idx="3085">
                  <c:v>4</c:v>
                </c:pt>
                <c:pt idx="3086">
                  <c:v>4</c:v>
                </c:pt>
                <c:pt idx="3087">
                  <c:v>4</c:v>
                </c:pt>
                <c:pt idx="3088">
                  <c:v>4</c:v>
                </c:pt>
                <c:pt idx="3089">
                  <c:v>4</c:v>
                </c:pt>
                <c:pt idx="3090">
                  <c:v>4</c:v>
                </c:pt>
                <c:pt idx="3091">
                  <c:v>4</c:v>
                </c:pt>
                <c:pt idx="3092">
                  <c:v>4</c:v>
                </c:pt>
                <c:pt idx="3093">
                  <c:v>4</c:v>
                </c:pt>
                <c:pt idx="3094">
                  <c:v>4</c:v>
                </c:pt>
                <c:pt idx="3095">
                  <c:v>4</c:v>
                </c:pt>
                <c:pt idx="3096">
                  <c:v>4</c:v>
                </c:pt>
                <c:pt idx="3097">
                  <c:v>4</c:v>
                </c:pt>
                <c:pt idx="3098">
                  <c:v>4</c:v>
                </c:pt>
                <c:pt idx="3099">
                  <c:v>4</c:v>
                </c:pt>
                <c:pt idx="3100">
                  <c:v>4</c:v>
                </c:pt>
                <c:pt idx="3101">
                  <c:v>4</c:v>
                </c:pt>
                <c:pt idx="3102">
                  <c:v>4</c:v>
                </c:pt>
                <c:pt idx="3103">
                  <c:v>4</c:v>
                </c:pt>
                <c:pt idx="3104">
                  <c:v>4</c:v>
                </c:pt>
                <c:pt idx="3105">
                  <c:v>4</c:v>
                </c:pt>
                <c:pt idx="3106">
                  <c:v>4</c:v>
                </c:pt>
                <c:pt idx="3107">
                  <c:v>4</c:v>
                </c:pt>
                <c:pt idx="3108">
                  <c:v>4</c:v>
                </c:pt>
                <c:pt idx="3109">
                  <c:v>4</c:v>
                </c:pt>
                <c:pt idx="3110">
                  <c:v>4</c:v>
                </c:pt>
                <c:pt idx="3111">
                  <c:v>4</c:v>
                </c:pt>
                <c:pt idx="3112">
                  <c:v>4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4</c:v>
                </c:pt>
                <c:pt idx="3117">
                  <c:v>4</c:v>
                </c:pt>
                <c:pt idx="3118">
                  <c:v>4</c:v>
                </c:pt>
                <c:pt idx="3119">
                  <c:v>4</c:v>
                </c:pt>
                <c:pt idx="3120">
                  <c:v>4</c:v>
                </c:pt>
                <c:pt idx="3121">
                  <c:v>4</c:v>
                </c:pt>
                <c:pt idx="3122">
                  <c:v>4</c:v>
                </c:pt>
                <c:pt idx="3123">
                  <c:v>4</c:v>
                </c:pt>
                <c:pt idx="3124">
                  <c:v>4</c:v>
                </c:pt>
                <c:pt idx="3125">
                  <c:v>4</c:v>
                </c:pt>
                <c:pt idx="3126">
                  <c:v>4</c:v>
                </c:pt>
                <c:pt idx="3127">
                  <c:v>4</c:v>
                </c:pt>
                <c:pt idx="3128">
                  <c:v>4</c:v>
                </c:pt>
                <c:pt idx="3129">
                  <c:v>4</c:v>
                </c:pt>
                <c:pt idx="3130">
                  <c:v>4</c:v>
                </c:pt>
                <c:pt idx="3131">
                  <c:v>4</c:v>
                </c:pt>
                <c:pt idx="3132">
                  <c:v>4</c:v>
                </c:pt>
                <c:pt idx="3133">
                  <c:v>4</c:v>
                </c:pt>
                <c:pt idx="3134">
                  <c:v>4</c:v>
                </c:pt>
                <c:pt idx="3135">
                  <c:v>4</c:v>
                </c:pt>
                <c:pt idx="3136">
                  <c:v>4</c:v>
                </c:pt>
                <c:pt idx="3137">
                  <c:v>4</c:v>
                </c:pt>
                <c:pt idx="3138">
                  <c:v>4</c:v>
                </c:pt>
                <c:pt idx="3139">
                  <c:v>4</c:v>
                </c:pt>
                <c:pt idx="3140">
                  <c:v>4</c:v>
                </c:pt>
                <c:pt idx="3141">
                  <c:v>4</c:v>
                </c:pt>
                <c:pt idx="3142">
                  <c:v>4</c:v>
                </c:pt>
                <c:pt idx="3143">
                  <c:v>4</c:v>
                </c:pt>
                <c:pt idx="3144">
                  <c:v>4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4</c:v>
                </c:pt>
                <c:pt idx="3149">
                  <c:v>4</c:v>
                </c:pt>
                <c:pt idx="3150">
                  <c:v>4</c:v>
                </c:pt>
                <c:pt idx="3151">
                  <c:v>4</c:v>
                </c:pt>
                <c:pt idx="3152">
                  <c:v>4</c:v>
                </c:pt>
                <c:pt idx="3153">
                  <c:v>4</c:v>
                </c:pt>
                <c:pt idx="3154">
                  <c:v>4</c:v>
                </c:pt>
                <c:pt idx="3155">
                  <c:v>4</c:v>
                </c:pt>
                <c:pt idx="3156">
                  <c:v>4</c:v>
                </c:pt>
                <c:pt idx="3157">
                  <c:v>4</c:v>
                </c:pt>
                <c:pt idx="3158">
                  <c:v>4</c:v>
                </c:pt>
                <c:pt idx="3159">
                  <c:v>4</c:v>
                </c:pt>
                <c:pt idx="3160">
                  <c:v>4</c:v>
                </c:pt>
                <c:pt idx="3161">
                  <c:v>4</c:v>
                </c:pt>
                <c:pt idx="3162">
                  <c:v>4</c:v>
                </c:pt>
                <c:pt idx="3163">
                  <c:v>4</c:v>
                </c:pt>
                <c:pt idx="3164">
                  <c:v>4</c:v>
                </c:pt>
                <c:pt idx="3165">
                  <c:v>4</c:v>
                </c:pt>
                <c:pt idx="3166">
                  <c:v>4</c:v>
                </c:pt>
                <c:pt idx="3167">
                  <c:v>4</c:v>
                </c:pt>
                <c:pt idx="3168">
                  <c:v>4</c:v>
                </c:pt>
                <c:pt idx="3169">
                  <c:v>4</c:v>
                </c:pt>
                <c:pt idx="3170">
                  <c:v>4</c:v>
                </c:pt>
                <c:pt idx="3171">
                  <c:v>4</c:v>
                </c:pt>
                <c:pt idx="3172">
                  <c:v>4</c:v>
                </c:pt>
                <c:pt idx="3173">
                  <c:v>4</c:v>
                </c:pt>
                <c:pt idx="3174">
                  <c:v>4</c:v>
                </c:pt>
                <c:pt idx="3175">
                  <c:v>4</c:v>
                </c:pt>
                <c:pt idx="3176">
                  <c:v>4</c:v>
                </c:pt>
                <c:pt idx="3177">
                  <c:v>4</c:v>
                </c:pt>
                <c:pt idx="3697">
                  <c:v>5</c:v>
                </c:pt>
                <c:pt idx="3698">
                  <c:v>5</c:v>
                </c:pt>
                <c:pt idx="3699">
                  <c:v>5</c:v>
                </c:pt>
                <c:pt idx="3700">
                  <c:v>5</c:v>
                </c:pt>
                <c:pt idx="3701">
                  <c:v>5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5</c:v>
                </c:pt>
                <c:pt idx="3706">
                  <c:v>5</c:v>
                </c:pt>
                <c:pt idx="3707">
                  <c:v>5</c:v>
                </c:pt>
                <c:pt idx="3708">
                  <c:v>5</c:v>
                </c:pt>
                <c:pt idx="3709">
                  <c:v>5</c:v>
                </c:pt>
                <c:pt idx="3710">
                  <c:v>5</c:v>
                </c:pt>
                <c:pt idx="3711">
                  <c:v>5</c:v>
                </c:pt>
                <c:pt idx="3712">
                  <c:v>5</c:v>
                </c:pt>
                <c:pt idx="3713">
                  <c:v>5</c:v>
                </c:pt>
                <c:pt idx="3714">
                  <c:v>5</c:v>
                </c:pt>
                <c:pt idx="3715">
                  <c:v>5</c:v>
                </c:pt>
                <c:pt idx="3716">
                  <c:v>5</c:v>
                </c:pt>
                <c:pt idx="3717">
                  <c:v>5</c:v>
                </c:pt>
                <c:pt idx="3718">
                  <c:v>5</c:v>
                </c:pt>
                <c:pt idx="3719">
                  <c:v>5</c:v>
                </c:pt>
                <c:pt idx="3720">
                  <c:v>5</c:v>
                </c:pt>
                <c:pt idx="3721">
                  <c:v>5</c:v>
                </c:pt>
                <c:pt idx="3722">
                  <c:v>5</c:v>
                </c:pt>
                <c:pt idx="3723">
                  <c:v>5</c:v>
                </c:pt>
                <c:pt idx="3724">
                  <c:v>5</c:v>
                </c:pt>
                <c:pt idx="3725">
                  <c:v>5</c:v>
                </c:pt>
                <c:pt idx="3726">
                  <c:v>5</c:v>
                </c:pt>
                <c:pt idx="3727">
                  <c:v>5</c:v>
                </c:pt>
                <c:pt idx="3728">
                  <c:v>5</c:v>
                </c:pt>
                <c:pt idx="3729">
                  <c:v>5</c:v>
                </c:pt>
                <c:pt idx="3730">
                  <c:v>5</c:v>
                </c:pt>
                <c:pt idx="3731">
                  <c:v>5</c:v>
                </c:pt>
                <c:pt idx="3732">
                  <c:v>5</c:v>
                </c:pt>
                <c:pt idx="3733">
                  <c:v>5</c:v>
                </c:pt>
                <c:pt idx="3734">
                  <c:v>5</c:v>
                </c:pt>
                <c:pt idx="3735">
                  <c:v>5</c:v>
                </c:pt>
                <c:pt idx="3736">
                  <c:v>5</c:v>
                </c:pt>
                <c:pt idx="3737">
                  <c:v>5</c:v>
                </c:pt>
                <c:pt idx="3738">
                  <c:v>5</c:v>
                </c:pt>
                <c:pt idx="3739">
                  <c:v>5</c:v>
                </c:pt>
                <c:pt idx="3740">
                  <c:v>5</c:v>
                </c:pt>
                <c:pt idx="3741">
                  <c:v>5</c:v>
                </c:pt>
                <c:pt idx="3742">
                  <c:v>5</c:v>
                </c:pt>
                <c:pt idx="3743">
                  <c:v>5</c:v>
                </c:pt>
                <c:pt idx="3744">
                  <c:v>5</c:v>
                </c:pt>
                <c:pt idx="3745">
                  <c:v>5</c:v>
                </c:pt>
                <c:pt idx="3746">
                  <c:v>5</c:v>
                </c:pt>
                <c:pt idx="3747">
                  <c:v>5</c:v>
                </c:pt>
                <c:pt idx="3748">
                  <c:v>5</c:v>
                </c:pt>
                <c:pt idx="3749">
                  <c:v>5</c:v>
                </c:pt>
                <c:pt idx="3750">
                  <c:v>5</c:v>
                </c:pt>
                <c:pt idx="3751">
                  <c:v>5</c:v>
                </c:pt>
                <c:pt idx="3752">
                  <c:v>5</c:v>
                </c:pt>
                <c:pt idx="3753">
                  <c:v>5</c:v>
                </c:pt>
                <c:pt idx="3754">
                  <c:v>5</c:v>
                </c:pt>
                <c:pt idx="3755">
                  <c:v>5</c:v>
                </c:pt>
                <c:pt idx="3756">
                  <c:v>5</c:v>
                </c:pt>
                <c:pt idx="3757">
                  <c:v>5</c:v>
                </c:pt>
                <c:pt idx="3758">
                  <c:v>5</c:v>
                </c:pt>
                <c:pt idx="3759">
                  <c:v>5</c:v>
                </c:pt>
                <c:pt idx="3760">
                  <c:v>5</c:v>
                </c:pt>
                <c:pt idx="3761">
                  <c:v>5</c:v>
                </c:pt>
                <c:pt idx="3762">
                  <c:v>5</c:v>
                </c:pt>
                <c:pt idx="3763">
                  <c:v>5</c:v>
                </c:pt>
                <c:pt idx="3764">
                  <c:v>5</c:v>
                </c:pt>
                <c:pt idx="3765">
                  <c:v>5</c:v>
                </c:pt>
                <c:pt idx="3766">
                  <c:v>5</c:v>
                </c:pt>
                <c:pt idx="3767">
                  <c:v>5</c:v>
                </c:pt>
                <c:pt idx="3768">
                  <c:v>5</c:v>
                </c:pt>
                <c:pt idx="3769">
                  <c:v>5</c:v>
                </c:pt>
                <c:pt idx="3770">
                  <c:v>5</c:v>
                </c:pt>
                <c:pt idx="3771">
                  <c:v>5</c:v>
                </c:pt>
                <c:pt idx="3772">
                  <c:v>5</c:v>
                </c:pt>
                <c:pt idx="3773">
                  <c:v>5</c:v>
                </c:pt>
                <c:pt idx="3774">
                  <c:v>5</c:v>
                </c:pt>
                <c:pt idx="3775">
                  <c:v>5</c:v>
                </c:pt>
                <c:pt idx="3776">
                  <c:v>5</c:v>
                </c:pt>
                <c:pt idx="3777">
                  <c:v>5</c:v>
                </c:pt>
                <c:pt idx="3778">
                  <c:v>5</c:v>
                </c:pt>
                <c:pt idx="3779">
                  <c:v>5</c:v>
                </c:pt>
                <c:pt idx="3780">
                  <c:v>5</c:v>
                </c:pt>
                <c:pt idx="3781">
                  <c:v>5</c:v>
                </c:pt>
                <c:pt idx="3782">
                  <c:v>5</c:v>
                </c:pt>
                <c:pt idx="3783">
                  <c:v>5</c:v>
                </c:pt>
                <c:pt idx="3784">
                  <c:v>5</c:v>
                </c:pt>
                <c:pt idx="3785">
                  <c:v>5</c:v>
                </c:pt>
                <c:pt idx="3786">
                  <c:v>5</c:v>
                </c:pt>
                <c:pt idx="3787">
                  <c:v>5</c:v>
                </c:pt>
                <c:pt idx="3788">
                  <c:v>5</c:v>
                </c:pt>
                <c:pt idx="3789">
                  <c:v>5</c:v>
                </c:pt>
                <c:pt idx="3790">
                  <c:v>5</c:v>
                </c:pt>
                <c:pt idx="3791">
                  <c:v>5</c:v>
                </c:pt>
                <c:pt idx="3792">
                  <c:v>5</c:v>
                </c:pt>
                <c:pt idx="3793">
                  <c:v>5</c:v>
                </c:pt>
                <c:pt idx="3794">
                  <c:v>5</c:v>
                </c:pt>
                <c:pt idx="3795">
                  <c:v>5</c:v>
                </c:pt>
                <c:pt idx="3796">
                  <c:v>5</c:v>
                </c:pt>
                <c:pt idx="3797">
                  <c:v>5</c:v>
                </c:pt>
                <c:pt idx="3798">
                  <c:v>5</c:v>
                </c:pt>
                <c:pt idx="3799">
                  <c:v>5</c:v>
                </c:pt>
                <c:pt idx="3800">
                  <c:v>5</c:v>
                </c:pt>
                <c:pt idx="3801">
                  <c:v>5</c:v>
                </c:pt>
                <c:pt idx="3802">
                  <c:v>5</c:v>
                </c:pt>
                <c:pt idx="3803">
                  <c:v>5</c:v>
                </c:pt>
                <c:pt idx="3804">
                  <c:v>5</c:v>
                </c:pt>
                <c:pt idx="3805">
                  <c:v>5</c:v>
                </c:pt>
                <c:pt idx="3806">
                  <c:v>5</c:v>
                </c:pt>
                <c:pt idx="3807">
                  <c:v>5</c:v>
                </c:pt>
                <c:pt idx="3808">
                  <c:v>5</c:v>
                </c:pt>
                <c:pt idx="3809">
                  <c:v>5</c:v>
                </c:pt>
                <c:pt idx="3810">
                  <c:v>5</c:v>
                </c:pt>
                <c:pt idx="3811">
                  <c:v>5</c:v>
                </c:pt>
                <c:pt idx="3812">
                  <c:v>5</c:v>
                </c:pt>
                <c:pt idx="3813">
                  <c:v>5</c:v>
                </c:pt>
                <c:pt idx="3814">
                  <c:v>5</c:v>
                </c:pt>
                <c:pt idx="3815">
                  <c:v>5</c:v>
                </c:pt>
                <c:pt idx="3816">
                  <c:v>5</c:v>
                </c:pt>
                <c:pt idx="3817">
                  <c:v>5</c:v>
                </c:pt>
                <c:pt idx="3818">
                  <c:v>5</c:v>
                </c:pt>
                <c:pt idx="3819">
                  <c:v>5</c:v>
                </c:pt>
                <c:pt idx="3820">
                  <c:v>5</c:v>
                </c:pt>
                <c:pt idx="3821">
                  <c:v>5</c:v>
                </c:pt>
                <c:pt idx="3822">
                  <c:v>5</c:v>
                </c:pt>
                <c:pt idx="3823">
                  <c:v>5</c:v>
                </c:pt>
                <c:pt idx="3824">
                  <c:v>5</c:v>
                </c:pt>
                <c:pt idx="3825">
                  <c:v>5</c:v>
                </c:pt>
                <c:pt idx="3826">
                  <c:v>5</c:v>
                </c:pt>
                <c:pt idx="3827">
                  <c:v>5</c:v>
                </c:pt>
                <c:pt idx="3828">
                  <c:v>5</c:v>
                </c:pt>
                <c:pt idx="3829">
                  <c:v>5</c:v>
                </c:pt>
                <c:pt idx="3830">
                  <c:v>5</c:v>
                </c:pt>
                <c:pt idx="3831">
                  <c:v>5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5</c:v>
                </c:pt>
                <c:pt idx="3837">
                  <c:v>5</c:v>
                </c:pt>
                <c:pt idx="3838">
                  <c:v>5</c:v>
                </c:pt>
                <c:pt idx="3839">
                  <c:v>5</c:v>
                </c:pt>
                <c:pt idx="3840">
                  <c:v>5</c:v>
                </c:pt>
                <c:pt idx="3841">
                  <c:v>5</c:v>
                </c:pt>
                <c:pt idx="3842">
                  <c:v>5</c:v>
                </c:pt>
                <c:pt idx="3843">
                  <c:v>5</c:v>
                </c:pt>
                <c:pt idx="3844">
                  <c:v>5</c:v>
                </c:pt>
                <c:pt idx="3845">
                  <c:v>5</c:v>
                </c:pt>
                <c:pt idx="3846">
                  <c:v>5</c:v>
                </c:pt>
                <c:pt idx="3847">
                  <c:v>5</c:v>
                </c:pt>
                <c:pt idx="3848">
                  <c:v>5</c:v>
                </c:pt>
                <c:pt idx="3849">
                  <c:v>5</c:v>
                </c:pt>
                <c:pt idx="3850">
                  <c:v>5</c:v>
                </c:pt>
                <c:pt idx="3851">
                  <c:v>5</c:v>
                </c:pt>
                <c:pt idx="3852">
                  <c:v>5</c:v>
                </c:pt>
                <c:pt idx="3853">
                  <c:v>5</c:v>
                </c:pt>
                <c:pt idx="3854">
                  <c:v>5</c:v>
                </c:pt>
                <c:pt idx="3855">
                  <c:v>5</c:v>
                </c:pt>
                <c:pt idx="3856">
                  <c:v>5</c:v>
                </c:pt>
                <c:pt idx="3857">
                  <c:v>5</c:v>
                </c:pt>
                <c:pt idx="3858">
                  <c:v>5</c:v>
                </c:pt>
                <c:pt idx="3859">
                  <c:v>5</c:v>
                </c:pt>
                <c:pt idx="3860">
                  <c:v>5</c:v>
                </c:pt>
                <c:pt idx="3861">
                  <c:v>5</c:v>
                </c:pt>
                <c:pt idx="3862">
                  <c:v>5</c:v>
                </c:pt>
                <c:pt idx="3863">
                  <c:v>5</c:v>
                </c:pt>
                <c:pt idx="3864">
                  <c:v>5</c:v>
                </c:pt>
                <c:pt idx="3865">
                  <c:v>5</c:v>
                </c:pt>
                <c:pt idx="3866">
                  <c:v>5</c:v>
                </c:pt>
                <c:pt idx="3867">
                  <c:v>5</c:v>
                </c:pt>
                <c:pt idx="3868">
                  <c:v>5</c:v>
                </c:pt>
                <c:pt idx="3869">
                  <c:v>5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5</c:v>
                </c:pt>
                <c:pt idx="3874">
                  <c:v>5</c:v>
                </c:pt>
                <c:pt idx="3875">
                  <c:v>5</c:v>
                </c:pt>
                <c:pt idx="3876">
                  <c:v>5</c:v>
                </c:pt>
                <c:pt idx="3877">
                  <c:v>5</c:v>
                </c:pt>
                <c:pt idx="3878">
                  <c:v>5</c:v>
                </c:pt>
                <c:pt idx="3879">
                  <c:v>5</c:v>
                </c:pt>
                <c:pt idx="3880">
                  <c:v>5</c:v>
                </c:pt>
                <c:pt idx="3881">
                  <c:v>5</c:v>
                </c:pt>
                <c:pt idx="3882">
                  <c:v>5</c:v>
                </c:pt>
                <c:pt idx="3883">
                  <c:v>5</c:v>
                </c:pt>
                <c:pt idx="3884">
                  <c:v>5</c:v>
                </c:pt>
                <c:pt idx="3885">
                  <c:v>5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5</c:v>
                </c:pt>
                <c:pt idx="3895">
                  <c:v>5</c:v>
                </c:pt>
                <c:pt idx="3896">
                  <c:v>5</c:v>
                </c:pt>
                <c:pt idx="3897">
                  <c:v>5</c:v>
                </c:pt>
                <c:pt idx="3898">
                  <c:v>5</c:v>
                </c:pt>
                <c:pt idx="3899">
                  <c:v>5</c:v>
                </c:pt>
                <c:pt idx="3900">
                  <c:v>5</c:v>
                </c:pt>
                <c:pt idx="3901">
                  <c:v>5</c:v>
                </c:pt>
                <c:pt idx="3902">
                  <c:v>5</c:v>
                </c:pt>
                <c:pt idx="3903">
                  <c:v>5</c:v>
                </c:pt>
                <c:pt idx="3904">
                  <c:v>5</c:v>
                </c:pt>
                <c:pt idx="3905">
                  <c:v>5</c:v>
                </c:pt>
                <c:pt idx="3906">
                  <c:v>5</c:v>
                </c:pt>
                <c:pt idx="3907">
                  <c:v>5</c:v>
                </c:pt>
                <c:pt idx="3908">
                  <c:v>5</c:v>
                </c:pt>
                <c:pt idx="3909">
                  <c:v>5</c:v>
                </c:pt>
                <c:pt idx="3910">
                  <c:v>5</c:v>
                </c:pt>
                <c:pt idx="3911">
                  <c:v>5</c:v>
                </c:pt>
                <c:pt idx="3912">
                  <c:v>5</c:v>
                </c:pt>
                <c:pt idx="3913">
                  <c:v>5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5</c:v>
                </c:pt>
                <c:pt idx="3918">
                  <c:v>5</c:v>
                </c:pt>
                <c:pt idx="3919">
                  <c:v>5</c:v>
                </c:pt>
                <c:pt idx="3920">
                  <c:v>5</c:v>
                </c:pt>
                <c:pt idx="3921">
                  <c:v>5</c:v>
                </c:pt>
                <c:pt idx="3922">
                  <c:v>5</c:v>
                </c:pt>
                <c:pt idx="3923">
                  <c:v>5</c:v>
                </c:pt>
                <c:pt idx="3924">
                  <c:v>5</c:v>
                </c:pt>
                <c:pt idx="3925">
                  <c:v>5</c:v>
                </c:pt>
                <c:pt idx="3926">
                  <c:v>5</c:v>
                </c:pt>
                <c:pt idx="3927">
                  <c:v>5</c:v>
                </c:pt>
                <c:pt idx="3928">
                  <c:v>5</c:v>
                </c:pt>
                <c:pt idx="3929">
                  <c:v>5</c:v>
                </c:pt>
                <c:pt idx="3930">
                  <c:v>5</c:v>
                </c:pt>
                <c:pt idx="3931">
                  <c:v>5</c:v>
                </c:pt>
                <c:pt idx="3932">
                  <c:v>5</c:v>
                </c:pt>
                <c:pt idx="3933">
                  <c:v>5</c:v>
                </c:pt>
                <c:pt idx="3934">
                  <c:v>5</c:v>
                </c:pt>
                <c:pt idx="3935">
                  <c:v>5</c:v>
                </c:pt>
                <c:pt idx="3936">
                  <c:v>5</c:v>
                </c:pt>
                <c:pt idx="3937">
                  <c:v>5</c:v>
                </c:pt>
                <c:pt idx="3938">
                  <c:v>5</c:v>
                </c:pt>
                <c:pt idx="3939">
                  <c:v>5</c:v>
                </c:pt>
                <c:pt idx="3940">
                  <c:v>5</c:v>
                </c:pt>
                <c:pt idx="3941">
                  <c:v>5</c:v>
                </c:pt>
                <c:pt idx="3942">
                  <c:v>5</c:v>
                </c:pt>
                <c:pt idx="3943">
                  <c:v>5</c:v>
                </c:pt>
                <c:pt idx="3944">
                  <c:v>5</c:v>
                </c:pt>
                <c:pt idx="3945">
                  <c:v>5</c:v>
                </c:pt>
                <c:pt idx="3946">
                  <c:v>5</c:v>
                </c:pt>
                <c:pt idx="3947">
                  <c:v>5</c:v>
                </c:pt>
                <c:pt idx="3948">
                  <c:v>5</c:v>
                </c:pt>
                <c:pt idx="3949">
                  <c:v>5</c:v>
                </c:pt>
                <c:pt idx="3950">
                  <c:v>5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5361">
                  <c:v>6</c:v>
                </c:pt>
                <c:pt idx="5362">
                  <c:v>6</c:v>
                </c:pt>
                <c:pt idx="5363">
                  <c:v>6</c:v>
                </c:pt>
                <c:pt idx="5364">
                  <c:v>6</c:v>
                </c:pt>
                <c:pt idx="5365">
                  <c:v>6</c:v>
                </c:pt>
                <c:pt idx="5366">
                  <c:v>6</c:v>
                </c:pt>
                <c:pt idx="5367">
                  <c:v>6</c:v>
                </c:pt>
                <c:pt idx="5368">
                  <c:v>6</c:v>
                </c:pt>
                <c:pt idx="5369">
                  <c:v>6</c:v>
                </c:pt>
                <c:pt idx="5370">
                  <c:v>6</c:v>
                </c:pt>
                <c:pt idx="5371">
                  <c:v>6</c:v>
                </c:pt>
                <c:pt idx="5372">
                  <c:v>6</c:v>
                </c:pt>
                <c:pt idx="5373">
                  <c:v>6</c:v>
                </c:pt>
                <c:pt idx="5374">
                  <c:v>6</c:v>
                </c:pt>
                <c:pt idx="5375">
                  <c:v>6</c:v>
                </c:pt>
                <c:pt idx="5376">
                  <c:v>6</c:v>
                </c:pt>
                <c:pt idx="5377">
                  <c:v>6</c:v>
                </c:pt>
                <c:pt idx="5378">
                  <c:v>6</c:v>
                </c:pt>
                <c:pt idx="5379">
                  <c:v>6</c:v>
                </c:pt>
                <c:pt idx="5380">
                  <c:v>6</c:v>
                </c:pt>
                <c:pt idx="5381">
                  <c:v>6</c:v>
                </c:pt>
                <c:pt idx="5382">
                  <c:v>6</c:v>
                </c:pt>
                <c:pt idx="5383">
                  <c:v>6</c:v>
                </c:pt>
                <c:pt idx="5384">
                  <c:v>6</c:v>
                </c:pt>
                <c:pt idx="5385">
                  <c:v>6</c:v>
                </c:pt>
                <c:pt idx="5386">
                  <c:v>6</c:v>
                </c:pt>
                <c:pt idx="5387">
                  <c:v>6</c:v>
                </c:pt>
                <c:pt idx="5388">
                  <c:v>6</c:v>
                </c:pt>
                <c:pt idx="5389">
                  <c:v>6</c:v>
                </c:pt>
                <c:pt idx="5390">
                  <c:v>6</c:v>
                </c:pt>
                <c:pt idx="5391">
                  <c:v>6</c:v>
                </c:pt>
                <c:pt idx="5392">
                  <c:v>6</c:v>
                </c:pt>
                <c:pt idx="5393">
                  <c:v>6</c:v>
                </c:pt>
                <c:pt idx="5394">
                  <c:v>6</c:v>
                </c:pt>
                <c:pt idx="5395">
                  <c:v>6</c:v>
                </c:pt>
                <c:pt idx="5396">
                  <c:v>6</c:v>
                </c:pt>
                <c:pt idx="5397">
                  <c:v>6</c:v>
                </c:pt>
                <c:pt idx="5398">
                  <c:v>6</c:v>
                </c:pt>
                <c:pt idx="5399">
                  <c:v>6</c:v>
                </c:pt>
                <c:pt idx="5400">
                  <c:v>6</c:v>
                </c:pt>
                <c:pt idx="5401">
                  <c:v>6</c:v>
                </c:pt>
                <c:pt idx="5402">
                  <c:v>6</c:v>
                </c:pt>
                <c:pt idx="5403">
                  <c:v>6</c:v>
                </c:pt>
                <c:pt idx="5404">
                  <c:v>6</c:v>
                </c:pt>
                <c:pt idx="5405">
                  <c:v>6</c:v>
                </c:pt>
                <c:pt idx="5406">
                  <c:v>6</c:v>
                </c:pt>
                <c:pt idx="5407">
                  <c:v>6</c:v>
                </c:pt>
                <c:pt idx="5408">
                  <c:v>6</c:v>
                </c:pt>
                <c:pt idx="5409">
                  <c:v>6</c:v>
                </c:pt>
                <c:pt idx="5410">
                  <c:v>6</c:v>
                </c:pt>
                <c:pt idx="5411">
                  <c:v>6</c:v>
                </c:pt>
                <c:pt idx="5412">
                  <c:v>6</c:v>
                </c:pt>
                <c:pt idx="5413">
                  <c:v>6</c:v>
                </c:pt>
                <c:pt idx="5414">
                  <c:v>6</c:v>
                </c:pt>
                <c:pt idx="5415">
                  <c:v>6</c:v>
                </c:pt>
                <c:pt idx="5416">
                  <c:v>6</c:v>
                </c:pt>
                <c:pt idx="5417">
                  <c:v>6</c:v>
                </c:pt>
                <c:pt idx="5418">
                  <c:v>6</c:v>
                </c:pt>
                <c:pt idx="5419">
                  <c:v>6</c:v>
                </c:pt>
                <c:pt idx="5420">
                  <c:v>6</c:v>
                </c:pt>
                <c:pt idx="5421">
                  <c:v>6</c:v>
                </c:pt>
                <c:pt idx="5422">
                  <c:v>6</c:v>
                </c:pt>
                <c:pt idx="5423">
                  <c:v>6</c:v>
                </c:pt>
                <c:pt idx="5424">
                  <c:v>6</c:v>
                </c:pt>
                <c:pt idx="5425">
                  <c:v>6</c:v>
                </c:pt>
                <c:pt idx="5426">
                  <c:v>6</c:v>
                </c:pt>
                <c:pt idx="5427">
                  <c:v>6</c:v>
                </c:pt>
                <c:pt idx="5428">
                  <c:v>6</c:v>
                </c:pt>
                <c:pt idx="5429">
                  <c:v>6</c:v>
                </c:pt>
                <c:pt idx="5430">
                  <c:v>6</c:v>
                </c:pt>
                <c:pt idx="5431">
                  <c:v>6</c:v>
                </c:pt>
                <c:pt idx="5432">
                  <c:v>6</c:v>
                </c:pt>
                <c:pt idx="5433">
                  <c:v>6</c:v>
                </c:pt>
                <c:pt idx="5434">
                  <c:v>6</c:v>
                </c:pt>
                <c:pt idx="5435">
                  <c:v>6</c:v>
                </c:pt>
                <c:pt idx="5436">
                  <c:v>6</c:v>
                </c:pt>
                <c:pt idx="5437">
                  <c:v>6</c:v>
                </c:pt>
                <c:pt idx="5438">
                  <c:v>6</c:v>
                </c:pt>
                <c:pt idx="5439">
                  <c:v>6</c:v>
                </c:pt>
                <c:pt idx="5440">
                  <c:v>6</c:v>
                </c:pt>
                <c:pt idx="5441">
                  <c:v>6</c:v>
                </c:pt>
                <c:pt idx="5442">
                  <c:v>6</c:v>
                </c:pt>
                <c:pt idx="5443">
                  <c:v>6</c:v>
                </c:pt>
                <c:pt idx="5444">
                  <c:v>6</c:v>
                </c:pt>
                <c:pt idx="5445">
                  <c:v>6</c:v>
                </c:pt>
                <c:pt idx="5446">
                  <c:v>6</c:v>
                </c:pt>
                <c:pt idx="5447">
                  <c:v>6</c:v>
                </c:pt>
                <c:pt idx="5448">
                  <c:v>6</c:v>
                </c:pt>
                <c:pt idx="5449">
                  <c:v>6</c:v>
                </c:pt>
                <c:pt idx="5450">
                  <c:v>6</c:v>
                </c:pt>
                <c:pt idx="5451">
                  <c:v>6</c:v>
                </c:pt>
                <c:pt idx="5452">
                  <c:v>6</c:v>
                </c:pt>
                <c:pt idx="5453">
                  <c:v>6</c:v>
                </c:pt>
                <c:pt idx="5454">
                  <c:v>6</c:v>
                </c:pt>
                <c:pt idx="5455">
                  <c:v>6</c:v>
                </c:pt>
                <c:pt idx="5456">
                  <c:v>6</c:v>
                </c:pt>
                <c:pt idx="5457">
                  <c:v>6</c:v>
                </c:pt>
                <c:pt idx="5458">
                  <c:v>6</c:v>
                </c:pt>
                <c:pt idx="5459">
                  <c:v>6</c:v>
                </c:pt>
                <c:pt idx="5460">
                  <c:v>6</c:v>
                </c:pt>
                <c:pt idx="5461">
                  <c:v>6</c:v>
                </c:pt>
                <c:pt idx="5462">
                  <c:v>6</c:v>
                </c:pt>
                <c:pt idx="5463">
                  <c:v>6</c:v>
                </c:pt>
                <c:pt idx="5464">
                  <c:v>6</c:v>
                </c:pt>
                <c:pt idx="5465">
                  <c:v>6</c:v>
                </c:pt>
                <c:pt idx="5466">
                  <c:v>6</c:v>
                </c:pt>
                <c:pt idx="5467">
                  <c:v>6</c:v>
                </c:pt>
                <c:pt idx="5468">
                  <c:v>6</c:v>
                </c:pt>
                <c:pt idx="5469">
                  <c:v>6</c:v>
                </c:pt>
                <c:pt idx="5470">
                  <c:v>6</c:v>
                </c:pt>
                <c:pt idx="5471">
                  <c:v>6</c:v>
                </c:pt>
                <c:pt idx="5472">
                  <c:v>6</c:v>
                </c:pt>
                <c:pt idx="5473">
                  <c:v>6</c:v>
                </c:pt>
                <c:pt idx="5474">
                  <c:v>6</c:v>
                </c:pt>
                <c:pt idx="5475">
                  <c:v>6</c:v>
                </c:pt>
                <c:pt idx="5476">
                  <c:v>6</c:v>
                </c:pt>
                <c:pt idx="5477">
                  <c:v>6</c:v>
                </c:pt>
                <c:pt idx="5478">
                  <c:v>6</c:v>
                </c:pt>
                <c:pt idx="5479">
                  <c:v>6</c:v>
                </c:pt>
                <c:pt idx="5480">
                  <c:v>6</c:v>
                </c:pt>
                <c:pt idx="5481">
                  <c:v>6</c:v>
                </c:pt>
                <c:pt idx="5482">
                  <c:v>6</c:v>
                </c:pt>
                <c:pt idx="5483">
                  <c:v>6</c:v>
                </c:pt>
                <c:pt idx="5484">
                  <c:v>6</c:v>
                </c:pt>
                <c:pt idx="5485">
                  <c:v>6</c:v>
                </c:pt>
                <c:pt idx="5486">
                  <c:v>6</c:v>
                </c:pt>
                <c:pt idx="5487">
                  <c:v>6</c:v>
                </c:pt>
                <c:pt idx="5488">
                  <c:v>6</c:v>
                </c:pt>
                <c:pt idx="5489">
                  <c:v>6</c:v>
                </c:pt>
                <c:pt idx="5490">
                  <c:v>6</c:v>
                </c:pt>
                <c:pt idx="5491">
                  <c:v>6</c:v>
                </c:pt>
                <c:pt idx="5492">
                  <c:v>6</c:v>
                </c:pt>
                <c:pt idx="5493">
                  <c:v>6</c:v>
                </c:pt>
                <c:pt idx="5494">
                  <c:v>6</c:v>
                </c:pt>
                <c:pt idx="5495">
                  <c:v>6</c:v>
                </c:pt>
                <c:pt idx="5496">
                  <c:v>6</c:v>
                </c:pt>
                <c:pt idx="5497">
                  <c:v>6</c:v>
                </c:pt>
                <c:pt idx="5498">
                  <c:v>6</c:v>
                </c:pt>
                <c:pt idx="5499">
                  <c:v>6</c:v>
                </c:pt>
                <c:pt idx="5500">
                  <c:v>6</c:v>
                </c:pt>
                <c:pt idx="5501">
                  <c:v>6</c:v>
                </c:pt>
                <c:pt idx="5502">
                  <c:v>6</c:v>
                </c:pt>
                <c:pt idx="5503">
                  <c:v>6</c:v>
                </c:pt>
                <c:pt idx="5504">
                  <c:v>6</c:v>
                </c:pt>
                <c:pt idx="5505">
                  <c:v>6</c:v>
                </c:pt>
                <c:pt idx="5506">
                  <c:v>6</c:v>
                </c:pt>
                <c:pt idx="5507">
                  <c:v>6</c:v>
                </c:pt>
                <c:pt idx="5508">
                  <c:v>6</c:v>
                </c:pt>
                <c:pt idx="5509">
                  <c:v>6</c:v>
                </c:pt>
                <c:pt idx="5510">
                  <c:v>6</c:v>
                </c:pt>
                <c:pt idx="5511">
                  <c:v>6</c:v>
                </c:pt>
                <c:pt idx="5512">
                  <c:v>6</c:v>
                </c:pt>
                <c:pt idx="5513">
                  <c:v>6</c:v>
                </c:pt>
                <c:pt idx="5514">
                  <c:v>6</c:v>
                </c:pt>
                <c:pt idx="5515">
                  <c:v>6</c:v>
                </c:pt>
                <c:pt idx="5516">
                  <c:v>6</c:v>
                </c:pt>
                <c:pt idx="5517">
                  <c:v>6</c:v>
                </c:pt>
                <c:pt idx="5518">
                  <c:v>6</c:v>
                </c:pt>
                <c:pt idx="5519">
                  <c:v>6</c:v>
                </c:pt>
                <c:pt idx="5520">
                  <c:v>6</c:v>
                </c:pt>
                <c:pt idx="5521">
                  <c:v>6</c:v>
                </c:pt>
                <c:pt idx="5522">
                  <c:v>6</c:v>
                </c:pt>
                <c:pt idx="5523">
                  <c:v>6</c:v>
                </c:pt>
                <c:pt idx="5524">
                  <c:v>6</c:v>
                </c:pt>
                <c:pt idx="5525">
                  <c:v>6</c:v>
                </c:pt>
                <c:pt idx="5526">
                  <c:v>6</c:v>
                </c:pt>
                <c:pt idx="5527">
                  <c:v>6</c:v>
                </c:pt>
                <c:pt idx="5528">
                  <c:v>6</c:v>
                </c:pt>
                <c:pt idx="5529">
                  <c:v>6</c:v>
                </c:pt>
                <c:pt idx="5530">
                  <c:v>6</c:v>
                </c:pt>
                <c:pt idx="5531">
                  <c:v>6</c:v>
                </c:pt>
                <c:pt idx="5532">
                  <c:v>6</c:v>
                </c:pt>
                <c:pt idx="5533">
                  <c:v>6</c:v>
                </c:pt>
                <c:pt idx="5534">
                  <c:v>6</c:v>
                </c:pt>
                <c:pt idx="5535">
                  <c:v>6</c:v>
                </c:pt>
                <c:pt idx="5536">
                  <c:v>6</c:v>
                </c:pt>
                <c:pt idx="5537">
                  <c:v>6</c:v>
                </c:pt>
                <c:pt idx="5538">
                  <c:v>6</c:v>
                </c:pt>
                <c:pt idx="5539">
                  <c:v>6</c:v>
                </c:pt>
                <c:pt idx="5540">
                  <c:v>6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6</c:v>
                </c:pt>
                <c:pt idx="5549">
                  <c:v>6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6</c:v>
                </c:pt>
                <c:pt idx="5557">
                  <c:v>6</c:v>
                </c:pt>
                <c:pt idx="5558">
                  <c:v>6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6</c:v>
                </c:pt>
                <c:pt idx="5564">
                  <c:v>6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6</c:v>
                </c:pt>
                <c:pt idx="5569">
                  <c:v>6</c:v>
                </c:pt>
                <c:pt idx="5570">
                  <c:v>6</c:v>
                </c:pt>
                <c:pt idx="5571">
                  <c:v>6</c:v>
                </c:pt>
                <c:pt idx="5572">
                  <c:v>6</c:v>
                </c:pt>
                <c:pt idx="5573">
                  <c:v>6</c:v>
                </c:pt>
                <c:pt idx="5574">
                  <c:v>6</c:v>
                </c:pt>
                <c:pt idx="5575">
                  <c:v>6</c:v>
                </c:pt>
                <c:pt idx="5576">
                  <c:v>6</c:v>
                </c:pt>
                <c:pt idx="5577">
                  <c:v>6</c:v>
                </c:pt>
                <c:pt idx="5578">
                  <c:v>6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6</c:v>
                </c:pt>
                <c:pt idx="5595">
                  <c:v>6</c:v>
                </c:pt>
                <c:pt idx="5596">
                  <c:v>6</c:v>
                </c:pt>
                <c:pt idx="5597">
                  <c:v>6</c:v>
                </c:pt>
                <c:pt idx="5598">
                  <c:v>6</c:v>
                </c:pt>
                <c:pt idx="5599">
                  <c:v>6</c:v>
                </c:pt>
                <c:pt idx="5600">
                  <c:v>6</c:v>
                </c:pt>
                <c:pt idx="5601">
                  <c:v>6</c:v>
                </c:pt>
                <c:pt idx="5602">
                  <c:v>6</c:v>
                </c:pt>
                <c:pt idx="5603">
                  <c:v>6</c:v>
                </c:pt>
                <c:pt idx="5604">
                  <c:v>6</c:v>
                </c:pt>
                <c:pt idx="5605">
                  <c:v>6</c:v>
                </c:pt>
                <c:pt idx="5606">
                  <c:v>6</c:v>
                </c:pt>
                <c:pt idx="5607">
                  <c:v>6</c:v>
                </c:pt>
                <c:pt idx="5608">
                  <c:v>6</c:v>
                </c:pt>
                <c:pt idx="5609">
                  <c:v>6</c:v>
                </c:pt>
                <c:pt idx="5610">
                  <c:v>6</c:v>
                </c:pt>
                <c:pt idx="5611">
                  <c:v>6</c:v>
                </c:pt>
                <c:pt idx="5612">
                  <c:v>6</c:v>
                </c:pt>
                <c:pt idx="5613">
                  <c:v>6</c:v>
                </c:pt>
                <c:pt idx="5614">
                  <c:v>6</c:v>
                </c:pt>
                <c:pt idx="5615">
                  <c:v>6</c:v>
                </c:pt>
                <c:pt idx="5616">
                  <c:v>6</c:v>
                </c:pt>
                <c:pt idx="5617">
                  <c:v>6</c:v>
                </c:pt>
                <c:pt idx="5618">
                  <c:v>6</c:v>
                </c:pt>
                <c:pt idx="5619">
                  <c:v>6</c:v>
                </c:pt>
                <c:pt idx="5620">
                  <c:v>6</c:v>
                </c:pt>
                <c:pt idx="5621">
                  <c:v>6</c:v>
                </c:pt>
                <c:pt idx="5622">
                  <c:v>6</c:v>
                </c:pt>
                <c:pt idx="5623">
                  <c:v>6</c:v>
                </c:pt>
                <c:pt idx="5624">
                  <c:v>6</c:v>
                </c:pt>
                <c:pt idx="5625">
                  <c:v>6</c:v>
                </c:pt>
                <c:pt idx="5626">
                  <c:v>6</c:v>
                </c:pt>
                <c:pt idx="5627">
                  <c:v>6</c:v>
                </c:pt>
                <c:pt idx="5628">
                  <c:v>6</c:v>
                </c:pt>
                <c:pt idx="5629">
                  <c:v>6</c:v>
                </c:pt>
                <c:pt idx="5630">
                  <c:v>6</c:v>
                </c:pt>
                <c:pt idx="5631">
                  <c:v>6</c:v>
                </c:pt>
                <c:pt idx="5632">
                  <c:v>6</c:v>
                </c:pt>
                <c:pt idx="5633">
                  <c:v>6</c:v>
                </c:pt>
                <c:pt idx="5634">
                  <c:v>6</c:v>
                </c:pt>
                <c:pt idx="5635">
                  <c:v>6</c:v>
                </c:pt>
                <c:pt idx="5636">
                  <c:v>6</c:v>
                </c:pt>
                <c:pt idx="5637">
                  <c:v>6</c:v>
                </c:pt>
                <c:pt idx="5638">
                  <c:v>6</c:v>
                </c:pt>
                <c:pt idx="5639">
                  <c:v>6</c:v>
                </c:pt>
                <c:pt idx="5640">
                  <c:v>6</c:v>
                </c:pt>
                <c:pt idx="5641">
                  <c:v>6</c:v>
                </c:pt>
                <c:pt idx="5642">
                  <c:v>6</c:v>
                </c:pt>
                <c:pt idx="5643">
                  <c:v>6</c:v>
                </c:pt>
                <c:pt idx="5644">
                  <c:v>6</c:v>
                </c:pt>
                <c:pt idx="5645">
                  <c:v>6</c:v>
                </c:pt>
                <c:pt idx="5646">
                  <c:v>6</c:v>
                </c:pt>
                <c:pt idx="5647">
                  <c:v>6</c:v>
                </c:pt>
                <c:pt idx="5648">
                  <c:v>6</c:v>
                </c:pt>
                <c:pt idx="5649">
                  <c:v>6</c:v>
                </c:pt>
                <c:pt idx="5650">
                  <c:v>6</c:v>
                </c:pt>
                <c:pt idx="5651">
                  <c:v>6</c:v>
                </c:pt>
                <c:pt idx="5652">
                  <c:v>6</c:v>
                </c:pt>
                <c:pt idx="5653">
                  <c:v>6</c:v>
                </c:pt>
                <c:pt idx="5654">
                  <c:v>6</c:v>
                </c:pt>
                <c:pt idx="5655">
                  <c:v>6</c:v>
                </c:pt>
                <c:pt idx="5656">
                  <c:v>6</c:v>
                </c:pt>
                <c:pt idx="5657">
                  <c:v>6</c:v>
                </c:pt>
                <c:pt idx="5658">
                  <c:v>6</c:v>
                </c:pt>
                <c:pt idx="5659">
                  <c:v>6</c:v>
                </c:pt>
                <c:pt idx="5660">
                  <c:v>6</c:v>
                </c:pt>
                <c:pt idx="5661">
                  <c:v>6</c:v>
                </c:pt>
                <c:pt idx="5662">
                  <c:v>6</c:v>
                </c:pt>
                <c:pt idx="5663">
                  <c:v>6</c:v>
                </c:pt>
                <c:pt idx="5664">
                  <c:v>6</c:v>
                </c:pt>
                <c:pt idx="5665">
                  <c:v>6</c:v>
                </c:pt>
                <c:pt idx="5666">
                  <c:v>6</c:v>
                </c:pt>
                <c:pt idx="5667">
                  <c:v>6</c:v>
                </c:pt>
                <c:pt idx="5668">
                  <c:v>6</c:v>
                </c:pt>
                <c:pt idx="5669">
                  <c:v>6</c:v>
                </c:pt>
                <c:pt idx="5670">
                  <c:v>6</c:v>
                </c:pt>
                <c:pt idx="5671">
                  <c:v>6</c:v>
                </c:pt>
                <c:pt idx="5672">
                  <c:v>6</c:v>
                </c:pt>
                <c:pt idx="5673">
                  <c:v>6</c:v>
                </c:pt>
                <c:pt idx="5674">
                  <c:v>6</c:v>
                </c:pt>
                <c:pt idx="5675">
                  <c:v>6</c:v>
                </c:pt>
                <c:pt idx="5676">
                  <c:v>6</c:v>
                </c:pt>
                <c:pt idx="5677">
                  <c:v>6</c:v>
                </c:pt>
                <c:pt idx="5678">
                  <c:v>6</c:v>
                </c:pt>
                <c:pt idx="5679">
                  <c:v>6</c:v>
                </c:pt>
                <c:pt idx="5680">
                  <c:v>6</c:v>
                </c:pt>
                <c:pt idx="5681">
                  <c:v>6</c:v>
                </c:pt>
                <c:pt idx="5682">
                  <c:v>6</c:v>
                </c:pt>
                <c:pt idx="5683">
                  <c:v>6</c:v>
                </c:pt>
                <c:pt idx="5684">
                  <c:v>6</c:v>
                </c:pt>
                <c:pt idx="5685">
                  <c:v>6</c:v>
                </c:pt>
                <c:pt idx="5686">
                  <c:v>6</c:v>
                </c:pt>
                <c:pt idx="5687">
                  <c:v>6</c:v>
                </c:pt>
                <c:pt idx="5688">
                  <c:v>6</c:v>
                </c:pt>
                <c:pt idx="5689">
                  <c:v>6</c:v>
                </c:pt>
                <c:pt idx="5690">
                  <c:v>6</c:v>
                </c:pt>
                <c:pt idx="5691">
                  <c:v>6</c:v>
                </c:pt>
                <c:pt idx="5692">
                  <c:v>6</c:v>
                </c:pt>
                <c:pt idx="5693">
                  <c:v>6</c:v>
                </c:pt>
                <c:pt idx="5694">
                  <c:v>6</c:v>
                </c:pt>
                <c:pt idx="5695">
                  <c:v>6</c:v>
                </c:pt>
                <c:pt idx="5696">
                  <c:v>6</c:v>
                </c:pt>
                <c:pt idx="5697">
                  <c:v>6</c:v>
                </c:pt>
                <c:pt idx="5698">
                  <c:v>6</c:v>
                </c:pt>
                <c:pt idx="5699">
                  <c:v>6</c:v>
                </c:pt>
                <c:pt idx="5700">
                  <c:v>6</c:v>
                </c:pt>
                <c:pt idx="5701">
                  <c:v>6</c:v>
                </c:pt>
                <c:pt idx="5702">
                  <c:v>6</c:v>
                </c:pt>
                <c:pt idx="5703">
                  <c:v>6</c:v>
                </c:pt>
                <c:pt idx="5704">
                  <c:v>6</c:v>
                </c:pt>
                <c:pt idx="5705">
                  <c:v>6</c:v>
                </c:pt>
                <c:pt idx="5706">
                  <c:v>6</c:v>
                </c:pt>
                <c:pt idx="5707">
                  <c:v>6</c:v>
                </c:pt>
                <c:pt idx="6087">
                  <c:v>7</c:v>
                </c:pt>
                <c:pt idx="6088">
                  <c:v>7</c:v>
                </c:pt>
                <c:pt idx="6089">
                  <c:v>7</c:v>
                </c:pt>
                <c:pt idx="6090">
                  <c:v>7</c:v>
                </c:pt>
                <c:pt idx="6091">
                  <c:v>7</c:v>
                </c:pt>
                <c:pt idx="6092">
                  <c:v>7</c:v>
                </c:pt>
                <c:pt idx="6093">
                  <c:v>7</c:v>
                </c:pt>
                <c:pt idx="6094">
                  <c:v>7</c:v>
                </c:pt>
                <c:pt idx="6095">
                  <c:v>7</c:v>
                </c:pt>
                <c:pt idx="6096">
                  <c:v>7</c:v>
                </c:pt>
                <c:pt idx="6097">
                  <c:v>7</c:v>
                </c:pt>
                <c:pt idx="6098">
                  <c:v>7</c:v>
                </c:pt>
                <c:pt idx="6099">
                  <c:v>7</c:v>
                </c:pt>
                <c:pt idx="6100">
                  <c:v>7</c:v>
                </c:pt>
                <c:pt idx="6101">
                  <c:v>7</c:v>
                </c:pt>
                <c:pt idx="6102">
                  <c:v>7</c:v>
                </c:pt>
                <c:pt idx="6103">
                  <c:v>7</c:v>
                </c:pt>
                <c:pt idx="6104">
                  <c:v>7</c:v>
                </c:pt>
                <c:pt idx="6105">
                  <c:v>7</c:v>
                </c:pt>
                <c:pt idx="6106">
                  <c:v>7</c:v>
                </c:pt>
                <c:pt idx="6107">
                  <c:v>7</c:v>
                </c:pt>
                <c:pt idx="6108">
                  <c:v>7</c:v>
                </c:pt>
                <c:pt idx="6109">
                  <c:v>7</c:v>
                </c:pt>
                <c:pt idx="6110">
                  <c:v>7</c:v>
                </c:pt>
                <c:pt idx="6111">
                  <c:v>7</c:v>
                </c:pt>
                <c:pt idx="6112">
                  <c:v>7</c:v>
                </c:pt>
                <c:pt idx="6113">
                  <c:v>7</c:v>
                </c:pt>
                <c:pt idx="6114">
                  <c:v>7</c:v>
                </c:pt>
                <c:pt idx="6115">
                  <c:v>7</c:v>
                </c:pt>
                <c:pt idx="6116">
                  <c:v>7</c:v>
                </c:pt>
                <c:pt idx="6117">
                  <c:v>7</c:v>
                </c:pt>
                <c:pt idx="6118">
                  <c:v>7</c:v>
                </c:pt>
                <c:pt idx="6119">
                  <c:v>7</c:v>
                </c:pt>
                <c:pt idx="6120">
                  <c:v>7</c:v>
                </c:pt>
                <c:pt idx="6121">
                  <c:v>7</c:v>
                </c:pt>
                <c:pt idx="6122">
                  <c:v>7</c:v>
                </c:pt>
                <c:pt idx="6123">
                  <c:v>7</c:v>
                </c:pt>
                <c:pt idx="6124">
                  <c:v>7</c:v>
                </c:pt>
                <c:pt idx="6125">
                  <c:v>7</c:v>
                </c:pt>
                <c:pt idx="6126">
                  <c:v>7</c:v>
                </c:pt>
                <c:pt idx="6127">
                  <c:v>7</c:v>
                </c:pt>
                <c:pt idx="6128">
                  <c:v>7</c:v>
                </c:pt>
                <c:pt idx="6129">
                  <c:v>7</c:v>
                </c:pt>
                <c:pt idx="6130">
                  <c:v>7</c:v>
                </c:pt>
                <c:pt idx="6131">
                  <c:v>7</c:v>
                </c:pt>
                <c:pt idx="6132">
                  <c:v>7</c:v>
                </c:pt>
                <c:pt idx="6133">
                  <c:v>7</c:v>
                </c:pt>
                <c:pt idx="6134">
                  <c:v>7</c:v>
                </c:pt>
                <c:pt idx="6135">
                  <c:v>7</c:v>
                </c:pt>
                <c:pt idx="6136">
                  <c:v>7</c:v>
                </c:pt>
                <c:pt idx="6137">
                  <c:v>7</c:v>
                </c:pt>
                <c:pt idx="6138">
                  <c:v>7</c:v>
                </c:pt>
                <c:pt idx="6139">
                  <c:v>7</c:v>
                </c:pt>
                <c:pt idx="6140">
                  <c:v>7</c:v>
                </c:pt>
                <c:pt idx="6141">
                  <c:v>7</c:v>
                </c:pt>
                <c:pt idx="6142">
                  <c:v>7</c:v>
                </c:pt>
                <c:pt idx="6143">
                  <c:v>7</c:v>
                </c:pt>
                <c:pt idx="6144">
                  <c:v>7</c:v>
                </c:pt>
                <c:pt idx="6145">
                  <c:v>7</c:v>
                </c:pt>
                <c:pt idx="6146">
                  <c:v>7</c:v>
                </c:pt>
                <c:pt idx="6147">
                  <c:v>7</c:v>
                </c:pt>
                <c:pt idx="6148">
                  <c:v>7</c:v>
                </c:pt>
                <c:pt idx="6149">
                  <c:v>7</c:v>
                </c:pt>
                <c:pt idx="6150">
                  <c:v>7</c:v>
                </c:pt>
                <c:pt idx="6151">
                  <c:v>7</c:v>
                </c:pt>
                <c:pt idx="6152">
                  <c:v>7</c:v>
                </c:pt>
                <c:pt idx="6153">
                  <c:v>7</c:v>
                </c:pt>
                <c:pt idx="6154">
                  <c:v>7</c:v>
                </c:pt>
                <c:pt idx="6155">
                  <c:v>7</c:v>
                </c:pt>
                <c:pt idx="6156">
                  <c:v>7</c:v>
                </c:pt>
                <c:pt idx="6157">
                  <c:v>7</c:v>
                </c:pt>
                <c:pt idx="6158">
                  <c:v>7</c:v>
                </c:pt>
                <c:pt idx="6159">
                  <c:v>7</c:v>
                </c:pt>
                <c:pt idx="6160">
                  <c:v>7</c:v>
                </c:pt>
                <c:pt idx="6161">
                  <c:v>7</c:v>
                </c:pt>
                <c:pt idx="6162">
                  <c:v>7</c:v>
                </c:pt>
                <c:pt idx="6163">
                  <c:v>7</c:v>
                </c:pt>
                <c:pt idx="6164">
                  <c:v>7</c:v>
                </c:pt>
                <c:pt idx="6165">
                  <c:v>7</c:v>
                </c:pt>
                <c:pt idx="6166">
                  <c:v>7</c:v>
                </c:pt>
                <c:pt idx="6167">
                  <c:v>7</c:v>
                </c:pt>
                <c:pt idx="6168">
                  <c:v>7</c:v>
                </c:pt>
                <c:pt idx="6169">
                  <c:v>7</c:v>
                </c:pt>
                <c:pt idx="6170">
                  <c:v>7</c:v>
                </c:pt>
                <c:pt idx="6171">
                  <c:v>7</c:v>
                </c:pt>
                <c:pt idx="6172">
                  <c:v>7</c:v>
                </c:pt>
                <c:pt idx="6173">
                  <c:v>7</c:v>
                </c:pt>
                <c:pt idx="6174">
                  <c:v>7</c:v>
                </c:pt>
                <c:pt idx="6175">
                  <c:v>7</c:v>
                </c:pt>
                <c:pt idx="6176">
                  <c:v>7</c:v>
                </c:pt>
                <c:pt idx="6177">
                  <c:v>7</c:v>
                </c:pt>
                <c:pt idx="6178">
                  <c:v>7</c:v>
                </c:pt>
                <c:pt idx="6179">
                  <c:v>7</c:v>
                </c:pt>
                <c:pt idx="6180">
                  <c:v>7</c:v>
                </c:pt>
                <c:pt idx="6181">
                  <c:v>7</c:v>
                </c:pt>
                <c:pt idx="6182">
                  <c:v>7</c:v>
                </c:pt>
                <c:pt idx="6183">
                  <c:v>7</c:v>
                </c:pt>
                <c:pt idx="6184">
                  <c:v>7</c:v>
                </c:pt>
                <c:pt idx="6185">
                  <c:v>7</c:v>
                </c:pt>
                <c:pt idx="6186">
                  <c:v>7</c:v>
                </c:pt>
                <c:pt idx="6187">
                  <c:v>7</c:v>
                </c:pt>
                <c:pt idx="6188">
                  <c:v>7</c:v>
                </c:pt>
                <c:pt idx="6189">
                  <c:v>7</c:v>
                </c:pt>
                <c:pt idx="6190">
                  <c:v>7</c:v>
                </c:pt>
                <c:pt idx="6191">
                  <c:v>7</c:v>
                </c:pt>
                <c:pt idx="6192">
                  <c:v>7</c:v>
                </c:pt>
                <c:pt idx="6193">
                  <c:v>7</c:v>
                </c:pt>
                <c:pt idx="6194">
                  <c:v>7</c:v>
                </c:pt>
                <c:pt idx="6195">
                  <c:v>7</c:v>
                </c:pt>
                <c:pt idx="6196">
                  <c:v>7</c:v>
                </c:pt>
                <c:pt idx="6197">
                  <c:v>7</c:v>
                </c:pt>
                <c:pt idx="6198">
                  <c:v>7</c:v>
                </c:pt>
                <c:pt idx="6199">
                  <c:v>7</c:v>
                </c:pt>
                <c:pt idx="6200">
                  <c:v>7</c:v>
                </c:pt>
                <c:pt idx="6201">
                  <c:v>7</c:v>
                </c:pt>
                <c:pt idx="6202">
                  <c:v>7</c:v>
                </c:pt>
                <c:pt idx="6203">
                  <c:v>7</c:v>
                </c:pt>
                <c:pt idx="6204">
                  <c:v>7</c:v>
                </c:pt>
                <c:pt idx="6205">
                  <c:v>7</c:v>
                </c:pt>
                <c:pt idx="6206">
                  <c:v>7</c:v>
                </c:pt>
                <c:pt idx="6207">
                  <c:v>7</c:v>
                </c:pt>
                <c:pt idx="6208">
                  <c:v>7</c:v>
                </c:pt>
                <c:pt idx="6209">
                  <c:v>7</c:v>
                </c:pt>
                <c:pt idx="6210">
                  <c:v>7</c:v>
                </c:pt>
                <c:pt idx="6211">
                  <c:v>7</c:v>
                </c:pt>
                <c:pt idx="6212">
                  <c:v>7</c:v>
                </c:pt>
                <c:pt idx="6213">
                  <c:v>7</c:v>
                </c:pt>
                <c:pt idx="6214">
                  <c:v>7</c:v>
                </c:pt>
                <c:pt idx="6215">
                  <c:v>7</c:v>
                </c:pt>
                <c:pt idx="6216">
                  <c:v>7</c:v>
                </c:pt>
                <c:pt idx="6217">
                  <c:v>7</c:v>
                </c:pt>
                <c:pt idx="6218">
                  <c:v>7</c:v>
                </c:pt>
                <c:pt idx="6219">
                  <c:v>7</c:v>
                </c:pt>
                <c:pt idx="6220">
                  <c:v>7</c:v>
                </c:pt>
                <c:pt idx="6221">
                  <c:v>7</c:v>
                </c:pt>
                <c:pt idx="6222">
                  <c:v>7</c:v>
                </c:pt>
                <c:pt idx="6223">
                  <c:v>7</c:v>
                </c:pt>
                <c:pt idx="6224">
                  <c:v>7</c:v>
                </c:pt>
                <c:pt idx="6225">
                  <c:v>7</c:v>
                </c:pt>
                <c:pt idx="6226">
                  <c:v>7</c:v>
                </c:pt>
                <c:pt idx="6227">
                  <c:v>7</c:v>
                </c:pt>
                <c:pt idx="6228">
                  <c:v>7</c:v>
                </c:pt>
                <c:pt idx="6229">
                  <c:v>7</c:v>
                </c:pt>
                <c:pt idx="6230">
                  <c:v>7</c:v>
                </c:pt>
                <c:pt idx="6231">
                  <c:v>7</c:v>
                </c:pt>
                <c:pt idx="6232">
                  <c:v>7</c:v>
                </c:pt>
                <c:pt idx="6233">
                  <c:v>7</c:v>
                </c:pt>
                <c:pt idx="6234">
                  <c:v>7</c:v>
                </c:pt>
                <c:pt idx="6235">
                  <c:v>7</c:v>
                </c:pt>
                <c:pt idx="6236">
                  <c:v>7</c:v>
                </c:pt>
                <c:pt idx="6237">
                  <c:v>7</c:v>
                </c:pt>
                <c:pt idx="6238">
                  <c:v>7</c:v>
                </c:pt>
                <c:pt idx="6239">
                  <c:v>7</c:v>
                </c:pt>
                <c:pt idx="6240">
                  <c:v>7</c:v>
                </c:pt>
                <c:pt idx="6241">
                  <c:v>7</c:v>
                </c:pt>
                <c:pt idx="6242">
                  <c:v>7</c:v>
                </c:pt>
                <c:pt idx="6243">
                  <c:v>7</c:v>
                </c:pt>
                <c:pt idx="6244">
                  <c:v>7</c:v>
                </c:pt>
                <c:pt idx="6245">
                  <c:v>7</c:v>
                </c:pt>
                <c:pt idx="6246">
                  <c:v>7</c:v>
                </c:pt>
                <c:pt idx="6247">
                  <c:v>7</c:v>
                </c:pt>
                <c:pt idx="6248">
                  <c:v>7</c:v>
                </c:pt>
                <c:pt idx="6249">
                  <c:v>7</c:v>
                </c:pt>
                <c:pt idx="6250">
                  <c:v>7</c:v>
                </c:pt>
                <c:pt idx="6251">
                  <c:v>7</c:v>
                </c:pt>
                <c:pt idx="6252">
                  <c:v>7</c:v>
                </c:pt>
                <c:pt idx="6253">
                  <c:v>7</c:v>
                </c:pt>
                <c:pt idx="6254">
                  <c:v>7</c:v>
                </c:pt>
                <c:pt idx="6255">
                  <c:v>7</c:v>
                </c:pt>
                <c:pt idx="6256">
                  <c:v>7</c:v>
                </c:pt>
                <c:pt idx="6257">
                  <c:v>7</c:v>
                </c:pt>
                <c:pt idx="6258">
                  <c:v>7</c:v>
                </c:pt>
                <c:pt idx="6259">
                  <c:v>7</c:v>
                </c:pt>
                <c:pt idx="6260">
                  <c:v>7</c:v>
                </c:pt>
                <c:pt idx="6261">
                  <c:v>7</c:v>
                </c:pt>
                <c:pt idx="6262">
                  <c:v>7</c:v>
                </c:pt>
                <c:pt idx="6263">
                  <c:v>7</c:v>
                </c:pt>
                <c:pt idx="6264">
                  <c:v>7</c:v>
                </c:pt>
                <c:pt idx="6265">
                  <c:v>7</c:v>
                </c:pt>
                <c:pt idx="6266">
                  <c:v>7</c:v>
                </c:pt>
                <c:pt idx="6267">
                  <c:v>7</c:v>
                </c:pt>
                <c:pt idx="6268">
                  <c:v>7</c:v>
                </c:pt>
                <c:pt idx="6269">
                  <c:v>7</c:v>
                </c:pt>
                <c:pt idx="6270">
                  <c:v>7</c:v>
                </c:pt>
                <c:pt idx="6271">
                  <c:v>7</c:v>
                </c:pt>
                <c:pt idx="6272">
                  <c:v>7</c:v>
                </c:pt>
                <c:pt idx="6273">
                  <c:v>7</c:v>
                </c:pt>
                <c:pt idx="6274">
                  <c:v>7</c:v>
                </c:pt>
                <c:pt idx="6275">
                  <c:v>7</c:v>
                </c:pt>
                <c:pt idx="6276">
                  <c:v>7</c:v>
                </c:pt>
                <c:pt idx="6277">
                  <c:v>7</c:v>
                </c:pt>
                <c:pt idx="6278">
                  <c:v>7</c:v>
                </c:pt>
                <c:pt idx="6279">
                  <c:v>7</c:v>
                </c:pt>
                <c:pt idx="6280">
                  <c:v>7</c:v>
                </c:pt>
                <c:pt idx="6281">
                  <c:v>7</c:v>
                </c:pt>
                <c:pt idx="6282">
                  <c:v>7</c:v>
                </c:pt>
                <c:pt idx="6283">
                  <c:v>7</c:v>
                </c:pt>
                <c:pt idx="6284">
                  <c:v>7</c:v>
                </c:pt>
                <c:pt idx="6285">
                  <c:v>7</c:v>
                </c:pt>
                <c:pt idx="6286">
                  <c:v>7</c:v>
                </c:pt>
                <c:pt idx="6287">
                  <c:v>7</c:v>
                </c:pt>
                <c:pt idx="6288">
                  <c:v>7</c:v>
                </c:pt>
                <c:pt idx="6289">
                  <c:v>7</c:v>
                </c:pt>
                <c:pt idx="6290">
                  <c:v>7</c:v>
                </c:pt>
                <c:pt idx="6291">
                  <c:v>7</c:v>
                </c:pt>
                <c:pt idx="6292">
                  <c:v>7</c:v>
                </c:pt>
                <c:pt idx="6293">
                  <c:v>7</c:v>
                </c:pt>
                <c:pt idx="6294">
                  <c:v>7</c:v>
                </c:pt>
                <c:pt idx="6295">
                  <c:v>7</c:v>
                </c:pt>
                <c:pt idx="6296">
                  <c:v>7</c:v>
                </c:pt>
                <c:pt idx="6297">
                  <c:v>7</c:v>
                </c:pt>
                <c:pt idx="6298">
                  <c:v>7</c:v>
                </c:pt>
                <c:pt idx="6299">
                  <c:v>7</c:v>
                </c:pt>
                <c:pt idx="6300">
                  <c:v>7</c:v>
                </c:pt>
                <c:pt idx="6301">
                  <c:v>7</c:v>
                </c:pt>
                <c:pt idx="6302">
                  <c:v>7</c:v>
                </c:pt>
                <c:pt idx="6303">
                  <c:v>7</c:v>
                </c:pt>
                <c:pt idx="6304">
                  <c:v>7</c:v>
                </c:pt>
                <c:pt idx="6305">
                  <c:v>7</c:v>
                </c:pt>
                <c:pt idx="6306">
                  <c:v>7</c:v>
                </c:pt>
                <c:pt idx="6307">
                  <c:v>7</c:v>
                </c:pt>
                <c:pt idx="6308">
                  <c:v>7</c:v>
                </c:pt>
                <c:pt idx="6309">
                  <c:v>7</c:v>
                </c:pt>
                <c:pt idx="6310">
                  <c:v>7</c:v>
                </c:pt>
                <c:pt idx="6311">
                  <c:v>7</c:v>
                </c:pt>
                <c:pt idx="6312">
                  <c:v>7</c:v>
                </c:pt>
                <c:pt idx="6313">
                  <c:v>7</c:v>
                </c:pt>
                <c:pt idx="6314">
                  <c:v>7</c:v>
                </c:pt>
                <c:pt idx="6315">
                  <c:v>7</c:v>
                </c:pt>
                <c:pt idx="6316">
                  <c:v>7</c:v>
                </c:pt>
                <c:pt idx="6317">
                  <c:v>7</c:v>
                </c:pt>
                <c:pt idx="6318">
                  <c:v>7</c:v>
                </c:pt>
                <c:pt idx="6319">
                  <c:v>7</c:v>
                </c:pt>
                <c:pt idx="6320">
                  <c:v>7</c:v>
                </c:pt>
                <c:pt idx="6321">
                  <c:v>7</c:v>
                </c:pt>
                <c:pt idx="6322">
                  <c:v>7</c:v>
                </c:pt>
                <c:pt idx="6323">
                  <c:v>7</c:v>
                </c:pt>
                <c:pt idx="6324">
                  <c:v>7</c:v>
                </c:pt>
                <c:pt idx="6325">
                  <c:v>7</c:v>
                </c:pt>
                <c:pt idx="6326">
                  <c:v>7</c:v>
                </c:pt>
                <c:pt idx="6327">
                  <c:v>7</c:v>
                </c:pt>
                <c:pt idx="6328">
                  <c:v>7</c:v>
                </c:pt>
                <c:pt idx="6329">
                  <c:v>7</c:v>
                </c:pt>
                <c:pt idx="6330">
                  <c:v>7</c:v>
                </c:pt>
                <c:pt idx="6331">
                  <c:v>7</c:v>
                </c:pt>
                <c:pt idx="6332">
                  <c:v>7</c:v>
                </c:pt>
                <c:pt idx="6333">
                  <c:v>7</c:v>
                </c:pt>
                <c:pt idx="6334">
                  <c:v>7</c:v>
                </c:pt>
                <c:pt idx="6335">
                  <c:v>7</c:v>
                </c:pt>
                <c:pt idx="6336">
                  <c:v>7</c:v>
                </c:pt>
                <c:pt idx="6337">
                  <c:v>7</c:v>
                </c:pt>
                <c:pt idx="6338">
                  <c:v>7</c:v>
                </c:pt>
                <c:pt idx="6339">
                  <c:v>7</c:v>
                </c:pt>
                <c:pt idx="6340">
                  <c:v>7</c:v>
                </c:pt>
                <c:pt idx="6341">
                  <c:v>7</c:v>
                </c:pt>
                <c:pt idx="6342">
                  <c:v>7</c:v>
                </c:pt>
                <c:pt idx="6343">
                  <c:v>7</c:v>
                </c:pt>
                <c:pt idx="6344">
                  <c:v>7</c:v>
                </c:pt>
                <c:pt idx="6345">
                  <c:v>7</c:v>
                </c:pt>
                <c:pt idx="6346">
                  <c:v>7</c:v>
                </c:pt>
                <c:pt idx="6347">
                  <c:v>7</c:v>
                </c:pt>
                <c:pt idx="6348">
                  <c:v>7</c:v>
                </c:pt>
                <c:pt idx="6349">
                  <c:v>7</c:v>
                </c:pt>
                <c:pt idx="6350">
                  <c:v>7</c:v>
                </c:pt>
                <c:pt idx="6351">
                  <c:v>7</c:v>
                </c:pt>
                <c:pt idx="6352">
                  <c:v>7</c:v>
                </c:pt>
                <c:pt idx="6353">
                  <c:v>7</c:v>
                </c:pt>
                <c:pt idx="6354">
                  <c:v>7</c:v>
                </c:pt>
                <c:pt idx="6355">
                  <c:v>7</c:v>
                </c:pt>
                <c:pt idx="6356">
                  <c:v>7</c:v>
                </c:pt>
                <c:pt idx="6357">
                  <c:v>7</c:v>
                </c:pt>
                <c:pt idx="6358">
                  <c:v>7</c:v>
                </c:pt>
                <c:pt idx="6359">
                  <c:v>7</c:v>
                </c:pt>
                <c:pt idx="6360">
                  <c:v>7</c:v>
                </c:pt>
                <c:pt idx="6361">
                  <c:v>7</c:v>
                </c:pt>
                <c:pt idx="6362">
                  <c:v>7</c:v>
                </c:pt>
                <c:pt idx="6363">
                  <c:v>7</c:v>
                </c:pt>
                <c:pt idx="6364">
                  <c:v>7</c:v>
                </c:pt>
                <c:pt idx="6365">
                  <c:v>7</c:v>
                </c:pt>
                <c:pt idx="6366">
                  <c:v>7</c:v>
                </c:pt>
                <c:pt idx="6367">
                  <c:v>7</c:v>
                </c:pt>
                <c:pt idx="6368">
                  <c:v>7</c:v>
                </c:pt>
                <c:pt idx="6369">
                  <c:v>7</c:v>
                </c:pt>
                <c:pt idx="6370">
                  <c:v>7</c:v>
                </c:pt>
                <c:pt idx="6371">
                  <c:v>7</c:v>
                </c:pt>
                <c:pt idx="6372">
                  <c:v>7</c:v>
                </c:pt>
                <c:pt idx="6373">
                  <c:v>7</c:v>
                </c:pt>
                <c:pt idx="6374">
                  <c:v>7</c:v>
                </c:pt>
                <c:pt idx="6375">
                  <c:v>7</c:v>
                </c:pt>
                <c:pt idx="6376">
                  <c:v>7</c:v>
                </c:pt>
                <c:pt idx="6377">
                  <c:v>7</c:v>
                </c:pt>
                <c:pt idx="6378">
                  <c:v>7</c:v>
                </c:pt>
                <c:pt idx="6379">
                  <c:v>7</c:v>
                </c:pt>
                <c:pt idx="6380">
                  <c:v>7</c:v>
                </c:pt>
                <c:pt idx="6381">
                  <c:v>7</c:v>
                </c:pt>
                <c:pt idx="6382">
                  <c:v>7</c:v>
                </c:pt>
                <c:pt idx="6383">
                  <c:v>7</c:v>
                </c:pt>
                <c:pt idx="6384">
                  <c:v>7</c:v>
                </c:pt>
                <c:pt idx="6385">
                  <c:v>7</c:v>
                </c:pt>
                <c:pt idx="6386">
                  <c:v>7</c:v>
                </c:pt>
                <c:pt idx="6387">
                  <c:v>7</c:v>
                </c:pt>
                <c:pt idx="6388">
                  <c:v>7</c:v>
                </c:pt>
                <c:pt idx="6389">
                  <c:v>7</c:v>
                </c:pt>
                <c:pt idx="6390">
                  <c:v>7</c:v>
                </c:pt>
                <c:pt idx="6391">
                  <c:v>7</c:v>
                </c:pt>
                <c:pt idx="6392">
                  <c:v>7</c:v>
                </c:pt>
                <c:pt idx="6393">
                  <c:v>7</c:v>
                </c:pt>
                <c:pt idx="6394">
                  <c:v>7</c:v>
                </c:pt>
                <c:pt idx="6395">
                  <c:v>7</c:v>
                </c:pt>
                <c:pt idx="6396">
                  <c:v>7</c:v>
                </c:pt>
                <c:pt idx="6397">
                  <c:v>7</c:v>
                </c:pt>
                <c:pt idx="6398">
                  <c:v>7</c:v>
                </c:pt>
                <c:pt idx="6399">
                  <c:v>7</c:v>
                </c:pt>
                <c:pt idx="6400">
                  <c:v>7</c:v>
                </c:pt>
                <c:pt idx="6401">
                  <c:v>7</c:v>
                </c:pt>
                <c:pt idx="6402">
                  <c:v>7</c:v>
                </c:pt>
                <c:pt idx="6403">
                  <c:v>7</c:v>
                </c:pt>
                <c:pt idx="6404">
                  <c:v>7</c:v>
                </c:pt>
                <c:pt idx="6405">
                  <c:v>7</c:v>
                </c:pt>
                <c:pt idx="6406">
                  <c:v>7</c:v>
                </c:pt>
                <c:pt idx="6407">
                  <c:v>7</c:v>
                </c:pt>
                <c:pt idx="6408">
                  <c:v>7</c:v>
                </c:pt>
                <c:pt idx="6409">
                  <c:v>7</c:v>
                </c:pt>
                <c:pt idx="6410">
                  <c:v>7</c:v>
                </c:pt>
                <c:pt idx="6411">
                  <c:v>7</c:v>
                </c:pt>
                <c:pt idx="6412">
                  <c:v>7</c:v>
                </c:pt>
                <c:pt idx="6413">
                  <c:v>7</c:v>
                </c:pt>
                <c:pt idx="6414">
                  <c:v>7</c:v>
                </c:pt>
                <c:pt idx="6415">
                  <c:v>7</c:v>
                </c:pt>
                <c:pt idx="6416">
                  <c:v>7</c:v>
                </c:pt>
                <c:pt idx="6417">
                  <c:v>7</c:v>
                </c:pt>
                <c:pt idx="6418">
                  <c:v>7</c:v>
                </c:pt>
                <c:pt idx="6419">
                  <c:v>7</c:v>
                </c:pt>
                <c:pt idx="6420">
                  <c:v>7</c:v>
                </c:pt>
                <c:pt idx="6421">
                  <c:v>7</c:v>
                </c:pt>
                <c:pt idx="6422">
                  <c:v>7</c:v>
                </c:pt>
                <c:pt idx="6423">
                  <c:v>7</c:v>
                </c:pt>
                <c:pt idx="6424">
                  <c:v>7</c:v>
                </c:pt>
                <c:pt idx="6425">
                  <c:v>7</c:v>
                </c:pt>
                <c:pt idx="6426">
                  <c:v>7</c:v>
                </c:pt>
                <c:pt idx="6427">
                  <c:v>7</c:v>
                </c:pt>
                <c:pt idx="6428">
                  <c:v>7</c:v>
                </c:pt>
                <c:pt idx="6429">
                  <c:v>7</c:v>
                </c:pt>
                <c:pt idx="6430">
                  <c:v>7</c:v>
                </c:pt>
                <c:pt idx="6431">
                  <c:v>7</c:v>
                </c:pt>
                <c:pt idx="6432">
                  <c:v>7</c:v>
                </c:pt>
                <c:pt idx="6433">
                  <c:v>7</c:v>
                </c:pt>
                <c:pt idx="6434">
                  <c:v>7</c:v>
                </c:pt>
                <c:pt idx="6435">
                  <c:v>7</c:v>
                </c:pt>
                <c:pt idx="6436">
                  <c:v>7</c:v>
                </c:pt>
                <c:pt idx="6437">
                  <c:v>7</c:v>
                </c:pt>
                <c:pt idx="6438">
                  <c:v>7</c:v>
                </c:pt>
                <c:pt idx="6439">
                  <c:v>7</c:v>
                </c:pt>
                <c:pt idx="6440">
                  <c:v>7</c:v>
                </c:pt>
                <c:pt idx="6441">
                  <c:v>7</c:v>
                </c:pt>
                <c:pt idx="6442">
                  <c:v>7</c:v>
                </c:pt>
                <c:pt idx="6443">
                  <c:v>7</c:v>
                </c:pt>
                <c:pt idx="6444">
                  <c:v>7</c:v>
                </c:pt>
                <c:pt idx="6445">
                  <c:v>7</c:v>
                </c:pt>
                <c:pt idx="6446">
                  <c:v>7</c:v>
                </c:pt>
                <c:pt idx="6447">
                  <c:v>7</c:v>
                </c:pt>
                <c:pt idx="6448">
                  <c:v>7</c:v>
                </c:pt>
                <c:pt idx="6449">
                  <c:v>7</c:v>
                </c:pt>
                <c:pt idx="6450">
                  <c:v>7</c:v>
                </c:pt>
                <c:pt idx="6451">
                  <c:v>7</c:v>
                </c:pt>
                <c:pt idx="6452">
                  <c:v>7</c:v>
                </c:pt>
                <c:pt idx="6453">
                  <c:v>7</c:v>
                </c:pt>
                <c:pt idx="6454">
                  <c:v>7</c:v>
                </c:pt>
                <c:pt idx="6455">
                  <c:v>7</c:v>
                </c:pt>
                <c:pt idx="6456">
                  <c:v>7</c:v>
                </c:pt>
                <c:pt idx="6457">
                  <c:v>7</c:v>
                </c:pt>
                <c:pt idx="6458">
                  <c:v>7</c:v>
                </c:pt>
                <c:pt idx="6459">
                  <c:v>7</c:v>
                </c:pt>
                <c:pt idx="6460">
                  <c:v>7</c:v>
                </c:pt>
                <c:pt idx="6461">
                  <c:v>7</c:v>
                </c:pt>
                <c:pt idx="6462">
                  <c:v>7</c:v>
                </c:pt>
                <c:pt idx="6463">
                  <c:v>7</c:v>
                </c:pt>
                <c:pt idx="6464">
                  <c:v>7</c:v>
                </c:pt>
                <c:pt idx="6465">
                  <c:v>7</c:v>
                </c:pt>
                <c:pt idx="6466">
                  <c:v>7</c:v>
                </c:pt>
                <c:pt idx="6467">
                  <c:v>7</c:v>
                </c:pt>
                <c:pt idx="6468">
                  <c:v>7</c:v>
                </c:pt>
                <c:pt idx="6469">
                  <c:v>7</c:v>
                </c:pt>
                <c:pt idx="6470">
                  <c:v>7</c:v>
                </c:pt>
                <c:pt idx="6471">
                  <c:v>7</c:v>
                </c:pt>
                <c:pt idx="6472">
                  <c:v>7</c:v>
                </c:pt>
                <c:pt idx="6473">
                  <c:v>7</c:v>
                </c:pt>
                <c:pt idx="6474">
                  <c:v>7</c:v>
                </c:pt>
                <c:pt idx="6475">
                  <c:v>7</c:v>
                </c:pt>
                <c:pt idx="6476">
                  <c:v>7</c:v>
                </c:pt>
                <c:pt idx="6477">
                  <c:v>7</c:v>
                </c:pt>
                <c:pt idx="6478">
                  <c:v>7</c:v>
                </c:pt>
                <c:pt idx="647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D-4C9A-ADD2-10FA57F1F1FF}"/>
            </c:ext>
          </c:extLst>
        </c:ser>
        <c:ser>
          <c:idx val="1"/>
          <c:order val="1"/>
          <c:tx>
            <c:strRef>
              <c:f>transpose!$C$1</c:f>
              <c:strCache>
                <c:ptCount val="1"/>
                <c:pt idx="0">
                  <c:v>F2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transpose!$C$2:$C$7686</c:f>
              <c:numCache>
                <c:formatCode>General</c:formatCode>
                <c:ptCount val="7685"/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527">
                  <c:v>4</c:v>
                </c:pt>
                <c:pt idx="3528">
                  <c:v>4</c:v>
                </c:pt>
                <c:pt idx="3529">
                  <c:v>4</c:v>
                </c:pt>
                <c:pt idx="3530">
                  <c:v>4</c:v>
                </c:pt>
                <c:pt idx="3531">
                  <c:v>4</c:v>
                </c:pt>
                <c:pt idx="3532">
                  <c:v>4</c:v>
                </c:pt>
                <c:pt idx="3533">
                  <c:v>4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37">
                  <c:v>4</c:v>
                </c:pt>
                <c:pt idx="3538">
                  <c:v>4</c:v>
                </c:pt>
                <c:pt idx="3539">
                  <c:v>4</c:v>
                </c:pt>
                <c:pt idx="3540">
                  <c:v>4</c:v>
                </c:pt>
                <c:pt idx="3541">
                  <c:v>4</c:v>
                </c:pt>
                <c:pt idx="3542">
                  <c:v>4</c:v>
                </c:pt>
                <c:pt idx="3543">
                  <c:v>4</c:v>
                </c:pt>
                <c:pt idx="3544">
                  <c:v>4</c:v>
                </c:pt>
                <c:pt idx="3545">
                  <c:v>4</c:v>
                </c:pt>
                <c:pt idx="3546">
                  <c:v>4</c:v>
                </c:pt>
                <c:pt idx="3547">
                  <c:v>4</c:v>
                </c:pt>
                <c:pt idx="3548">
                  <c:v>4</c:v>
                </c:pt>
                <c:pt idx="3549">
                  <c:v>4</c:v>
                </c:pt>
                <c:pt idx="3550">
                  <c:v>4</c:v>
                </c:pt>
                <c:pt idx="3551">
                  <c:v>4</c:v>
                </c:pt>
                <c:pt idx="3552">
                  <c:v>4</c:v>
                </c:pt>
                <c:pt idx="3553">
                  <c:v>4</c:v>
                </c:pt>
                <c:pt idx="3554">
                  <c:v>4</c:v>
                </c:pt>
                <c:pt idx="3555">
                  <c:v>4</c:v>
                </c:pt>
                <c:pt idx="3556">
                  <c:v>4</c:v>
                </c:pt>
                <c:pt idx="3557">
                  <c:v>4</c:v>
                </c:pt>
                <c:pt idx="3558">
                  <c:v>4</c:v>
                </c:pt>
                <c:pt idx="3559">
                  <c:v>4</c:v>
                </c:pt>
                <c:pt idx="3560">
                  <c:v>4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4</c:v>
                </c:pt>
                <c:pt idx="3565">
                  <c:v>4</c:v>
                </c:pt>
                <c:pt idx="3566">
                  <c:v>4</c:v>
                </c:pt>
                <c:pt idx="3567">
                  <c:v>4</c:v>
                </c:pt>
                <c:pt idx="3568">
                  <c:v>4</c:v>
                </c:pt>
                <c:pt idx="3569">
                  <c:v>4</c:v>
                </c:pt>
                <c:pt idx="3570">
                  <c:v>4</c:v>
                </c:pt>
                <c:pt idx="3571">
                  <c:v>4</c:v>
                </c:pt>
                <c:pt idx="3572">
                  <c:v>4</c:v>
                </c:pt>
                <c:pt idx="3573">
                  <c:v>4</c:v>
                </c:pt>
                <c:pt idx="3574">
                  <c:v>4</c:v>
                </c:pt>
                <c:pt idx="3575">
                  <c:v>4</c:v>
                </c:pt>
                <c:pt idx="3576">
                  <c:v>4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4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4</c:v>
                </c:pt>
                <c:pt idx="3586">
                  <c:v>4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4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4</c:v>
                </c:pt>
                <c:pt idx="3599">
                  <c:v>4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4</c:v>
                </c:pt>
                <c:pt idx="3607">
                  <c:v>4</c:v>
                </c:pt>
                <c:pt idx="3608">
                  <c:v>4</c:v>
                </c:pt>
                <c:pt idx="3609">
                  <c:v>4</c:v>
                </c:pt>
                <c:pt idx="3610">
                  <c:v>4</c:v>
                </c:pt>
                <c:pt idx="3611">
                  <c:v>4</c:v>
                </c:pt>
                <c:pt idx="3612">
                  <c:v>4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  <c:pt idx="3639">
                  <c:v>4</c:v>
                </c:pt>
                <c:pt idx="3640">
                  <c:v>4</c:v>
                </c:pt>
                <c:pt idx="3641">
                  <c:v>4</c:v>
                </c:pt>
                <c:pt idx="3642">
                  <c:v>4</c:v>
                </c:pt>
                <c:pt idx="3643">
                  <c:v>4</c:v>
                </c:pt>
                <c:pt idx="3644">
                  <c:v>4</c:v>
                </c:pt>
                <c:pt idx="3645">
                  <c:v>4</c:v>
                </c:pt>
                <c:pt idx="3646">
                  <c:v>4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4</c:v>
                </c:pt>
                <c:pt idx="3660">
                  <c:v>4</c:v>
                </c:pt>
                <c:pt idx="3661">
                  <c:v>4</c:v>
                </c:pt>
                <c:pt idx="3662">
                  <c:v>4</c:v>
                </c:pt>
                <c:pt idx="3663">
                  <c:v>4</c:v>
                </c:pt>
                <c:pt idx="3664">
                  <c:v>4</c:v>
                </c:pt>
                <c:pt idx="3665">
                  <c:v>4</c:v>
                </c:pt>
                <c:pt idx="3666">
                  <c:v>4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4</c:v>
                </c:pt>
                <c:pt idx="3679">
                  <c:v>4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4</c:v>
                </c:pt>
                <c:pt idx="3697">
                  <c:v>4</c:v>
                </c:pt>
                <c:pt idx="3698">
                  <c:v>4</c:v>
                </c:pt>
                <c:pt idx="3699">
                  <c:v>4</c:v>
                </c:pt>
                <c:pt idx="3700">
                  <c:v>4</c:v>
                </c:pt>
                <c:pt idx="3701">
                  <c:v>4</c:v>
                </c:pt>
                <c:pt idx="3702">
                  <c:v>4</c:v>
                </c:pt>
                <c:pt idx="3703">
                  <c:v>4</c:v>
                </c:pt>
                <c:pt idx="3704">
                  <c:v>4</c:v>
                </c:pt>
                <c:pt idx="3705">
                  <c:v>4</c:v>
                </c:pt>
                <c:pt idx="3706">
                  <c:v>4</c:v>
                </c:pt>
                <c:pt idx="3707">
                  <c:v>4</c:v>
                </c:pt>
                <c:pt idx="3708">
                  <c:v>4</c:v>
                </c:pt>
                <c:pt idx="3709">
                  <c:v>4</c:v>
                </c:pt>
                <c:pt idx="3710">
                  <c:v>4</c:v>
                </c:pt>
                <c:pt idx="3711">
                  <c:v>4</c:v>
                </c:pt>
                <c:pt idx="4847">
                  <c:v>5</c:v>
                </c:pt>
                <c:pt idx="4848">
                  <c:v>5</c:v>
                </c:pt>
                <c:pt idx="4849">
                  <c:v>5</c:v>
                </c:pt>
                <c:pt idx="4850">
                  <c:v>5</c:v>
                </c:pt>
                <c:pt idx="4851">
                  <c:v>5</c:v>
                </c:pt>
                <c:pt idx="4852">
                  <c:v>5</c:v>
                </c:pt>
                <c:pt idx="4853">
                  <c:v>5</c:v>
                </c:pt>
                <c:pt idx="4854">
                  <c:v>5</c:v>
                </c:pt>
                <c:pt idx="4855">
                  <c:v>5</c:v>
                </c:pt>
                <c:pt idx="4856">
                  <c:v>5</c:v>
                </c:pt>
                <c:pt idx="4857">
                  <c:v>5</c:v>
                </c:pt>
                <c:pt idx="4858">
                  <c:v>5</c:v>
                </c:pt>
                <c:pt idx="4859">
                  <c:v>5</c:v>
                </c:pt>
                <c:pt idx="4860">
                  <c:v>5</c:v>
                </c:pt>
                <c:pt idx="4861">
                  <c:v>5</c:v>
                </c:pt>
                <c:pt idx="4862">
                  <c:v>5</c:v>
                </c:pt>
                <c:pt idx="4863">
                  <c:v>5</c:v>
                </c:pt>
                <c:pt idx="4864">
                  <c:v>5</c:v>
                </c:pt>
                <c:pt idx="4865">
                  <c:v>5</c:v>
                </c:pt>
                <c:pt idx="4866">
                  <c:v>5</c:v>
                </c:pt>
                <c:pt idx="4867">
                  <c:v>5</c:v>
                </c:pt>
                <c:pt idx="4868">
                  <c:v>5</c:v>
                </c:pt>
                <c:pt idx="4869">
                  <c:v>5</c:v>
                </c:pt>
                <c:pt idx="4870">
                  <c:v>5</c:v>
                </c:pt>
                <c:pt idx="4871">
                  <c:v>5</c:v>
                </c:pt>
                <c:pt idx="4872">
                  <c:v>5</c:v>
                </c:pt>
                <c:pt idx="4873">
                  <c:v>5</c:v>
                </c:pt>
                <c:pt idx="4874">
                  <c:v>5</c:v>
                </c:pt>
                <c:pt idx="4875">
                  <c:v>5</c:v>
                </c:pt>
                <c:pt idx="4876">
                  <c:v>5</c:v>
                </c:pt>
                <c:pt idx="4877">
                  <c:v>5</c:v>
                </c:pt>
                <c:pt idx="4878">
                  <c:v>5</c:v>
                </c:pt>
                <c:pt idx="4879">
                  <c:v>5</c:v>
                </c:pt>
                <c:pt idx="4880">
                  <c:v>5</c:v>
                </c:pt>
                <c:pt idx="4881">
                  <c:v>5</c:v>
                </c:pt>
                <c:pt idx="4882">
                  <c:v>5</c:v>
                </c:pt>
                <c:pt idx="4883">
                  <c:v>5</c:v>
                </c:pt>
                <c:pt idx="4884">
                  <c:v>5</c:v>
                </c:pt>
                <c:pt idx="4885">
                  <c:v>5</c:v>
                </c:pt>
                <c:pt idx="4886">
                  <c:v>5</c:v>
                </c:pt>
                <c:pt idx="4887">
                  <c:v>5</c:v>
                </c:pt>
                <c:pt idx="4888">
                  <c:v>5</c:v>
                </c:pt>
                <c:pt idx="4889">
                  <c:v>5</c:v>
                </c:pt>
                <c:pt idx="4890">
                  <c:v>5</c:v>
                </c:pt>
                <c:pt idx="4891">
                  <c:v>5</c:v>
                </c:pt>
                <c:pt idx="4892">
                  <c:v>5</c:v>
                </c:pt>
                <c:pt idx="4893">
                  <c:v>5</c:v>
                </c:pt>
                <c:pt idx="4894">
                  <c:v>5</c:v>
                </c:pt>
                <c:pt idx="4895">
                  <c:v>5</c:v>
                </c:pt>
                <c:pt idx="4896">
                  <c:v>5</c:v>
                </c:pt>
                <c:pt idx="4897">
                  <c:v>5</c:v>
                </c:pt>
                <c:pt idx="4898">
                  <c:v>5</c:v>
                </c:pt>
                <c:pt idx="4899">
                  <c:v>5</c:v>
                </c:pt>
                <c:pt idx="4900">
                  <c:v>5</c:v>
                </c:pt>
                <c:pt idx="4901">
                  <c:v>5</c:v>
                </c:pt>
                <c:pt idx="4902">
                  <c:v>5</c:v>
                </c:pt>
                <c:pt idx="4903">
                  <c:v>5</c:v>
                </c:pt>
                <c:pt idx="4904">
                  <c:v>5</c:v>
                </c:pt>
                <c:pt idx="4905">
                  <c:v>5</c:v>
                </c:pt>
                <c:pt idx="4906">
                  <c:v>5</c:v>
                </c:pt>
                <c:pt idx="4907">
                  <c:v>5</c:v>
                </c:pt>
                <c:pt idx="4908">
                  <c:v>5</c:v>
                </c:pt>
                <c:pt idx="4909">
                  <c:v>5</c:v>
                </c:pt>
                <c:pt idx="4910">
                  <c:v>5</c:v>
                </c:pt>
                <c:pt idx="4911">
                  <c:v>5</c:v>
                </c:pt>
                <c:pt idx="4912">
                  <c:v>5</c:v>
                </c:pt>
                <c:pt idx="4913">
                  <c:v>5</c:v>
                </c:pt>
                <c:pt idx="4914">
                  <c:v>5</c:v>
                </c:pt>
                <c:pt idx="4915">
                  <c:v>5</c:v>
                </c:pt>
                <c:pt idx="4916">
                  <c:v>5</c:v>
                </c:pt>
                <c:pt idx="4917">
                  <c:v>5</c:v>
                </c:pt>
                <c:pt idx="4918">
                  <c:v>5</c:v>
                </c:pt>
                <c:pt idx="4919">
                  <c:v>5</c:v>
                </c:pt>
                <c:pt idx="4920">
                  <c:v>5</c:v>
                </c:pt>
                <c:pt idx="4921">
                  <c:v>5</c:v>
                </c:pt>
                <c:pt idx="4922">
                  <c:v>5</c:v>
                </c:pt>
                <c:pt idx="4923">
                  <c:v>5</c:v>
                </c:pt>
                <c:pt idx="4924">
                  <c:v>5</c:v>
                </c:pt>
                <c:pt idx="4925">
                  <c:v>5</c:v>
                </c:pt>
                <c:pt idx="4926">
                  <c:v>5</c:v>
                </c:pt>
                <c:pt idx="4927">
                  <c:v>5</c:v>
                </c:pt>
                <c:pt idx="4928">
                  <c:v>5</c:v>
                </c:pt>
                <c:pt idx="4929">
                  <c:v>5</c:v>
                </c:pt>
                <c:pt idx="4930">
                  <c:v>5</c:v>
                </c:pt>
                <c:pt idx="4931">
                  <c:v>5</c:v>
                </c:pt>
                <c:pt idx="4932">
                  <c:v>5</c:v>
                </c:pt>
                <c:pt idx="4933">
                  <c:v>5</c:v>
                </c:pt>
                <c:pt idx="4934">
                  <c:v>5</c:v>
                </c:pt>
                <c:pt idx="4935">
                  <c:v>5</c:v>
                </c:pt>
                <c:pt idx="4936">
                  <c:v>5</c:v>
                </c:pt>
                <c:pt idx="4937">
                  <c:v>5</c:v>
                </c:pt>
                <c:pt idx="4938">
                  <c:v>5</c:v>
                </c:pt>
                <c:pt idx="4939">
                  <c:v>5</c:v>
                </c:pt>
                <c:pt idx="4940">
                  <c:v>5</c:v>
                </c:pt>
                <c:pt idx="4941">
                  <c:v>5</c:v>
                </c:pt>
                <c:pt idx="4942">
                  <c:v>5</c:v>
                </c:pt>
                <c:pt idx="4943">
                  <c:v>5</c:v>
                </c:pt>
                <c:pt idx="4944">
                  <c:v>5</c:v>
                </c:pt>
                <c:pt idx="4945">
                  <c:v>5</c:v>
                </c:pt>
                <c:pt idx="4946">
                  <c:v>5</c:v>
                </c:pt>
                <c:pt idx="4947">
                  <c:v>5</c:v>
                </c:pt>
                <c:pt idx="4948">
                  <c:v>5</c:v>
                </c:pt>
                <c:pt idx="4949">
                  <c:v>5</c:v>
                </c:pt>
                <c:pt idx="4950">
                  <c:v>5</c:v>
                </c:pt>
                <c:pt idx="4951">
                  <c:v>5</c:v>
                </c:pt>
                <c:pt idx="4952">
                  <c:v>5</c:v>
                </c:pt>
                <c:pt idx="4953">
                  <c:v>5</c:v>
                </c:pt>
                <c:pt idx="4954">
                  <c:v>5</c:v>
                </c:pt>
                <c:pt idx="4955">
                  <c:v>5</c:v>
                </c:pt>
                <c:pt idx="4956">
                  <c:v>5</c:v>
                </c:pt>
                <c:pt idx="4957">
                  <c:v>5</c:v>
                </c:pt>
                <c:pt idx="4958">
                  <c:v>5</c:v>
                </c:pt>
                <c:pt idx="4959">
                  <c:v>5</c:v>
                </c:pt>
                <c:pt idx="4960">
                  <c:v>5</c:v>
                </c:pt>
                <c:pt idx="4961">
                  <c:v>5</c:v>
                </c:pt>
                <c:pt idx="4962">
                  <c:v>5</c:v>
                </c:pt>
                <c:pt idx="4963">
                  <c:v>5</c:v>
                </c:pt>
                <c:pt idx="4964">
                  <c:v>5</c:v>
                </c:pt>
                <c:pt idx="4965">
                  <c:v>5</c:v>
                </c:pt>
                <c:pt idx="4966">
                  <c:v>5</c:v>
                </c:pt>
                <c:pt idx="4967">
                  <c:v>5</c:v>
                </c:pt>
                <c:pt idx="4968">
                  <c:v>5</c:v>
                </c:pt>
                <c:pt idx="4969">
                  <c:v>5</c:v>
                </c:pt>
                <c:pt idx="4970">
                  <c:v>5</c:v>
                </c:pt>
                <c:pt idx="4971">
                  <c:v>5</c:v>
                </c:pt>
                <c:pt idx="4972">
                  <c:v>5</c:v>
                </c:pt>
                <c:pt idx="4973">
                  <c:v>5</c:v>
                </c:pt>
                <c:pt idx="4974">
                  <c:v>5</c:v>
                </c:pt>
                <c:pt idx="4975">
                  <c:v>5</c:v>
                </c:pt>
                <c:pt idx="4976">
                  <c:v>5</c:v>
                </c:pt>
                <c:pt idx="4977">
                  <c:v>5</c:v>
                </c:pt>
                <c:pt idx="4978">
                  <c:v>5</c:v>
                </c:pt>
                <c:pt idx="4979">
                  <c:v>5</c:v>
                </c:pt>
                <c:pt idx="4980">
                  <c:v>5</c:v>
                </c:pt>
                <c:pt idx="4981">
                  <c:v>5</c:v>
                </c:pt>
                <c:pt idx="4982">
                  <c:v>5</c:v>
                </c:pt>
                <c:pt idx="4983">
                  <c:v>5</c:v>
                </c:pt>
                <c:pt idx="4984">
                  <c:v>5</c:v>
                </c:pt>
                <c:pt idx="4985">
                  <c:v>5</c:v>
                </c:pt>
                <c:pt idx="4986">
                  <c:v>5</c:v>
                </c:pt>
                <c:pt idx="4987">
                  <c:v>5</c:v>
                </c:pt>
                <c:pt idx="4988">
                  <c:v>5</c:v>
                </c:pt>
                <c:pt idx="4989">
                  <c:v>5</c:v>
                </c:pt>
                <c:pt idx="4990">
                  <c:v>5</c:v>
                </c:pt>
                <c:pt idx="4991">
                  <c:v>5</c:v>
                </c:pt>
                <c:pt idx="4992">
                  <c:v>5</c:v>
                </c:pt>
                <c:pt idx="4993">
                  <c:v>5</c:v>
                </c:pt>
                <c:pt idx="4994">
                  <c:v>5</c:v>
                </c:pt>
                <c:pt idx="4995">
                  <c:v>5</c:v>
                </c:pt>
                <c:pt idx="4996">
                  <c:v>5</c:v>
                </c:pt>
                <c:pt idx="4997">
                  <c:v>5</c:v>
                </c:pt>
                <c:pt idx="4998">
                  <c:v>5</c:v>
                </c:pt>
                <c:pt idx="4999">
                  <c:v>5</c:v>
                </c:pt>
                <c:pt idx="5000">
                  <c:v>5</c:v>
                </c:pt>
                <c:pt idx="5001">
                  <c:v>5</c:v>
                </c:pt>
                <c:pt idx="5002">
                  <c:v>5</c:v>
                </c:pt>
                <c:pt idx="5003">
                  <c:v>5</c:v>
                </c:pt>
                <c:pt idx="5004">
                  <c:v>5</c:v>
                </c:pt>
                <c:pt idx="5005">
                  <c:v>5</c:v>
                </c:pt>
                <c:pt idx="5006">
                  <c:v>5</c:v>
                </c:pt>
                <c:pt idx="5007">
                  <c:v>5</c:v>
                </c:pt>
                <c:pt idx="5008">
                  <c:v>5</c:v>
                </c:pt>
                <c:pt idx="5009">
                  <c:v>5</c:v>
                </c:pt>
                <c:pt idx="5010">
                  <c:v>5</c:v>
                </c:pt>
                <c:pt idx="5011">
                  <c:v>5</c:v>
                </c:pt>
                <c:pt idx="5012">
                  <c:v>5</c:v>
                </c:pt>
                <c:pt idx="5013">
                  <c:v>5</c:v>
                </c:pt>
                <c:pt idx="5014">
                  <c:v>5</c:v>
                </c:pt>
                <c:pt idx="5015">
                  <c:v>5</c:v>
                </c:pt>
                <c:pt idx="5016">
                  <c:v>5</c:v>
                </c:pt>
                <c:pt idx="5017">
                  <c:v>5</c:v>
                </c:pt>
                <c:pt idx="5018">
                  <c:v>5</c:v>
                </c:pt>
                <c:pt idx="5019">
                  <c:v>5</c:v>
                </c:pt>
                <c:pt idx="5020">
                  <c:v>5</c:v>
                </c:pt>
                <c:pt idx="5021">
                  <c:v>5</c:v>
                </c:pt>
                <c:pt idx="5022">
                  <c:v>5</c:v>
                </c:pt>
                <c:pt idx="5023">
                  <c:v>5</c:v>
                </c:pt>
                <c:pt idx="5024">
                  <c:v>5</c:v>
                </c:pt>
                <c:pt idx="5025">
                  <c:v>5</c:v>
                </c:pt>
                <c:pt idx="5026">
                  <c:v>5</c:v>
                </c:pt>
                <c:pt idx="5027">
                  <c:v>5</c:v>
                </c:pt>
                <c:pt idx="5028">
                  <c:v>5</c:v>
                </c:pt>
                <c:pt idx="5029">
                  <c:v>5</c:v>
                </c:pt>
                <c:pt idx="5030">
                  <c:v>5</c:v>
                </c:pt>
                <c:pt idx="5031">
                  <c:v>5</c:v>
                </c:pt>
                <c:pt idx="5032">
                  <c:v>5</c:v>
                </c:pt>
                <c:pt idx="5033">
                  <c:v>5</c:v>
                </c:pt>
                <c:pt idx="5034">
                  <c:v>5</c:v>
                </c:pt>
                <c:pt idx="5035">
                  <c:v>5</c:v>
                </c:pt>
                <c:pt idx="5036">
                  <c:v>5</c:v>
                </c:pt>
                <c:pt idx="5037">
                  <c:v>5</c:v>
                </c:pt>
                <c:pt idx="5038">
                  <c:v>5</c:v>
                </c:pt>
                <c:pt idx="5039">
                  <c:v>5</c:v>
                </c:pt>
                <c:pt idx="5040">
                  <c:v>5</c:v>
                </c:pt>
                <c:pt idx="5041">
                  <c:v>5</c:v>
                </c:pt>
                <c:pt idx="5042">
                  <c:v>5</c:v>
                </c:pt>
                <c:pt idx="5043">
                  <c:v>5</c:v>
                </c:pt>
                <c:pt idx="5044">
                  <c:v>5</c:v>
                </c:pt>
                <c:pt idx="5045">
                  <c:v>5</c:v>
                </c:pt>
                <c:pt idx="5046">
                  <c:v>5</c:v>
                </c:pt>
                <c:pt idx="5047">
                  <c:v>5</c:v>
                </c:pt>
                <c:pt idx="5048">
                  <c:v>5</c:v>
                </c:pt>
                <c:pt idx="5049">
                  <c:v>5</c:v>
                </c:pt>
                <c:pt idx="5050">
                  <c:v>5</c:v>
                </c:pt>
                <c:pt idx="5051">
                  <c:v>5</c:v>
                </c:pt>
                <c:pt idx="5052">
                  <c:v>5</c:v>
                </c:pt>
                <c:pt idx="5053">
                  <c:v>5</c:v>
                </c:pt>
                <c:pt idx="5054">
                  <c:v>5</c:v>
                </c:pt>
                <c:pt idx="5055">
                  <c:v>5</c:v>
                </c:pt>
                <c:pt idx="5056">
                  <c:v>5</c:v>
                </c:pt>
                <c:pt idx="5057">
                  <c:v>5</c:v>
                </c:pt>
                <c:pt idx="5058">
                  <c:v>5</c:v>
                </c:pt>
                <c:pt idx="5059">
                  <c:v>5</c:v>
                </c:pt>
                <c:pt idx="5060">
                  <c:v>5</c:v>
                </c:pt>
                <c:pt idx="5061">
                  <c:v>5</c:v>
                </c:pt>
                <c:pt idx="5062">
                  <c:v>5</c:v>
                </c:pt>
                <c:pt idx="5063">
                  <c:v>5</c:v>
                </c:pt>
                <c:pt idx="5064">
                  <c:v>5</c:v>
                </c:pt>
                <c:pt idx="5065">
                  <c:v>5</c:v>
                </c:pt>
                <c:pt idx="5066">
                  <c:v>5</c:v>
                </c:pt>
                <c:pt idx="5067">
                  <c:v>5</c:v>
                </c:pt>
                <c:pt idx="5068">
                  <c:v>5</c:v>
                </c:pt>
                <c:pt idx="5069">
                  <c:v>5</c:v>
                </c:pt>
                <c:pt idx="5070">
                  <c:v>5</c:v>
                </c:pt>
                <c:pt idx="5071">
                  <c:v>5</c:v>
                </c:pt>
                <c:pt idx="5072">
                  <c:v>5</c:v>
                </c:pt>
                <c:pt idx="5073">
                  <c:v>5</c:v>
                </c:pt>
                <c:pt idx="5074">
                  <c:v>5</c:v>
                </c:pt>
                <c:pt idx="5075">
                  <c:v>5</c:v>
                </c:pt>
                <c:pt idx="5076">
                  <c:v>5</c:v>
                </c:pt>
                <c:pt idx="5077">
                  <c:v>5</c:v>
                </c:pt>
                <c:pt idx="5078">
                  <c:v>5</c:v>
                </c:pt>
                <c:pt idx="5079">
                  <c:v>5</c:v>
                </c:pt>
                <c:pt idx="5080">
                  <c:v>5</c:v>
                </c:pt>
                <c:pt idx="5081">
                  <c:v>5</c:v>
                </c:pt>
                <c:pt idx="5082">
                  <c:v>5</c:v>
                </c:pt>
                <c:pt idx="5083">
                  <c:v>5</c:v>
                </c:pt>
                <c:pt idx="5084">
                  <c:v>5</c:v>
                </c:pt>
                <c:pt idx="5085">
                  <c:v>5</c:v>
                </c:pt>
                <c:pt idx="5086">
                  <c:v>5</c:v>
                </c:pt>
                <c:pt idx="5087">
                  <c:v>5</c:v>
                </c:pt>
                <c:pt idx="5088">
                  <c:v>5</c:v>
                </c:pt>
                <c:pt idx="5089">
                  <c:v>5</c:v>
                </c:pt>
                <c:pt idx="5090">
                  <c:v>5</c:v>
                </c:pt>
                <c:pt idx="5091">
                  <c:v>5</c:v>
                </c:pt>
                <c:pt idx="5092">
                  <c:v>5</c:v>
                </c:pt>
                <c:pt idx="5093">
                  <c:v>5</c:v>
                </c:pt>
                <c:pt idx="5094">
                  <c:v>5</c:v>
                </c:pt>
                <c:pt idx="5095">
                  <c:v>5</c:v>
                </c:pt>
                <c:pt idx="5096">
                  <c:v>5</c:v>
                </c:pt>
                <c:pt idx="5097">
                  <c:v>5</c:v>
                </c:pt>
                <c:pt idx="5098">
                  <c:v>5</c:v>
                </c:pt>
                <c:pt idx="5099">
                  <c:v>5</c:v>
                </c:pt>
                <c:pt idx="5100">
                  <c:v>5</c:v>
                </c:pt>
                <c:pt idx="5101">
                  <c:v>5</c:v>
                </c:pt>
                <c:pt idx="5102">
                  <c:v>5</c:v>
                </c:pt>
                <c:pt idx="5103">
                  <c:v>5</c:v>
                </c:pt>
                <c:pt idx="5104">
                  <c:v>5</c:v>
                </c:pt>
                <c:pt idx="5105">
                  <c:v>5</c:v>
                </c:pt>
                <c:pt idx="5106">
                  <c:v>5</c:v>
                </c:pt>
                <c:pt idx="5107">
                  <c:v>5</c:v>
                </c:pt>
                <c:pt idx="5108">
                  <c:v>5</c:v>
                </c:pt>
                <c:pt idx="5109">
                  <c:v>5</c:v>
                </c:pt>
                <c:pt idx="5110">
                  <c:v>5</c:v>
                </c:pt>
                <c:pt idx="5111">
                  <c:v>5</c:v>
                </c:pt>
                <c:pt idx="5112">
                  <c:v>5</c:v>
                </c:pt>
                <c:pt idx="5113">
                  <c:v>5</c:v>
                </c:pt>
                <c:pt idx="5114">
                  <c:v>5</c:v>
                </c:pt>
                <c:pt idx="5115">
                  <c:v>5</c:v>
                </c:pt>
                <c:pt idx="5116">
                  <c:v>5</c:v>
                </c:pt>
                <c:pt idx="5117">
                  <c:v>5</c:v>
                </c:pt>
                <c:pt idx="5118">
                  <c:v>5</c:v>
                </c:pt>
                <c:pt idx="5119">
                  <c:v>5</c:v>
                </c:pt>
                <c:pt idx="5120">
                  <c:v>5</c:v>
                </c:pt>
                <c:pt idx="5121">
                  <c:v>5</c:v>
                </c:pt>
                <c:pt idx="5122">
                  <c:v>5</c:v>
                </c:pt>
                <c:pt idx="5123">
                  <c:v>5</c:v>
                </c:pt>
                <c:pt idx="5124">
                  <c:v>5</c:v>
                </c:pt>
                <c:pt idx="5125">
                  <c:v>5</c:v>
                </c:pt>
                <c:pt idx="5126">
                  <c:v>5</c:v>
                </c:pt>
                <c:pt idx="5127">
                  <c:v>5</c:v>
                </c:pt>
                <c:pt idx="5128">
                  <c:v>5</c:v>
                </c:pt>
                <c:pt idx="5129">
                  <c:v>5</c:v>
                </c:pt>
                <c:pt idx="5130">
                  <c:v>5</c:v>
                </c:pt>
                <c:pt idx="5131">
                  <c:v>5</c:v>
                </c:pt>
                <c:pt idx="5132">
                  <c:v>5</c:v>
                </c:pt>
                <c:pt idx="5133">
                  <c:v>5</c:v>
                </c:pt>
                <c:pt idx="5134">
                  <c:v>5</c:v>
                </c:pt>
                <c:pt idx="5135">
                  <c:v>5</c:v>
                </c:pt>
                <c:pt idx="5136">
                  <c:v>5</c:v>
                </c:pt>
                <c:pt idx="5137">
                  <c:v>5</c:v>
                </c:pt>
                <c:pt idx="5138">
                  <c:v>5</c:v>
                </c:pt>
                <c:pt idx="5139">
                  <c:v>5</c:v>
                </c:pt>
                <c:pt idx="5140">
                  <c:v>5</c:v>
                </c:pt>
                <c:pt idx="5141">
                  <c:v>5</c:v>
                </c:pt>
                <c:pt idx="5142">
                  <c:v>5</c:v>
                </c:pt>
                <c:pt idx="5143">
                  <c:v>5</c:v>
                </c:pt>
                <c:pt idx="5144">
                  <c:v>5</c:v>
                </c:pt>
                <c:pt idx="5145">
                  <c:v>5</c:v>
                </c:pt>
                <c:pt idx="5146">
                  <c:v>5</c:v>
                </c:pt>
                <c:pt idx="5147">
                  <c:v>5</c:v>
                </c:pt>
                <c:pt idx="5148">
                  <c:v>5</c:v>
                </c:pt>
                <c:pt idx="5149">
                  <c:v>5</c:v>
                </c:pt>
                <c:pt idx="5150">
                  <c:v>5</c:v>
                </c:pt>
                <c:pt idx="5151">
                  <c:v>5</c:v>
                </c:pt>
                <c:pt idx="5152">
                  <c:v>5</c:v>
                </c:pt>
                <c:pt idx="5153">
                  <c:v>5</c:v>
                </c:pt>
                <c:pt idx="5154">
                  <c:v>5</c:v>
                </c:pt>
                <c:pt idx="5155">
                  <c:v>5</c:v>
                </c:pt>
                <c:pt idx="5156">
                  <c:v>5</c:v>
                </c:pt>
                <c:pt idx="5157">
                  <c:v>5</c:v>
                </c:pt>
                <c:pt idx="5158">
                  <c:v>5</c:v>
                </c:pt>
                <c:pt idx="5159">
                  <c:v>5</c:v>
                </c:pt>
                <c:pt idx="5160">
                  <c:v>5</c:v>
                </c:pt>
                <c:pt idx="5161">
                  <c:v>5</c:v>
                </c:pt>
                <c:pt idx="5162">
                  <c:v>5</c:v>
                </c:pt>
                <c:pt idx="5163">
                  <c:v>5</c:v>
                </c:pt>
                <c:pt idx="5164">
                  <c:v>5</c:v>
                </c:pt>
                <c:pt idx="5165">
                  <c:v>5</c:v>
                </c:pt>
                <c:pt idx="5166">
                  <c:v>5</c:v>
                </c:pt>
                <c:pt idx="5167">
                  <c:v>5</c:v>
                </c:pt>
                <c:pt idx="5168">
                  <c:v>5</c:v>
                </c:pt>
                <c:pt idx="5169">
                  <c:v>5</c:v>
                </c:pt>
                <c:pt idx="5170">
                  <c:v>5</c:v>
                </c:pt>
                <c:pt idx="5171">
                  <c:v>5</c:v>
                </c:pt>
                <c:pt idx="5172">
                  <c:v>5</c:v>
                </c:pt>
                <c:pt idx="5173">
                  <c:v>5</c:v>
                </c:pt>
                <c:pt idx="5174">
                  <c:v>5</c:v>
                </c:pt>
                <c:pt idx="5175">
                  <c:v>5</c:v>
                </c:pt>
                <c:pt idx="5176">
                  <c:v>5</c:v>
                </c:pt>
                <c:pt idx="5177">
                  <c:v>5</c:v>
                </c:pt>
                <c:pt idx="5178">
                  <c:v>5</c:v>
                </c:pt>
                <c:pt idx="5179">
                  <c:v>5</c:v>
                </c:pt>
                <c:pt idx="5180">
                  <c:v>5</c:v>
                </c:pt>
                <c:pt idx="5181">
                  <c:v>5</c:v>
                </c:pt>
                <c:pt idx="5182">
                  <c:v>5</c:v>
                </c:pt>
                <c:pt idx="5183">
                  <c:v>5</c:v>
                </c:pt>
                <c:pt idx="5184">
                  <c:v>5</c:v>
                </c:pt>
                <c:pt idx="5185">
                  <c:v>5</c:v>
                </c:pt>
                <c:pt idx="5186">
                  <c:v>5</c:v>
                </c:pt>
                <c:pt idx="5187">
                  <c:v>5</c:v>
                </c:pt>
                <c:pt idx="5188">
                  <c:v>5</c:v>
                </c:pt>
                <c:pt idx="5189">
                  <c:v>5</c:v>
                </c:pt>
                <c:pt idx="5190">
                  <c:v>5</c:v>
                </c:pt>
                <c:pt idx="5191">
                  <c:v>5</c:v>
                </c:pt>
                <c:pt idx="5192">
                  <c:v>5</c:v>
                </c:pt>
                <c:pt idx="5193">
                  <c:v>5</c:v>
                </c:pt>
                <c:pt idx="5194">
                  <c:v>5</c:v>
                </c:pt>
                <c:pt idx="5195">
                  <c:v>5</c:v>
                </c:pt>
                <c:pt idx="5196">
                  <c:v>5</c:v>
                </c:pt>
                <c:pt idx="5197">
                  <c:v>5</c:v>
                </c:pt>
                <c:pt idx="5198">
                  <c:v>5</c:v>
                </c:pt>
                <c:pt idx="5199">
                  <c:v>5</c:v>
                </c:pt>
                <c:pt idx="5200">
                  <c:v>5</c:v>
                </c:pt>
                <c:pt idx="5201">
                  <c:v>5</c:v>
                </c:pt>
                <c:pt idx="5202">
                  <c:v>5</c:v>
                </c:pt>
                <c:pt idx="5203">
                  <c:v>5</c:v>
                </c:pt>
                <c:pt idx="5204">
                  <c:v>5</c:v>
                </c:pt>
                <c:pt idx="5205">
                  <c:v>5</c:v>
                </c:pt>
                <c:pt idx="5206">
                  <c:v>5</c:v>
                </c:pt>
                <c:pt idx="5207">
                  <c:v>5</c:v>
                </c:pt>
                <c:pt idx="5208">
                  <c:v>5</c:v>
                </c:pt>
                <c:pt idx="5209">
                  <c:v>5</c:v>
                </c:pt>
                <c:pt idx="5210">
                  <c:v>5</c:v>
                </c:pt>
                <c:pt idx="5211">
                  <c:v>5</c:v>
                </c:pt>
                <c:pt idx="5212">
                  <c:v>5</c:v>
                </c:pt>
                <c:pt idx="5213">
                  <c:v>5</c:v>
                </c:pt>
                <c:pt idx="5214">
                  <c:v>5</c:v>
                </c:pt>
                <c:pt idx="5215">
                  <c:v>5</c:v>
                </c:pt>
                <c:pt idx="5216">
                  <c:v>5</c:v>
                </c:pt>
                <c:pt idx="5217">
                  <c:v>5</c:v>
                </c:pt>
                <c:pt idx="5218">
                  <c:v>5</c:v>
                </c:pt>
                <c:pt idx="5219">
                  <c:v>5</c:v>
                </c:pt>
                <c:pt idx="5220">
                  <c:v>5</c:v>
                </c:pt>
                <c:pt idx="5221">
                  <c:v>5</c:v>
                </c:pt>
                <c:pt idx="5222">
                  <c:v>5</c:v>
                </c:pt>
                <c:pt idx="5223">
                  <c:v>5</c:v>
                </c:pt>
                <c:pt idx="5224">
                  <c:v>5</c:v>
                </c:pt>
                <c:pt idx="5225">
                  <c:v>5</c:v>
                </c:pt>
                <c:pt idx="5226">
                  <c:v>5</c:v>
                </c:pt>
                <c:pt idx="5227">
                  <c:v>5</c:v>
                </c:pt>
                <c:pt idx="5228">
                  <c:v>5</c:v>
                </c:pt>
                <c:pt idx="5229">
                  <c:v>5</c:v>
                </c:pt>
                <c:pt idx="5230">
                  <c:v>5</c:v>
                </c:pt>
                <c:pt idx="5231">
                  <c:v>5</c:v>
                </c:pt>
                <c:pt idx="5232">
                  <c:v>5</c:v>
                </c:pt>
                <c:pt idx="5233">
                  <c:v>5</c:v>
                </c:pt>
                <c:pt idx="5234">
                  <c:v>5</c:v>
                </c:pt>
                <c:pt idx="5235">
                  <c:v>5</c:v>
                </c:pt>
                <c:pt idx="5236">
                  <c:v>5</c:v>
                </c:pt>
                <c:pt idx="5237">
                  <c:v>5</c:v>
                </c:pt>
                <c:pt idx="5238">
                  <c:v>5</c:v>
                </c:pt>
                <c:pt idx="5239">
                  <c:v>5</c:v>
                </c:pt>
                <c:pt idx="5240">
                  <c:v>5</c:v>
                </c:pt>
                <c:pt idx="5241">
                  <c:v>5</c:v>
                </c:pt>
                <c:pt idx="5242">
                  <c:v>5</c:v>
                </c:pt>
                <c:pt idx="5243">
                  <c:v>5</c:v>
                </c:pt>
                <c:pt idx="5244">
                  <c:v>5</c:v>
                </c:pt>
                <c:pt idx="5245">
                  <c:v>5</c:v>
                </c:pt>
                <c:pt idx="5246">
                  <c:v>5</c:v>
                </c:pt>
                <c:pt idx="5247">
                  <c:v>5</c:v>
                </c:pt>
                <c:pt idx="5248">
                  <c:v>5</c:v>
                </c:pt>
                <c:pt idx="5249">
                  <c:v>5</c:v>
                </c:pt>
                <c:pt idx="5250">
                  <c:v>5</c:v>
                </c:pt>
                <c:pt idx="5251">
                  <c:v>5</c:v>
                </c:pt>
                <c:pt idx="5252">
                  <c:v>5</c:v>
                </c:pt>
                <c:pt idx="5253">
                  <c:v>5</c:v>
                </c:pt>
                <c:pt idx="5254">
                  <c:v>5</c:v>
                </c:pt>
                <c:pt idx="5255">
                  <c:v>5</c:v>
                </c:pt>
                <c:pt idx="5256">
                  <c:v>5</c:v>
                </c:pt>
                <c:pt idx="5257">
                  <c:v>5</c:v>
                </c:pt>
                <c:pt idx="5258">
                  <c:v>5</c:v>
                </c:pt>
                <c:pt idx="5259">
                  <c:v>5</c:v>
                </c:pt>
                <c:pt idx="5260">
                  <c:v>5</c:v>
                </c:pt>
                <c:pt idx="5261">
                  <c:v>5</c:v>
                </c:pt>
                <c:pt idx="5262">
                  <c:v>5</c:v>
                </c:pt>
                <c:pt idx="5263">
                  <c:v>5</c:v>
                </c:pt>
                <c:pt idx="5264">
                  <c:v>5</c:v>
                </c:pt>
                <c:pt idx="5265">
                  <c:v>5</c:v>
                </c:pt>
                <c:pt idx="5266">
                  <c:v>5</c:v>
                </c:pt>
                <c:pt idx="5267">
                  <c:v>5</c:v>
                </c:pt>
                <c:pt idx="5268">
                  <c:v>5</c:v>
                </c:pt>
                <c:pt idx="5269">
                  <c:v>5</c:v>
                </c:pt>
                <c:pt idx="5270">
                  <c:v>5</c:v>
                </c:pt>
                <c:pt idx="5271">
                  <c:v>5</c:v>
                </c:pt>
                <c:pt idx="5272">
                  <c:v>5</c:v>
                </c:pt>
                <c:pt idx="5273">
                  <c:v>5</c:v>
                </c:pt>
                <c:pt idx="5274">
                  <c:v>5</c:v>
                </c:pt>
                <c:pt idx="5275">
                  <c:v>5</c:v>
                </c:pt>
                <c:pt idx="5276">
                  <c:v>5</c:v>
                </c:pt>
                <c:pt idx="5277">
                  <c:v>5</c:v>
                </c:pt>
                <c:pt idx="5278">
                  <c:v>5</c:v>
                </c:pt>
                <c:pt idx="5279">
                  <c:v>5</c:v>
                </c:pt>
                <c:pt idx="5280">
                  <c:v>5</c:v>
                </c:pt>
                <c:pt idx="5281">
                  <c:v>5</c:v>
                </c:pt>
                <c:pt idx="5282">
                  <c:v>5</c:v>
                </c:pt>
                <c:pt idx="5283">
                  <c:v>5</c:v>
                </c:pt>
                <c:pt idx="5284">
                  <c:v>5</c:v>
                </c:pt>
                <c:pt idx="5285">
                  <c:v>5</c:v>
                </c:pt>
                <c:pt idx="5286">
                  <c:v>5</c:v>
                </c:pt>
                <c:pt idx="5287">
                  <c:v>5</c:v>
                </c:pt>
                <c:pt idx="5288">
                  <c:v>5</c:v>
                </c:pt>
                <c:pt idx="5289">
                  <c:v>5</c:v>
                </c:pt>
                <c:pt idx="5290">
                  <c:v>5</c:v>
                </c:pt>
                <c:pt idx="5291">
                  <c:v>5</c:v>
                </c:pt>
                <c:pt idx="5292">
                  <c:v>5</c:v>
                </c:pt>
                <c:pt idx="5293">
                  <c:v>5</c:v>
                </c:pt>
                <c:pt idx="5294">
                  <c:v>5</c:v>
                </c:pt>
                <c:pt idx="5295">
                  <c:v>5</c:v>
                </c:pt>
                <c:pt idx="5296">
                  <c:v>5</c:v>
                </c:pt>
                <c:pt idx="5297">
                  <c:v>5</c:v>
                </c:pt>
                <c:pt idx="5298">
                  <c:v>5</c:v>
                </c:pt>
                <c:pt idx="5299">
                  <c:v>5</c:v>
                </c:pt>
                <c:pt idx="5300">
                  <c:v>5</c:v>
                </c:pt>
                <c:pt idx="5301">
                  <c:v>5</c:v>
                </c:pt>
                <c:pt idx="5302">
                  <c:v>5</c:v>
                </c:pt>
                <c:pt idx="5303">
                  <c:v>5</c:v>
                </c:pt>
                <c:pt idx="5304">
                  <c:v>5</c:v>
                </c:pt>
                <c:pt idx="5305">
                  <c:v>5</c:v>
                </c:pt>
                <c:pt idx="5306">
                  <c:v>5</c:v>
                </c:pt>
                <c:pt idx="5307">
                  <c:v>5</c:v>
                </c:pt>
                <c:pt idx="5308">
                  <c:v>5</c:v>
                </c:pt>
                <c:pt idx="5309">
                  <c:v>5</c:v>
                </c:pt>
                <c:pt idx="5310">
                  <c:v>5</c:v>
                </c:pt>
                <c:pt idx="5311">
                  <c:v>5</c:v>
                </c:pt>
                <c:pt idx="5312">
                  <c:v>5</c:v>
                </c:pt>
                <c:pt idx="5313">
                  <c:v>5</c:v>
                </c:pt>
                <c:pt idx="5314">
                  <c:v>5</c:v>
                </c:pt>
                <c:pt idx="5315">
                  <c:v>5</c:v>
                </c:pt>
                <c:pt idx="5316">
                  <c:v>5</c:v>
                </c:pt>
                <c:pt idx="5317">
                  <c:v>5</c:v>
                </c:pt>
                <c:pt idx="5318">
                  <c:v>5</c:v>
                </c:pt>
                <c:pt idx="5319">
                  <c:v>5</c:v>
                </c:pt>
                <c:pt idx="5320">
                  <c:v>5</c:v>
                </c:pt>
                <c:pt idx="5321">
                  <c:v>5</c:v>
                </c:pt>
                <c:pt idx="5322">
                  <c:v>5</c:v>
                </c:pt>
                <c:pt idx="5323">
                  <c:v>5</c:v>
                </c:pt>
                <c:pt idx="5324">
                  <c:v>5</c:v>
                </c:pt>
                <c:pt idx="5325">
                  <c:v>5</c:v>
                </c:pt>
                <c:pt idx="5326">
                  <c:v>5</c:v>
                </c:pt>
                <c:pt idx="5327">
                  <c:v>5</c:v>
                </c:pt>
                <c:pt idx="5328">
                  <c:v>5</c:v>
                </c:pt>
                <c:pt idx="5329">
                  <c:v>5</c:v>
                </c:pt>
                <c:pt idx="5330">
                  <c:v>5</c:v>
                </c:pt>
                <c:pt idx="5331">
                  <c:v>5</c:v>
                </c:pt>
                <c:pt idx="5332">
                  <c:v>5</c:v>
                </c:pt>
                <c:pt idx="5333">
                  <c:v>5</c:v>
                </c:pt>
                <c:pt idx="5334">
                  <c:v>5</c:v>
                </c:pt>
                <c:pt idx="5335">
                  <c:v>5</c:v>
                </c:pt>
                <c:pt idx="5336">
                  <c:v>5</c:v>
                </c:pt>
                <c:pt idx="5337">
                  <c:v>5</c:v>
                </c:pt>
                <c:pt idx="5338">
                  <c:v>5</c:v>
                </c:pt>
                <c:pt idx="5339">
                  <c:v>5</c:v>
                </c:pt>
                <c:pt idx="5340">
                  <c:v>5</c:v>
                </c:pt>
                <c:pt idx="5341">
                  <c:v>5</c:v>
                </c:pt>
                <c:pt idx="5342">
                  <c:v>5</c:v>
                </c:pt>
                <c:pt idx="5343">
                  <c:v>5</c:v>
                </c:pt>
                <c:pt idx="5344">
                  <c:v>5</c:v>
                </c:pt>
                <c:pt idx="5345">
                  <c:v>5</c:v>
                </c:pt>
                <c:pt idx="5346">
                  <c:v>5</c:v>
                </c:pt>
                <c:pt idx="5347">
                  <c:v>5</c:v>
                </c:pt>
                <c:pt idx="5348">
                  <c:v>5</c:v>
                </c:pt>
                <c:pt idx="5349">
                  <c:v>5</c:v>
                </c:pt>
                <c:pt idx="5350">
                  <c:v>5</c:v>
                </c:pt>
                <c:pt idx="5351">
                  <c:v>5</c:v>
                </c:pt>
                <c:pt idx="5352">
                  <c:v>5</c:v>
                </c:pt>
                <c:pt idx="5353">
                  <c:v>5</c:v>
                </c:pt>
                <c:pt idx="5354">
                  <c:v>5</c:v>
                </c:pt>
                <c:pt idx="5355">
                  <c:v>5</c:v>
                </c:pt>
                <c:pt idx="5356">
                  <c:v>5</c:v>
                </c:pt>
                <c:pt idx="5357">
                  <c:v>5</c:v>
                </c:pt>
                <c:pt idx="5358">
                  <c:v>5</c:v>
                </c:pt>
                <c:pt idx="5359">
                  <c:v>5</c:v>
                </c:pt>
                <c:pt idx="5360">
                  <c:v>5</c:v>
                </c:pt>
                <c:pt idx="5361">
                  <c:v>5</c:v>
                </c:pt>
                <c:pt idx="5362">
                  <c:v>5</c:v>
                </c:pt>
                <c:pt idx="5363">
                  <c:v>5</c:v>
                </c:pt>
                <c:pt idx="5364">
                  <c:v>5</c:v>
                </c:pt>
                <c:pt idx="5365">
                  <c:v>5</c:v>
                </c:pt>
                <c:pt idx="5366">
                  <c:v>5</c:v>
                </c:pt>
                <c:pt idx="5367">
                  <c:v>5</c:v>
                </c:pt>
                <c:pt idx="5368">
                  <c:v>5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6</c:v>
                </c:pt>
                <c:pt idx="5950">
                  <c:v>6</c:v>
                </c:pt>
                <c:pt idx="5951">
                  <c:v>6</c:v>
                </c:pt>
                <c:pt idx="5952">
                  <c:v>6</c:v>
                </c:pt>
                <c:pt idx="5953">
                  <c:v>6</c:v>
                </c:pt>
                <c:pt idx="5954">
                  <c:v>6</c:v>
                </c:pt>
                <c:pt idx="5955">
                  <c:v>6</c:v>
                </c:pt>
                <c:pt idx="5956">
                  <c:v>6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6</c:v>
                </c:pt>
                <c:pt idx="5966">
                  <c:v>6</c:v>
                </c:pt>
                <c:pt idx="5967">
                  <c:v>6</c:v>
                </c:pt>
                <c:pt idx="5968">
                  <c:v>6</c:v>
                </c:pt>
                <c:pt idx="5969">
                  <c:v>6</c:v>
                </c:pt>
                <c:pt idx="5970">
                  <c:v>6</c:v>
                </c:pt>
                <c:pt idx="5971">
                  <c:v>6</c:v>
                </c:pt>
                <c:pt idx="5972">
                  <c:v>6</c:v>
                </c:pt>
                <c:pt idx="5973">
                  <c:v>6</c:v>
                </c:pt>
                <c:pt idx="5974">
                  <c:v>6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6</c:v>
                </c:pt>
                <c:pt idx="5983">
                  <c:v>6</c:v>
                </c:pt>
                <c:pt idx="5984">
                  <c:v>6</c:v>
                </c:pt>
                <c:pt idx="5985">
                  <c:v>6</c:v>
                </c:pt>
                <c:pt idx="5986">
                  <c:v>6</c:v>
                </c:pt>
                <c:pt idx="5987">
                  <c:v>6</c:v>
                </c:pt>
                <c:pt idx="5988">
                  <c:v>6</c:v>
                </c:pt>
                <c:pt idx="5989">
                  <c:v>6</c:v>
                </c:pt>
                <c:pt idx="5990">
                  <c:v>6</c:v>
                </c:pt>
                <c:pt idx="5991">
                  <c:v>6</c:v>
                </c:pt>
                <c:pt idx="5992">
                  <c:v>6</c:v>
                </c:pt>
                <c:pt idx="5993">
                  <c:v>6</c:v>
                </c:pt>
                <c:pt idx="5994">
                  <c:v>6</c:v>
                </c:pt>
                <c:pt idx="5995">
                  <c:v>6</c:v>
                </c:pt>
                <c:pt idx="5996">
                  <c:v>6</c:v>
                </c:pt>
                <c:pt idx="5997">
                  <c:v>6</c:v>
                </c:pt>
                <c:pt idx="5998">
                  <c:v>6</c:v>
                </c:pt>
                <c:pt idx="5999">
                  <c:v>6</c:v>
                </c:pt>
                <c:pt idx="6000">
                  <c:v>6</c:v>
                </c:pt>
                <c:pt idx="6001">
                  <c:v>6</c:v>
                </c:pt>
                <c:pt idx="6002">
                  <c:v>6</c:v>
                </c:pt>
                <c:pt idx="6003">
                  <c:v>6</c:v>
                </c:pt>
                <c:pt idx="6004">
                  <c:v>6</c:v>
                </c:pt>
                <c:pt idx="6005">
                  <c:v>6</c:v>
                </c:pt>
                <c:pt idx="6006">
                  <c:v>6</c:v>
                </c:pt>
                <c:pt idx="6007">
                  <c:v>6</c:v>
                </c:pt>
                <c:pt idx="6008">
                  <c:v>6</c:v>
                </c:pt>
                <c:pt idx="6009">
                  <c:v>6</c:v>
                </c:pt>
                <c:pt idx="6010">
                  <c:v>6</c:v>
                </c:pt>
                <c:pt idx="6011">
                  <c:v>6</c:v>
                </c:pt>
                <c:pt idx="6012">
                  <c:v>6</c:v>
                </c:pt>
                <c:pt idx="6013">
                  <c:v>6</c:v>
                </c:pt>
                <c:pt idx="6014">
                  <c:v>6</c:v>
                </c:pt>
                <c:pt idx="6015">
                  <c:v>6</c:v>
                </c:pt>
                <c:pt idx="6016">
                  <c:v>6</c:v>
                </c:pt>
                <c:pt idx="6017">
                  <c:v>6</c:v>
                </c:pt>
                <c:pt idx="6018">
                  <c:v>6</c:v>
                </c:pt>
                <c:pt idx="6019">
                  <c:v>6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6</c:v>
                </c:pt>
                <c:pt idx="6026">
                  <c:v>6</c:v>
                </c:pt>
                <c:pt idx="6027">
                  <c:v>6</c:v>
                </c:pt>
                <c:pt idx="6028">
                  <c:v>6</c:v>
                </c:pt>
                <c:pt idx="6029">
                  <c:v>6</c:v>
                </c:pt>
                <c:pt idx="6030">
                  <c:v>6</c:v>
                </c:pt>
                <c:pt idx="6031">
                  <c:v>6</c:v>
                </c:pt>
                <c:pt idx="6032">
                  <c:v>6</c:v>
                </c:pt>
                <c:pt idx="6033">
                  <c:v>6</c:v>
                </c:pt>
                <c:pt idx="6034">
                  <c:v>6</c:v>
                </c:pt>
                <c:pt idx="6035">
                  <c:v>6</c:v>
                </c:pt>
                <c:pt idx="6036">
                  <c:v>6</c:v>
                </c:pt>
                <c:pt idx="6037">
                  <c:v>6</c:v>
                </c:pt>
                <c:pt idx="6038">
                  <c:v>6</c:v>
                </c:pt>
                <c:pt idx="6039">
                  <c:v>6</c:v>
                </c:pt>
                <c:pt idx="6040">
                  <c:v>6</c:v>
                </c:pt>
                <c:pt idx="6041">
                  <c:v>6</c:v>
                </c:pt>
                <c:pt idx="6042">
                  <c:v>6</c:v>
                </c:pt>
                <c:pt idx="6043">
                  <c:v>6</c:v>
                </c:pt>
                <c:pt idx="6044">
                  <c:v>6</c:v>
                </c:pt>
                <c:pt idx="6045">
                  <c:v>6</c:v>
                </c:pt>
                <c:pt idx="6046">
                  <c:v>6</c:v>
                </c:pt>
                <c:pt idx="6047">
                  <c:v>6</c:v>
                </c:pt>
                <c:pt idx="6048">
                  <c:v>6</c:v>
                </c:pt>
                <c:pt idx="6049">
                  <c:v>6</c:v>
                </c:pt>
                <c:pt idx="6050">
                  <c:v>6</c:v>
                </c:pt>
                <c:pt idx="6051">
                  <c:v>6</c:v>
                </c:pt>
                <c:pt idx="6052">
                  <c:v>6</c:v>
                </c:pt>
                <c:pt idx="6053">
                  <c:v>6</c:v>
                </c:pt>
                <c:pt idx="6054">
                  <c:v>6</c:v>
                </c:pt>
                <c:pt idx="6055">
                  <c:v>6</c:v>
                </c:pt>
                <c:pt idx="6056">
                  <c:v>6</c:v>
                </c:pt>
                <c:pt idx="6057">
                  <c:v>6</c:v>
                </c:pt>
                <c:pt idx="6058">
                  <c:v>6</c:v>
                </c:pt>
                <c:pt idx="6059">
                  <c:v>6</c:v>
                </c:pt>
                <c:pt idx="6060">
                  <c:v>6</c:v>
                </c:pt>
                <c:pt idx="6061">
                  <c:v>6</c:v>
                </c:pt>
                <c:pt idx="6062">
                  <c:v>6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6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6</c:v>
                </c:pt>
                <c:pt idx="6092">
                  <c:v>6</c:v>
                </c:pt>
                <c:pt idx="6093">
                  <c:v>6</c:v>
                </c:pt>
                <c:pt idx="7340">
                  <c:v>7</c:v>
                </c:pt>
                <c:pt idx="7341">
                  <c:v>7</c:v>
                </c:pt>
                <c:pt idx="7342">
                  <c:v>7</c:v>
                </c:pt>
                <c:pt idx="7343">
                  <c:v>7</c:v>
                </c:pt>
                <c:pt idx="7344">
                  <c:v>7</c:v>
                </c:pt>
                <c:pt idx="7345">
                  <c:v>7</c:v>
                </c:pt>
                <c:pt idx="7346">
                  <c:v>7</c:v>
                </c:pt>
                <c:pt idx="7347">
                  <c:v>7</c:v>
                </c:pt>
                <c:pt idx="7348">
                  <c:v>7</c:v>
                </c:pt>
                <c:pt idx="7349">
                  <c:v>7</c:v>
                </c:pt>
                <c:pt idx="7350">
                  <c:v>7</c:v>
                </c:pt>
                <c:pt idx="7351">
                  <c:v>7</c:v>
                </c:pt>
                <c:pt idx="7352">
                  <c:v>7</c:v>
                </c:pt>
                <c:pt idx="7353">
                  <c:v>7</c:v>
                </c:pt>
                <c:pt idx="7354">
                  <c:v>7</c:v>
                </c:pt>
                <c:pt idx="7355">
                  <c:v>7</c:v>
                </c:pt>
                <c:pt idx="7356">
                  <c:v>7</c:v>
                </c:pt>
                <c:pt idx="7357">
                  <c:v>7</c:v>
                </c:pt>
                <c:pt idx="7358">
                  <c:v>7</c:v>
                </c:pt>
                <c:pt idx="7359">
                  <c:v>7</c:v>
                </c:pt>
                <c:pt idx="7360">
                  <c:v>7</c:v>
                </c:pt>
                <c:pt idx="7361">
                  <c:v>7</c:v>
                </c:pt>
                <c:pt idx="7362">
                  <c:v>7</c:v>
                </c:pt>
                <c:pt idx="7363">
                  <c:v>7</c:v>
                </c:pt>
                <c:pt idx="7364">
                  <c:v>7</c:v>
                </c:pt>
                <c:pt idx="7365">
                  <c:v>7</c:v>
                </c:pt>
                <c:pt idx="7366">
                  <c:v>7</c:v>
                </c:pt>
                <c:pt idx="7367">
                  <c:v>7</c:v>
                </c:pt>
                <c:pt idx="7368">
                  <c:v>7</c:v>
                </c:pt>
                <c:pt idx="7369">
                  <c:v>7</c:v>
                </c:pt>
                <c:pt idx="7370">
                  <c:v>7</c:v>
                </c:pt>
                <c:pt idx="7371">
                  <c:v>7</c:v>
                </c:pt>
                <c:pt idx="7372">
                  <c:v>7</c:v>
                </c:pt>
                <c:pt idx="7373">
                  <c:v>7</c:v>
                </c:pt>
                <c:pt idx="7374">
                  <c:v>7</c:v>
                </c:pt>
                <c:pt idx="7375">
                  <c:v>7</c:v>
                </c:pt>
                <c:pt idx="7376">
                  <c:v>7</c:v>
                </c:pt>
                <c:pt idx="7377">
                  <c:v>7</c:v>
                </c:pt>
                <c:pt idx="7378">
                  <c:v>7</c:v>
                </c:pt>
                <c:pt idx="7379">
                  <c:v>7</c:v>
                </c:pt>
                <c:pt idx="7380">
                  <c:v>7</c:v>
                </c:pt>
                <c:pt idx="7381">
                  <c:v>7</c:v>
                </c:pt>
                <c:pt idx="7382">
                  <c:v>7</c:v>
                </c:pt>
                <c:pt idx="7383">
                  <c:v>7</c:v>
                </c:pt>
                <c:pt idx="7384">
                  <c:v>7</c:v>
                </c:pt>
                <c:pt idx="7385">
                  <c:v>7</c:v>
                </c:pt>
                <c:pt idx="7386">
                  <c:v>7</c:v>
                </c:pt>
                <c:pt idx="7387">
                  <c:v>7</c:v>
                </c:pt>
                <c:pt idx="7388">
                  <c:v>7</c:v>
                </c:pt>
                <c:pt idx="7389">
                  <c:v>7</c:v>
                </c:pt>
                <c:pt idx="7390">
                  <c:v>7</c:v>
                </c:pt>
                <c:pt idx="7391">
                  <c:v>7</c:v>
                </c:pt>
                <c:pt idx="7392">
                  <c:v>7</c:v>
                </c:pt>
                <c:pt idx="7393">
                  <c:v>7</c:v>
                </c:pt>
                <c:pt idx="7394">
                  <c:v>7</c:v>
                </c:pt>
                <c:pt idx="7395">
                  <c:v>7</c:v>
                </c:pt>
                <c:pt idx="7396">
                  <c:v>7</c:v>
                </c:pt>
                <c:pt idx="7397">
                  <c:v>7</c:v>
                </c:pt>
                <c:pt idx="7398">
                  <c:v>7</c:v>
                </c:pt>
                <c:pt idx="7399">
                  <c:v>7</c:v>
                </c:pt>
                <c:pt idx="7400">
                  <c:v>7</c:v>
                </c:pt>
                <c:pt idx="7401">
                  <c:v>7</c:v>
                </c:pt>
                <c:pt idx="7402">
                  <c:v>7</c:v>
                </c:pt>
                <c:pt idx="7403">
                  <c:v>7</c:v>
                </c:pt>
                <c:pt idx="7404">
                  <c:v>7</c:v>
                </c:pt>
                <c:pt idx="7405">
                  <c:v>7</c:v>
                </c:pt>
                <c:pt idx="7406">
                  <c:v>7</c:v>
                </c:pt>
                <c:pt idx="7407">
                  <c:v>7</c:v>
                </c:pt>
                <c:pt idx="7408">
                  <c:v>7</c:v>
                </c:pt>
                <c:pt idx="7409">
                  <c:v>7</c:v>
                </c:pt>
                <c:pt idx="7410">
                  <c:v>7</c:v>
                </c:pt>
                <c:pt idx="7411">
                  <c:v>7</c:v>
                </c:pt>
                <c:pt idx="7412">
                  <c:v>7</c:v>
                </c:pt>
                <c:pt idx="7413">
                  <c:v>7</c:v>
                </c:pt>
                <c:pt idx="7414">
                  <c:v>7</c:v>
                </c:pt>
                <c:pt idx="7415">
                  <c:v>7</c:v>
                </c:pt>
                <c:pt idx="7416">
                  <c:v>7</c:v>
                </c:pt>
                <c:pt idx="7417">
                  <c:v>7</c:v>
                </c:pt>
                <c:pt idx="7418">
                  <c:v>7</c:v>
                </c:pt>
                <c:pt idx="7419">
                  <c:v>7</c:v>
                </c:pt>
                <c:pt idx="7420">
                  <c:v>7</c:v>
                </c:pt>
                <c:pt idx="7421">
                  <c:v>7</c:v>
                </c:pt>
                <c:pt idx="7422">
                  <c:v>7</c:v>
                </c:pt>
                <c:pt idx="7423">
                  <c:v>7</c:v>
                </c:pt>
                <c:pt idx="7424">
                  <c:v>7</c:v>
                </c:pt>
                <c:pt idx="7425">
                  <c:v>7</c:v>
                </c:pt>
                <c:pt idx="7426">
                  <c:v>7</c:v>
                </c:pt>
                <c:pt idx="7427">
                  <c:v>7</c:v>
                </c:pt>
                <c:pt idx="7428">
                  <c:v>7</c:v>
                </c:pt>
                <c:pt idx="7429">
                  <c:v>7</c:v>
                </c:pt>
                <c:pt idx="7430">
                  <c:v>7</c:v>
                </c:pt>
                <c:pt idx="7431">
                  <c:v>7</c:v>
                </c:pt>
                <c:pt idx="7432">
                  <c:v>7</c:v>
                </c:pt>
                <c:pt idx="7433">
                  <c:v>7</c:v>
                </c:pt>
                <c:pt idx="7434">
                  <c:v>7</c:v>
                </c:pt>
                <c:pt idx="7435">
                  <c:v>7</c:v>
                </c:pt>
                <c:pt idx="7436">
                  <c:v>7</c:v>
                </c:pt>
                <c:pt idx="7437">
                  <c:v>7</c:v>
                </c:pt>
                <c:pt idx="7438">
                  <c:v>7</c:v>
                </c:pt>
                <c:pt idx="7439">
                  <c:v>7</c:v>
                </c:pt>
                <c:pt idx="7440">
                  <c:v>7</c:v>
                </c:pt>
                <c:pt idx="7441">
                  <c:v>7</c:v>
                </c:pt>
                <c:pt idx="7442">
                  <c:v>7</c:v>
                </c:pt>
                <c:pt idx="7443">
                  <c:v>7</c:v>
                </c:pt>
                <c:pt idx="7444">
                  <c:v>7</c:v>
                </c:pt>
                <c:pt idx="7445">
                  <c:v>7</c:v>
                </c:pt>
                <c:pt idx="7446">
                  <c:v>7</c:v>
                </c:pt>
                <c:pt idx="7447">
                  <c:v>7</c:v>
                </c:pt>
                <c:pt idx="7448">
                  <c:v>7</c:v>
                </c:pt>
                <c:pt idx="7449">
                  <c:v>7</c:v>
                </c:pt>
                <c:pt idx="7450">
                  <c:v>7</c:v>
                </c:pt>
                <c:pt idx="7451">
                  <c:v>7</c:v>
                </c:pt>
                <c:pt idx="7452">
                  <c:v>7</c:v>
                </c:pt>
                <c:pt idx="7453">
                  <c:v>7</c:v>
                </c:pt>
                <c:pt idx="7454">
                  <c:v>7</c:v>
                </c:pt>
                <c:pt idx="7455">
                  <c:v>7</c:v>
                </c:pt>
                <c:pt idx="7456">
                  <c:v>7</c:v>
                </c:pt>
                <c:pt idx="7457">
                  <c:v>7</c:v>
                </c:pt>
                <c:pt idx="7458">
                  <c:v>7</c:v>
                </c:pt>
                <c:pt idx="7459">
                  <c:v>7</c:v>
                </c:pt>
                <c:pt idx="7460">
                  <c:v>7</c:v>
                </c:pt>
                <c:pt idx="7461">
                  <c:v>7</c:v>
                </c:pt>
                <c:pt idx="7462">
                  <c:v>7</c:v>
                </c:pt>
                <c:pt idx="7463">
                  <c:v>7</c:v>
                </c:pt>
                <c:pt idx="7464">
                  <c:v>7</c:v>
                </c:pt>
                <c:pt idx="7465">
                  <c:v>7</c:v>
                </c:pt>
                <c:pt idx="7466">
                  <c:v>7</c:v>
                </c:pt>
                <c:pt idx="7467">
                  <c:v>7</c:v>
                </c:pt>
                <c:pt idx="7468">
                  <c:v>7</c:v>
                </c:pt>
                <c:pt idx="7469">
                  <c:v>7</c:v>
                </c:pt>
                <c:pt idx="7470">
                  <c:v>7</c:v>
                </c:pt>
                <c:pt idx="7471">
                  <c:v>7</c:v>
                </c:pt>
                <c:pt idx="7472">
                  <c:v>7</c:v>
                </c:pt>
                <c:pt idx="7473">
                  <c:v>7</c:v>
                </c:pt>
                <c:pt idx="7474">
                  <c:v>7</c:v>
                </c:pt>
                <c:pt idx="7475">
                  <c:v>7</c:v>
                </c:pt>
                <c:pt idx="7476">
                  <c:v>7</c:v>
                </c:pt>
                <c:pt idx="7477">
                  <c:v>7</c:v>
                </c:pt>
                <c:pt idx="7478">
                  <c:v>7</c:v>
                </c:pt>
                <c:pt idx="7479">
                  <c:v>7</c:v>
                </c:pt>
                <c:pt idx="7480">
                  <c:v>7</c:v>
                </c:pt>
                <c:pt idx="7481">
                  <c:v>7</c:v>
                </c:pt>
                <c:pt idx="7482">
                  <c:v>7</c:v>
                </c:pt>
                <c:pt idx="7483">
                  <c:v>7</c:v>
                </c:pt>
                <c:pt idx="7484">
                  <c:v>7</c:v>
                </c:pt>
                <c:pt idx="7485">
                  <c:v>7</c:v>
                </c:pt>
                <c:pt idx="7486">
                  <c:v>7</c:v>
                </c:pt>
                <c:pt idx="7487">
                  <c:v>7</c:v>
                </c:pt>
                <c:pt idx="7488">
                  <c:v>7</c:v>
                </c:pt>
                <c:pt idx="7489">
                  <c:v>7</c:v>
                </c:pt>
                <c:pt idx="7490">
                  <c:v>7</c:v>
                </c:pt>
                <c:pt idx="7491">
                  <c:v>7</c:v>
                </c:pt>
                <c:pt idx="7492">
                  <c:v>7</c:v>
                </c:pt>
                <c:pt idx="7493">
                  <c:v>7</c:v>
                </c:pt>
                <c:pt idx="7494">
                  <c:v>7</c:v>
                </c:pt>
                <c:pt idx="7495">
                  <c:v>7</c:v>
                </c:pt>
                <c:pt idx="7496">
                  <c:v>7</c:v>
                </c:pt>
                <c:pt idx="7497">
                  <c:v>7</c:v>
                </c:pt>
                <c:pt idx="7498">
                  <c:v>7</c:v>
                </c:pt>
                <c:pt idx="7499">
                  <c:v>7</c:v>
                </c:pt>
                <c:pt idx="7500">
                  <c:v>7</c:v>
                </c:pt>
                <c:pt idx="7501">
                  <c:v>7</c:v>
                </c:pt>
                <c:pt idx="7502">
                  <c:v>7</c:v>
                </c:pt>
                <c:pt idx="7503">
                  <c:v>7</c:v>
                </c:pt>
                <c:pt idx="7504">
                  <c:v>7</c:v>
                </c:pt>
                <c:pt idx="7505">
                  <c:v>7</c:v>
                </c:pt>
                <c:pt idx="7506">
                  <c:v>7</c:v>
                </c:pt>
                <c:pt idx="7507">
                  <c:v>7</c:v>
                </c:pt>
                <c:pt idx="7508">
                  <c:v>7</c:v>
                </c:pt>
                <c:pt idx="7509">
                  <c:v>7</c:v>
                </c:pt>
                <c:pt idx="7510">
                  <c:v>7</c:v>
                </c:pt>
                <c:pt idx="7511">
                  <c:v>7</c:v>
                </c:pt>
                <c:pt idx="7512">
                  <c:v>7</c:v>
                </c:pt>
                <c:pt idx="7513">
                  <c:v>7</c:v>
                </c:pt>
                <c:pt idx="7514">
                  <c:v>7</c:v>
                </c:pt>
                <c:pt idx="7515">
                  <c:v>7</c:v>
                </c:pt>
                <c:pt idx="7516">
                  <c:v>7</c:v>
                </c:pt>
                <c:pt idx="7517">
                  <c:v>7</c:v>
                </c:pt>
                <c:pt idx="7518">
                  <c:v>7</c:v>
                </c:pt>
                <c:pt idx="7519">
                  <c:v>7</c:v>
                </c:pt>
                <c:pt idx="7520">
                  <c:v>7</c:v>
                </c:pt>
                <c:pt idx="7521">
                  <c:v>7</c:v>
                </c:pt>
                <c:pt idx="7522">
                  <c:v>7</c:v>
                </c:pt>
                <c:pt idx="7523">
                  <c:v>7</c:v>
                </c:pt>
                <c:pt idx="7524">
                  <c:v>7</c:v>
                </c:pt>
                <c:pt idx="7525">
                  <c:v>7</c:v>
                </c:pt>
                <c:pt idx="7526">
                  <c:v>7</c:v>
                </c:pt>
                <c:pt idx="7527">
                  <c:v>7</c:v>
                </c:pt>
                <c:pt idx="7528">
                  <c:v>7</c:v>
                </c:pt>
                <c:pt idx="7529">
                  <c:v>7</c:v>
                </c:pt>
                <c:pt idx="7530">
                  <c:v>7</c:v>
                </c:pt>
                <c:pt idx="7531">
                  <c:v>7</c:v>
                </c:pt>
                <c:pt idx="7532">
                  <c:v>7</c:v>
                </c:pt>
                <c:pt idx="7533">
                  <c:v>7</c:v>
                </c:pt>
                <c:pt idx="7534">
                  <c:v>7</c:v>
                </c:pt>
                <c:pt idx="7535">
                  <c:v>7</c:v>
                </c:pt>
                <c:pt idx="7536">
                  <c:v>7</c:v>
                </c:pt>
                <c:pt idx="7537">
                  <c:v>7</c:v>
                </c:pt>
                <c:pt idx="7538">
                  <c:v>7</c:v>
                </c:pt>
                <c:pt idx="7539">
                  <c:v>7</c:v>
                </c:pt>
                <c:pt idx="7540">
                  <c:v>7</c:v>
                </c:pt>
                <c:pt idx="7541">
                  <c:v>7</c:v>
                </c:pt>
                <c:pt idx="7542">
                  <c:v>7</c:v>
                </c:pt>
                <c:pt idx="7543">
                  <c:v>7</c:v>
                </c:pt>
                <c:pt idx="7544">
                  <c:v>7</c:v>
                </c:pt>
                <c:pt idx="7545">
                  <c:v>7</c:v>
                </c:pt>
                <c:pt idx="7546">
                  <c:v>7</c:v>
                </c:pt>
                <c:pt idx="7547">
                  <c:v>7</c:v>
                </c:pt>
                <c:pt idx="7548">
                  <c:v>7</c:v>
                </c:pt>
                <c:pt idx="7549">
                  <c:v>7</c:v>
                </c:pt>
                <c:pt idx="7550">
                  <c:v>7</c:v>
                </c:pt>
                <c:pt idx="7551">
                  <c:v>7</c:v>
                </c:pt>
                <c:pt idx="7552">
                  <c:v>7</c:v>
                </c:pt>
                <c:pt idx="7553">
                  <c:v>7</c:v>
                </c:pt>
                <c:pt idx="7554">
                  <c:v>7</c:v>
                </c:pt>
                <c:pt idx="7555">
                  <c:v>7</c:v>
                </c:pt>
                <c:pt idx="7556">
                  <c:v>7</c:v>
                </c:pt>
                <c:pt idx="7557">
                  <c:v>7</c:v>
                </c:pt>
                <c:pt idx="7558">
                  <c:v>7</c:v>
                </c:pt>
                <c:pt idx="7559">
                  <c:v>7</c:v>
                </c:pt>
                <c:pt idx="7560">
                  <c:v>7</c:v>
                </c:pt>
                <c:pt idx="7561">
                  <c:v>7</c:v>
                </c:pt>
                <c:pt idx="7562">
                  <c:v>7</c:v>
                </c:pt>
                <c:pt idx="7563">
                  <c:v>7</c:v>
                </c:pt>
                <c:pt idx="7564">
                  <c:v>7</c:v>
                </c:pt>
                <c:pt idx="7565">
                  <c:v>7</c:v>
                </c:pt>
                <c:pt idx="7566">
                  <c:v>7</c:v>
                </c:pt>
                <c:pt idx="7567">
                  <c:v>7</c:v>
                </c:pt>
                <c:pt idx="7568">
                  <c:v>7</c:v>
                </c:pt>
                <c:pt idx="7569">
                  <c:v>7</c:v>
                </c:pt>
                <c:pt idx="7570">
                  <c:v>7</c:v>
                </c:pt>
                <c:pt idx="7571">
                  <c:v>7</c:v>
                </c:pt>
                <c:pt idx="7572">
                  <c:v>7</c:v>
                </c:pt>
                <c:pt idx="7573">
                  <c:v>7</c:v>
                </c:pt>
                <c:pt idx="7574">
                  <c:v>7</c:v>
                </c:pt>
                <c:pt idx="7575">
                  <c:v>7</c:v>
                </c:pt>
                <c:pt idx="757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D-4C9A-ADD2-10FA57F1F1FF}"/>
            </c:ext>
          </c:extLst>
        </c:ser>
        <c:ser>
          <c:idx val="2"/>
          <c:order val="2"/>
          <c:tx>
            <c:v>F3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transpose!$D$2:$D$7686</c:f>
              <c:numCache>
                <c:formatCode>General</c:formatCode>
                <c:ptCount val="7685"/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3363">
                  <c:v>4</c:v>
                </c:pt>
                <c:pt idx="3364">
                  <c:v>4</c:v>
                </c:pt>
                <c:pt idx="3365">
                  <c:v>4</c:v>
                </c:pt>
                <c:pt idx="3366">
                  <c:v>4</c:v>
                </c:pt>
                <c:pt idx="3367">
                  <c:v>4</c:v>
                </c:pt>
                <c:pt idx="3368">
                  <c:v>4</c:v>
                </c:pt>
                <c:pt idx="3369">
                  <c:v>4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373">
                  <c:v>4</c:v>
                </c:pt>
                <c:pt idx="3374">
                  <c:v>4</c:v>
                </c:pt>
                <c:pt idx="3375">
                  <c:v>4</c:v>
                </c:pt>
                <c:pt idx="3376">
                  <c:v>4</c:v>
                </c:pt>
                <c:pt idx="3377">
                  <c:v>4</c:v>
                </c:pt>
                <c:pt idx="3378">
                  <c:v>4</c:v>
                </c:pt>
                <c:pt idx="3379">
                  <c:v>4</c:v>
                </c:pt>
                <c:pt idx="3380">
                  <c:v>4</c:v>
                </c:pt>
                <c:pt idx="3381">
                  <c:v>4</c:v>
                </c:pt>
                <c:pt idx="3382">
                  <c:v>4</c:v>
                </c:pt>
                <c:pt idx="3383">
                  <c:v>4</c:v>
                </c:pt>
                <c:pt idx="3384">
                  <c:v>4</c:v>
                </c:pt>
                <c:pt idx="3385">
                  <c:v>4</c:v>
                </c:pt>
                <c:pt idx="3386">
                  <c:v>4</c:v>
                </c:pt>
                <c:pt idx="3387">
                  <c:v>4</c:v>
                </c:pt>
                <c:pt idx="3388">
                  <c:v>4</c:v>
                </c:pt>
                <c:pt idx="3389">
                  <c:v>4</c:v>
                </c:pt>
                <c:pt idx="3390">
                  <c:v>4</c:v>
                </c:pt>
                <c:pt idx="3391">
                  <c:v>4</c:v>
                </c:pt>
                <c:pt idx="3392">
                  <c:v>4</c:v>
                </c:pt>
                <c:pt idx="3393">
                  <c:v>4</c:v>
                </c:pt>
                <c:pt idx="3394">
                  <c:v>4</c:v>
                </c:pt>
                <c:pt idx="3395">
                  <c:v>4</c:v>
                </c:pt>
                <c:pt idx="3396">
                  <c:v>4</c:v>
                </c:pt>
                <c:pt idx="3397">
                  <c:v>4</c:v>
                </c:pt>
                <c:pt idx="3398">
                  <c:v>4</c:v>
                </c:pt>
                <c:pt idx="3399">
                  <c:v>4</c:v>
                </c:pt>
                <c:pt idx="3400">
                  <c:v>4</c:v>
                </c:pt>
                <c:pt idx="3401">
                  <c:v>4</c:v>
                </c:pt>
                <c:pt idx="3402">
                  <c:v>4</c:v>
                </c:pt>
                <c:pt idx="3403">
                  <c:v>4</c:v>
                </c:pt>
                <c:pt idx="3404">
                  <c:v>4</c:v>
                </c:pt>
                <c:pt idx="3405">
                  <c:v>4</c:v>
                </c:pt>
                <c:pt idx="3406">
                  <c:v>4</c:v>
                </c:pt>
                <c:pt idx="3407">
                  <c:v>4</c:v>
                </c:pt>
                <c:pt idx="3408">
                  <c:v>4</c:v>
                </c:pt>
                <c:pt idx="3409">
                  <c:v>4</c:v>
                </c:pt>
                <c:pt idx="3410">
                  <c:v>4</c:v>
                </c:pt>
                <c:pt idx="3411">
                  <c:v>4</c:v>
                </c:pt>
                <c:pt idx="3412">
                  <c:v>4</c:v>
                </c:pt>
                <c:pt idx="3413">
                  <c:v>4</c:v>
                </c:pt>
                <c:pt idx="3414">
                  <c:v>4</c:v>
                </c:pt>
                <c:pt idx="3415">
                  <c:v>4</c:v>
                </c:pt>
                <c:pt idx="3416">
                  <c:v>4</c:v>
                </c:pt>
                <c:pt idx="3417">
                  <c:v>4</c:v>
                </c:pt>
                <c:pt idx="3418">
                  <c:v>4</c:v>
                </c:pt>
                <c:pt idx="3419">
                  <c:v>4</c:v>
                </c:pt>
                <c:pt idx="3420">
                  <c:v>4</c:v>
                </c:pt>
                <c:pt idx="3421">
                  <c:v>4</c:v>
                </c:pt>
                <c:pt idx="3422">
                  <c:v>4</c:v>
                </c:pt>
                <c:pt idx="3423">
                  <c:v>4</c:v>
                </c:pt>
                <c:pt idx="3424">
                  <c:v>4</c:v>
                </c:pt>
                <c:pt idx="3425">
                  <c:v>4</c:v>
                </c:pt>
                <c:pt idx="3426">
                  <c:v>4</c:v>
                </c:pt>
                <c:pt idx="3427">
                  <c:v>4</c:v>
                </c:pt>
                <c:pt idx="3428">
                  <c:v>4</c:v>
                </c:pt>
                <c:pt idx="3429">
                  <c:v>4</c:v>
                </c:pt>
                <c:pt idx="3430">
                  <c:v>4</c:v>
                </c:pt>
                <c:pt idx="3431">
                  <c:v>4</c:v>
                </c:pt>
                <c:pt idx="3432">
                  <c:v>4</c:v>
                </c:pt>
                <c:pt idx="3433">
                  <c:v>4</c:v>
                </c:pt>
                <c:pt idx="3434">
                  <c:v>4</c:v>
                </c:pt>
                <c:pt idx="3435">
                  <c:v>4</c:v>
                </c:pt>
                <c:pt idx="3436">
                  <c:v>4</c:v>
                </c:pt>
                <c:pt idx="3437">
                  <c:v>4</c:v>
                </c:pt>
                <c:pt idx="3438">
                  <c:v>4</c:v>
                </c:pt>
                <c:pt idx="3439">
                  <c:v>4</c:v>
                </c:pt>
                <c:pt idx="3440">
                  <c:v>4</c:v>
                </c:pt>
                <c:pt idx="3441">
                  <c:v>4</c:v>
                </c:pt>
                <c:pt idx="3442">
                  <c:v>4</c:v>
                </c:pt>
                <c:pt idx="3443">
                  <c:v>4</c:v>
                </c:pt>
                <c:pt idx="3444">
                  <c:v>4</c:v>
                </c:pt>
                <c:pt idx="3445">
                  <c:v>4</c:v>
                </c:pt>
                <c:pt idx="3446">
                  <c:v>4</c:v>
                </c:pt>
                <c:pt idx="3447">
                  <c:v>4</c:v>
                </c:pt>
                <c:pt idx="3448">
                  <c:v>4</c:v>
                </c:pt>
                <c:pt idx="3449">
                  <c:v>4</c:v>
                </c:pt>
                <c:pt idx="3450">
                  <c:v>4</c:v>
                </c:pt>
                <c:pt idx="3451">
                  <c:v>4</c:v>
                </c:pt>
                <c:pt idx="3452">
                  <c:v>4</c:v>
                </c:pt>
                <c:pt idx="3453">
                  <c:v>4</c:v>
                </c:pt>
                <c:pt idx="3454">
                  <c:v>4</c:v>
                </c:pt>
                <c:pt idx="3455">
                  <c:v>4</c:v>
                </c:pt>
                <c:pt idx="3456">
                  <c:v>4</c:v>
                </c:pt>
                <c:pt idx="3457">
                  <c:v>4</c:v>
                </c:pt>
                <c:pt idx="3458">
                  <c:v>4</c:v>
                </c:pt>
                <c:pt idx="3459">
                  <c:v>4</c:v>
                </c:pt>
                <c:pt idx="3460">
                  <c:v>4</c:v>
                </c:pt>
                <c:pt idx="3461">
                  <c:v>4</c:v>
                </c:pt>
                <c:pt idx="3462">
                  <c:v>4</c:v>
                </c:pt>
                <c:pt idx="3463">
                  <c:v>4</c:v>
                </c:pt>
                <c:pt idx="3464">
                  <c:v>4</c:v>
                </c:pt>
                <c:pt idx="3465">
                  <c:v>4</c:v>
                </c:pt>
                <c:pt idx="3466">
                  <c:v>4</c:v>
                </c:pt>
                <c:pt idx="3467">
                  <c:v>4</c:v>
                </c:pt>
                <c:pt idx="3468">
                  <c:v>4</c:v>
                </c:pt>
                <c:pt idx="3469">
                  <c:v>4</c:v>
                </c:pt>
                <c:pt idx="3470">
                  <c:v>4</c:v>
                </c:pt>
                <c:pt idx="3471">
                  <c:v>4</c:v>
                </c:pt>
                <c:pt idx="3472">
                  <c:v>4</c:v>
                </c:pt>
                <c:pt idx="3473">
                  <c:v>4</c:v>
                </c:pt>
                <c:pt idx="3474">
                  <c:v>4</c:v>
                </c:pt>
                <c:pt idx="3475">
                  <c:v>4</c:v>
                </c:pt>
                <c:pt idx="3476">
                  <c:v>4</c:v>
                </c:pt>
                <c:pt idx="3477">
                  <c:v>4</c:v>
                </c:pt>
                <c:pt idx="3478">
                  <c:v>4</c:v>
                </c:pt>
                <c:pt idx="3479">
                  <c:v>4</c:v>
                </c:pt>
                <c:pt idx="3480">
                  <c:v>4</c:v>
                </c:pt>
                <c:pt idx="3481">
                  <c:v>4</c:v>
                </c:pt>
                <c:pt idx="3482">
                  <c:v>4</c:v>
                </c:pt>
                <c:pt idx="3483">
                  <c:v>4</c:v>
                </c:pt>
                <c:pt idx="3484">
                  <c:v>4</c:v>
                </c:pt>
                <c:pt idx="3485">
                  <c:v>4</c:v>
                </c:pt>
                <c:pt idx="3486">
                  <c:v>4</c:v>
                </c:pt>
                <c:pt idx="3487">
                  <c:v>4</c:v>
                </c:pt>
                <c:pt idx="3488">
                  <c:v>4</c:v>
                </c:pt>
                <c:pt idx="3489">
                  <c:v>4</c:v>
                </c:pt>
                <c:pt idx="3490">
                  <c:v>4</c:v>
                </c:pt>
                <c:pt idx="3491">
                  <c:v>4</c:v>
                </c:pt>
                <c:pt idx="3492">
                  <c:v>4</c:v>
                </c:pt>
                <c:pt idx="3493">
                  <c:v>4</c:v>
                </c:pt>
                <c:pt idx="3494">
                  <c:v>4</c:v>
                </c:pt>
                <c:pt idx="3495">
                  <c:v>4</c:v>
                </c:pt>
                <c:pt idx="3496">
                  <c:v>4</c:v>
                </c:pt>
                <c:pt idx="3497">
                  <c:v>4</c:v>
                </c:pt>
                <c:pt idx="3498">
                  <c:v>4</c:v>
                </c:pt>
                <c:pt idx="3499">
                  <c:v>4</c:v>
                </c:pt>
                <c:pt idx="3500">
                  <c:v>4</c:v>
                </c:pt>
                <c:pt idx="3501">
                  <c:v>4</c:v>
                </c:pt>
                <c:pt idx="3502">
                  <c:v>4</c:v>
                </c:pt>
                <c:pt idx="3503">
                  <c:v>4</c:v>
                </c:pt>
                <c:pt idx="3504">
                  <c:v>4</c:v>
                </c:pt>
                <c:pt idx="3505">
                  <c:v>4</c:v>
                </c:pt>
                <c:pt idx="3506">
                  <c:v>4</c:v>
                </c:pt>
                <c:pt idx="3507">
                  <c:v>4</c:v>
                </c:pt>
                <c:pt idx="3508">
                  <c:v>4</c:v>
                </c:pt>
                <c:pt idx="3509">
                  <c:v>4</c:v>
                </c:pt>
                <c:pt idx="3510">
                  <c:v>4</c:v>
                </c:pt>
                <c:pt idx="3511">
                  <c:v>4</c:v>
                </c:pt>
                <c:pt idx="3512">
                  <c:v>4</c:v>
                </c:pt>
                <c:pt idx="3513">
                  <c:v>4</c:v>
                </c:pt>
                <c:pt idx="3514">
                  <c:v>4</c:v>
                </c:pt>
                <c:pt idx="3515">
                  <c:v>4</c:v>
                </c:pt>
                <c:pt idx="3516">
                  <c:v>4</c:v>
                </c:pt>
                <c:pt idx="3517">
                  <c:v>4</c:v>
                </c:pt>
                <c:pt idx="3518">
                  <c:v>4</c:v>
                </c:pt>
                <c:pt idx="3519">
                  <c:v>4</c:v>
                </c:pt>
                <c:pt idx="3520">
                  <c:v>4</c:v>
                </c:pt>
                <c:pt idx="3521">
                  <c:v>4</c:v>
                </c:pt>
                <c:pt idx="3522">
                  <c:v>4</c:v>
                </c:pt>
                <c:pt idx="3523">
                  <c:v>4</c:v>
                </c:pt>
                <c:pt idx="3524">
                  <c:v>4</c:v>
                </c:pt>
                <c:pt idx="3525">
                  <c:v>4</c:v>
                </c:pt>
                <c:pt idx="3526">
                  <c:v>4</c:v>
                </c:pt>
                <c:pt idx="3527">
                  <c:v>4</c:v>
                </c:pt>
                <c:pt idx="3528">
                  <c:v>4</c:v>
                </c:pt>
                <c:pt idx="3529">
                  <c:v>4</c:v>
                </c:pt>
                <c:pt idx="3530">
                  <c:v>4</c:v>
                </c:pt>
                <c:pt idx="3531">
                  <c:v>4</c:v>
                </c:pt>
                <c:pt idx="3532">
                  <c:v>4</c:v>
                </c:pt>
                <c:pt idx="3533">
                  <c:v>4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37">
                  <c:v>4</c:v>
                </c:pt>
                <c:pt idx="4575">
                  <c:v>5</c:v>
                </c:pt>
                <c:pt idx="4576">
                  <c:v>5</c:v>
                </c:pt>
                <c:pt idx="4577">
                  <c:v>5</c:v>
                </c:pt>
                <c:pt idx="4578">
                  <c:v>5</c:v>
                </c:pt>
                <c:pt idx="4579">
                  <c:v>5</c:v>
                </c:pt>
                <c:pt idx="4580">
                  <c:v>5</c:v>
                </c:pt>
                <c:pt idx="4581">
                  <c:v>5</c:v>
                </c:pt>
                <c:pt idx="4582">
                  <c:v>5</c:v>
                </c:pt>
                <c:pt idx="4583">
                  <c:v>5</c:v>
                </c:pt>
                <c:pt idx="4584">
                  <c:v>5</c:v>
                </c:pt>
                <c:pt idx="4585">
                  <c:v>5</c:v>
                </c:pt>
                <c:pt idx="4586">
                  <c:v>5</c:v>
                </c:pt>
                <c:pt idx="4587">
                  <c:v>5</c:v>
                </c:pt>
                <c:pt idx="4588">
                  <c:v>5</c:v>
                </c:pt>
                <c:pt idx="4589">
                  <c:v>5</c:v>
                </c:pt>
                <c:pt idx="4590">
                  <c:v>5</c:v>
                </c:pt>
                <c:pt idx="4591">
                  <c:v>5</c:v>
                </c:pt>
                <c:pt idx="4592">
                  <c:v>5</c:v>
                </c:pt>
                <c:pt idx="4593">
                  <c:v>5</c:v>
                </c:pt>
                <c:pt idx="4594">
                  <c:v>5</c:v>
                </c:pt>
                <c:pt idx="4595">
                  <c:v>5</c:v>
                </c:pt>
                <c:pt idx="4596">
                  <c:v>5</c:v>
                </c:pt>
                <c:pt idx="4597">
                  <c:v>5</c:v>
                </c:pt>
                <c:pt idx="4598">
                  <c:v>5</c:v>
                </c:pt>
                <c:pt idx="4599">
                  <c:v>5</c:v>
                </c:pt>
                <c:pt idx="4600">
                  <c:v>5</c:v>
                </c:pt>
                <c:pt idx="4601">
                  <c:v>5</c:v>
                </c:pt>
                <c:pt idx="4602">
                  <c:v>5</c:v>
                </c:pt>
                <c:pt idx="4603">
                  <c:v>5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5</c:v>
                </c:pt>
                <c:pt idx="4608">
                  <c:v>5</c:v>
                </c:pt>
                <c:pt idx="4609">
                  <c:v>5</c:v>
                </c:pt>
                <c:pt idx="4610">
                  <c:v>5</c:v>
                </c:pt>
                <c:pt idx="4611">
                  <c:v>5</c:v>
                </c:pt>
                <c:pt idx="4612">
                  <c:v>5</c:v>
                </c:pt>
                <c:pt idx="4613">
                  <c:v>5</c:v>
                </c:pt>
                <c:pt idx="4614">
                  <c:v>5</c:v>
                </c:pt>
                <c:pt idx="4615">
                  <c:v>5</c:v>
                </c:pt>
                <c:pt idx="4616">
                  <c:v>5</c:v>
                </c:pt>
                <c:pt idx="4617">
                  <c:v>5</c:v>
                </c:pt>
                <c:pt idx="4618">
                  <c:v>5</c:v>
                </c:pt>
                <c:pt idx="4619">
                  <c:v>5</c:v>
                </c:pt>
                <c:pt idx="4620">
                  <c:v>5</c:v>
                </c:pt>
                <c:pt idx="4621">
                  <c:v>5</c:v>
                </c:pt>
                <c:pt idx="4622">
                  <c:v>5</c:v>
                </c:pt>
                <c:pt idx="4623">
                  <c:v>5</c:v>
                </c:pt>
                <c:pt idx="4624">
                  <c:v>5</c:v>
                </c:pt>
                <c:pt idx="4625">
                  <c:v>5</c:v>
                </c:pt>
                <c:pt idx="4626">
                  <c:v>5</c:v>
                </c:pt>
                <c:pt idx="4627">
                  <c:v>5</c:v>
                </c:pt>
                <c:pt idx="4628">
                  <c:v>5</c:v>
                </c:pt>
                <c:pt idx="4629">
                  <c:v>5</c:v>
                </c:pt>
                <c:pt idx="4630">
                  <c:v>5</c:v>
                </c:pt>
                <c:pt idx="4631">
                  <c:v>5</c:v>
                </c:pt>
                <c:pt idx="4632">
                  <c:v>5</c:v>
                </c:pt>
                <c:pt idx="4633">
                  <c:v>5</c:v>
                </c:pt>
                <c:pt idx="4634">
                  <c:v>5</c:v>
                </c:pt>
                <c:pt idx="4635">
                  <c:v>5</c:v>
                </c:pt>
                <c:pt idx="4636">
                  <c:v>5</c:v>
                </c:pt>
                <c:pt idx="4637">
                  <c:v>5</c:v>
                </c:pt>
                <c:pt idx="4638">
                  <c:v>5</c:v>
                </c:pt>
                <c:pt idx="4639">
                  <c:v>5</c:v>
                </c:pt>
                <c:pt idx="4640">
                  <c:v>5</c:v>
                </c:pt>
                <c:pt idx="4641">
                  <c:v>5</c:v>
                </c:pt>
                <c:pt idx="4642">
                  <c:v>5</c:v>
                </c:pt>
                <c:pt idx="4643">
                  <c:v>5</c:v>
                </c:pt>
                <c:pt idx="4644">
                  <c:v>5</c:v>
                </c:pt>
                <c:pt idx="4645">
                  <c:v>5</c:v>
                </c:pt>
                <c:pt idx="4646">
                  <c:v>5</c:v>
                </c:pt>
                <c:pt idx="4647">
                  <c:v>5</c:v>
                </c:pt>
                <c:pt idx="4648">
                  <c:v>5</c:v>
                </c:pt>
                <c:pt idx="4649">
                  <c:v>5</c:v>
                </c:pt>
                <c:pt idx="4650">
                  <c:v>5</c:v>
                </c:pt>
                <c:pt idx="4651">
                  <c:v>5</c:v>
                </c:pt>
                <c:pt idx="4652">
                  <c:v>5</c:v>
                </c:pt>
                <c:pt idx="4653">
                  <c:v>5</c:v>
                </c:pt>
                <c:pt idx="4654">
                  <c:v>5</c:v>
                </c:pt>
                <c:pt idx="4655">
                  <c:v>5</c:v>
                </c:pt>
                <c:pt idx="4656">
                  <c:v>5</c:v>
                </c:pt>
                <c:pt idx="4657">
                  <c:v>5</c:v>
                </c:pt>
                <c:pt idx="4658">
                  <c:v>5</c:v>
                </c:pt>
                <c:pt idx="4659">
                  <c:v>5</c:v>
                </c:pt>
                <c:pt idx="4660">
                  <c:v>5</c:v>
                </c:pt>
                <c:pt idx="4661">
                  <c:v>5</c:v>
                </c:pt>
                <c:pt idx="4662">
                  <c:v>5</c:v>
                </c:pt>
                <c:pt idx="4663">
                  <c:v>5</c:v>
                </c:pt>
                <c:pt idx="4664">
                  <c:v>5</c:v>
                </c:pt>
                <c:pt idx="4665">
                  <c:v>5</c:v>
                </c:pt>
                <c:pt idx="4666">
                  <c:v>5</c:v>
                </c:pt>
                <c:pt idx="4667">
                  <c:v>5</c:v>
                </c:pt>
                <c:pt idx="4668">
                  <c:v>5</c:v>
                </c:pt>
                <c:pt idx="4669">
                  <c:v>5</c:v>
                </c:pt>
                <c:pt idx="4670">
                  <c:v>5</c:v>
                </c:pt>
                <c:pt idx="4671">
                  <c:v>5</c:v>
                </c:pt>
                <c:pt idx="4672">
                  <c:v>5</c:v>
                </c:pt>
                <c:pt idx="4673">
                  <c:v>5</c:v>
                </c:pt>
                <c:pt idx="4674">
                  <c:v>5</c:v>
                </c:pt>
                <c:pt idx="4675">
                  <c:v>5</c:v>
                </c:pt>
                <c:pt idx="4676">
                  <c:v>5</c:v>
                </c:pt>
                <c:pt idx="4677">
                  <c:v>5</c:v>
                </c:pt>
                <c:pt idx="4678">
                  <c:v>5</c:v>
                </c:pt>
                <c:pt idx="4679">
                  <c:v>5</c:v>
                </c:pt>
                <c:pt idx="4680">
                  <c:v>5</c:v>
                </c:pt>
                <c:pt idx="4681">
                  <c:v>5</c:v>
                </c:pt>
                <c:pt idx="4682">
                  <c:v>5</c:v>
                </c:pt>
                <c:pt idx="4683">
                  <c:v>5</c:v>
                </c:pt>
                <c:pt idx="4684">
                  <c:v>5</c:v>
                </c:pt>
                <c:pt idx="4685">
                  <c:v>5</c:v>
                </c:pt>
                <c:pt idx="4686">
                  <c:v>5</c:v>
                </c:pt>
                <c:pt idx="4687">
                  <c:v>5</c:v>
                </c:pt>
                <c:pt idx="4688">
                  <c:v>5</c:v>
                </c:pt>
                <c:pt idx="4689">
                  <c:v>5</c:v>
                </c:pt>
                <c:pt idx="4690">
                  <c:v>5</c:v>
                </c:pt>
                <c:pt idx="4691">
                  <c:v>5</c:v>
                </c:pt>
                <c:pt idx="4692">
                  <c:v>5</c:v>
                </c:pt>
                <c:pt idx="4693">
                  <c:v>5</c:v>
                </c:pt>
                <c:pt idx="4694">
                  <c:v>5</c:v>
                </c:pt>
                <c:pt idx="4695">
                  <c:v>5</c:v>
                </c:pt>
                <c:pt idx="4696">
                  <c:v>5</c:v>
                </c:pt>
                <c:pt idx="4697">
                  <c:v>5</c:v>
                </c:pt>
                <c:pt idx="4698">
                  <c:v>5</c:v>
                </c:pt>
                <c:pt idx="4699">
                  <c:v>5</c:v>
                </c:pt>
                <c:pt idx="4700">
                  <c:v>5</c:v>
                </c:pt>
                <c:pt idx="4701">
                  <c:v>5</c:v>
                </c:pt>
                <c:pt idx="4702">
                  <c:v>5</c:v>
                </c:pt>
                <c:pt idx="4703">
                  <c:v>5</c:v>
                </c:pt>
                <c:pt idx="4704">
                  <c:v>5</c:v>
                </c:pt>
                <c:pt idx="4705">
                  <c:v>5</c:v>
                </c:pt>
                <c:pt idx="4706">
                  <c:v>5</c:v>
                </c:pt>
                <c:pt idx="4707">
                  <c:v>5</c:v>
                </c:pt>
                <c:pt idx="4708">
                  <c:v>5</c:v>
                </c:pt>
                <c:pt idx="4709">
                  <c:v>5</c:v>
                </c:pt>
                <c:pt idx="4710">
                  <c:v>5</c:v>
                </c:pt>
                <c:pt idx="4711">
                  <c:v>5</c:v>
                </c:pt>
                <c:pt idx="4712">
                  <c:v>5</c:v>
                </c:pt>
                <c:pt idx="4713">
                  <c:v>5</c:v>
                </c:pt>
                <c:pt idx="4714">
                  <c:v>5</c:v>
                </c:pt>
                <c:pt idx="4715">
                  <c:v>5</c:v>
                </c:pt>
                <c:pt idx="4716">
                  <c:v>5</c:v>
                </c:pt>
                <c:pt idx="4717">
                  <c:v>5</c:v>
                </c:pt>
                <c:pt idx="4718">
                  <c:v>5</c:v>
                </c:pt>
                <c:pt idx="4719">
                  <c:v>5</c:v>
                </c:pt>
                <c:pt idx="4720">
                  <c:v>5</c:v>
                </c:pt>
                <c:pt idx="4721">
                  <c:v>5</c:v>
                </c:pt>
                <c:pt idx="4722">
                  <c:v>5</c:v>
                </c:pt>
                <c:pt idx="4723">
                  <c:v>5</c:v>
                </c:pt>
                <c:pt idx="4724">
                  <c:v>5</c:v>
                </c:pt>
                <c:pt idx="4725">
                  <c:v>5</c:v>
                </c:pt>
                <c:pt idx="4726">
                  <c:v>5</c:v>
                </c:pt>
                <c:pt idx="4727">
                  <c:v>5</c:v>
                </c:pt>
                <c:pt idx="4728">
                  <c:v>5</c:v>
                </c:pt>
                <c:pt idx="4729">
                  <c:v>5</c:v>
                </c:pt>
                <c:pt idx="4730">
                  <c:v>5</c:v>
                </c:pt>
                <c:pt idx="4731">
                  <c:v>5</c:v>
                </c:pt>
                <c:pt idx="4732">
                  <c:v>5</c:v>
                </c:pt>
                <c:pt idx="4733">
                  <c:v>5</c:v>
                </c:pt>
                <c:pt idx="4734">
                  <c:v>5</c:v>
                </c:pt>
                <c:pt idx="4735">
                  <c:v>5</c:v>
                </c:pt>
                <c:pt idx="4736">
                  <c:v>5</c:v>
                </c:pt>
                <c:pt idx="4737">
                  <c:v>5</c:v>
                </c:pt>
                <c:pt idx="4738">
                  <c:v>5</c:v>
                </c:pt>
                <c:pt idx="4739">
                  <c:v>5</c:v>
                </c:pt>
                <c:pt idx="4740">
                  <c:v>5</c:v>
                </c:pt>
                <c:pt idx="4741">
                  <c:v>5</c:v>
                </c:pt>
                <c:pt idx="4742">
                  <c:v>5</c:v>
                </c:pt>
                <c:pt idx="4743">
                  <c:v>5</c:v>
                </c:pt>
                <c:pt idx="4744">
                  <c:v>5</c:v>
                </c:pt>
                <c:pt idx="4745">
                  <c:v>5</c:v>
                </c:pt>
                <c:pt idx="4746">
                  <c:v>5</c:v>
                </c:pt>
                <c:pt idx="4747">
                  <c:v>5</c:v>
                </c:pt>
                <c:pt idx="4748">
                  <c:v>5</c:v>
                </c:pt>
                <c:pt idx="4749">
                  <c:v>5</c:v>
                </c:pt>
                <c:pt idx="4750">
                  <c:v>5</c:v>
                </c:pt>
                <c:pt idx="4751">
                  <c:v>5</c:v>
                </c:pt>
                <c:pt idx="4752">
                  <c:v>5</c:v>
                </c:pt>
                <c:pt idx="4753">
                  <c:v>5</c:v>
                </c:pt>
                <c:pt idx="4754">
                  <c:v>5</c:v>
                </c:pt>
                <c:pt idx="4755">
                  <c:v>5</c:v>
                </c:pt>
                <c:pt idx="4756">
                  <c:v>5</c:v>
                </c:pt>
                <c:pt idx="4757">
                  <c:v>5</c:v>
                </c:pt>
                <c:pt idx="4758">
                  <c:v>5</c:v>
                </c:pt>
                <c:pt idx="4759">
                  <c:v>5</c:v>
                </c:pt>
                <c:pt idx="4760">
                  <c:v>5</c:v>
                </c:pt>
                <c:pt idx="4761">
                  <c:v>5</c:v>
                </c:pt>
                <c:pt idx="4762">
                  <c:v>5</c:v>
                </c:pt>
                <c:pt idx="4763">
                  <c:v>5</c:v>
                </c:pt>
                <c:pt idx="4764">
                  <c:v>5</c:v>
                </c:pt>
                <c:pt idx="4765">
                  <c:v>5</c:v>
                </c:pt>
                <c:pt idx="4766">
                  <c:v>5</c:v>
                </c:pt>
                <c:pt idx="4767">
                  <c:v>5</c:v>
                </c:pt>
                <c:pt idx="4768">
                  <c:v>5</c:v>
                </c:pt>
                <c:pt idx="4769">
                  <c:v>5</c:v>
                </c:pt>
                <c:pt idx="4770">
                  <c:v>5</c:v>
                </c:pt>
                <c:pt idx="4771">
                  <c:v>5</c:v>
                </c:pt>
                <c:pt idx="4772">
                  <c:v>5</c:v>
                </c:pt>
                <c:pt idx="4773">
                  <c:v>5</c:v>
                </c:pt>
                <c:pt idx="4774">
                  <c:v>5</c:v>
                </c:pt>
                <c:pt idx="4775">
                  <c:v>5</c:v>
                </c:pt>
                <c:pt idx="4776">
                  <c:v>5</c:v>
                </c:pt>
                <c:pt idx="4777">
                  <c:v>5</c:v>
                </c:pt>
                <c:pt idx="4778">
                  <c:v>5</c:v>
                </c:pt>
                <c:pt idx="4779">
                  <c:v>5</c:v>
                </c:pt>
                <c:pt idx="4780">
                  <c:v>5</c:v>
                </c:pt>
                <c:pt idx="4781">
                  <c:v>5</c:v>
                </c:pt>
                <c:pt idx="4782">
                  <c:v>5</c:v>
                </c:pt>
                <c:pt idx="4783">
                  <c:v>5</c:v>
                </c:pt>
                <c:pt idx="4784">
                  <c:v>5</c:v>
                </c:pt>
                <c:pt idx="4785">
                  <c:v>5</c:v>
                </c:pt>
                <c:pt idx="4786">
                  <c:v>5</c:v>
                </c:pt>
                <c:pt idx="4787">
                  <c:v>5</c:v>
                </c:pt>
                <c:pt idx="4788">
                  <c:v>5</c:v>
                </c:pt>
                <c:pt idx="4789">
                  <c:v>5</c:v>
                </c:pt>
                <c:pt idx="4790">
                  <c:v>5</c:v>
                </c:pt>
                <c:pt idx="4791">
                  <c:v>5</c:v>
                </c:pt>
                <c:pt idx="4792">
                  <c:v>5</c:v>
                </c:pt>
                <c:pt idx="4793">
                  <c:v>5</c:v>
                </c:pt>
                <c:pt idx="4794">
                  <c:v>5</c:v>
                </c:pt>
                <c:pt idx="4795">
                  <c:v>5</c:v>
                </c:pt>
                <c:pt idx="4796">
                  <c:v>5</c:v>
                </c:pt>
                <c:pt idx="4797">
                  <c:v>5</c:v>
                </c:pt>
                <c:pt idx="4798">
                  <c:v>5</c:v>
                </c:pt>
                <c:pt idx="4799">
                  <c:v>5</c:v>
                </c:pt>
                <c:pt idx="4800">
                  <c:v>5</c:v>
                </c:pt>
                <c:pt idx="4801">
                  <c:v>5</c:v>
                </c:pt>
                <c:pt idx="4802">
                  <c:v>5</c:v>
                </c:pt>
                <c:pt idx="4803">
                  <c:v>5</c:v>
                </c:pt>
                <c:pt idx="4804">
                  <c:v>5</c:v>
                </c:pt>
                <c:pt idx="4805">
                  <c:v>5</c:v>
                </c:pt>
                <c:pt idx="4806">
                  <c:v>5</c:v>
                </c:pt>
                <c:pt idx="4807">
                  <c:v>5</c:v>
                </c:pt>
                <c:pt idx="4808">
                  <c:v>5</c:v>
                </c:pt>
                <c:pt idx="4809">
                  <c:v>5</c:v>
                </c:pt>
                <c:pt idx="4810">
                  <c:v>5</c:v>
                </c:pt>
                <c:pt idx="4811">
                  <c:v>5</c:v>
                </c:pt>
                <c:pt idx="4812">
                  <c:v>5</c:v>
                </c:pt>
                <c:pt idx="4813">
                  <c:v>5</c:v>
                </c:pt>
                <c:pt idx="4814">
                  <c:v>5</c:v>
                </c:pt>
                <c:pt idx="4815">
                  <c:v>5</c:v>
                </c:pt>
                <c:pt idx="4816">
                  <c:v>5</c:v>
                </c:pt>
                <c:pt idx="4817">
                  <c:v>5</c:v>
                </c:pt>
                <c:pt idx="4818">
                  <c:v>5</c:v>
                </c:pt>
                <c:pt idx="4819">
                  <c:v>5</c:v>
                </c:pt>
                <c:pt idx="4820">
                  <c:v>5</c:v>
                </c:pt>
                <c:pt idx="4821">
                  <c:v>5</c:v>
                </c:pt>
                <c:pt idx="4822">
                  <c:v>5</c:v>
                </c:pt>
                <c:pt idx="4823">
                  <c:v>5</c:v>
                </c:pt>
                <c:pt idx="4824">
                  <c:v>5</c:v>
                </c:pt>
                <c:pt idx="4825">
                  <c:v>5</c:v>
                </c:pt>
                <c:pt idx="4826">
                  <c:v>5</c:v>
                </c:pt>
                <c:pt idx="4827">
                  <c:v>5</c:v>
                </c:pt>
                <c:pt idx="4828">
                  <c:v>5</c:v>
                </c:pt>
                <c:pt idx="4829">
                  <c:v>5</c:v>
                </c:pt>
                <c:pt idx="4830">
                  <c:v>5</c:v>
                </c:pt>
                <c:pt idx="4831">
                  <c:v>5</c:v>
                </c:pt>
                <c:pt idx="4832">
                  <c:v>5</c:v>
                </c:pt>
                <c:pt idx="4833">
                  <c:v>5</c:v>
                </c:pt>
                <c:pt idx="4834">
                  <c:v>5</c:v>
                </c:pt>
                <c:pt idx="4835">
                  <c:v>5</c:v>
                </c:pt>
                <c:pt idx="4836">
                  <c:v>5</c:v>
                </c:pt>
                <c:pt idx="4837">
                  <c:v>5</c:v>
                </c:pt>
                <c:pt idx="4838">
                  <c:v>5</c:v>
                </c:pt>
                <c:pt idx="4839">
                  <c:v>5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5</c:v>
                </c:pt>
                <c:pt idx="4844">
                  <c:v>5</c:v>
                </c:pt>
                <c:pt idx="4845">
                  <c:v>5</c:v>
                </c:pt>
                <c:pt idx="4846">
                  <c:v>5</c:v>
                </c:pt>
                <c:pt idx="4847">
                  <c:v>5</c:v>
                </c:pt>
                <c:pt idx="4848">
                  <c:v>5</c:v>
                </c:pt>
                <c:pt idx="4849">
                  <c:v>5</c:v>
                </c:pt>
                <c:pt idx="4850">
                  <c:v>5</c:v>
                </c:pt>
                <c:pt idx="4851">
                  <c:v>5</c:v>
                </c:pt>
                <c:pt idx="4852">
                  <c:v>5</c:v>
                </c:pt>
                <c:pt idx="4853">
                  <c:v>5</c:v>
                </c:pt>
                <c:pt idx="4854">
                  <c:v>5</c:v>
                </c:pt>
                <c:pt idx="4855">
                  <c:v>5</c:v>
                </c:pt>
                <c:pt idx="4856">
                  <c:v>5</c:v>
                </c:pt>
                <c:pt idx="4857">
                  <c:v>5</c:v>
                </c:pt>
                <c:pt idx="5848">
                  <c:v>6</c:v>
                </c:pt>
                <c:pt idx="5849">
                  <c:v>6</c:v>
                </c:pt>
                <c:pt idx="5850">
                  <c:v>6</c:v>
                </c:pt>
                <c:pt idx="5851">
                  <c:v>6</c:v>
                </c:pt>
                <c:pt idx="5852">
                  <c:v>6</c:v>
                </c:pt>
                <c:pt idx="5853">
                  <c:v>6</c:v>
                </c:pt>
                <c:pt idx="5854">
                  <c:v>6</c:v>
                </c:pt>
                <c:pt idx="5855">
                  <c:v>6</c:v>
                </c:pt>
                <c:pt idx="5856">
                  <c:v>6</c:v>
                </c:pt>
                <c:pt idx="5857">
                  <c:v>6</c:v>
                </c:pt>
                <c:pt idx="5858">
                  <c:v>6</c:v>
                </c:pt>
                <c:pt idx="5859">
                  <c:v>6</c:v>
                </c:pt>
                <c:pt idx="5860">
                  <c:v>6</c:v>
                </c:pt>
                <c:pt idx="5861">
                  <c:v>6</c:v>
                </c:pt>
                <c:pt idx="5862">
                  <c:v>6</c:v>
                </c:pt>
                <c:pt idx="5863">
                  <c:v>6</c:v>
                </c:pt>
                <c:pt idx="5864">
                  <c:v>6</c:v>
                </c:pt>
                <c:pt idx="5865">
                  <c:v>6</c:v>
                </c:pt>
                <c:pt idx="5866">
                  <c:v>6</c:v>
                </c:pt>
                <c:pt idx="5867">
                  <c:v>6</c:v>
                </c:pt>
                <c:pt idx="5868">
                  <c:v>6</c:v>
                </c:pt>
                <c:pt idx="5869">
                  <c:v>6</c:v>
                </c:pt>
                <c:pt idx="5870">
                  <c:v>6</c:v>
                </c:pt>
                <c:pt idx="5871">
                  <c:v>6</c:v>
                </c:pt>
                <c:pt idx="5872">
                  <c:v>6</c:v>
                </c:pt>
                <c:pt idx="5873">
                  <c:v>6</c:v>
                </c:pt>
                <c:pt idx="5874">
                  <c:v>6</c:v>
                </c:pt>
                <c:pt idx="5875">
                  <c:v>6</c:v>
                </c:pt>
                <c:pt idx="5876">
                  <c:v>6</c:v>
                </c:pt>
                <c:pt idx="5877">
                  <c:v>6</c:v>
                </c:pt>
                <c:pt idx="5878">
                  <c:v>6</c:v>
                </c:pt>
                <c:pt idx="5879">
                  <c:v>6</c:v>
                </c:pt>
                <c:pt idx="5880">
                  <c:v>6</c:v>
                </c:pt>
                <c:pt idx="5881">
                  <c:v>6</c:v>
                </c:pt>
                <c:pt idx="5882">
                  <c:v>6</c:v>
                </c:pt>
                <c:pt idx="5883">
                  <c:v>6</c:v>
                </c:pt>
                <c:pt idx="5884">
                  <c:v>6</c:v>
                </c:pt>
                <c:pt idx="5885">
                  <c:v>6</c:v>
                </c:pt>
                <c:pt idx="5886">
                  <c:v>6</c:v>
                </c:pt>
                <c:pt idx="5887">
                  <c:v>6</c:v>
                </c:pt>
                <c:pt idx="5888">
                  <c:v>6</c:v>
                </c:pt>
                <c:pt idx="5889">
                  <c:v>6</c:v>
                </c:pt>
                <c:pt idx="5890">
                  <c:v>6</c:v>
                </c:pt>
                <c:pt idx="5891">
                  <c:v>6</c:v>
                </c:pt>
                <c:pt idx="5892">
                  <c:v>6</c:v>
                </c:pt>
                <c:pt idx="5893">
                  <c:v>6</c:v>
                </c:pt>
                <c:pt idx="5894">
                  <c:v>6</c:v>
                </c:pt>
                <c:pt idx="5895">
                  <c:v>6</c:v>
                </c:pt>
                <c:pt idx="5896">
                  <c:v>6</c:v>
                </c:pt>
                <c:pt idx="5897">
                  <c:v>6</c:v>
                </c:pt>
                <c:pt idx="5898">
                  <c:v>6</c:v>
                </c:pt>
                <c:pt idx="5899">
                  <c:v>6</c:v>
                </c:pt>
                <c:pt idx="5900">
                  <c:v>6</c:v>
                </c:pt>
                <c:pt idx="5901">
                  <c:v>6</c:v>
                </c:pt>
                <c:pt idx="5902">
                  <c:v>6</c:v>
                </c:pt>
                <c:pt idx="5903">
                  <c:v>6</c:v>
                </c:pt>
                <c:pt idx="5904">
                  <c:v>6</c:v>
                </c:pt>
                <c:pt idx="5905">
                  <c:v>6</c:v>
                </c:pt>
                <c:pt idx="5906">
                  <c:v>6</c:v>
                </c:pt>
                <c:pt idx="5907">
                  <c:v>6</c:v>
                </c:pt>
                <c:pt idx="5908">
                  <c:v>6</c:v>
                </c:pt>
                <c:pt idx="5909">
                  <c:v>6</c:v>
                </c:pt>
                <c:pt idx="5910">
                  <c:v>6</c:v>
                </c:pt>
                <c:pt idx="5911">
                  <c:v>6</c:v>
                </c:pt>
                <c:pt idx="5912">
                  <c:v>6</c:v>
                </c:pt>
                <c:pt idx="5913">
                  <c:v>6</c:v>
                </c:pt>
                <c:pt idx="5914">
                  <c:v>6</c:v>
                </c:pt>
                <c:pt idx="5915">
                  <c:v>6</c:v>
                </c:pt>
                <c:pt idx="5916">
                  <c:v>6</c:v>
                </c:pt>
                <c:pt idx="5917">
                  <c:v>6</c:v>
                </c:pt>
                <c:pt idx="5918">
                  <c:v>6</c:v>
                </c:pt>
                <c:pt idx="5919">
                  <c:v>6</c:v>
                </c:pt>
                <c:pt idx="5920">
                  <c:v>6</c:v>
                </c:pt>
                <c:pt idx="5921">
                  <c:v>6</c:v>
                </c:pt>
                <c:pt idx="5922">
                  <c:v>6</c:v>
                </c:pt>
                <c:pt idx="5923">
                  <c:v>6</c:v>
                </c:pt>
                <c:pt idx="5924">
                  <c:v>6</c:v>
                </c:pt>
                <c:pt idx="5925">
                  <c:v>6</c:v>
                </c:pt>
                <c:pt idx="5926">
                  <c:v>6</c:v>
                </c:pt>
                <c:pt idx="5927">
                  <c:v>6</c:v>
                </c:pt>
                <c:pt idx="5928">
                  <c:v>6</c:v>
                </c:pt>
                <c:pt idx="5929">
                  <c:v>6</c:v>
                </c:pt>
                <c:pt idx="5930">
                  <c:v>6</c:v>
                </c:pt>
                <c:pt idx="5931">
                  <c:v>6</c:v>
                </c:pt>
                <c:pt idx="5932">
                  <c:v>6</c:v>
                </c:pt>
                <c:pt idx="5933">
                  <c:v>6</c:v>
                </c:pt>
                <c:pt idx="5934">
                  <c:v>6</c:v>
                </c:pt>
                <c:pt idx="5935">
                  <c:v>6</c:v>
                </c:pt>
                <c:pt idx="5936">
                  <c:v>6</c:v>
                </c:pt>
                <c:pt idx="5937">
                  <c:v>6</c:v>
                </c:pt>
                <c:pt idx="5938">
                  <c:v>6</c:v>
                </c:pt>
                <c:pt idx="5939">
                  <c:v>6</c:v>
                </c:pt>
                <c:pt idx="5940">
                  <c:v>6</c:v>
                </c:pt>
                <c:pt idx="5941">
                  <c:v>6</c:v>
                </c:pt>
                <c:pt idx="5942">
                  <c:v>6</c:v>
                </c:pt>
                <c:pt idx="5943">
                  <c:v>6</c:v>
                </c:pt>
                <c:pt idx="5944">
                  <c:v>6</c:v>
                </c:pt>
                <c:pt idx="5945">
                  <c:v>6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6</c:v>
                </c:pt>
                <c:pt idx="5950">
                  <c:v>6</c:v>
                </c:pt>
                <c:pt idx="5951">
                  <c:v>6</c:v>
                </c:pt>
                <c:pt idx="5952">
                  <c:v>6</c:v>
                </c:pt>
                <c:pt idx="6882">
                  <c:v>7</c:v>
                </c:pt>
                <c:pt idx="6883">
                  <c:v>7</c:v>
                </c:pt>
                <c:pt idx="6884">
                  <c:v>7</c:v>
                </c:pt>
                <c:pt idx="6885">
                  <c:v>7</c:v>
                </c:pt>
                <c:pt idx="6886">
                  <c:v>7</c:v>
                </c:pt>
                <c:pt idx="6887">
                  <c:v>7</c:v>
                </c:pt>
                <c:pt idx="6888">
                  <c:v>7</c:v>
                </c:pt>
                <c:pt idx="6889">
                  <c:v>7</c:v>
                </c:pt>
                <c:pt idx="6890">
                  <c:v>7</c:v>
                </c:pt>
                <c:pt idx="6891">
                  <c:v>7</c:v>
                </c:pt>
                <c:pt idx="6892">
                  <c:v>7</c:v>
                </c:pt>
                <c:pt idx="6893">
                  <c:v>7</c:v>
                </c:pt>
                <c:pt idx="6894">
                  <c:v>7</c:v>
                </c:pt>
                <c:pt idx="6895">
                  <c:v>7</c:v>
                </c:pt>
                <c:pt idx="6896">
                  <c:v>7</c:v>
                </c:pt>
                <c:pt idx="6897">
                  <c:v>7</c:v>
                </c:pt>
                <c:pt idx="6898">
                  <c:v>7</c:v>
                </c:pt>
                <c:pt idx="6899">
                  <c:v>7</c:v>
                </c:pt>
                <c:pt idx="6900">
                  <c:v>7</c:v>
                </c:pt>
                <c:pt idx="6901">
                  <c:v>7</c:v>
                </c:pt>
                <c:pt idx="6902">
                  <c:v>7</c:v>
                </c:pt>
                <c:pt idx="6903">
                  <c:v>7</c:v>
                </c:pt>
                <c:pt idx="6904">
                  <c:v>7</c:v>
                </c:pt>
                <c:pt idx="6905">
                  <c:v>7</c:v>
                </c:pt>
                <c:pt idx="6906">
                  <c:v>7</c:v>
                </c:pt>
                <c:pt idx="6907">
                  <c:v>7</c:v>
                </c:pt>
                <c:pt idx="6908">
                  <c:v>7</c:v>
                </c:pt>
                <c:pt idx="6909">
                  <c:v>7</c:v>
                </c:pt>
                <c:pt idx="6910">
                  <c:v>7</c:v>
                </c:pt>
                <c:pt idx="6911">
                  <c:v>7</c:v>
                </c:pt>
                <c:pt idx="6912">
                  <c:v>7</c:v>
                </c:pt>
                <c:pt idx="6913">
                  <c:v>7</c:v>
                </c:pt>
                <c:pt idx="6914">
                  <c:v>7</c:v>
                </c:pt>
                <c:pt idx="6915">
                  <c:v>7</c:v>
                </c:pt>
                <c:pt idx="6916">
                  <c:v>7</c:v>
                </c:pt>
                <c:pt idx="6917">
                  <c:v>7</c:v>
                </c:pt>
                <c:pt idx="6918">
                  <c:v>7</c:v>
                </c:pt>
                <c:pt idx="6919">
                  <c:v>7</c:v>
                </c:pt>
                <c:pt idx="6920">
                  <c:v>7</c:v>
                </c:pt>
                <c:pt idx="6921">
                  <c:v>7</c:v>
                </c:pt>
                <c:pt idx="6922">
                  <c:v>7</c:v>
                </c:pt>
                <c:pt idx="6923">
                  <c:v>7</c:v>
                </c:pt>
                <c:pt idx="6924">
                  <c:v>7</c:v>
                </c:pt>
                <c:pt idx="6925">
                  <c:v>7</c:v>
                </c:pt>
                <c:pt idx="6926">
                  <c:v>7</c:v>
                </c:pt>
                <c:pt idx="6927">
                  <c:v>7</c:v>
                </c:pt>
                <c:pt idx="6928">
                  <c:v>7</c:v>
                </c:pt>
                <c:pt idx="6929">
                  <c:v>7</c:v>
                </c:pt>
                <c:pt idx="6930">
                  <c:v>7</c:v>
                </c:pt>
                <c:pt idx="6931">
                  <c:v>7</c:v>
                </c:pt>
                <c:pt idx="6932">
                  <c:v>7</c:v>
                </c:pt>
                <c:pt idx="6933">
                  <c:v>7</c:v>
                </c:pt>
                <c:pt idx="6934">
                  <c:v>7</c:v>
                </c:pt>
                <c:pt idx="6935">
                  <c:v>7</c:v>
                </c:pt>
                <c:pt idx="6936">
                  <c:v>7</c:v>
                </c:pt>
                <c:pt idx="6937">
                  <c:v>7</c:v>
                </c:pt>
                <c:pt idx="6938">
                  <c:v>7</c:v>
                </c:pt>
                <c:pt idx="6939">
                  <c:v>7</c:v>
                </c:pt>
                <c:pt idx="6940">
                  <c:v>7</c:v>
                </c:pt>
                <c:pt idx="6941">
                  <c:v>7</c:v>
                </c:pt>
                <c:pt idx="6942">
                  <c:v>7</c:v>
                </c:pt>
                <c:pt idx="6943">
                  <c:v>7</c:v>
                </c:pt>
                <c:pt idx="6944">
                  <c:v>7</c:v>
                </c:pt>
                <c:pt idx="6945">
                  <c:v>7</c:v>
                </c:pt>
                <c:pt idx="6946">
                  <c:v>7</c:v>
                </c:pt>
                <c:pt idx="6947">
                  <c:v>7</c:v>
                </c:pt>
                <c:pt idx="6948">
                  <c:v>7</c:v>
                </c:pt>
                <c:pt idx="6949">
                  <c:v>7</c:v>
                </c:pt>
                <c:pt idx="6950">
                  <c:v>7</c:v>
                </c:pt>
                <c:pt idx="6951">
                  <c:v>7</c:v>
                </c:pt>
                <c:pt idx="6952">
                  <c:v>7</c:v>
                </c:pt>
                <c:pt idx="6953">
                  <c:v>7</c:v>
                </c:pt>
                <c:pt idx="6954">
                  <c:v>7</c:v>
                </c:pt>
                <c:pt idx="6955">
                  <c:v>7</c:v>
                </c:pt>
                <c:pt idx="6956">
                  <c:v>7</c:v>
                </c:pt>
                <c:pt idx="6957">
                  <c:v>7</c:v>
                </c:pt>
                <c:pt idx="6958">
                  <c:v>7</c:v>
                </c:pt>
                <c:pt idx="6959">
                  <c:v>7</c:v>
                </c:pt>
                <c:pt idx="6960">
                  <c:v>7</c:v>
                </c:pt>
                <c:pt idx="6961">
                  <c:v>7</c:v>
                </c:pt>
                <c:pt idx="6962">
                  <c:v>7</c:v>
                </c:pt>
                <c:pt idx="6963">
                  <c:v>7</c:v>
                </c:pt>
                <c:pt idx="6964">
                  <c:v>7</c:v>
                </c:pt>
                <c:pt idx="6965">
                  <c:v>7</c:v>
                </c:pt>
                <c:pt idx="6966">
                  <c:v>7</c:v>
                </c:pt>
                <c:pt idx="6967">
                  <c:v>7</c:v>
                </c:pt>
                <c:pt idx="6968">
                  <c:v>7</c:v>
                </c:pt>
                <c:pt idx="6969">
                  <c:v>7</c:v>
                </c:pt>
                <c:pt idx="6970">
                  <c:v>7</c:v>
                </c:pt>
                <c:pt idx="6971">
                  <c:v>7</c:v>
                </c:pt>
                <c:pt idx="6972">
                  <c:v>7</c:v>
                </c:pt>
                <c:pt idx="6973">
                  <c:v>7</c:v>
                </c:pt>
                <c:pt idx="6974">
                  <c:v>7</c:v>
                </c:pt>
                <c:pt idx="6975">
                  <c:v>7</c:v>
                </c:pt>
                <c:pt idx="6976">
                  <c:v>7</c:v>
                </c:pt>
                <c:pt idx="6977">
                  <c:v>7</c:v>
                </c:pt>
                <c:pt idx="6978">
                  <c:v>7</c:v>
                </c:pt>
                <c:pt idx="6979">
                  <c:v>7</c:v>
                </c:pt>
                <c:pt idx="6980">
                  <c:v>7</c:v>
                </c:pt>
                <c:pt idx="6981">
                  <c:v>7</c:v>
                </c:pt>
                <c:pt idx="6982">
                  <c:v>7</c:v>
                </c:pt>
                <c:pt idx="6983">
                  <c:v>7</c:v>
                </c:pt>
                <c:pt idx="6984">
                  <c:v>7</c:v>
                </c:pt>
                <c:pt idx="6985">
                  <c:v>7</c:v>
                </c:pt>
                <c:pt idx="6986">
                  <c:v>7</c:v>
                </c:pt>
                <c:pt idx="6987">
                  <c:v>7</c:v>
                </c:pt>
                <c:pt idx="6988">
                  <c:v>7</c:v>
                </c:pt>
                <c:pt idx="6989">
                  <c:v>7</c:v>
                </c:pt>
                <c:pt idx="6990">
                  <c:v>7</c:v>
                </c:pt>
                <c:pt idx="6991">
                  <c:v>7</c:v>
                </c:pt>
                <c:pt idx="6992">
                  <c:v>7</c:v>
                </c:pt>
                <c:pt idx="6993">
                  <c:v>7</c:v>
                </c:pt>
                <c:pt idx="6994">
                  <c:v>7</c:v>
                </c:pt>
                <c:pt idx="6995">
                  <c:v>7</c:v>
                </c:pt>
                <c:pt idx="6996">
                  <c:v>7</c:v>
                </c:pt>
                <c:pt idx="6997">
                  <c:v>7</c:v>
                </c:pt>
                <c:pt idx="6998">
                  <c:v>7</c:v>
                </c:pt>
                <c:pt idx="6999">
                  <c:v>7</c:v>
                </c:pt>
                <c:pt idx="7000">
                  <c:v>7</c:v>
                </c:pt>
                <c:pt idx="7001">
                  <c:v>7</c:v>
                </c:pt>
                <c:pt idx="7002">
                  <c:v>7</c:v>
                </c:pt>
                <c:pt idx="7003">
                  <c:v>7</c:v>
                </c:pt>
                <c:pt idx="7004">
                  <c:v>7</c:v>
                </c:pt>
                <c:pt idx="7005">
                  <c:v>7</c:v>
                </c:pt>
                <c:pt idx="7006">
                  <c:v>7</c:v>
                </c:pt>
                <c:pt idx="7007">
                  <c:v>7</c:v>
                </c:pt>
                <c:pt idx="7008">
                  <c:v>7</c:v>
                </c:pt>
                <c:pt idx="7009">
                  <c:v>7</c:v>
                </c:pt>
                <c:pt idx="7010">
                  <c:v>7</c:v>
                </c:pt>
                <c:pt idx="7011">
                  <c:v>7</c:v>
                </c:pt>
                <c:pt idx="7012">
                  <c:v>7</c:v>
                </c:pt>
                <c:pt idx="7013">
                  <c:v>7</c:v>
                </c:pt>
                <c:pt idx="7014">
                  <c:v>7</c:v>
                </c:pt>
                <c:pt idx="7015">
                  <c:v>7</c:v>
                </c:pt>
                <c:pt idx="7016">
                  <c:v>7</c:v>
                </c:pt>
                <c:pt idx="7017">
                  <c:v>7</c:v>
                </c:pt>
                <c:pt idx="7018">
                  <c:v>7</c:v>
                </c:pt>
                <c:pt idx="7019">
                  <c:v>7</c:v>
                </c:pt>
                <c:pt idx="7020">
                  <c:v>7</c:v>
                </c:pt>
                <c:pt idx="7021">
                  <c:v>7</c:v>
                </c:pt>
                <c:pt idx="7022">
                  <c:v>7</c:v>
                </c:pt>
                <c:pt idx="7023">
                  <c:v>7</c:v>
                </c:pt>
                <c:pt idx="7024">
                  <c:v>7</c:v>
                </c:pt>
                <c:pt idx="7025">
                  <c:v>7</c:v>
                </c:pt>
                <c:pt idx="7026">
                  <c:v>7</c:v>
                </c:pt>
                <c:pt idx="7027">
                  <c:v>7</c:v>
                </c:pt>
                <c:pt idx="7028">
                  <c:v>7</c:v>
                </c:pt>
                <c:pt idx="7029">
                  <c:v>7</c:v>
                </c:pt>
                <c:pt idx="7030">
                  <c:v>7</c:v>
                </c:pt>
                <c:pt idx="7031">
                  <c:v>7</c:v>
                </c:pt>
                <c:pt idx="7032">
                  <c:v>7</c:v>
                </c:pt>
                <c:pt idx="7033">
                  <c:v>7</c:v>
                </c:pt>
                <c:pt idx="7034">
                  <c:v>7</c:v>
                </c:pt>
                <c:pt idx="7035">
                  <c:v>7</c:v>
                </c:pt>
                <c:pt idx="7036">
                  <c:v>7</c:v>
                </c:pt>
                <c:pt idx="7037">
                  <c:v>7</c:v>
                </c:pt>
                <c:pt idx="7038">
                  <c:v>7</c:v>
                </c:pt>
                <c:pt idx="7039">
                  <c:v>7</c:v>
                </c:pt>
                <c:pt idx="7040">
                  <c:v>7</c:v>
                </c:pt>
                <c:pt idx="7041">
                  <c:v>7</c:v>
                </c:pt>
                <c:pt idx="7042">
                  <c:v>7</c:v>
                </c:pt>
                <c:pt idx="7043">
                  <c:v>7</c:v>
                </c:pt>
                <c:pt idx="7044">
                  <c:v>7</c:v>
                </c:pt>
                <c:pt idx="7045">
                  <c:v>7</c:v>
                </c:pt>
                <c:pt idx="7046">
                  <c:v>7</c:v>
                </c:pt>
                <c:pt idx="7047">
                  <c:v>7</c:v>
                </c:pt>
                <c:pt idx="7048">
                  <c:v>7</c:v>
                </c:pt>
                <c:pt idx="7049">
                  <c:v>7</c:v>
                </c:pt>
                <c:pt idx="7050">
                  <c:v>7</c:v>
                </c:pt>
                <c:pt idx="7051">
                  <c:v>7</c:v>
                </c:pt>
                <c:pt idx="7052">
                  <c:v>7</c:v>
                </c:pt>
                <c:pt idx="7053">
                  <c:v>7</c:v>
                </c:pt>
                <c:pt idx="7054">
                  <c:v>7</c:v>
                </c:pt>
                <c:pt idx="7055">
                  <c:v>7</c:v>
                </c:pt>
                <c:pt idx="7056">
                  <c:v>7</c:v>
                </c:pt>
                <c:pt idx="7057">
                  <c:v>7</c:v>
                </c:pt>
                <c:pt idx="7058">
                  <c:v>7</c:v>
                </c:pt>
                <c:pt idx="7059">
                  <c:v>7</c:v>
                </c:pt>
                <c:pt idx="7060">
                  <c:v>7</c:v>
                </c:pt>
                <c:pt idx="7061">
                  <c:v>7</c:v>
                </c:pt>
                <c:pt idx="7062">
                  <c:v>7</c:v>
                </c:pt>
                <c:pt idx="7063">
                  <c:v>7</c:v>
                </c:pt>
                <c:pt idx="7064">
                  <c:v>7</c:v>
                </c:pt>
                <c:pt idx="7065">
                  <c:v>7</c:v>
                </c:pt>
                <c:pt idx="7066">
                  <c:v>7</c:v>
                </c:pt>
                <c:pt idx="7067">
                  <c:v>7</c:v>
                </c:pt>
                <c:pt idx="7068">
                  <c:v>7</c:v>
                </c:pt>
                <c:pt idx="7069">
                  <c:v>7</c:v>
                </c:pt>
                <c:pt idx="7070">
                  <c:v>7</c:v>
                </c:pt>
                <c:pt idx="7071">
                  <c:v>7</c:v>
                </c:pt>
                <c:pt idx="7072">
                  <c:v>7</c:v>
                </c:pt>
                <c:pt idx="7073">
                  <c:v>7</c:v>
                </c:pt>
                <c:pt idx="7074">
                  <c:v>7</c:v>
                </c:pt>
                <c:pt idx="7075">
                  <c:v>7</c:v>
                </c:pt>
                <c:pt idx="7076">
                  <c:v>7</c:v>
                </c:pt>
                <c:pt idx="7077">
                  <c:v>7</c:v>
                </c:pt>
                <c:pt idx="7078">
                  <c:v>7</c:v>
                </c:pt>
                <c:pt idx="7079">
                  <c:v>7</c:v>
                </c:pt>
                <c:pt idx="7080">
                  <c:v>7</c:v>
                </c:pt>
                <c:pt idx="7081">
                  <c:v>7</c:v>
                </c:pt>
                <c:pt idx="7082">
                  <c:v>7</c:v>
                </c:pt>
                <c:pt idx="7083">
                  <c:v>7</c:v>
                </c:pt>
                <c:pt idx="7084">
                  <c:v>7</c:v>
                </c:pt>
                <c:pt idx="7085">
                  <c:v>7</c:v>
                </c:pt>
                <c:pt idx="7086">
                  <c:v>7</c:v>
                </c:pt>
                <c:pt idx="7087">
                  <c:v>7</c:v>
                </c:pt>
                <c:pt idx="7088">
                  <c:v>7</c:v>
                </c:pt>
                <c:pt idx="7089">
                  <c:v>7</c:v>
                </c:pt>
                <c:pt idx="7090">
                  <c:v>7</c:v>
                </c:pt>
                <c:pt idx="7091">
                  <c:v>7</c:v>
                </c:pt>
                <c:pt idx="7092">
                  <c:v>7</c:v>
                </c:pt>
                <c:pt idx="7093">
                  <c:v>7</c:v>
                </c:pt>
                <c:pt idx="7094">
                  <c:v>7</c:v>
                </c:pt>
                <c:pt idx="7095">
                  <c:v>7</c:v>
                </c:pt>
                <c:pt idx="7096">
                  <c:v>7</c:v>
                </c:pt>
                <c:pt idx="7097">
                  <c:v>7</c:v>
                </c:pt>
                <c:pt idx="7098">
                  <c:v>7</c:v>
                </c:pt>
                <c:pt idx="7099">
                  <c:v>7</c:v>
                </c:pt>
                <c:pt idx="7100">
                  <c:v>7</c:v>
                </c:pt>
                <c:pt idx="7101">
                  <c:v>7</c:v>
                </c:pt>
                <c:pt idx="7102">
                  <c:v>7</c:v>
                </c:pt>
                <c:pt idx="7103">
                  <c:v>7</c:v>
                </c:pt>
                <c:pt idx="7104">
                  <c:v>7</c:v>
                </c:pt>
                <c:pt idx="7105">
                  <c:v>7</c:v>
                </c:pt>
                <c:pt idx="7106">
                  <c:v>7</c:v>
                </c:pt>
                <c:pt idx="7107">
                  <c:v>7</c:v>
                </c:pt>
                <c:pt idx="7108">
                  <c:v>7</c:v>
                </c:pt>
                <c:pt idx="7109">
                  <c:v>7</c:v>
                </c:pt>
                <c:pt idx="7110">
                  <c:v>7</c:v>
                </c:pt>
                <c:pt idx="7111">
                  <c:v>7</c:v>
                </c:pt>
                <c:pt idx="7112">
                  <c:v>7</c:v>
                </c:pt>
                <c:pt idx="7113">
                  <c:v>7</c:v>
                </c:pt>
                <c:pt idx="7114">
                  <c:v>7</c:v>
                </c:pt>
                <c:pt idx="7115">
                  <c:v>7</c:v>
                </c:pt>
                <c:pt idx="7116">
                  <c:v>7</c:v>
                </c:pt>
                <c:pt idx="7117">
                  <c:v>7</c:v>
                </c:pt>
                <c:pt idx="7118">
                  <c:v>7</c:v>
                </c:pt>
                <c:pt idx="7119">
                  <c:v>7</c:v>
                </c:pt>
                <c:pt idx="7120">
                  <c:v>7</c:v>
                </c:pt>
                <c:pt idx="7121">
                  <c:v>7</c:v>
                </c:pt>
                <c:pt idx="7122">
                  <c:v>7</c:v>
                </c:pt>
                <c:pt idx="7123">
                  <c:v>7</c:v>
                </c:pt>
                <c:pt idx="7124">
                  <c:v>7</c:v>
                </c:pt>
                <c:pt idx="7125">
                  <c:v>7</c:v>
                </c:pt>
                <c:pt idx="7126">
                  <c:v>7</c:v>
                </c:pt>
                <c:pt idx="7127">
                  <c:v>7</c:v>
                </c:pt>
                <c:pt idx="7128">
                  <c:v>7</c:v>
                </c:pt>
                <c:pt idx="7129">
                  <c:v>7</c:v>
                </c:pt>
                <c:pt idx="7130">
                  <c:v>7</c:v>
                </c:pt>
                <c:pt idx="7131">
                  <c:v>7</c:v>
                </c:pt>
                <c:pt idx="7132">
                  <c:v>7</c:v>
                </c:pt>
                <c:pt idx="7133">
                  <c:v>7</c:v>
                </c:pt>
                <c:pt idx="7134">
                  <c:v>7</c:v>
                </c:pt>
                <c:pt idx="7135">
                  <c:v>7</c:v>
                </c:pt>
                <c:pt idx="7136">
                  <c:v>7</c:v>
                </c:pt>
                <c:pt idx="7137">
                  <c:v>7</c:v>
                </c:pt>
                <c:pt idx="7138">
                  <c:v>7</c:v>
                </c:pt>
                <c:pt idx="7139">
                  <c:v>7</c:v>
                </c:pt>
                <c:pt idx="7140">
                  <c:v>7</c:v>
                </c:pt>
                <c:pt idx="7141">
                  <c:v>7</c:v>
                </c:pt>
                <c:pt idx="7142">
                  <c:v>7</c:v>
                </c:pt>
                <c:pt idx="7143">
                  <c:v>7</c:v>
                </c:pt>
                <c:pt idx="7144">
                  <c:v>7</c:v>
                </c:pt>
                <c:pt idx="7145">
                  <c:v>7</c:v>
                </c:pt>
                <c:pt idx="7146">
                  <c:v>7</c:v>
                </c:pt>
                <c:pt idx="7147">
                  <c:v>7</c:v>
                </c:pt>
                <c:pt idx="7148">
                  <c:v>7</c:v>
                </c:pt>
                <c:pt idx="7149">
                  <c:v>7</c:v>
                </c:pt>
                <c:pt idx="7150">
                  <c:v>7</c:v>
                </c:pt>
                <c:pt idx="7151">
                  <c:v>7</c:v>
                </c:pt>
                <c:pt idx="7152">
                  <c:v>7</c:v>
                </c:pt>
                <c:pt idx="7153">
                  <c:v>7</c:v>
                </c:pt>
                <c:pt idx="7154">
                  <c:v>7</c:v>
                </c:pt>
                <c:pt idx="7155">
                  <c:v>7</c:v>
                </c:pt>
                <c:pt idx="7156">
                  <c:v>7</c:v>
                </c:pt>
                <c:pt idx="7157">
                  <c:v>7</c:v>
                </c:pt>
                <c:pt idx="7158">
                  <c:v>7</c:v>
                </c:pt>
                <c:pt idx="7159">
                  <c:v>7</c:v>
                </c:pt>
                <c:pt idx="7160">
                  <c:v>7</c:v>
                </c:pt>
                <c:pt idx="7161">
                  <c:v>7</c:v>
                </c:pt>
                <c:pt idx="7162">
                  <c:v>7</c:v>
                </c:pt>
                <c:pt idx="7163">
                  <c:v>7</c:v>
                </c:pt>
                <c:pt idx="7164">
                  <c:v>7</c:v>
                </c:pt>
                <c:pt idx="7165">
                  <c:v>7</c:v>
                </c:pt>
                <c:pt idx="7166">
                  <c:v>7</c:v>
                </c:pt>
                <c:pt idx="7167">
                  <c:v>7</c:v>
                </c:pt>
                <c:pt idx="7168">
                  <c:v>7</c:v>
                </c:pt>
                <c:pt idx="7169">
                  <c:v>7</c:v>
                </c:pt>
                <c:pt idx="7170">
                  <c:v>7</c:v>
                </c:pt>
                <c:pt idx="7171">
                  <c:v>7</c:v>
                </c:pt>
                <c:pt idx="7172">
                  <c:v>7</c:v>
                </c:pt>
                <c:pt idx="7173">
                  <c:v>7</c:v>
                </c:pt>
                <c:pt idx="7174">
                  <c:v>7</c:v>
                </c:pt>
                <c:pt idx="7175">
                  <c:v>7</c:v>
                </c:pt>
                <c:pt idx="7176">
                  <c:v>7</c:v>
                </c:pt>
                <c:pt idx="7177">
                  <c:v>7</c:v>
                </c:pt>
                <c:pt idx="7178">
                  <c:v>7</c:v>
                </c:pt>
                <c:pt idx="7179">
                  <c:v>7</c:v>
                </c:pt>
                <c:pt idx="7180">
                  <c:v>7</c:v>
                </c:pt>
                <c:pt idx="7181">
                  <c:v>7</c:v>
                </c:pt>
                <c:pt idx="7182">
                  <c:v>7</c:v>
                </c:pt>
                <c:pt idx="7183">
                  <c:v>7</c:v>
                </c:pt>
                <c:pt idx="7184">
                  <c:v>7</c:v>
                </c:pt>
                <c:pt idx="7185">
                  <c:v>7</c:v>
                </c:pt>
                <c:pt idx="7186">
                  <c:v>7</c:v>
                </c:pt>
                <c:pt idx="7187">
                  <c:v>7</c:v>
                </c:pt>
                <c:pt idx="7188">
                  <c:v>7</c:v>
                </c:pt>
                <c:pt idx="7189">
                  <c:v>7</c:v>
                </c:pt>
                <c:pt idx="7190">
                  <c:v>7</c:v>
                </c:pt>
                <c:pt idx="7191">
                  <c:v>7</c:v>
                </c:pt>
                <c:pt idx="7192">
                  <c:v>7</c:v>
                </c:pt>
                <c:pt idx="7193">
                  <c:v>7</c:v>
                </c:pt>
                <c:pt idx="7194">
                  <c:v>7</c:v>
                </c:pt>
                <c:pt idx="7195">
                  <c:v>7</c:v>
                </c:pt>
                <c:pt idx="7196">
                  <c:v>7</c:v>
                </c:pt>
                <c:pt idx="7197">
                  <c:v>7</c:v>
                </c:pt>
                <c:pt idx="7198">
                  <c:v>7</c:v>
                </c:pt>
                <c:pt idx="7199">
                  <c:v>7</c:v>
                </c:pt>
                <c:pt idx="7200">
                  <c:v>7</c:v>
                </c:pt>
                <c:pt idx="7201">
                  <c:v>7</c:v>
                </c:pt>
                <c:pt idx="7202">
                  <c:v>7</c:v>
                </c:pt>
                <c:pt idx="7203">
                  <c:v>7</c:v>
                </c:pt>
                <c:pt idx="7204">
                  <c:v>7</c:v>
                </c:pt>
                <c:pt idx="7205">
                  <c:v>7</c:v>
                </c:pt>
                <c:pt idx="7206">
                  <c:v>7</c:v>
                </c:pt>
                <c:pt idx="7207">
                  <c:v>7</c:v>
                </c:pt>
                <c:pt idx="7208">
                  <c:v>7</c:v>
                </c:pt>
                <c:pt idx="7209">
                  <c:v>7</c:v>
                </c:pt>
                <c:pt idx="7210">
                  <c:v>7</c:v>
                </c:pt>
                <c:pt idx="7211">
                  <c:v>7</c:v>
                </c:pt>
                <c:pt idx="7212">
                  <c:v>7</c:v>
                </c:pt>
                <c:pt idx="7213">
                  <c:v>7</c:v>
                </c:pt>
                <c:pt idx="7214">
                  <c:v>7</c:v>
                </c:pt>
                <c:pt idx="7215">
                  <c:v>7</c:v>
                </c:pt>
                <c:pt idx="7216">
                  <c:v>7</c:v>
                </c:pt>
                <c:pt idx="7217">
                  <c:v>7</c:v>
                </c:pt>
                <c:pt idx="7218">
                  <c:v>7</c:v>
                </c:pt>
                <c:pt idx="7219">
                  <c:v>7</c:v>
                </c:pt>
                <c:pt idx="7220">
                  <c:v>7</c:v>
                </c:pt>
                <c:pt idx="7221">
                  <c:v>7</c:v>
                </c:pt>
                <c:pt idx="7222">
                  <c:v>7</c:v>
                </c:pt>
                <c:pt idx="7223">
                  <c:v>7</c:v>
                </c:pt>
                <c:pt idx="7224">
                  <c:v>7</c:v>
                </c:pt>
                <c:pt idx="7225">
                  <c:v>7</c:v>
                </c:pt>
                <c:pt idx="7226">
                  <c:v>7</c:v>
                </c:pt>
                <c:pt idx="7227">
                  <c:v>7</c:v>
                </c:pt>
                <c:pt idx="7228">
                  <c:v>7</c:v>
                </c:pt>
                <c:pt idx="7229">
                  <c:v>7</c:v>
                </c:pt>
                <c:pt idx="7230">
                  <c:v>7</c:v>
                </c:pt>
                <c:pt idx="7231">
                  <c:v>7</c:v>
                </c:pt>
                <c:pt idx="7232">
                  <c:v>7</c:v>
                </c:pt>
                <c:pt idx="7233">
                  <c:v>7</c:v>
                </c:pt>
                <c:pt idx="7234">
                  <c:v>7</c:v>
                </c:pt>
                <c:pt idx="7235">
                  <c:v>7</c:v>
                </c:pt>
                <c:pt idx="7236">
                  <c:v>7</c:v>
                </c:pt>
                <c:pt idx="7237">
                  <c:v>7</c:v>
                </c:pt>
                <c:pt idx="7238">
                  <c:v>7</c:v>
                </c:pt>
                <c:pt idx="7239">
                  <c:v>7</c:v>
                </c:pt>
                <c:pt idx="7240">
                  <c:v>7</c:v>
                </c:pt>
                <c:pt idx="7241">
                  <c:v>7</c:v>
                </c:pt>
                <c:pt idx="7242">
                  <c:v>7</c:v>
                </c:pt>
                <c:pt idx="7243">
                  <c:v>7</c:v>
                </c:pt>
                <c:pt idx="7244">
                  <c:v>7</c:v>
                </c:pt>
                <c:pt idx="7245">
                  <c:v>7</c:v>
                </c:pt>
                <c:pt idx="7246">
                  <c:v>7</c:v>
                </c:pt>
                <c:pt idx="7247">
                  <c:v>7</c:v>
                </c:pt>
                <c:pt idx="7248">
                  <c:v>7</c:v>
                </c:pt>
                <c:pt idx="7249">
                  <c:v>7</c:v>
                </c:pt>
                <c:pt idx="7250">
                  <c:v>7</c:v>
                </c:pt>
                <c:pt idx="7251">
                  <c:v>7</c:v>
                </c:pt>
                <c:pt idx="7252">
                  <c:v>7</c:v>
                </c:pt>
                <c:pt idx="7253">
                  <c:v>7</c:v>
                </c:pt>
                <c:pt idx="7254">
                  <c:v>7</c:v>
                </c:pt>
                <c:pt idx="7255">
                  <c:v>7</c:v>
                </c:pt>
                <c:pt idx="7256">
                  <c:v>7</c:v>
                </c:pt>
                <c:pt idx="7257">
                  <c:v>7</c:v>
                </c:pt>
                <c:pt idx="7258">
                  <c:v>7</c:v>
                </c:pt>
                <c:pt idx="7259">
                  <c:v>7</c:v>
                </c:pt>
                <c:pt idx="7260">
                  <c:v>7</c:v>
                </c:pt>
                <c:pt idx="7261">
                  <c:v>7</c:v>
                </c:pt>
                <c:pt idx="7262">
                  <c:v>7</c:v>
                </c:pt>
                <c:pt idx="7263">
                  <c:v>7</c:v>
                </c:pt>
                <c:pt idx="7264">
                  <c:v>7</c:v>
                </c:pt>
                <c:pt idx="7265">
                  <c:v>7</c:v>
                </c:pt>
                <c:pt idx="7266">
                  <c:v>7</c:v>
                </c:pt>
                <c:pt idx="7267">
                  <c:v>7</c:v>
                </c:pt>
                <c:pt idx="7268">
                  <c:v>7</c:v>
                </c:pt>
                <c:pt idx="7269">
                  <c:v>7</c:v>
                </c:pt>
                <c:pt idx="7270">
                  <c:v>7</c:v>
                </c:pt>
                <c:pt idx="7271">
                  <c:v>7</c:v>
                </c:pt>
                <c:pt idx="7272">
                  <c:v>7</c:v>
                </c:pt>
                <c:pt idx="7273">
                  <c:v>7</c:v>
                </c:pt>
                <c:pt idx="7274">
                  <c:v>7</c:v>
                </c:pt>
                <c:pt idx="7275">
                  <c:v>7</c:v>
                </c:pt>
                <c:pt idx="7276">
                  <c:v>7</c:v>
                </c:pt>
                <c:pt idx="7277">
                  <c:v>7</c:v>
                </c:pt>
                <c:pt idx="7278">
                  <c:v>7</c:v>
                </c:pt>
                <c:pt idx="7279">
                  <c:v>7</c:v>
                </c:pt>
                <c:pt idx="7280">
                  <c:v>7</c:v>
                </c:pt>
                <c:pt idx="7281">
                  <c:v>7</c:v>
                </c:pt>
                <c:pt idx="7282">
                  <c:v>7</c:v>
                </c:pt>
                <c:pt idx="7283">
                  <c:v>7</c:v>
                </c:pt>
                <c:pt idx="7284">
                  <c:v>7</c:v>
                </c:pt>
                <c:pt idx="7285">
                  <c:v>7</c:v>
                </c:pt>
                <c:pt idx="7286">
                  <c:v>7</c:v>
                </c:pt>
                <c:pt idx="7287">
                  <c:v>7</c:v>
                </c:pt>
                <c:pt idx="7288">
                  <c:v>7</c:v>
                </c:pt>
                <c:pt idx="7289">
                  <c:v>7</c:v>
                </c:pt>
                <c:pt idx="7290">
                  <c:v>7</c:v>
                </c:pt>
                <c:pt idx="7291">
                  <c:v>7</c:v>
                </c:pt>
                <c:pt idx="7292">
                  <c:v>7</c:v>
                </c:pt>
                <c:pt idx="7293">
                  <c:v>7</c:v>
                </c:pt>
                <c:pt idx="7294">
                  <c:v>7</c:v>
                </c:pt>
                <c:pt idx="7295">
                  <c:v>7</c:v>
                </c:pt>
                <c:pt idx="7296">
                  <c:v>7</c:v>
                </c:pt>
                <c:pt idx="7297">
                  <c:v>7</c:v>
                </c:pt>
                <c:pt idx="7298">
                  <c:v>7</c:v>
                </c:pt>
                <c:pt idx="7299">
                  <c:v>7</c:v>
                </c:pt>
                <c:pt idx="7300">
                  <c:v>7</c:v>
                </c:pt>
                <c:pt idx="7301">
                  <c:v>7</c:v>
                </c:pt>
                <c:pt idx="7302">
                  <c:v>7</c:v>
                </c:pt>
                <c:pt idx="7303">
                  <c:v>7</c:v>
                </c:pt>
                <c:pt idx="7304">
                  <c:v>7</c:v>
                </c:pt>
                <c:pt idx="7305">
                  <c:v>7</c:v>
                </c:pt>
                <c:pt idx="7306">
                  <c:v>7</c:v>
                </c:pt>
                <c:pt idx="7307">
                  <c:v>7</c:v>
                </c:pt>
                <c:pt idx="7308">
                  <c:v>7</c:v>
                </c:pt>
                <c:pt idx="7309">
                  <c:v>7</c:v>
                </c:pt>
                <c:pt idx="7310">
                  <c:v>7</c:v>
                </c:pt>
                <c:pt idx="7311">
                  <c:v>7</c:v>
                </c:pt>
                <c:pt idx="7312">
                  <c:v>7</c:v>
                </c:pt>
                <c:pt idx="7313">
                  <c:v>7</c:v>
                </c:pt>
                <c:pt idx="7314">
                  <c:v>7</c:v>
                </c:pt>
                <c:pt idx="7315">
                  <c:v>7</c:v>
                </c:pt>
                <c:pt idx="7316">
                  <c:v>7</c:v>
                </c:pt>
                <c:pt idx="7317">
                  <c:v>7</c:v>
                </c:pt>
                <c:pt idx="7318">
                  <c:v>7</c:v>
                </c:pt>
                <c:pt idx="7319">
                  <c:v>7</c:v>
                </c:pt>
                <c:pt idx="7320">
                  <c:v>7</c:v>
                </c:pt>
                <c:pt idx="7321">
                  <c:v>7</c:v>
                </c:pt>
                <c:pt idx="7322">
                  <c:v>7</c:v>
                </c:pt>
                <c:pt idx="7323">
                  <c:v>7</c:v>
                </c:pt>
                <c:pt idx="7324">
                  <c:v>7</c:v>
                </c:pt>
                <c:pt idx="7325">
                  <c:v>7</c:v>
                </c:pt>
                <c:pt idx="7326">
                  <c:v>7</c:v>
                </c:pt>
                <c:pt idx="7327">
                  <c:v>7</c:v>
                </c:pt>
                <c:pt idx="7328">
                  <c:v>7</c:v>
                </c:pt>
                <c:pt idx="7329">
                  <c:v>7</c:v>
                </c:pt>
                <c:pt idx="7330">
                  <c:v>7</c:v>
                </c:pt>
                <c:pt idx="7331">
                  <c:v>7</c:v>
                </c:pt>
                <c:pt idx="7332">
                  <c:v>7</c:v>
                </c:pt>
                <c:pt idx="7333">
                  <c:v>7</c:v>
                </c:pt>
                <c:pt idx="7334">
                  <c:v>7</c:v>
                </c:pt>
                <c:pt idx="7335">
                  <c:v>7</c:v>
                </c:pt>
                <c:pt idx="7336">
                  <c:v>7</c:v>
                </c:pt>
                <c:pt idx="7337">
                  <c:v>7</c:v>
                </c:pt>
                <c:pt idx="7338">
                  <c:v>7</c:v>
                </c:pt>
                <c:pt idx="7339">
                  <c:v>7</c:v>
                </c:pt>
                <c:pt idx="7340">
                  <c:v>7</c:v>
                </c:pt>
                <c:pt idx="7341">
                  <c:v>7</c:v>
                </c:pt>
                <c:pt idx="7342">
                  <c:v>7</c:v>
                </c:pt>
                <c:pt idx="7343">
                  <c:v>7</c:v>
                </c:pt>
                <c:pt idx="7344">
                  <c:v>7</c:v>
                </c:pt>
                <c:pt idx="7345">
                  <c:v>7</c:v>
                </c:pt>
                <c:pt idx="7346">
                  <c:v>7</c:v>
                </c:pt>
                <c:pt idx="7347">
                  <c:v>7</c:v>
                </c:pt>
                <c:pt idx="7348">
                  <c:v>7</c:v>
                </c:pt>
                <c:pt idx="7349">
                  <c:v>7</c:v>
                </c:pt>
                <c:pt idx="7350">
                  <c:v>7</c:v>
                </c:pt>
                <c:pt idx="7351">
                  <c:v>7</c:v>
                </c:pt>
                <c:pt idx="7352">
                  <c:v>7</c:v>
                </c:pt>
                <c:pt idx="7353">
                  <c:v>7</c:v>
                </c:pt>
                <c:pt idx="7354">
                  <c:v>7</c:v>
                </c:pt>
                <c:pt idx="7355">
                  <c:v>7</c:v>
                </c:pt>
                <c:pt idx="735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D-4C9A-ADD2-10FA57F1F1FF}"/>
            </c:ext>
          </c:extLst>
        </c:ser>
        <c:ser>
          <c:idx val="3"/>
          <c:order val="3"/>
          <c:tx>
            <c:v>F4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transpose!$E$2:$E$7686</c:f>
              <c:numCache>
                <c:formatCode>General</c:formatCode>
                <c:ptCount val="7685"/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3167">
                  <c:v>4</c:v>
                </c:pt>
                <c:pt idx="3168">
                  <c:v>4</c:v>
                </c:pt>
                <c:pt idx="3169">
                  <c:v>4</c:v>
                </c:pt>
                <c:pt idx="3170">
                  <c:v>4</c:v>
                </c:pt>
                <c:pt idx="3171">
                  <c:v>4</c:v>
                </c:pt>
                <c:pt idx="3172">
                  <c:v>4</c:v>
                </c:pt>
                <c:pt idx="3173">
                  <c:v>4</c:v>
                </c:pt>
                <c:pt idx="3174">
                  <c:v>4</c:v>
                </c:pt>
                <c:pt idx="3175">
                  <c:v>4</c:v>
                </c:pt>
                <c:pt idx="3176">
                  <c:v>4</c:v>
                </c:pt>
                <c:pt idx="3177">
                  <c:v>4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4</c:v>
                </c:pt>
                <c:pt idx="3182">
                  <c:v>4</c:v>
                </c:pt>
                <c:pt idx="3183">
                  <c:v>4</c:v>
                </c:pt>
                <c:pt idx="3184">
                  <c:v>4</c:v>
                </c:pt>
                <c:pt idx="3185">
                  <c:v>4</c:v>
                </c:pt>
                <c:pt idx="3186">
                  <c:v>4</c:v>
                </c:pt>
                <c:pt idx="3187">
                  <c:v>4</c:v>
                </c:pt>
                <c:pt idx="3188">
                  <c:v>4</c:v>
                </c:pt>
                <c:pt idx="3189">
                  <c:v>4</c:v>
                </c:pt>
                <c:pt idx="3190">
                  <c:v>4</c:v>
                </c:pt>
                <c:pt idx="3191">
                  <c:v>4</c:v>
                </c:pt>
                <c:pt idx="3192">
                  <c:v>4</c:v>
                </c:pt>
                <c:pt idx="3193">
                  <c:v>4</c:v>
                </c:pt>
                <c:pt idx="3194">
                  <c:v>4</c:v>
                </c:pt>
                <c:pt idx="3195">
                  <c:v>4</c:v>
                </c:pt>
                <c:pt idx="3196">
                  <c:v>4</c:v>
                </c:pt>
                <c:pt idx="3197">
                  <c:v>4</c:v>
                </c:pt>
                <c:pt idx="3198">
                  <c:v>4</c:v>
                </c:pt>
                <c:pt idx="3199">
                  <c:v>4</c:v>
                </c:pt>
                <c:pt idx="3200">
                  <c:v>4</c:v>
                </c:pt>
                <c:pt idx="3201">
                  <c:v>4</c:v>
                </c:pt>
                <c:pt idx="3202">
                  <c:v>4</c:v>
                </c:pt>
                <c:pt idx="3203">
                  <c:v>4</c:v>
                </c:pt>
                <c:pt idx="3204">
                  <c:v>4</c:v>
                </c:pt>
                <c:pt idx="3205">
                  <c:v>4</c:v>
                </c:pt>
                <c:pt idx="3206">
                  <c:v>4</c:v>
                </c:pt>
                <c:pt idx="3207">
                  <c:v>4</c:v>
                </c:pt>
                <c:pt idx="3208">
                  <c:v>4</c:v>
                </c:pt>
                <c:pt idx="3209">
                  <c:v>4</c:v>
                </c:pt>
                <c:pt idx="3210">
                  <c:v>4</c:v>
                </c:pt>
                <c:pt idx="3211">
                  <c:v>4</c:v>
                </c:pt>
                <c:pt idx="3212">
                  <c:v>4</c:v>
                </c:pt>
                <c:pt idx="3213">
                  <c:v>4</c:v>
                </c:pt>
                <c:pt idx="3214">
                  <c:v>4</c:v>
                </c:pt>
                <c:pt idx="3215">
                  <c:v>4</c:v>
                </c:pt>
                <c:pt idx="3216">
                  <c:v>4</c:v>
                </c:pt>
                <c:pt idx="3217">
                  <c:v>4</c:v>
                </c:pt>
                <c:pt idx="3218">
                  <c:v>4</c:v>
                </c:pt>
                <c:pt idx="3219">
                  <c:v>4</c:v>
                </c:pt>
                <c:pt idx="3220">
                  <c:v>4</c:v>
                </c:pt>
                <c:pt idx="3221">
                  <c:v>4</c:v>
                </c:pt>
                <c:pt idx="3222">
                  <c:v>4</c:v>
                </c:pt>
                <c:pt idx="3223">
                  <c:v>4</c:v>
                </c:pt>
                <c:pt idx="3224">
                  <c:v>4</c:v>
                </c:pt>
                <c:pt idx="3225">
                  <c:v>4</c:v>
                </c:pt>
                <c:pt idx="3226">
                  <c:v>4</c:v>
                </c:pt>
                <c:pt idx="3227">
                  <c:v>4</c:v>
                </c:pt>
                <c:pt idx="3228">
                  <c:v>4</c:v>
                </c:pt>
                <c:pt idx="3229">
                  <c:v>4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33">
                  <c:v>4</c:v>
                </c:pt>
                <c:pt idx="3234">
                  <c:v>4</c:v>
                </c:pt>
                <c:pt idx="3235">
                  <c:v>4</c:v>
                </c:pt>
                <c:pt idx="3236">
                  <c:v>4</c:v>
                </c:pt>
                <c:pt idx="3237">
                  <c:v>4</c:v>
                </c:pt>
                <c:pt idx="3238">
                  <c:v>4</c:v>
                </c:pt>
                <c:pt idx="3239">
                  <c:v>4</c:v>
                </c:pt>
                <c:pt idx="3240">
                  <c:v>4</c:v>
                </c:pt>
                <c:pt idx="3241">
                  <c:v>4</c:v>
                </c:pt>
                <c:pt idx="3242">
                  <c:v>4</c:v>
                </c:pt>
                <c:pt idx="3243">
                  <c:v>4</c:v>
                </c:pt>
                <c:pt idx="3244">
                  <c:v>4</c:v>
                </c:pt>
                <c:pt idx="3245">
                  <c:v>4</c:v>
                </c:pt>
                <c:pt idx="3246">
                  <c:v>4</c:v>
                </c:pt>
                <c:pt idx="3247">
                  <c:v>4</c:v>
                </c:pt>
                <c:pt idx="3248">
                  <c:v>4</c:v>
                </c:pt>
                <c:pt idx="3249">
                  <c:v>4</c:v>
                </c:pt>
                <c:pt idx="3250">
                  <c:v>4</c:v>
                </c:pt>
                <c:pt idx="3251">
                  <c:v>4</c:v>
                </c:pt>
                <c:pt idx="3252">
                  <c:v>4</c:v>
                </c:pt>
                <c:pt idx="3253">
                  <c:v>4</c:v>
                </c:pt>
                <c:pt idx="3254">
                  <c:v>4</c:v>
                </c:pt>
                <c:pt idx="3255">
                  <c:v>4</c:v>
                </c:pt>
                <c:pt idx="3256">
                  <c:v>4</c:v>
                </c:pt>
                <c:pt idx="3257">
                  <c:v>4</c:v>
                </c:pt>
                <c:pt idx="3258">
                  <c:v>4</c:v>
                </c:pt>
                <c:pt idx="3259">
                  <c:v>4</c:v>
                </c:pt>
                <c:pt idx="3260">
                  <c:v>4</c:v>
                </c:pt>
                <c:pt idx="3261">
                  <c:v>4</c:v>
                </c:pt>
                <c:pt idx="3262">
                  <c:v>4</c:v>
                </c:pt>
                <c:pt idx="3263">
                  <c:v>4</c:v>
                </c:pt>
                <c:pt idx="3264">
                  <c:v>4</c:v>
                </c:pt>
                <c:pt idx="3265">
                  <c:v>4</c:v>
                </c:pt>
                <c:pt idx="3266">
                  <c:v>4</c:v>
                </c:pt>
                <c:pt idx="3267">
                  <c:v>4</c:v>
                </c:pt>
                <c:pt idx="3268">
                  <c:v>4</c:v>
                </c:pt>
                <c:pt idx="3269">
                  <c:v>4</c:v>
                </c:pt>
                <c:pt idx="3270">
                  <c:v>4</c:v>
                </c:pt>
                <c:pt idx="3271">
                  <c:v>4</c:v>
                </c:pt>
                <c:pt idx="3272">
                  <c:v>4</c:v>
                </c:pt>
                <c:pt idx="3273">
                  <c:v>4</c:v>
                </c:pt>
                <c:pt idx="3274">
                  <c:v>4</c:v>
                </c:pt>
                <c:pt idx="3275">
                  <c:v>4</c:v>
                </c:pt>
                <c:pt idx="3276">
                  <c:v>4</c:v>
                </c:pt>
                <c:pt idx="3277">
                  <c:v>4</c:v>
                </c:pt>
                <c:pt idx="3278">
                  <c:v>4</c:v>
                </c:pt>
                <c:pt idx="3279">
                  <c:v>4</c:v>
                </c:pt>
                <c:pt idx="3280">
                  <c:v>4</c:v>
                </c:pt>
                <c:pt idx="3281">
                  <c:v>4</c:v>
                </c:pt>
                <c:pt idx="3282">
                  <c:v>4</c:v>
                </c:pt>
                <c:pt idx="3283">
                  <c:v>4</c:v>
                </c:pt>
                <c:pt idx="3284">
                  <c:v>4</c:v>
                </c:pt>
                <c:pt idx="3285">
                  <c:v>4</c:v>
                </c:pt>
                <c:pt idx="3286">
                  <c:v>4</c:v>
                </c:pt>
                <c:pt idx="3287">
                  <c:v>4</c:v>
                </c:pt>
                <c:pt idx="3288">
                  <c:v>4</c:v>
                </c:pt>
                <c:pt idx="3289">
                  <c:v>4</c:v>
                </c:pt>
                <c:pt idx="3290">
                  <c:v>4</c:v>
                </c:pt>
                <c:pt idx="3291">
                  <c:v>4</c:v>
                </c:pt>
                <c:pt idx="3292">
                  <c:v>4</c:v>
                </c:pt>
                <c:pt idx="3293">
                  <c:v>4</c:v>
                </c:pt>
                <c:pt idx="3294">
                  <c:v>4</c:v>
                </c:pt>
                <c:pt idx="3295">
                  <c:v>4</c:v>
                </c:pt>
                <c:pt idx="3296">
                  <c:v>4</c:v>
                </c:pt>
                <c:pt idx="3297">
                  <c:v>4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4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4</c:v>
                </c:pt>
                <c:pt idx="3312">
                  <c:v>4</c:v>
                </c:pt>
                <c:pt idx="3313">
                  <c:v>4</c:v>
                </c:pt>
                <c:pt idx="3314">
                  <c:v>4</c:v>
                </c:pt>
                <c:pt idx="3315">
                  <c:v>4</c:v>
                </c:pt>
                <c:pt idx="3316">
                  <c:v>4</c:v>
                </c:pt>
                <c:pt idx="3317">
                  <c:v>4</c:v>
                </c:pt>
                <c:pt idx="3318">
                  <c:v>4</c:v>
                </c:pt>
                <c:pt idx="3319">
                  <c:v>4</c:v>
                </c:pt>
                <c:pt idx="3320">
                  <c:v>4</c:v>
                </c:pt>
                <c:pt idx="3321">
                  <c:v>4</c:v>
                </c:pt>
                <c:pt idx="3322">
                  <c:v>4</c:v>
                </c:pt>
                <c:pt idx="3323">
                  <c:v>4</c:v>
                </c:pt>
                <c:pt idx="3324">
                  <c:v>4</c:v>
                </c:pt>
                <c:pt idx="3325">
                  <c:v>4</c:v>
                </c:pt>
                <c:pt idx="3326">
                  <c:v>4</c:v>
                </c:pt>
                <c:pt idx="3327">
                  <c:v>4</c:v>
                </c:pt>
                <c:pt idx="3328">
                  <c:v>4</c:v>
                </c:pt>
                <c:pt idx="3329">
                  <c:v>4</c:v>
                </c:pt>
                <c:pt idx="3330">
                  <c:v>4</c:v>
                </c:pt>
                <c:pt idx="3331">
                  <c:v>4</c:v>
                </c:pt>
                <c:pt idx="3332">
                  <c:v>4</c:v>
                </c:pt>
                <c:pt idx="3333">
                  <c:v>4</c:v>
                </c:pt>
                <c:pt idx="3334">
                  <c:v>4</c:v>
                </c:pt>
                <c:pt idx="3335">
                  <c:v>4</c:v>
                </c:pt>
                <c:pt idx="3336">
                  <c:v>4</c:v>
                </c:pt>
                <c:pt idx="3337">
                  <c:v>4</c:v>
                </c:pt>
                <c:pt idx="3338">
                  <c:v>4</c:v>
                </c:pt>
                <c:pt idx="3339">
                  <c:v>4</c:v>
                </c:pt>
                <c:pt idx="3340">
                  <c:v>4</c:v>
                </c:pt>
                <c:pt idx="3341">
                  <c:v>4</c:v>
                </c:pt>
                <c:pt idx="3342">
                  <c:v>4</c:v>
                </c:pt>
                <c:pt idx="3343">
                  <c:v>4</c:v>
                </c:pt>
                <c:pt idx="3344">
                  <c:v>4</c:v>
                </c:pt>
                <c:pt idx="3345">
                  <c:v>4</c:v>
                </c:pt>
                <c:pt idx="3346">
                  <c:v>4</c:v>
                </c:pt>
                <c:pt idx="3347">
                  <c:v>4</c:v>
                </c:pt>
                <c:pt idx="3348">
                  <c:v>4</c:v>
                </c:pt>
                <c:pt idx="3349">
                  <c:v>4</c:v>
                </c:pt>
                <c:pt idx="3350">
                  <c:v>4</c:v>
                </c:pt>
                <c:pt idx="3351">
                  <c:v>4</c:v>
                </c:pt>
                <c:pt idx="3352">
                  <c:v>4</c:v>
                </c:pt>
                <c:pt idx="3353">
                  <c:v>4</c:v>
                </c:pt>
                <c:pt idx="3354">
                  <c:v>4</c:v>
                </c:pt>
                <c:pt idx="3355">
                  <c:v>4</c:v>
                </c:pt>
                <c:pt idx="3356">
                  <c:v>4</c:v>
                </c:pt>
                <c:pt idx="3357">
                  <c:v>4</c:v>
                </c:pt>
                <c:pt idx="3358">
                  <c:v>4</c:v>
                </c:pt>
                <c:pt idx="3359">
                  <c:v>4</c:v>
                </c:pt>
                <c:pt idx="3360">
                  <c:v>4</c:v>
                </c:pt>
                <c:pt idx="3361">
                  <c:v>4</c:v>
                </c:pt>
                <c:pt idx="3362">
                  <c:v>4</c:v>
                </c:pt>
                <c:pt idx="3363">
                  <c:v>4</c:v>
                </c:pt>
                <c:pt idx="3364">
                  <c:v>4</c:v>
                </c:pt>
                <c:pt idx="3365">
                  <c:v>4</c:v>
                </c:pt>
                <c:pt idx="3366">
                  <c:v>4</c:v>
                </c:pt>
                <c:pt idx="3367">
                  <c:v>4</c:v>
                </c:pt>
                <c:pt idx="3368">
                  <c:v>4</c:v>
                </c:pt>
                <c:pt idx="3369">
                  <c:v>4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373">
                  <c:v>4</c:v>
                </c:pt>
                <c:pt idx="3374">
                  <c:v>4</c:v>
                </c:pt>
                <c:pt idx="3375">
                  <c:v>4</c:v>
                </c:pt>
                <c:pt idx="3376">
                  <c:v>4</c:v>
                </c:pt>
                <c:pt idx="3377">
                  <c:v>4</c:v>
                </c:pt>
                <c:pt idx="3378">
                  <c:v>4</c:v>
                </c:pt>
                <c:pt idx="3379">
                  <c:v>4</c:v>
                </c:pt>
                <c:pt idx="3380">
                  <c:v>4</c:v>
                </c:pt>
                <c:pt idx="3381">
                  <c:v>4</c:v>
                </c:pt>
                <c:pt idx="3382">
                  <c:v>4</c:v>
                </c:pt>
                <c:pt idx="3383">
                  <c:v>4</c:v>
                </c:pt>
                <c:pt idx="3944">
                  <c:v>5</c:v>
                </c:pt>
                <c:pt idx="3945">
                  <c:v>5</c:v>
                </c:pt>
                <c:pt idx="3946">
                  <c:v>5</c:v>
                </c:pt>
                <c:pt idx="3947">
                  <c:v>5</c:v>
                </c:pt>
                <c:pt idx="3948">
                  <c:v>5</c:v>
                </c:pt>
                <c:pt idx="3949">
                  <c:v>5</c:v>
                </c:pt>
                <c:pt idx="3950">
                  <c:v>5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3955">
                  <c:v>5</c:v>
                </c:pt>
                <c:pt idx="3956">
                  <c:v>5</c:v>
                </c:pt>
                <c:pt idx="3957">
                  <c:v>5</c:v>
                </c:pt>
                <c:pt idx="3958">
                  <c:v>5</c:v>
                </c:pt>
                <c:pt idx="3959">
                  <c:v>5</c:v>
                </c:pt>
                <c:pt idx="3960">
                  <c:v>5</c:v>
                </c:pt>
                <c:pt idx="3961">
                  <c:v>5</c:v>
                </c:pt>
                <c:pt idx="3962">
                  <c:v>5</c:v>
                </c:pt>
                <c:pt idx="3963">
                  <c:v>5</c:v>
                </c:pt>
                <c:pt idx="3964">
                  <c:v>5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5</c:v>
                </c:pt>
                <c:pt idx="3970">
                  <c:v>5</c:v>
                </c:pt>
                <c:pt idx="3971">
                  <c:v>5</c:v>
                </c:pt>
                <c:pt idx="3972">
                  <c:v>5</c:v>
                </c:pt>
                <c:pt idx="3973">
                  <c:v>5</c:v>
                </c:pt>
                <c:pt idx="3974">
                  <c:v>5</c:v>
                </c:pt>
                <c:pt idx="3975">
                  <c:v>5</c:v>
                </c:pt>
                <c:pt idx="3976">
                  <c:v>5</c:v>
                </c:pt>
                <c:pt idx="3977">
                  <c:v>5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5</c:v>
                </c:pt>
                <c:pt idx="3982">
                  <c:v>5</c:v>
                </c:pt>
                <c:pt idx="3983">
                  <c:v>5</c:v>
                </c:pt>
                <c:pt idx="3984">
                  <c:v>5</c:v>
                </c:pt>
                <c:pt idx="3985">
                  <c:v>5</c:v>
                </c:pt>
                <c:pt idx="3986">
                  <c:v>5</c:v>
                </c:pt>
                <c:pt idx="3987">
                  <c:v>5</c:v>
                </c:pt>
                <c:pt idx="3988">
                  <c:v>5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5</c:v>
                </c:pt>
                <c:pt idx="3997">
                  <c:v>5</c:v>
                </c:pt>
                <c:pt idx="3998">
                  <c:v>5</c:v>
                </c:pt>
                <c:pt idx="3999">
                  <c:v>5</c:v>
                </c:pt>
                <c:pt idx="4000">
                  <c:v>5</c:v>
                </c:pt>
                <c:pt idx="4001">
                  <c:v>5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007">
                  <c:v>5</c:v>
                </c:pt>
                <c:pt idx="4008">
                  <c:v>5</c:v>
                </c:pt>
                <c:pt idx="4009">
                  <c:v>5</c:v>
                </c:pt>
                <c:pt idx="4010">
                  <c:v>5</c:v>
                </c:pt>
                <c:pt idx="4011">
                  <c:v>5</c:v>
                </c:pt>
                <c:pt idx="4012">
                  <c:v>5</c:v>
                </c:pt>
                <c:pt idx="4013">
                  <c:v>5</c:v>
                </c:pt>
                <c:pt idx="4014">
                  <c:v>5</c:v>
                </c:pt>
                <c:pt idx="4015">
                  <c:v>5</c:v>
                </c:pt>
                <c:pt idx="4016">
                  <c:v>5</c:v>
                </c:pt>
                <c:pt idx="4017">
                  <c:v>5</c:v>
                </c:pt>
                <c:pt idx="4018">
                  <c:v>5</c:v>
                </c:pt>
                <c:pt idx="4019">
                  <c:v>5</c:v>
                </c:pt>
                <c:pt idx="4020">
                  <c:v>5</c:v>
                </c:pt>
                <c:pt idx="4021">
                  <c:v>5</c:v>
                </c:pt>
                <c:pt idx="4022">
                  <c:v>5</c:v>
                </c:pt>
                <c:pt idx="4023">
                  <c:v>5</c:v>
                </c:pt>
                <c:pt idx="4024">
                  <c:v>5</c:v>
                </c:pt>
                <c:pt idx="4025">
                  <c:v>5</c:v>
                </c:pt>
                <c:pt idx="4026">
                  <c:v>5</c:v>
                </c:pt>
                <c:pt idx="4027">
                  <c:v>5</c:v>
                </c:pt>
                <c:pt idx="4028">
                  <c:v>5</c:v>
                </c:pt>
                <c:pt idx="4029">
                  <c:v>5</c:v>
                </c:pt>
                <c:pt idx="4030">
                  <c:v>5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5</c:v>
                </c:pt>
                <c:pt idx="4037">
                  <c:v>5</c:v>
                </c:pt>
                <c:pt idx="4038">
                  <c:v>5</c:v>
                </c:pt>
                <c:pt idx="4039">
                  <c:v>5</c:v>
                </c:pt>
                <c:pt idx="4040">
                  <c:v>5</c:v>
                </c:pt>
                <c:pt idx="4041">
                  <c:v>5</c:v>
                </c:pt>
                <c:pt idx="4042">
                  <c:v>5</c:v>
                </c:pt>
                <c:pt idx="4043">
                  <c:v>5</c:v>
                </c:pt>
                <c:pt idx="4044">
                  <c:v>5</c:v>
                </c:pt>
                <c:pt idx="4045">
                  <c:v>5</c:v>
                </c:pt>
                <c:pt idx="4046">
                  <c:v>5</c:v>
                </c:pt>
                <c:pt idx="4047">
                  <c:v>5</c:v>
                </c:pt>
                <c:pt idx="4048">
                  <c:v>5</c:v>
                </c:pt>
                <c:pt idx="4049">
                  <c:v>5</c:v>
                </c:pt>
                <c:pt idx="4050">
                  <c:v>5</c:v>
                </c:pt>
                <c:pt idx="4051">
                  <c:v>5</c:v>
                </c:pt>
                <c:pt idx="4052">
                  <c:v>5</c:v>
                </c:pt>
                <c:pt idx="4053">
                  <c:v>5</c:v>
                </c:pt>
                <c:pt idx="4054">
                  <c:v>5</c:v>
                </c:pt>
                <c:pt idx="4055">
                  <c:v>5</c:v>
                </c:pt>
                <c:pt idx="4056">
                  <c:v>5</c:v>
                </c:pt>
                <c:pt idx="4057">
                  <c:v>5</c:v>
                </c:pt>
                <c:pt idx="4058">
                  <c:v>5</c:v>
                </c:pt>
                <c:pt idx="4059">
                  <c:v>5</c:v>
                </c:pt>
                <c:pt idx="4060">
                  <c:v>5</c:v>
                </c:pt>
                <c:pt idx="4061">
                  <c:v>5</c:v>
                </c:pt>
                <c:pt idx="4062">
                  <c:v>5</c:v>
                </c:pt>
                <c:pt idx="4063">
                  <c:v>5</c:v>
                </c:pt>
                <c:pt idx="4064">
                  <c:v>5</c:v>
                </c:pt>
                <c:pt idx="4065">
                  <c:v>5</c:v>
                </c:pt>
                <c:pt idx="4066">
                  <c:v>5</c:v>
                </c:pt>
                <c:pt idx="4067">
                  <c:v>5</c:v>
                </c:pt>
                <c:pt idx="4068">
                  <c:v>5</c:v>
                </c:pt>
                <c:pt idx="4069">
                  <c:v>5</c:v>
                </c:pt>
                <c:pt idx="4070">
                  <c:v>5</c:v>
                </c:pt>
                <c:pt idx="4071">
                  <c:v>5</c:v>
                </c:pt>
                <c:pt idx="4072">
                  <c:v>5</c:v>
                </c:pt>
                <c:pt idx="4073">
                  <c:v>5</c:v>
                </c:pt>
                <c:pt idx="4074">
                  <c:v>5</c:v>
                </c:pt>
                <c:pt idx="4075">
                  <c:v>5</c:v>
                </c:pt>
                <c:pt idx="4076">
                  <c:v>5</c:v>
                </c:pt>
                <c:pt idx="4077">
                  <c:v>5</c:v>
                </c:pt>
                <c:pt idx="4078">
                  <c:v>5</c:v>
                </c:pt>
                <c:pt idx="4079">
                  <c:v>5</c:v>
                </c:pt>
                <c:pt idx="4080">
                  <c:v>5</c:v>
                </c:pt>
                <c:pt idx="4081">
                  <c:v>5</c:v>
                </c:pt>
                <c:pt idx="4082">
                  <c:v>5</c:v>
                </c:pt>
                <c:pt idx="4083">
                  <c:v>5</c:v>
                </c:pt>
                <c:pt idx="4084">
                  <c:v>5</c:v>
                </c:pt>
                <c:pt idx="4085">
                  <c:v>5</c:v>
                </c:pt>
                <c:pt idx="4086">
                  <c:v>5</c:v>
                </c:pt>
                <c:pt idx="4087">
                  <c:v>5</c:v>
                </c:pt>
                <c:pt idx="4088">
                  <c:v>5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5</c:v>
                </c:pt>
                <c:pt idx="4094">
                  <c:v>5</c:v>
                </c:pt>
                <c:pt idx="4095">
                  <c:v>5</c:v>
                </c:pt>
                <c:pt idx="4096">
                  <c:v>5</c:v>
                </c:pt>
                <c:pt idx="4097">
                  <c:v>5</c:v>
                </c:pt>
                <c:pt idx="4098">
                  <c:v>5</c:v>
                </c:pt>
                <c:pt idx="4099">
                  <c:v>5</c:v>
                </c:pt>
                <c:pt idx="4100">
                  <c:v>5</c:v>
                </c:pt>
                <c:pt idx="4101">
                  <c:v>5</c:v>
                </c:pt>
                <c:pt idx="4102">
                  <c:v>5</c:v>
                </c:pt>
                <c:pt idx="4103">
                  <c:v>5</c:v>
                </c:pt>
                <c:pt idx="4104">
                  <c:v>5</c:v>
                </c:pt>
                <c:pt idx="4105">
                  <c:v>5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5</c:v>
                </c:pt>
                <c:pt idx="4110">
                  <c:v>5</c:v>
                </c:pt>
                <c:pt idx="4111">
                  <c:v>5</c:v>
                </c:pt>
                <c:pt idx="4112">
                  <c:v>5</c:v>
                </c:pt>
                <c:pt idx="4113">
                  <c:v>5</c:v>
                </c:pt>
                <c:pt idx="4114">
                  <c:v>5</c:v>
                </c:pt>
                <c:pt idx="4115">
                  <c:v>5</c:v>
                </c:pt>
                <c:pt idx="4116">
                  <c:v>5</c:v>
                </c:pt>
                <c:pt idx="4117">
                  <c:v>5</c:v>
                </c:pt>
                <c:pt idx="4118">
                  <c:v>5</c:v>
                </c:pt>
                <c:pt idx="4119">
                  <c:v>5</c:v>
                </c:pt>
                <c:pt idx="4120">
                  <c:v>5</c:v>
                </c:pt>
                <c:pt idx="4121">
                  <c:v>5</c:v>
                </c:pt>
                <c:pt idx="4122">
                  <c:v>5</c:v>
                </c:pt>
                <c:pt idx="4123">
                  <c:v>5</c:v>
                </c:pt>
                <c:pt idx="4124">
                  <c:v>5</c:v>
                </c:pt>
                <c:pt idx="4125">
                  <c:v>5</c:v>
                </c:pt>
                <c:pt idx="4126">
                  <c:v>5</c:v>
                </c:pt>
                <c:pt idx="4127">
                  <c:v>5</c:v>
                </c:pt>
                <c:pt idx="4128">
                  <c:v>5</c:v>
                </c:pt>
                <c:pt idx="4129">
                  <c:v>5</c:v>
                </c:pt>
                <c:pt idx="4130">
                  <c:v>5</c:v>
                </c:pt>
                <c:pt idx="4131">
                  <c:v>5</c:v>
                </c:pt>
                <c:pt idx="4132">
                  <c:v>5</c:v>
                </c:pt>
                <c:pt idx="4133">
                  <c:v>5</c:v>
                </c:pt>
                <c:pt idx="4134">
                  <c:v>5</c:v>
                </c:pt>
                <c:pt idx="4135">
                  <c:v>5</c:v>
                </c:pt>
                <c:pt idx="4136">
                  <c:v>5</c:v>
                </c:pt>
                <c:pt idx="4137">
                  <c:v>5</c:v>
                </c:pt>
                <c:pt idx="4138">
                  <c:v>5</c:v>
                </c:pt>
                <c:pt idx="4139">
                  <c:v>5</c:v>
                </c:pt>
                <c:pt idx="4140">
                  <c:v>5</c:v>
                </c:pt>
                <c:pt idx="4141">
                  <c:v>5</c:v>
                </c:pt>
                <c:pt idx="4142">
                  <c:v>5</c:v>
                </c:pt>
                <c:pt idx="4143">
                  <c:v>5</c:v>
                </c:pt>
                <c:pt idx="4144">
                  <c:v>5</c:v>
                </c:pt>
                <c:pt idx="4145">
                  <c:v>5</c:v>
                </c:pt>
                <c:pt idx="4146">
                  <c:v>5</c:v>
                </c:pt>
                <c:pt idx="4147">
                  <c:v>5</c:v>
                </c:pt>
                <c:pt idx="4148">
                  <c:v>5</c:v>
                </c:pt>
                <c:pt idx="4149">
                  <c:v>5</c:v>
                </c:pt>
                <c:pt idx="4150">
                  <c:v>5</c:v>
                </c:pt>
                <c:pt idx="4151">
                  <c:v>5</c:v>
                </c:pt>
                <c:pt idx="4152">
                  <c:v>5</c:v>
                </c:pt>
                <c:pt idx="4153">
                  <c:v>5</c:v>
                </c:pt>
                <c:pt idx="4154">
                  <c:v>5</c:v>
                </c:pt>
                <c:pt idx="4155">
                  <c:v>5</c:v>
                </c:pt>
                <c:pt idx="4156">
                  <c:v>5</c:v>
                </c:pt>
                <c:pt idx="4157">
                  <c:v>5</c:v>
                </c:pt>
                <c:pt idx="4158">
                  <c:v>5</c:v>
                </c:pt>
                <c:pt idx="4159">
                  <c:v>5</c:v>
                </c:pt>
                <c:pt idx="4160">
                  <c:v>5</c:v>
                </c:pt>
                <c:pt idx="4161">
                  <c:v>5</c:v>
                </c:pt>
                <c:pt idx="4162">
                  <c:v>5</c:v>
                </c:pt>
                <c:pt idx="4163">
                  <c:v>5</c:v>
                </c:pt>
                <c:pt idx="4164">
                  <c:v>5</c:v>
                </c:pt>
                <c:pt idx="4165">
                  <c:v>5</c:v>
                </c:pt>
                <c:pt idx="4166">
                  <c:v>5</c:v>
                </c:pt>
                <c:pt idx="4167">
                  <c:v>5</c:v>
                </c:pt>
                <c:pt idx="4168">
                  <c:v>5</c:v>
                </c:pt>
                <c:pt idx="4169">
                  <c:v>5</c:v>
                </c:pt>
                <c:pt idx="4170">
                  <c:v>5</c:v>
                </c:pt>
                <c:pt idx="4171">
                  <c:v>5</c:v>
                </c:pt>
                <c:pt idx="4172">
                  <c:v>5</c:v>
                </c:pt>
                <c:pt idx="4173">
                  <c:v>5</c:v>
                </c:pt>
                <c:pt idx="4174">
                  <c:v>5</c:v>
                </c:pt>
                <c:pt idx="4175">
                  <c:v>5</c:v>
                </c:pt>
                <c:pt idx="4176">
                  <c:v>5</c:v>
                </c:pt>
                <c:pt idx="4177">
                  <c:v>5</c:v>
                </c:pt>
                <c:pt idx="4178">
                  <c:v>5</c:v>
                </c:pt>
                <c:pt idx="4179">
                  <c:v>5</c:v>
                </c:pt>
                <c:pt idx="4180">
                  <c:v>5</c:v>
                </c:pt>
                <c:pt idx="4181">
                  <c:v>5</c:v>
                </c:pt>
                <c:pt idx="4182">
                  <c:v>5</c:v>
                </c:pt>
                <c:pt idx="4183">
                  <c:v>5</c:v>
                </c:pt>
                <c:pt idx="4184">
                  <c:v>5</c:v>
                </c:pt>
                <c:pt idx="4185">
                  <c:v>5</c:v>
                </c:pt>
                <c:pt idx="4186">
                  <c:v>5</c:v>
                </c:pt>
                <c:pt idx="4187">
                  <c:v>5</c:v>
                </c:pt>
                <c:pt idx="4188">
                  <c:v>5</c:v>
                </c:pt>
                <c:pt idx="4189">
                  <c:v>5</c:v>
                </c:pt>
                <c:pt idx="4190">
                  <c:v>5</c:v>
                </c:pt>
                <c:pt idx="4191">
                  <c:v>5</c:v>
                </c:pt>
                <c:pt idx="4192">
                  <c:v>5</c:v>
                </c:pt>
                <c:pt idx="4193">
                  <c:v>5</c:v>
                </c:pt>
                <c:pt idx="4194">
                  <c:v>5</c:v>
                </c:pt>
                <c:pt idx="4195">
                  <c:v>5</c:v>
                </c:pt>
                <c:pt idx="4196">
                  <c:v>5</c:v>
                </c:pt>
                <c:pt idx="4197">
                  <c:v>5</c:v>
                </c:pt>
                <c:pt idx="4198">
                  <c:v>5</c:v>
                </c:pt>
                <c:pt idx="4199">
                  <c:v>5</c:v>
                </c:pt>
                <c:pt idx="4200">
                  <c:v>5</c:v>
                </c:pt>
                <c:pt idx="4201">
                  <c:v>5</c:v>
                </c:pt>
                <c:pt idx="4202">
                  <c:v>5</c:v>
                </c:pt>
                <c:pt idx="4203">
                  <c:v>5</c:v>
                </c:pt>
                <c:pt idx="4204">
                  <c:v>5</c:v>
                </c:pt>
                <c:pt idx="4205">
                  <c:v>5</c:v>
                </c:pt>
                <c:pt idx="4206">
                  <c:v>5</c:v>
                </c:pt>
                <c:pt idx="4207">
                  <c:v>5</c:v>
                </c:pt>
                <c:pt idx="4208">
                  <c:v>5</c:v>
                </c:pt>
                <c:pt idx="4209">
                  <c:v>5</c:v>
                </c:pt>
                <c:pt idx="4210">
                  <c:v>5</c:v>
                </c:pt>
                <c:pt idx="4211">
                  <c:v>5</c:v>
                </c:pt>
                <c:pt idx="4212">
                  <c:v>5</c:v>
                </c:pt>
                <c:pt idx="4213">
                  <c:v>5</c:v>
                </c:pt>
                <c:pt idx="4214">
                  <c:v>5</c:v>
                </c:pt>
                <c:pt idx="4215">
                  <c:v>5</c:v>
                </c:pt>
                <c:pt idx="4216">
                  <c:v>5</c:v>
                </c:pt>
                <c:pt idx="4217">
                  <c:v>5</c:v>
                </c:pt>
                <c:pt idx="4218">
                  <c:v>5</c:v>
                </c:pt>
                <c:pt idx="4219">
                  <c:v>5</c:v>
                </c:pt>
                <c:pt idx="4220">
                  <c:v>5</c:v>
                </c:pt>
                <c:pt idx="4221">
                  <c:v>5</c:v>
                </c:pt>
                <c:pt idx="4222">
                  <c:v>5</c:v>
                </c:pt>
                <c:pt idx="4223">
                  <c:v>5</c:v>
                </c:pt>
                <c:pt idx="4224">
                  <c:v>5</c:v>
                </c:pt>
                <c:pt idx="4225">
                  <c:v>5</c:v>
                </c:pt>
                <c:pt idx="4226">
                  <c:v>5</c:v>
                </c:pt>
                <c:pt idx="4227">
                  <c:v>5</c:v>
                </c:pt>
                <c:pt idx="4228">
                  <c:v>5</c:v>
                </c:pt>
                <c:pt idx="4229">
                  <c:v>5</c:v>
                </c:pt>
                <c:pt idx="4230">
                  <c:v>5</c:v>
                </c:pt>
                <c:pt idx="4231">
                  <c:v>5</c:v>
                </c:pt>
                <c:pt idx="4232">
                  <c:v>5</c:v>
                </c:pt>
                <c:pt idx="4233">
                  <c:v>5</c:v>
                </c:pt>
                <c:pt idx="4234">
                  <c:v>5</c:v>
                </c:pt>
                <c:pt idx="4235">
                  <c:v>5</c:v>
                </c:pt>
                <c:pt idx="4236">
                  <c:v>5</c:v>
                </c:pt>
                <c:pt idx="4237">
                  <c:v>5</c:v>
                </c:pt>
                <c:pt idx="4238">
                  <c:v>5</c:v>
                </c:pt>
                <c:pt idx="4239">
                  <c:v>5</c:v>
                </c:pt>
                <c:pt idx="4240">
                  <c:v>5</c:v>
                </c:pt>
                <c:pt idx="4241">
                  <c:v>5</c:v>
                </c:pt>
                <c:pt idx="4242">
                  <c:v>5</c:v>
                </c:pt>
                <c:pt idx="4243">
                  <c:v>5</c:v>
                </c:pt>
                <c:pt idx="4244">
                  <c:v>5</c:v>
                </c:pt>
                <c:pt idx="4245">
                  <c:v>5</c:v>
                </c:pt>
                <c:pt idx="4246">
                  <c:v>5</c:v>
                </c:pt>
                <c:pt idx="4247">
                  <c:v>5</c:v>
                </c:pt>
                <c:pt idx="4248">
                  <c:v>5</c:v>
                </c:pt>
                <c:pt idx="4249">
                  <c:v>5</c:v>
                </c:pt>
                <c:pt idx="4250">
                  <c:v>5</c:v>
                </c:pt>
                <c:pt idx="4251">
                  <c:v>5</c:v>
                </c:pt>
                <c:pt idx="4252">
                  <c:v>5</c:v>
                </c:pt>
                <c:pt idx="4253">
                  <c:v>5</c:v>
                </c:pt>
                <c:pt idx="4254">
                  <c:v>5</c:v>
                </c:pt>
                <c:pt idx="4255">
                  <c:v>5</c:v>
                </c:pt>
                <c:pt idx="4256">
                  <c:v>5</c:v>
                </c:pt>
                <c:pt idx="4257">
                  <c:v>5</c:v>
                </c:pt>
                <c:pt idx="4258">
                  <c:v>5</c:v>
                </c:pt>
                <c:pt idx="4259">
                  <c:v>5</c:v>
                </c:pt>
                <c:pt idx="4260">
                  <c:v>5</c:v>
                </c:pt>
                <c:pt idx="4261">
                  <c:v>5</c:v>
                </c:pt>
                <c:pt idx="4262">
                  <c:v>5</c:v>
                </c:pt>
                <c:pt idx="4263">
                  <c:v>5</c:v>
                </c:pt>
                <c:pt idx="4264">
                  <c:v>5</c:v>
                </c:pt>
                <c:pt idx="4265">
                  <c:v>5</c:v>
                </c:pt>
                <c:pt idx="4266">
                  <c:v>5</c:v>
                </c:pt>
                <c:pt idx="4267">
                  <c:v>5</c:v>
                </c:pt>
                <c:pt idx="4268">
                  <c:v>5</c:v>
                </c:pt>
                <c:pt idx="4269">
                  <c:v>5</c:v>
                </c:pt>
                <c:pt idx="4270">
                  <c:v>5</c:v>
                </c:pt>
                <c:pt idx="4271">
                  <c:v>5</c:v>
                </c:pt>
                <c:pt idx="4272">
                  <c:v>5</c:v>
                </c:pt>
                <c:pt idx="4273">
                  <c:v>5</c:v>
                </c:pt>
                <c:pt idx="4274">
                  <c:v>5</c:v>
                </c:pt>
                <c:pt idx="4275">
                  <c:v>5</c:v>
                </c:pt>
                <c:pt idx="4276">
                  <c:v>5</c:v>
                </c:pt>
                <c:pt idx="4277">
                  <c:v>5</c:v>
                </c:pt>
                <c:pt idx="4278">
                  <c:v>5</c:v>
                </c:pt>
                <c:pt idx="4279">
                  <c:v>5</c:v>
                </c:pt>
                <c:pt idx="4280">
                  <c:v>5</c:v>
                </c:pt>
                <c:pt idx="4281">
                  <c:v>5</c:v>
                </c:pt>
                <c:pt idx="4282">
                  <c:v>5</c:v>
                </c:pt>
                <c:pt idx="4283">
                  <c:v>5</c:v>
                </c:pt>
                <c:pt idx="4284">
                  <c:v>5</c:v>
                </c:pt>
                <c:pt idx="4285">
                  <c:v>5</c:v>
                </c:pt>
                <c:pt idx="4286">
                  <c:v>5</c:v>
                </c:pt>
                <c:pt idx="4287">
                  <c:v>5</c:v>
                </c:pt>
                <c:pt idx="4288">
                  <c:v>5</c:v>
                </c:pt>
                <c:pt idx="4289">
                  <c:v>5</c:v>
                </c:pt>
                <c:pt idx="4290">
                  <c:v>5</c:v>
                </c:pt>
                <c:pt idx="4291">
                  <c:v>5</c:v>
                </c:pt>
                <c:pt idx="4292">
                  <c:v>5</c:v>
                </c:pt>
                <c:pt idx="4293">
                  <c:v>5</c:v>
                </c:pt>
                <c:pt idx="4294">
                  <c:v>5</c:v>
                </c:pt>
                <c:pt idx="4295">
                  <c:v>5</c:v>
                </c:pt>
                <c:pt idx="4296">
                  <c:v>5</c:v>
                </c:pt>
                <c:pt idx="4297">
                  <c:v>5</c:v>
                </c:pt>
                <c:pt idx="4298">
                  <c:v>5</c:v>
                </c:pt>
                <c:pt idx="4299">
                  <c:v>5</c:v>
                </c:pt>
                <c:pt idx="4300">
                  <c:v>5</c:v>
                </c:pt>
                <c:pt idx="4301">
                  <c:v>5</c:v>
                </c:pt>
                <c:pt idx="4302">
                  <c:v>5</c:v>
                </c:pt>
                <c:pt idx="4303">
                  <c:v>5</c:v>
                </c:pt>
                <c:pt idx="4304">
                  <c:v>5</c:v>
                </c:pt>
                <c:pt idx="4305">
                  <c:v>5</c:v>
                </c:pt>
                <c:pt idx="4306">
                  <c:v>5</c:v>
                </c:pt>
                <c:pt idx="4307">
                  <c:v>5</c:v>
                </c:pt>
                <c:pt idx="4308">
                  <c:v>5</c:v>
                </c:pt>
                <c:pt idx="4309">
                  <c:v>5</c:v>
                </c:pt>
                <c:pt idx="4310">
                  <c:v>5</c:v>
                </c:pt>
                <c:pt idx="4311">
                  <c:v>5</c:v>
                </c:pt>
                <c:pt idx="4312">
                  <c:v>5</c:v>
                </c:pt>
                <c:pt idx="4313">
                  <c:v>5</c:v>
                </c:pt>
                <c:pt idx="4314">
                  <c:v>5</c:v>
                </c:pt>
                <c:pt idx="4315">
                  <c:v>5</c:v>
                </c:pt>
                <c:pt idx="4316">
                  <c:v>5</c:v>
                </c:pt>
                <c:pt idx="4317">
                  <c:v>5</c:v>
                </c:pt>
                <c:pt idx="4318">
                  <c:v>5</c:v>
                </c:pt>
                <c:pt idx="4319">
                  <c:v>5</c:v>
                </c:pt>
                <c:pt idx="4320">
                  <c:v>5</c:v>
                </c:pt>
                <c:pt idx="4321">
                  <c:v>5</c:v>
                </c:pt>
                <c:pt idx="4322">
                  <c:v>5</c:v>
                </c:pt>
                <c:pt idx="4323">
                  <c:v>5</c:v>
                </c:pt>
                <c:pt idx="4324">
                  <c:v>5</c:v>
                </c:pt>
                <c:pt idx="4325">
                  <c:v>5</c:v>
                </c:pt>
                <c:pt idx="4326">
                  <c:v>5</c:v>
                </c:pt>
                <c:pt idx="4327">
                  <c:v>5</c:v>
                </c:pt>
                <c:pt idx="4328">
                  <c:v>5</c:v>
                </c:pt>
                <c:pt idx="4329">
                  <c:v>5</c:v>
                </c:pt>
                <c:pt idx="4330">
                  <c:v>5</c:v>
                </c:pt>
                <c:pt idx="4331">
                  <c:v>5</c:v>
                </c:pt>
                <c:pt idx="4332">
                  <c:v>5</c:v>
                </c:pt>
                <c:pt idx="4333">
                  <c:v>5</c:v>
                </c:pt>
                <c:pt idx="4334">
                  <c:v>5</c:v>
                </c:pt>
                <c:pt idx="4335">
                  <c:v>5</c:v>
                </c:pt>
                <c:pt idx="4336">
                  <c:v>5</c:v>
                </c:pt>
                <c:pt idx="4337">
                  <c:v>5</c:v>
                </c:pt>
                <c:pt idx="4338">
                  <c:v>5</c:v>
                </c:pt>
                <c:pt idx="4339">
                  <c:v>5</c:v>
                </c:pt>
                <c:pt idx="4340">
                  <c:v>5</c:v>
                </c:pt>
                <c:pt idx="4341">
                  <c:v>5</c:v>
                </c:pt>
                <c:pt idx="4342">
                  <c:v>5</c:v>
                </c:pt>
                <c:pt idx="4343">
                  <c:v>5</c:v>
                </c:pt>
                <c:pt idx="4344">
                  <c:v>5</c:v>
                </c:pt>
                <c:pt idx="4345">
                  <c:v>5</c:v>
                </c:pt>
                <c:pt idx="4346">
                  <c:v>5</c:v>
                </c:pt>
                <c:pt idx="4347">
                  <c:v>5</c:v>
                </c:pt>
                <c:pt idx="4348">
                  <c:v>5</c:v>
                </c:pt>
                <c:pt idx="4349">
                  <c:v>5</c:v>
                </c:pt>
                <c:pt idx="4350">
                  <c:v>5</c:v>
                </c:pt>
                <c:pt idx="4351">
                  <c:v>5</c:v>
                </c:pt>
                <c:pt idx="4352">
                  <c:v>5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5</c:v>
                </c:pt>
                <c:pt idx="4357">
                  <c:v>5</c:v>
                </c:pt>
                <c:pt idx="4358">
                  <c:v>5</c:v>
                </c:pt>
                <c:pt idx="4359">
                  <c:v>5</c:v>
                </c:pt>
                <c:pt idx="4360">
                  <c:v>5</c:v>
                </c:pt>
                <c:pt idx="4361">
                  <c:v>5</c:v>
                </c:pt>
                <c:pt idx="4362">
                  <c:v>5</c:v>
                </c:pt>
                <c:pt idx="4363">
                  <c:v>5</c:v>
                </c:pt>
                <c:pt idx="4364">
                  <c:v>5</c:v>
                </c:pt>
                <c:pt idx="4365">
                  <c:v>5</c:v>
                </c:pt>
                <c:pt idx="4366">
                  <c:v>5</c:v>
                </c:pt>
                <c:pt idx="4367">
                  <c:v>5</c:v>
                </c:pt>
                <c:pt idx="4368">
                  <c:v>5</c:v>
                </c:pt>
                <c:pt idx="4369">
                  <c:v>5</c:v>
                </c:pt>
                <c:pt idx="4370">
                  <c:v>5</c:v>
                </c:pt>
                <c:pt idx="4371">
                  <c:v>5</c:v>
                </c:pt>
                <c:pt idx="4372">
                  <c:v>5</c:v>
                </c:pt>
                <c:pt idx="4373">
                  <c:v>5</c:v>
                </c:pt>
                <c:pt idx="4374">
                  <c:v>5</c:v>
                </c:pt>
                <c:pt idx="4375">
                  <c:v>5</c:v>
                </c:pt>
                <c:pt idx="4376">
                  <c:v>5</c:v>
                </c:pt>
                <c:pt idx="4377">
                  <c:v>5</c:v>
                </c:pt>
                <c:pt idx="4378">
                  <c:v>5</c:v>
                </c:pt>
                <c:pt idx="4379">
                  <c:v>5</c:v>
                </c:pt>
                <c:pt idx="4380">
                  <c:v>5</c:v>
                </c:pt>
                <c:pt idx="4381">
                  <c:v>5</c:v>
                </c:pt>
                <c:pt idx="4382">
                  <c:v>5</c:v>
                </c:pt>
                <c:pt idx="4383">
                  <c:v>5</c:v>
                </c:pt>
                <c:pt idx="4384">
                  <c:v>5</c:v>
                </c:pt>
                <c:pt idx="4385">
                  <c:v>5</c:v>
                </c:pt>
                <c:pt idx="4386">
                  <c:v>5</c:v>
                </c:pt>
                <c:pt idx="4387">
                  <c:v>5</c:v>
                </c:pt>
                <c:pt idx="4388">
                  <c:v>5</c:v>
                </c:pt>
                <c:pt idx="4389">
                  <c:v>5</c:v>
                </c:pt>
                <c:pt idx="4390">
                  <c:v>5</c:v>
                </c:pt>
                <c:pt idx="4391">
                  <c:v>5</c:v>
                </c:pt>
                <c:pt idx="4392">
                  <c:v>5</c:v>
                </c:pt>
                <c:pt idx="4393">
                  <c:v>5</c:v>
                </c:pt>
                <c:pt idx="4394">
                  <c:v>5</c:v>
                </c:pt>
                <c:pt idx="4395">
                  <c:v>5</c:v>
                </c:pt>
                <c:pt idx="4396">
                  <c:v>5</c:v>
                </c:pt>
                <c:pt idx="4397">
                  <c:v>5</c:v>
                </c:pt>
                <c:pt idx="4398">
                  <c:v>5</c:v>
                </c:pt>
                <c:pt idx="4399">
                  <c:v>5</c:v>
                </c:pt>
                <c:pt idx="4400">
                  <c:v>5</c:v>
                </c:pt>
                <c:pt idx="4401">
                  <c:v>5</c:v>
                </c:pt>
                <c:pt idx="4402">
                  <c:v>5</c:v>
                </c:pt>
                <c:pt idx="4403">
                  <c:v>5</c:v>
                </c:pt>
                <c:pt idx="4404">
                  <c:v>5</c:v>
                </c:pt>
                <c:pt idx="4405">
                  <c:v>5</c:v>
                </c:pt>
                <c:pt idx="4406">
                  <c:v>5</c:v>
                </c:pt>
                <c:pt idx="4407">
                  <c:v>5</c:v>
                </c:pt>
                <c:pt idx="4408">
                  <c:v>5</c:v>
                </c:pt>
                <c:pt idx="4409">
                  <c:v>5</c:v>
                </c:pt>
                <c:pt idx="4410">
                  <c:v>5</c:v>
                </c:pt>
                <c:pt idx="4411">
                  <c:v>5</c:v>
                </c:pt>
                <c:pt idx="4412">
                  <c:v>5</c:v>
                </c:pt>
                <c:pt idx="4413">
                  <c:v>5</c:v>
                </c:pt>
                <c:pt idx="4414">
                  <c:v>5</c:v>
                </c:pt>
                <c:pt idx="4415">
                  <c:v>5</c:v>
                </c:pt>
                <c:pt idx="4416">
                  <c:v>5</c:v>
                </c:pt>
                <c:pt idx="4417">
                  <c:v>5</c:v>
                </c:pt>
                <c:pt idx="4418">
                  <c:v>5</c:v>
                </c:pt>
                <c:pt idx="4419">
                  <c:v>5</c:v>
                </c:pt>
                <c:pt idx="4420">
                  <c:v>5</c:v>
                </c:pt>
                <c:pt idx="4421">
                  <c:v>5</c:v>
                </c:pt>
                <c:pt idx="4422">
                  <c:v>5</c:v>
                </c:pt>
                <c:pt idx="4423">
                  <c:v>5</c:v>
                </c:pt>
                <c:pt idx="4424">
                  <c:v>5</c:v>
                </c:pt>
                <c:pt idx="4425">
                  <c:v>5</c:v>
                </c:pt>
                <c:pt idx="4426">
                  <c:v>5</c:v>
                </c:pt>
                <c:pt idx="4427">
                  <c:v>5</c:v>
                </c:pt>
                <c:pt idx="4428">
                  <c:v>5</c:v>
                </c:pt>
                <c:pt idx="4429">
                  <c:v>5</c:v>
                </c:pt>
                <c:pt idx="4430">
                  <c:v>5</c:v>
                </c:pt>
                <c:pt idx="4431">
                  <c:v>5</c:v>
                </c:pt>
                <c:pt idx="4432">
                  <c:v>5</c:v>
                </c:pt>
                <c:pt idx="4433">
                  <c:v>5</c:v>
                </c:pt>
                <c:pt idx="4434">
                  <c:v>5</c:v>
                </c:pt>
                <c:pt idx="4435">
                  <c:v>5</c:v>
                </c:pt>
                <c:pt idx="4436">
                  <c:v>5</c:v>
                </c:pt>
                <c:pt idx="4437">
                  <c:v>5</c:v>
                </c:pt>
                <c:pt idx="4438">
                  <c:v>5</c:v>
                </c:pt>
                <c:pt idx="4439">
                  <c:v>5</c:v>
                </c:pt>
                <c:pt idx="4440">
                  <c:v>5</c:v>
                </c:pt>
                <c:pt idx="4441">
                  <c:v>5</c:v>
                </c:pt>
                <c:pt idx="4442">
                  <c:v>5</c:v>
                </c:pt>
                <c:pt idx="4443">
                  <c:v>5</c:v>
                </c:pt>
                <c:pt idx="4444">
                  <c:v>5</c:v>
                </c:pt>
                <c:pt idx="4445">
                  <c:v>5</c:v>
                </c:pt>
                <c:pt idx="4446">
                  <c:v>5</c:v>
                </c:pt>
                <c:pt idx="4447">
                  <c:v>5</c:v>
                </c:pt>
                <c:pt idx="4448">
                  <c:v>5</c:v>
                </c:pt>
                <c:pt idx="4449">
                  <c:v>5</c:v>
                </c:pt>
                <c:pt idx="4450">
                  <c:v>5</c:v>
                </c:pt>
                <c:pt idx="4451">
                  <c:v>5</c:v>
                </c:pt>
                <c:pt idx="4452">
                  <c:v>5</c:v>
                </c:pt>
                <c:pt idx="4453">
                  <c:v>5</c:v>
                </c:pt>
                <c:pt idx="4454">
                  <c:v>5</c:v>
                </c:pt>
                <c:pt idx="4455">
                  <c:v>5</c:v>
                </c:pt>
                <c:pt idx="4456">
                  <c:v>5</c:v>
                </c:pt>
                <c:pt idx="4457">
                  <c:v>5</c:v>
                </c:pt>
                <c:pt idx="4458">
                  <c:v>5</c:v>
                </c:pt>
                <c:pt idx="4459">
                  <c:v>5</c:v>
                </c:pt>
                <c:pt idx="4460">
                  <c:v>5</c:v>
                </c:pt>
                <c:pt idx="4461">
                  <c:v>5</c:v>
                </c:pt>
                <c:pt idx="4462">
                  <c:v>5</c:v>
                </c:pt>
                <c:pt idx="4463">
                  <c:v>5</c:v>
                </c:pt>
                <c:pt idx="4464">
                  <c:v>5</c:v>
                </c:pt>
                <c:pt idx="4465">
                  <c:v>5</c:v>
                </c:pt>
                <c:pt idx="4466">
                  <c:v>5</c:v>
                </c:pt>
                <c:pt idx="4467">
                  <c:v>5</c:v>
                </c:pt>
                <c:pt idx="4468">
                  <c:v>5</c:v>
                </c:pt>
                <c:pt idx="4469">
                  <c:v>5</c:v>
                </c:pt>
                <c:pt idx="4470">
                  <c:v>5</c:v>
                </c:pt>
                <c:pt idx="4471">
                  <c:v>5</c:v>
                </c:pt>
                <c:pt idx="4472">
                  <c:v>5</c:v>
                </c:pt>
                <c:pt idx="4473">
                  <c:v>5</c:v>
                </c:pt>
                <c:pt idx="4474">
                  <c:v>5</c:v>
                </c:pt>
                <c:pt idx="4475">
                  <c:v>5</c:v>
                </c:pt>
                <c:pt idx="4476">
                  <c:v>5</c:v>
                </c:pt>
                <c:pt idx="4477">
                  <c:v>5</c:v>
                </c:pt>
                <c:pt idx="4478">
                  <c:v>5</c:v>
                </c:pt>
                <c:pt idx="4479">
                  <c:v>5</c:v>
                </c:pt>
                <c:pt idx="4480">
                  <c:v>5</c:v>
                </c:pt>
                <c:pt idx="4481">
                  <c:v>5</c:v>
                </c:pt>
                <c:pt idx="4482">
                  <c:v>5</c:v>
                </c:pt>
                <c:pt idx="4483">
                  <c:v>5</c:v>
                </c:pt>
                <c:pt idx="4484">
                  <c:v>5</c:v>
                </c:pt>
                <c:pt idx="4485">
                  <c:v>5</c:v>
                </c:pt>
                <c:pt idx="4486">
                  <c:v>5</c:v>
                </c:pt>
                <c:pt idx="4487">
                  <c:v>5</c:v>
                </c:pt>
                <c:pt idx="4488">
                  <c:v>5</c:v>
                </c:pt>
                <c:pt idx="4489">
                  <c:v>5</c:v>
                </c:pt>
                <c:pt idx="4490">
                  <c:v>5</c:v>
                </c:pt>
                <c:pt idx="4491">
                  <c:v>5</c:v>
                </c:pt>
                <c:pt idx="4492">
                  <c:v>5</c:v>
                </c:pt>
                <c:pt idx="4493">
                  <c:v>5</c:v>
                </c:pt>
                <c:pt idx="4494">
                  <c:v>5</c:v>
                </c:pt>
                <c:pt idx="4495">
                  <c:v>5</c:v>
                </c:pt>
                <c:pt idx="4496">
                  <c:v>5</c:v>
                </c:pt>
                <c:pt idx="4497">
                  <c:v>5</c:v>
                </c:pt>
                <c:pt idx="4498">
                  <c:v>5</c:v>
                </c:pt>
                <c:pt idx="4499">
                  <c:v>5</c:v>
                </c:pt>
                <c:pt idx="4500">
                  <c:v>5</c:v>
                </c:pt>
                <c:pt idx="4501">
                  <c:v>5</c:v>
                </c:pt>
                <c:pt idx="4502">
                  <c:v>5</c:v>
                </c:pt>
                <c:pt idx="4503">
                  <c:v>5</c:v>
                </c:pt>
                <c:pt idx="4504">
                  <c:v>5</c:v>
                </c:pt>
                <c:pt idx="4505">
                  <c:v>5</c:v>
                </c:pt>
                <c:pt idx="4506">
                  <c:v>5</c:v>
                </c:pt>
                <c:pt idx="4507">
                  <c:v>5</c:v>
                </c:pt>
                <c:pt idx="4508">
                  <c:v>5</c:v>
                </c:pt>
                <c:pt idx="4509">
                  <c:v>5</c:v>
                </c:pt>
                <c:pt idx="4510">
                  <c:v>5</c:v>
                </c:pt>
                <c:pt idx="4511">
                  <c:v>5</c:v>
                </c:pt>
                <c:pt idx="4512">
                  <c:v>5</c:v>
                </c:pt>
                <c:pt idx="4513">
                  <c:v>5</c:v>
                </c:pt>
                <c:pt idx="4514">
                  <c:v>5</c:v>
                </c:pt>
                <c:pt idx="4515">
                  <c:v>5</c:v>
                </c:pt>
                <c:pt idx="4516">
                  <c:v>5</c:v>
                </c:pt>
                <c:pt idx="4517">
                  <c:v>5</c:v>
                </c:pt>
                <c:pt idx="4518">
                  <c:v>5</c:v>
                </c:pt>
                <c:pt idx="4519">
                  <c:v>5</c:v>
                </c:pt>
                <c:pt idx="4520">
                  <c:v>5</c:v>
                </c:pt>
                <c:pt idx="4521">
                  <c:v>5</c:v>
                </c:pt>
                <c:pt idx="4522">
                  <c:v>5</c:v>
                </c:pt>
                <c:pt idx="4523">
                  <c:v>5</c:v>
                </c:pt>
                <c:pt idx="4524">
                  <c:v>5</c:v>
                </c:pt>
                <c:pt idx="4525">
                  <c:v>5</c:v>
                </c:pt>
                <c:pt idx="4526">
                  <c:v>5</c:v>
                </c:pt>
                <c:pt idx="4527">
                  <c:v>5</c:v>
                </c:pt>
                <c:pt idx="4528">
                  <c:v>5</c:v>
                </c:pt>
                <c:pt idx="4529">
                  <c:v>5</c:v>
                </c:pt>
                <c:pt idx="4530">
                  <c:v>5</c:v>
                </c:pt>
                <c:pt idx="4531">
                  <c:v>5</c:v>
                </c:pt>
                <c:pt idx="4532">
                  <c:v>5</c:v>
                </c:pt>
                <c:pt idx="4533">
                  <c:v>5</c:v>
                </c:pt>
                <c:pt idx="4534">
                  <c:v>5</c:v>
                </c:pt>
                <c:pt idx="4535">
                  <c:v>5</c:v>
                </c:pt>
                <c:pt idx="4536">
                  <c:v>5</c:v>
                </c:pt>
                <c:pt idx="4537">
                  <c:v>5</c:v>
                </c:pt>
                <c:pt idx="4538">
                  <c:v>5</c:v>
                </c:pt>
                <c:pt idx="4539">
                  <c:v>5</c:v>
                </c:pt>
                <c:pt idx="4540">
                  <c:v>5</c:v>
                </c:pt>
                <c:pt idx="4541">
                  <c:v>5</c:v>
                </c:pt>
                <c:pt idx="4542">
                  <c:v>5</c:v>
                </c:pt>
                <c:pt idx="4543">
                  <c:v>5</c:v>
                </c:pt>
                <c:pt idx="4544">
                  <c:v>5</c:v>
                </c:pt>
                <c:pt idx="4545">
                  <c:v>5</c:v>
                </c:pt>
                <c:pt idx="4546">
                  <c:v>5</c:v>
                </c:pt>
                <c:pt idx="4547">
                  <c:v>5</c:v>
                </c:pt>
                <c:pt idx="4548">
                  <c:v>5</c:v>
                </c:pt>
                <c:pt idx="4549">
                  <c:v>5</c:v>
                </c:pt>
                <c:pt idx="4550">
                  <c:v>5</c:v>
                </c:pt>
                <c:pt idx="4551">
                  <c:v>5</c:v>
                </c:pt>
                <c:pt idx="4552">
                  <c:v>5</c:v>
                </c:pt>
                <c:pt idx="4553">
                  <c:v>5</c:v>
                </c:pt>
                <c:pt idx="4554">
                  <c:v>5</c:v>
                </c:pt>
                <c:pt idx="4555">
                  <c:v>5</c:v>
                </c:pt>
                <c:pt idx="4556">
                  <c:v>5</c:v>
                </c:pt>
                <c:pt idx="4557">
                  <c:v>5</c:v>
                </c:pt>
                <c:pt idx="4558">
                  <c:v>5</c:v>
                </c:pt>
                <c:pt idx="4559">
                  <c:v>5</c:v>
                </c:pt>
                <c:pt idx="4560">
                  <c:v>5</c:v>
                </c:pt>
                <c:pt idx="4561">
                  <c:v>5</c:v>
                </c:pt>
                <c:pt idx="4562">
                  <c:v>5</c:v>
                </c:pt>
                <c:pt idx="4563">
                  <c:v>5</c:v>
                </c:pt>
                <c:pt idx="4564">
                  <c:v>5</c:v>
                </c:pt>
                <c:pt idx="4565">
                  <c:v>5</c:v>
                </c:pt>
                <c:pt idx="4566">
                  <c:v>5</c:v>
                </c:pt>
                <c:pt idx="4567">
                  <c:v>5</c:v>
                </c:pt>
                <c:pt idx="4568">
                  <c:v>5</c:v>
                </c:pt>
                <c:pt idx="4569">
                  <c:v>5</c:v>
                </c:pt>
                <c:pt idx="4570">
                  <c:v>5</c:v>
                </c:pt>
                <c:pt idx="4571">
                  <c:v>5</c:v>
                </c:pt>
                <c:pt idx="4572">
                  <c:v>5</c:v>
                </c:pt>
                <c:pt idx="4573">
                  <c:v>5</c:v>
                </c:pt>
                <c:pt idx="4574">
                  <c:v>5</c:v>
                </c:pt>
                <c:pt idx="4575">
                  <c:v>5</c:v>
                </c:pt>
                <c:pt idx="4576">
                  <c:v>5</c:v>
                </c:pt>
                <c:pt idx="4577">
                  <c:v>5</c:v>
                </c:pt>
                <c:pt idx="4578">
                  <c:v>5</c:v>
                </c:pt>
                <c:pt idx="4579">
                  <c:v>5</c:v>
                </c:pt>
                <c:pt idx="4580">
                  <c:v>5</c:v>
                </c:pt>
                <c:pt idx="4581">
                  <c:v>5</c:v>
                </c:pt>
                <c:pt idx="5693">
                  <c:v>6</c:v>
                </c:pt>
                <c:pt idx="5694">
                  <c:v>6</c:v>
                </c:pt>
                <c:pt idx="5695">
                  <c:v>6</c:v>
                </c:pt>
                <c:pt idx="5696">
                  <c:v>6</c:v>
                </c:pt>
                <c:pt idx="5697">
                  <c:v>6</c:v>
                </c:pt>
                <c:pt idx="5698">
                  <c:v>6</c:v>
                </c:pt>
                <c:pt idx="5699">
                  <c:v>6</c:v>
                </c:pt>
                <c:pt idx="5700">
                  <c:v>6</c:v>
                </c:pt>
                <c:pt idx="5701">
                  <c:v>6</c:v>
                </c:pt>
                <c:pt idx="5702">
                  <c:v>6</c:v>
                </c:pt>
                <c:pt idx="5703">
                  <c:v>6</c:v>
                </c:pt>
                <c:pt idx="5704">
                  <c:v>6</c:v>
                </c:pt>
                <c:pt idx="5705">
                  <c:v>6</c:v>
                </c:pt>
                <c:pt idx="5706">
                  <c:v>6</c:v>
                </c:pt>
                <c:pt idx="5707">
                  <c:v>6</c:v>
                </c:pt>
                <c:pt idx="5708">
                  <c:v>6</c:v>
                </c:pt>
                <c:pt idx="5709">
                  <c:v>6</c:v>
                </c:pt>
                <c:pt idx="5710">
                  <c:v>6</c:v>
                </c:pt>
                <c:pt idx="5711">
                  <c:v>6</c:v>
                </c:pt>
                <c:pt idx="5712">
                  <c:v>6</c:v>
                </c:pt>
                <c:pt idx="5713">
                  <c:v>6</c:v>
                </c:pt>
                <c:pt idx="5714">
                  <c:v>6</c:v>
                </c:pt>
                <c:pt idx="5715">
                  <c:v>6</c:v>
                </c:pt>
                <c:pt idx="5716">
                  <c:v>6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6</c:v>
                </c:pt>
                <c:pt idx="5721">
                  <c:v>6</c:v>
                </c:pt>
                <c:pt idx="5722">
                  <c:v>6</c:v>
                </c:pt>
                <c:pt idx="5723">
                  <c:v>6</c:v>
                </c:pt>
                <c:pt idx="5724">
                  <c:v>6</c:v>
                </c:pt>
                <c:pt idx="5725">
                  <c:v>6</c:v>
                </c:pt>
                <c:pt idx="5726">
                  <c:v>6</c:v>
                </c:pt>
                <c:pt idx="5727">
                  <c:v>6</c:v>
                </c:pt>
                <c:pt idx="5728">
                  <c:v>6</c:v>
                </c:pt>
                <c:pt idx="5729">
                  <c:v>6</c:v>
                </c:pt>
                <c:pt idx="5730">
                  <c:v>6</c:v>
                </c:pt>
                <c:pt idx="5731">
                  <c:v>6</c:v>
                </c:pt>
                <c:pt idx="5732">
                  <c:v>6</c:v>
                </c:pt>
                <c:pt idx="5733">
                  <c:v>6</c:v>
                </c:pt>
                <c:pt idx="5734">
                  <c:v>6</c:v>
                </c:pt>
                <c:pt idx="5735">
                  <c:v>6</c:v>
                </c:pt>
                <c:pt idx="5736">
                  <c:v>6</c:v>
                </c:pt>
                <c:pt idx="5737">
                  <c:v>6</c:v>
                </c:pt>
                <c:pt idx="5738">
                  <c:v>6</c:v>
                </c:pt>
                <c:pt idx="5739">
                  <c:v>6</c:v>
                </c:pt>
                <c:pt idx="5740">
                  <c:v>6</c:v>
                </c:pt>
                <c:pt idx="5741">
                  <c:v>6</c:v>
                </c:pt>
                <c:pt idx="5742">
                  <c:v>6</c:v>
                </c:pt>
                <c:pt idx="5743">
                  <c:v>6</c:v>
                </c:pt>
                <c:pt idx="5744">
                  <c:v>6</c:v>
                </c:pt>
                <c:pt idx="5745">
                  <c:v>6</c:v>
                </c:pt>
                <c:pt idx="5746">
                  <c:v>6</c:v>
                </c:pt>
                <c:pt idx="5747">
                  <c:v>6</c:v>
                </c:pt>
                <c:pt idx="5748">
                  <c:v>6</c:v>
                </c:pt>
                <c:pt idx="5749">
                  <c:v>6</c:v>
                </c:pt>
                <c:pt idx="5750">
                  <c:v>6</c:v>
                </c:pt>
                <c:pt idx="5751">
                  <c:v>6</c:v>
                </c:pt>
                <c:pt idx="5752">
                  <c:v>6</c:v>
                </c:pt>
                <c:pt idx="5753">
                  <c:v>6</c:v>
                </c:pt>
                <c:pt idx="5754">
                  <c:v>6</c:v>
                </c:pt>
                <c:pt idx="5755">
                  <c:v>6</c:v>
                </c:pt>
                <c:pt idx="5756">
                  <c:v>6</c:v>
                </c:pt>
                <c:pt idx="5757">
                  <c:v>6</c:v>
                </c:pt>
                <c:pt idx="5758">
                  <c:v>6</c:v>
                </c:pt>
                <c:pt idx="5759">
                  <c:v>6</c:v>
                </c:pt>
                <c:pt idx="5760">
                  <c:v>6</c:v>
                </c:pt>
                <c:pt idx="5761">
                  <c:v>6</c:v>
                </c:pt>
                <c:pt idx="5762">
                  <c:v>6</c:v>
                </c:pt>
                <c:pt idx="5763">
                  <c:v>6</c:v>
                </c:pt>
                <c:pt idx="5764">
                  <c:v>6</c:v>
                </c:pt>
                <c:pt idx="5765">
                  <c:v>6</c:v>
                </c:pt>
                <c:pt idx="5766">
                  <c:v>6</c:v>
                </c:pt>
                <c:pt idx="5767">
                  <c:v>6</c:v>
                </c:pt>
                <c:pt idx="5768">
                  <c:v>6</c:v>
                </c:pt>
                <c:pt idx="5769">
                  <c:v>6</c:v>
                </c:pt>
                <c:pt idx="5770">
                  <c:v>6</c:v>
                </c:pt>
                <c:pt idx="5771">
                  <c:v>6</c:v>
                </c:pt>
                <c:pt idx="5772">
                  <c:v>6</c:v>
                </c:pt>
                <c:pt idx="5773">
                  <c:v>6</c:v>
                </c:pt>
                <c:pt idx="5774">
                  <c:v>6</c:v>
                </c:pt>
                <c:pt idx="5775">
                  <c:v>6</c:v>
                </c:pt>
                <c:pt idx="5776">
                  <c:v>6</c:v>
                </c:pt>
                <c:pt idx="5777">
                  <c:v>6</c:v>
                </c:pt>
                <c:pt idx="5778">
                  <c:v>6</c:v>
                </c:pt>
                <c:pt idx="5779">
                  <c:v>6</c:v>
                </c:pt>
                <c:pt idx="5780">
                  <c:v>6</c:v>
                </c:pt>
                <c:pt idx="5781">
                  <c:v>6</c:v>
                </c:pt>
                <c:pt idx="5782">
                  <c:v>6</c:v>
                </c:pt>
                <c:pt idx="5783">
                  <c:v>6</c:v>
                </c:pt>
                <c:pt idx="5784">
                  <c:v>6</c:v>
                </c:pt>
                <c:pt idx="5785">
                  <c:v>6</c:v>
                </c:pt>
                <c:pt idx="5786">
                  <c:v>6</c:v>
                </c:pt>
                <c:pt idx="5787">
                  <c:v>6</c:v>
                </c:pt>
                <c:pt idx="5788">
                  <c:v>6</c:v>
                </c:pt>
                <c:pt idx="5789">
                  <c:v>6</c:v>
                </c:pt>
                <c:pt idx="5790">
                  <c:v>6</c:v>
                </c:pt>
                <c:pt idx="5791">
                  <c:v>6</c:v>
                </c:pt>
                <c:pt idx="5792">
                  <c:v>6</c:v>
                </c:pt>
                <c:pt idx="5793">
                  <c:v>6</c:v>
                </c:pt>
                <c:pt idx="5794">
                  <c:v>6</c:v>
                </c:pt>
                <c:pt idx="5795">
                  <c:v>6</c:v>
                </c:pt>
                <c:pt idx="5796">
                  <c:v>6</c:v>
                </c:pt>
                <c:pt idx="5797">
                  <c:v>6</c:v>
                </c:pt>
                <c:pt idx="5798">
                  <c:v>6</c:v>
                </c:pt>
                <c:pt idx="5799">
                  <c:v>6</c:v>
                </c:pt>
                <c:pt idx="5800">
                  <c:v>6</c:v>
                </c:pt>
                <c:pt idx="5801">
                  <c:v>6</c:v>
                </c:pt>
                <c:pt idx="5802">
                  <c:v>6</c:v>
                </c:pt>
                <c:pt idx="5803">
                  <c:v>6</c:v>
                </c:pt>
                <c:pt idx="5804">
                  <c:v>6</c:v>
                </c:pt>
                <c:pt idx="5805">
                  <c:v>6</c:v>
                </c:pt>
                <c:pt idx="5806">
                  <c:v>6</c:v>
                </c:pt>
                <c:pt idx="5807">
                  <c:v>6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6</c:v>
                </c:pt>
                <c:pt idx="5813">
                  <c:v>6</c:v>
                </c:pt>
                <c:pt idx="5814">
                  <c:v>6</c:v>
                </c:pt>
                <c:pt idx="5815">
                  <c:v>6</c:v>
                </c:pt>
                <c:pt idx="5816">
                  <c:v>6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6</c:v>
                </c:pt>
                <c:pt idx="5821">
                  <c:v>6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6</c:v>
                </c:pt>
                <c:pt idx="5827">
                  <c:v>6</c:v>
                </c:pt>
                <c:pt idx="5828">
                  <c:v>6</c:v>
                </c:pt>
                <c:pt idx="5829">
                  <c:v>6</c:v>
                </c:pt>
                <c:pt idx="5830">
                  <c:v>6</c:v>
                </c:pt>
                <c:pt idx="5831">
                  <c:v>6</c:v>
                </c:pt>
                <c:pt idx="5832">
                  <c:v>6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6</c:v>
                </c:pt>
                <c:pt idx="5840">
                  <c:v>6</c:v>
                </c:pt>
                <c:pt idx="5841">
                  <c:v>6</c:v>
                </c:pt>
                <c:pt idx="5842">
                  <c:v>6</c:v>
                </c:pt>
                <c:pt idx="5843">
                  <c:v>6</c:v>
                </c:pt>
                <c:pt idx="5844">
                  <c:v>6</c:v>
                </c:pt>
                <c:pt idx="5845">
                  <c:v>6</c:v>
                </c:pt>
                <c:pt idx="5846">
                  <c:v>6</c:v>
                </c:pt>
                <c:pt idx="5847">
                  <c:v>6</c:v>
                </c:pt>
                <c:pt idx="5848">
                  <c:v>6</c:v>
                </c:pt>
                <c:pt idx="5849">
                  <c:v>6</c:v>
                </c:pt>
                <c:pt idx="5850">
                  <c:v>6</c:v>
                </c:pt>
                <c:pt idx="5851">
                  <c:v>6</c:v>
                </c:pt>
                <c:pt idx="5852">
                  <c:v>6</c:v>
                </c:pt>
                <c:pt idx="5853">
                  <c:v>6</c:v>
                </c:pt>
                <c:pt idx="6466">
                  <c:v>7</c:v>
                </c:pt>
                <c:pt idx="6467">
                  <c:v>7</c:v>
                </c:pt>
                <c:pt idx="6468">
                  <c:v>7</c:v>
                </c:pt>
                <c:pt idx="6469">
                  <c:v>7</c:v>
                </c:pt>
                <c:pt idx="6470">
                  <c:v>7</c:v>
                </c:pt>
                <c:pt idx="6471">
                  <c:v>7</c:v>
                </c:pt>
                <c:pt idx="6472">
                  <c:v>7</c:v>
                </c:pt>
                <c:pt idx="6473">
                  <c:v>7</c:v>
                </c:pt>
                <c:pt idx="6474">
                  <c:v>7</c:v>
                </c:pt>
                <c:pt idx="6475">
                  <c:v>7</c:v>
                </c:pt>
                <c:pt idx="6476">
                  <c:v>7</c:v>
                </c:pt>
                <c:pt idx="6477">
                  <c:v>7</c:v>
                </c:pt>
                <c:pt idx="6478">
                  <c:v>7</c:v>
                </c:pt>
                <c:pt idx="6479">
                  <c:v>7</c:v>
                </c:pt>
                <c:pt idx="6480">
                  <c:v>7</c:v>
                </c:pt>
                <c:pt idx="6481">
                  <c:v>7</c:v>
                </c:pt>
                <c:pt idx="6482">
                  <c:v>7</c:v>
                </c:pt>
                <c:pt idx="6483">
                  <c:v>7</c:v>
                </c:pt>
                <c:pt idx="6484">
                  <c:v>7</c:v>
                </c:pt>
                <c:pt idx="6485">
                  <c:v>7</c:v>
                </c:pt>
                <c:pt idx="6486">
                  <c:v>7</c:v>
                </c:pt>
                <c:pt idx="6487">
                  <c:v>7</c:v>
                </c:pt>
                <c:pt idx="6488">
                  <c:v>7</c:v>
                </c:pt>
                <c:pt idx="6489">
                  <c:v>7</c:v>
                </c:pt>
                <c:pt idx="6490">
                  <c:v>7</c:v>
                </c:pt>
                <c:pt idx="6491">
                  <c:v>7</c:v>
                </c:pt>
                <c:pt idx="6492">
                  <c:v>7</c:v>
                </c:pt>
                <c:pt idx="6493">
                  <c:v>7</c:v>
                </c:pt>
                <c:pt idx="6494">
                  <c:v>7</c:v>
                </c:pt>
                <c:pt idx="6495">
                  <c:v>7</c:v>
                </c:pt>
                <c:pt idx="6496">
                  <c:v>7</c:v>
                </c:pt>
                <c:pt idx="6497">
                  <c:v>7</c:v>
                </c:pt>
                <c:pt idx="6498">
                  <c:v>7</c:v>
                </c:pt>
                <c:pt idx="6499">
                  <c:v>7</c:v>
                </c:pt>
                <c:pt idx="6500">
                  <c:v>7</c:v>
                </c:pt>
                <c:pt idx="6501">
                  <c:v>7</c:v>
                </c:pt>
                <c:pt idx="6502">
                  <c:v>7</c:v>
                </c:pt>
                <c:pt idx="6503">
                  <c:v>7</c:v>
                </c:pt>
                <c:pt idx="6504">
                  <c:v>7</c:v>
                </c:pt>
                <c:pt idx="6505">
                  <c:v>7</c:v>
                </c:pt>
                <c:pt idx="6506">
                  <c:v>7</c:v>
                </c:pt>
                <c:pt idx="6507">
                  <c:v>7</c:v>
                </c:pt>
                <c:pt idx="6508">
                  <c:v>7</c:v>
                </c:pt>
                <c:pt idx="6509">
                  <c:v>7</c:v>
                </c:pt>
                <c:pt idx="6510">
                  <c:v>7</c:v>
                </c:pt>
                <c:pt idx="6511">
                  <c:v>7</c:v>
                </c:pt>
                <c:pt idx="6512">
                  <c:v>7</c:v>
                </c:pt>
                <c:pt idx="6513">
                  <c:v>7</c:v>
                </c:pt>
                <c:pt idx="6514">
                  <c:v>7</c:v>
                </c:pt>
                <c:pt idx="6515">
                  <c:v>7</c:v>
                </c:pt>
                <c:pt idx="6516">
                  <c:v>7</c:v>
                </c:pt>
                <c:pt idx="6517">
                  <c:v>7</c:v>
                </c:pt>
                <c:pt idx="6518">
                  <c:v>7</c:v>
                </c:pt>
                <c:pt idx="6519">
                  <c:v>7</c:v>
                </c:pt>
                <c:pt idx="6520">
                  <c:v>7</c:v>
                </c:pt>
                <c:pt idx="6521">
                  <c:v>7</c:v>
                </c:pt>
                <c:pt idx="6522">
                  <c:v>7</c:v>
                </c:pt>
                <c:pt idx="6523">
                  <c:v>7</c:v>
                </c:pt>
                <c:pt idx="6524">
                  <c:v>7</c:v>
                </c:pt>
                <c:pt idx="6525">
                  <c:v>7</c:v>
                </c:pt>
                <c:pt idx="6526">
                  <c:v>7</c:v>
                </c:pt>
                <c:pt idx="6527">
                  <c:v>7</c:v>
                </c:pt>
                <c:pt idx="6528">
                  <c:v>7</c:v>
                </c:pt>
                <c:pt idx="6529">
                  <c:v>7</c:v>
                </c:pt>
                <c:pt idx="6530">
                  <c:v>7</c:v>
                </c:pt>
                <c:pt idx="6531">
                  <c:v>7</c:v>
                </c:pt>
                <c:pt idx="6532">
                  <c:v>7</c:v>
                </c:pt>
                <c:pt idx="6533">
                  <c:v>7</c:v>
                </c:pt>
                <c:pt idx="6534">
                  <c:v>7</c:v>
                </c:pt>
                <c:pt idx="6535">
                  <c:v>7</c:v>
                </c:pt>
                <c:pt idx="6536">
                  <c:v>7</c:v>
                </c:pt>
                <c:pt idx="6537">
                  <c:v>7</c:v>
                </c:pt>
                <c:pt idx="6538">
                  <c:v>7</c:v>
                </c:pt>
                <c:pt idx="6539">
                  <c:v>7</c:v>
                </c:pt>
                <c:pt idx="6540">
                  <c:v>7</c:v>
                </c:pt>
                <c:pt idx="6541">
                  <c:v>7</c:v>
                </c:pt>
                <c:pt idx="6542">
                  <c:v>7</c:v>
                </c:pt>
                <c:pt idx="6543">
                  <c:v>7</c:v>
                </c:pt>
                <c:pt idx="6544">
                  <c:v>7</c:v>
                </c:pt>
                <c:pt idx="6545">
                  <c:v>7</c:v>
                </c:pt>
                <c:pt idx="6546">
                  <c:v>7</c:v>
                </c:pt>
                <c:pt idx="6547">
                  <c:v>7</c:v>
                </c:pt>
                <c:pt idx="6548">
                  <c:v>7</c:v>
                </c:pt>
                <c:pt idx="6549">
                  <c:v>7</c:v>
                </c:pt>
                <c:pt idx="6550">
                  <c:v>7</c:v>
                </c:pt>
                <c:pt idx="6551">
                  <c:v>7</c:v>
                </c:pt>
                <c:pt idx="6552">
                  <c:v>7</c:v>
                </c:pt>
                <c:pt idx="6553">
                  <c:v>7</c:v>
                </c:pt>
                <c:pt idx="6554">
                  <c:v>7</c:v>
                </c:pt>
                <c:pt idx="6555">
                  <c:v>7</c:v>
                </c:pt>
                <c:pt idx="6556">
                  <c:v>7</c:v>
                </c:pt>
                <c:pt idx="6557">
                  <c:v>7</c:v>
                </c:pt>
                <c:pt idx="6558">
                  <c:v>7</c:v>
                </c:pt>
                <c:pt idx="6559">
                  <c:v>7</c:v>
                </c:pt>
                <c:pt idx="6560">
                  <c:v>7</c:v>
                </c:pt>
                <c:pt idx="6561">
                  <c:v>7</c:v>
                </c:pt>
                <c:pt idx="6562">
                  <c:v>7</c:v>
                </c:pt>
                <c:pt idx="6563">
                  <c:v>7</c:v>
                </c:pt>
                <c:pt idx="6564">
                  <c:v>7</c:v>
                </c:pt>
                <c:pt idx="6565">
                  <c:v>7</c:v>
                </c:pt>
                <c:pt idx="6566">
                  <c:v>7</c:v>
                </c:pt>
                <c:pt idx="6567">
                  <c:v>7</c:v>
                </c:pt>
                <c:pt idx="6568">
                  <c:v>7</c:v>
                </c:pt>
                <c:pt idx="6569">
                  <c:v>7</c:v>
                </c:pt>
                <c:pt idx="6570">
                  <c:v>7</c:v>
                </c:pt>
                <c:pt idx="6571">
                  <c:v>7</c:v>
                </c:pt>
                <c:pt idx="6572">
                  <c:v>7</c:v>
                </c:pt>
                <c:pt idx="6573">
                  <c:v>7</c:v>
                </c:pt>
                <c:pt idx="6574">
                  <c:v>7</c:v>
                </c:pt>
                <c:pt idx="6575">
                  <c:v>7</c:v>
                </c:pt>
                <c:pt idx="6576">
                  <c:v>7</c:v>
                </c:pt>
                <c:pt idx="6577">
                  <c:v>7</c:v>
                </c:pt>
                <c:pt idx="6578">
                  <c:v>7</c:v>
                </c:pt>
                <c:pt idx="6579">
                  <c:v>7</c:v>
                </c:pt>
                <c:pt idx="6580">
                  <c:v>7</c:v>
                </c:pt>
                <c:pt idx="6581">
                  <c:v>7</c:v>
                </c:pt>
                <c:pt idx="6582">
                  <c:v>7</c:v>
                </c:pt>
                <c:pt idx="6583">
                  <c:v>7</c:v>
                </c:pt>
                <c:pt idx="6584">
                  <c:v>7</c:v>
                </c:pt>
                <c:pt idx="6585">
                  <c:v>7</c:v>
                </c:pt>
                <c:pt idx="6586">
                  <c:v>7</c:v>
                </c:pt>
                <c:pt idx="6587">
                  <c:v>7</c:v>
                </c:pt>
                <c:pt idx="6588">
                  <c:v>7</c:v>
                </c:pt>
                <c:pt idx="6589">
                  <c:v>7</c:v>
                </c:pt>
                <c:pt idx="6590">
                  <c:v>7</c:v>
                </c:pt>
                <c:pt idx="6591">
                  <c:v>7</c:v>
                </c:pt>
                <c:pt idx="6592">
                  <c:v>7</c:v>
                </c:pt>
                <c:pt idx="6593">
                  <c:v>7</c:v>
                </c:pt>
                <c:pt idx="6594">
                  <c:v>7</c:v>
                </c:pt>
                <c:pt idx="6595">
                  <c:v>7</c:v>
                </c:pt>
                <c:pt idx="6596">
                  <c:v>7</c:v>
                </c:pt>
                <c:pt idx="6597">
                  <c:v>7</c:v>
                </c:pt>
                <c:pt idx="6598">
                  <c:v>7</c:v>
                </c:pt>
                <c:pt idx="6599">
                  <c:v>7</c:v>
                </c:pt>
                <c:pt idx="6600">
                  <c:v>7</c:v>
                </c:pt>
                <c:pt idx="6601">
                  <c:v>7</c:v>
                </c:pt>
                <c:pt idx="6602">
                  <c:v>7</c:v>
                </c:pt>
                <c:pt idx="6603">
                  <c:v>7</c:v>
                </c:pt>
                <c:pt idx="6604">
                  <c:v>7</c:v>
                </c:pt>
                <c:pt idx="6605">
                  <c:v>7</c:v>
                </c:pt>
                <c:pt idx="6606">
                  <c:v>7</c:v>
                </c:pt>
                <c:pt idx="6607">
                  <c:v>7</c:v>
                </c:pt>
                <c:pt idx="6608">
                  <c:v>7</c:v>
                </c:pt>
                <c:pt idx="6609">
                  <c:v>7</c:v>
                </c:pt>
                <c:pt idx="6610">
                  <c:v>7</c:v>
                </c:pt>
                <c:pt idx="6611">
                  <c:v>7</c:v>
                </c:pt>
                <c:pt idx="6612">
                  <c:v>7</c:v>
                </c:pt>
                <c:pt idx="6613">
                  <c:v>7</c:v>
                </c:pt>
                <c:pt idx="6614">
                  <c:v>7</c:v>
                </c:pt>
                <c:pt idx="6615">
                  <c:v>7</c:v>
                </c:pt>
                <c:pt idx="6616">
                  <c:v>7</c:v>
                </c:pt>
                <c:pt idx="6617">
                  <c:v>7</c:v>
                </c:pt>
                <c:pt idx="6618">
                  <c:v>7</c:v>
                </c:pt>
                <c:pt idx="6619">
                  <c:v>7</c:v>
                </c:pt>
                <c:pt idx="6620">
                  <c:v>7</c:v>
                </c:pt>
                <c:pt idx="6621">
                  <c:v>7</c:v>
                </c:pt>
                <c:pt idx="6622">
                  <c:v>7</c:v>
                </c:pt>
                <c:pt idx="6623">
                  <c:v>7</c:v>
                </c:pt>
                <c:pt idx="6624">
                  <c:v>7</c:v>
                </c:pt>
                <c:pt idx="6625">
                  <c:v>7</c:v>
                </c:pt>
                <c:pt idx="6626">
                  <c:v>7</c:v>
                </c:pt>
                <c:pt idx="6627">
                  <c:v>7</c:v>
                </c:pt>
                <c:pt idx="6628">
                  <c:v>7</c:v>
                </c:pt>
                <c:pt idx="6629">
                  <c:v>7</c:v>
                </c:pt>
                <c:pt idx="6630">
                  <c:v>7</c:v>
                </c:pt>
                <c:pt idx="6631">
                  <c:v>7</c:v>
                </c:pt>
                <c:pt idx="6632">
                  <c:v>7</c:v>
                </c:pt>
                <c:pt idx="6633">
                  <c:v>7</c:v>
                </c:pt>
                <c:pt idx="6634">
                  <c:v>7</c:v>
                </c:pt>
                <c:pt idx="6635">
                  <c:v>7</c:v>
                </c:pt>
                <c:pt idx="6636">
                  <c:v>7</c:v>
                </c:pt>
                <c:pt idx="6637">
                  <c:v>7</c:v>
                </c:pt>
                <c:pt idx="6638">
                  <c:v>7</c:v>
                </c:pt>
                <c:pt idx="6639">
                  <c:v>7</c:v>
                </c:pt>
                <c:pt idx="6640">
                  <c:v>7</c:v>
                </c:pt>
                <c:pt idx="6641">
                  <c:v>7</c:v>
                </c:pt>
                <c:pt idx="6642">
                  <c:v>7</c:v>
                </c:pt>
                <c:pt idx="6643">
                  <c:v>7</c:v>
                </c:pt>
                <c:pt idx="6644">
                  <c:v>7</c:v>
                </c:pt>
                <c:pt idx="6645">
                  <c:v>7</c:v>
                </c:pt>
                <c:pt idx="6646">
                  <c:v>7</c:v>
                </c:pt>
                <c:pt idx="6647">
                  <c:v>7</c:v>
                </c:pt>
                <c:pt idx="6648">
                  <c:v>7</c:v>
                </c:pt>
                <c:pt idx="6649">
                  <c:v>7</c:v>
                </c:pt>
                <c:pt idx="6650">
                  <c:v>7</c:v>
                </c:pt>
                <c:pt idx="6651">
                  <c:v>7</c:v>
                </c:pt>
                <c:pt idx="6652">
                  <c:v>7</c:v>
                </c:pt>
                <c:pt idx="6653">
                  <c:v>7</c:v>
                </c:pt>
                <c:pt idx="6654">
                  <c:v>7</c:v>
                </c:pt>
                <c:pt idx="6655">
                  <c:v>7</c:v>
                </c:pt>
                <c:pt idx="6656">
                  <c:v>7</c:v>
                </c:pt>
                <c:pt idx="6657">
                  <c:v>7</c:v>
                </c:pt>
                <c:pt idx="6658">
                  <c:v>7</c:v>
                </c:pt>
                <c:pt idx="6659">
                  <c:v>7</c:v>
                </c:pt>
                <c:pt idx="6660">
                  <c:v>7</c:v>
                </c:pt>
                <c:pt idx="6661">
                  <c:v>7</c:v>
                </c:pt>
                <c:pt idx="6662">
                  <c:v>7</c:v>
                </c:pt>
                <c:pt idx="6663">
                  <c:v>7</c:v>
                </c:pt>
                <c:pt idx="6664">
                  <c:v>7</c:v>
                </c:pt>
                <c:pt idx="6665">
                  <c:v>7</c:v>
                </c:pt>
                <c:pt idx="6666">
                  <c:v>7</c:v>
                </c:pt>
                <c:pt idx="6667">
                  <c:v>7</c:v>
                </c:pt>
                <c:pt idx="6668">
                  <c:v>7</c:v>
                </c:pt>
                <c:pt idx="6669">
                  <c:v>7</c:v>
                </c:pt>
                <c:pt idx="6670">
                  <c:v>7</c:v>
                </c:pt>
                <c:pt idx="6671">
                  <c:v>7</c:v>
                </c:pt>
                <c:pt idx="6672">
                  <c:v>7</c:v>
                </c:pt>
                <c:pt idx="6673">
                  <c:v>7</c:v>
                </c:pt>
                <c:pt idx="6674">
                  <c:v>7</c:v>
                </c:pt>
                <c:pt idx="6675">
                  <c:v>7</c:v>
                </c:pt>
                <c:pt idx="6676">
                  <c:v>7</c:v>
                </c:pt>
                <c:pt idx="6677">
                  <c:v>7</c:v>
                </c:pt>
                <c:pt idx="6678">
                  <c:v>7</c:v>
                </c:pt>
                <c:pt idx="6679">
                  <c:v>7</c:v>
                </c:pt>
                <c:pt idx="6680">
                  <c:v>7</c:v>
                </c:pt>
                <c:pt idx="6681">
                  <c:v>7</c:v>
                </c:pt>
                <c:pt idx="6682">
                  <c:v>7</c:v>
                </c:pt>
                <c:pt idx="6683">
                  <c:v>7</c:v>
                </c:pt>
                <c:pt idx="6684">
                  <c:v>7</c:v>
                </c:pt>
                <c:pt idx="6685">
                  <c:v>7</c:v>
                </c:pt>
                <c:pt idx="6686">
                  <c:v>7</c:v>
                </c:pt>
                <c:pt idx="6687">
                  <c:v>7</c:v>
                </c:pt>
                <c:pt idx="6688">
                  <c:v>7</c:v>
                </c:pt>
                <c:pt idx="6689">
                  <c:v>7</c:v>
                </c:pt>
                <c:pt idx="6690">
                  <c:v>7</c:v>
                </c:pt>
                <c:pt idx="6691">
                  <c:v>7</c:v>
                </c:pt>
                <c:pt idx="6692">
                  <c:v>7</c:v>
                </c:pt>
                <c:pt idx="6693">
                  <c:v>7</c:v>
                </c:pt>
                <c:pt idx="6694">
                  <c:v>7</c:v>
                </c:pt>
                <c:pt idx="6695">
                  <c:v>7</c:v>
                </c:pt>
                <c:pt idx="6696">
                  <c:v>7</c:v>
                </c:pt>
                <c:pt idx="6697">
                  <c:v>7</c:v>
                </c:pt>
                <c:pt idx="6698">
                  <c:v>7</c:v>
                </c:pt>
                <c:pt idx="6699">
                  <c:v>7</c:v>
                </c:pt>
                <c:pt idx="6700">
                  <c:v>7</c:v>
                </c:pt>
                <c:pt idx="6701">
                  <c:v>7</c:v>
                </c:pt>
                <c:pt idx="6702">
                  <c:v>7</c:v>
                </c:pt>
                <c:pt idx="6703">
                  <c:v>7</c:v>
                </c:pt>
                <c:pt idx="6704">
                  <c:v>7</c:v>
                </c:pt>
                <c:pt idx="6705">
                  <c:v>7</c:v>
                </c:pt>
                <c:pt idx="6706">
                  <c:v>7</c:v>
                </c:pt>
                <c:pt idx="6707">
                  <c:v>7</c:v>
                </c:pt>
                <c:pt idx="6708">
                  <c:v>7</c:v>
                </c:pt>
                <c:pt idx="6709">
                  <c:v>7</c:v>
                </c:pt>
                <c:pt idx="6710">
                  <c:v>7</c:v>
                </c:pt>
                <c:pt idx="6711">
                  <c:v>7</c:v>
                </c:pt>
                <c:pt idx="6712">
                  <c:v>7</c:v>
                </c:pt>
                <c:pt idx="6713">
                  <c:v>7</c:v>
                </c:pt>
                <c:pt idx="6714">
                  <c:v>7</c:v>
                </c:pt>
                <c:pt idx="6715">
                  <c:v>7</c:v>
                </c:pt>
                <c:pt idx="6716">
                  <c:v>7</c:v>
                </c:pt>
                <c:pt idx="6717">
                  <c:v>7</c:v>
                </c:pt>
                <c:pt idx="6718">
                  <c:v>7</c:v>
                </c:pt>
                <c:pt idx="6719">
                  <c:v>7</c:v>
                </c:pt>
                <c:pt idx="6720">
                  <c:v>7</c:v>
                </c:pt>
                <c:pt idx="6721">
                  <c:v>7</c:v>
                </c:pt>
                <c:pt idx="6722">
                  <c:v>7</c:v>
                </c:pt>
                <c:pt idx="6723">
                  <c:v>7</c:v>
                </c:pt>
                <c:pt idx="6724">
                  <c:v>7</c:v>
                </c:pt>
                <c:pt idx="6725">
                  <c:v>7</c:v>
                </c:pt>
                <c:pt idx="6726">
                  <c:v>7</c:v>
                </c:pt>
                <c:pt idx="6727">
                  <c:v>7</c:v>
                </c:pt>
                <c:pt idx="6728">
                  <c:v>7</c:v>
                </c:pt>
                <c:pt idx="6729">
                  <c:v>7</c:v>
                </c:pt>
                <c:pt idx="6730">
                  <c:v>7</c:v>
                </c:pt>
                <c:pt idx="6731">
                  <c:v>7</c:v>
                </c:pt>
                <c:pt idx="6732">
                  <c:v>7</c:v>
                </c:pt>
                <c:pt idx="6733">
                  <c:v>7</c:v>
                </c:pt>
                <c:pt idx="6734">
                  <c:v>7</c:v>
                </c:pt>
                <c:pt idx="6735">
                  <c:v>7</c:v>
                </c:pt>
                <c:pt idx="6736">
                  <c:v>7</c:v>
                </c:pt>
                <c:pt idx="6737">
                  <c:v>7</c:v>
                </c:pt>
                <c:pt idx="6738">
                  <c:v>7</c:v>
                </c:pt>
                <c:pt idx="6739">
                  <c:v>7</c:v>
                </c:pt>
                <c:pt idx="6740">
                  <c:v>7</c:v>
                </c:pt>
                <c:pt idx="6741">
                  <c:v>7</c:v>
                </c:pt>
                <c:pt idx="6742">
                  <c:v>7</c:v>
                </c:pt>
                <c:pt idx="6743">
                  <c:v>7</c:v>
                </c:pt>
                <c:pt idx="6744">
                  <c:v>7</c:v>
                </c:pt>
                <c:pt idx="6745">
                  <c:v>7</c:v>
                </c:pt>
                <c:pt idx="6746">
                  <c:v>7</c:v>
                </c:pt>
                <c:pt idx="6747">
                  <c:v>7</c:v>
                </c:pt>
                <c:pt idx="6748">
                  <c:v>7</c:v>
                </c:pt>
                <c:pt idx="6749">
                  <c:v>7</c:v>
                </c:pt>
                <c:pt idx="6750">
                  <c:v>7</c:v>
                </c:pt>
                <c:pt idx="6751">
                  <c:v>7</c:v>
                </c:pt>
                <c:pt idx="6752">
                  <c:v>7</c:v>
                </c:pt>
                <c:pt idx="6753">
                  <c:v>7</c:v>
                </c:pt>
                <c:pt idx="6754">
                  <c:v>7</c:v>
                </c:pt>
                <c:pt idx="6755">
                  <c:v>7</c:v>
                </c:pt>
                <c:pt idx="6756">
                  <c:v>7</c:v>
                </c:pt>
                <c:pt idx="6757">
                  <c:v>7</c:v>
                </c:pt>
                <c:pt idx="6758">
                  <c:v>7</c:v>
                </c:pt>
                <c:pt idx="6759">
                  <c:v>7</c:v>
                </c:pt>
                <c:pt idx="6760">
                  <c:v>7</c:v>
                </c:pt>
                <c:pt idx="6761">
                  <c:v>7</c:v>
                </c:pt>
                <c:pt idx="6762">
                  <c:v>7</c:v>
                </c:pt>
                <c:pt idx="6763">
                  <c:v>7</c:v>
                </c:pt>
                <c:pt idx="6764">
                  <c:v>7</c:v>
                </c:pt>
                <c:pt idx="6765">
                  <c:v>7</c:v>
                </c:pt>
                <c:pt idx="6766">
                  <c:v>7</c:v>
                </c:pt>
                <c:pt idx="6767">
                  <c:v>7</c:v>
                </c:pt>
                <c:pt idx="6768">
                  <c:v>7</c:v>
                </c:pt>
                <c:pt idx="6769">
                  <c:v>7</c:v>
                </c:pt>
                <c:pt idx="6770">
                  <c:v>7</c:v>
                </c:pt>
                <c:pt idx="6771">
                  <c:v>7</c:v>
                </c:pt>
                <c:pt idx="6772">
                  <c:v>7</c:v>
                </c:pt>
                <c:pt idx="6773">
                  <c:v>7</c:v>
                </c:pt>
                <c:pt idx="6774">
                  <c:v>7</c:v>
                </c:pt>
                <c:pt idx="6775">
                  <c:v>7</c:v>
                </c:pt>
                <c:pt idx="6776">
                  <c:v>7</c:v>
                </c:pt>
                <c:pt idx="6777">
                  <c:v>7</c:v>
                </c:pt>
                <c:pt idx="6778">
                  <c:v>7</c:v>
                </c:pt>
                <c:pt idx="6779">
                  <c:v>7</c:v>
                </c:pt>
                <c:pt idx="6780">
                  <c:v>7</c:v>
                </c:pt>
                <c:pt idx="6781">
                  <c:v>7</c:v>
                </c:pt>
                <c:pt idx="6782">
                  <c:v>7</c:v>
                </c:pt>
                <c:pt idx="6783">
                  <c:v>7</c:v>
                </c:pt>
                <c:pt idx="6784">
                  <c:v>7</c:v>
                </c:pt>
                <c:pt idx="6785">
                  <c:v>7</c:v>
                </c:pt>
                <c:pt idx="6786">
                  <c:v>7</c:v>
                </c:pt>
                <c:pt idx="6787">
                  <c:v>7</c:v>
                </c:pt>
                <c:pt idx="6788">
                  <c:v>7</c:v>
                </c:pt>
                <c:pt idx="6789">
                  <c:v>7</c:v>
                </c:pt>
                <c:pt idx="6790">
                  <c:v>7</c:v>
                </c:pt>
                <c:pt idx="6791">
                  <c:v>7</c:v>
                </c:pt>
                <c:pt idx="6792">
                  <c:v>7</c:v>
                </c:pt>
                <c:pt idx="6793">
                  <c:v>7</c:v>
                </c:pt>
                <c:pt idx="6794">
                  <c:v>7</c:v>
                </c:pt>
                <c:pt idx="6795">
                  <c:v>7</c:v>
                </c:pt>
                <c:pt idx="6796">
                  <c:v>7</c:v>
                </c:pt>
                <c:pt idx="6797">
                  <c:v>7</c:v>
                </c:pt>
                <c:pt idx="6798">
                  <c:v>7</c:v>
                </c:pt>
                <c:pt idx="6799">
                  <c:v>7</c:v>
                </c:pt>
                <c:pt idx="6800">
                  <c:v>7</c:v>
                </c:pt>
                <c:pt idx="6801">
                  <c:v>7</c:v>
                </c:pt>
                <c:pt idx="6802">
                  <c:v>7</c:v>
                </c:pt>
                <c:pt idx="6803">
                  <c:v>7</c:v>
                </c:pt>
                <c:pt idx="6804">
                  <c:v>7</c:v>
                </c:pt>
                <c:pt idx="6805">
                  <c:v>7</c:v>
                </c:pt>
                <c:pt idx="6806">
                  <c:v>7</c:v>
                </c:pt>
                <c:pt idx="6807">
                  <c:v>7</c:v>
                </c:pt>
                <c:pt idx="6808">
                  <c:v>7</c:v>
                </c:pt>
                <c:pt idx="6809">
                  <c:v>7</c:v>
                </c:pt>
                <c:pt idx="6810">
                  <c:v>7</c:v>
                </c:pt>
                <c:pt idx="6811">
                  <c:v>7</c:v>
                </c:pt>
                <c:pt idx="6812">
                  <c:v>7</c:v>
                </c:pt>
                <c:pt idx="6813">
                  <c:v>7</c:v>
                </c:pt>
                <c:pt idx="6814">
                  <c:v>7</c:v>
                </c:pt>
                <c:pt idx="6815">
                  <c:v>7</c:v>
                </c:pt>
                <c:pt idx="6816">
                  <c:v>7</c:v>
                </c:pt>
                <c:pt idx="6817">
                  <c:v>7</c:v>
                </c:pt>
                <c:pt idx="6818">
                  <c:v>7</c:v>
                </c:pt>
                <c:pt idx="6819">
                  <c:v>7</c:v>
                </c:pt>
                <c:pt idx="6820">
                  <c:v>7</c:v>
                </c:pt>
                <c:pt idx="6821">
                  <c:v>7</c:v>
                </c:pt>
                <c:pt idx="6822">
                  <c:v>7</c:v>
                </c:pt>
                <c:pt idx="6823">
                  <c:v>7</c:v>
                </c:pt>
                <c:pt idx="6824">
                  <c:v>7</c:v>
                </c:pt>
                <c:pt idx="6825">
                  <c:v>7</c:v>
                </c:pt>
                <c:pt idx="6826">
                  <c:v>7</c:v>
                </c:pt>
                <c:pt idx="6827">
                  <c:v>7</c:v>
                </c:pt>
                <c:pt idx="6828">
                  <c:v>7</c:v>
                </c:pt>
                <c:pt idx="6829">
                  <c:v>7</c:v>
                </c:pt>
                <c:pt idx="6830">
                  <c:v>7</c:v>
                </c:pt>
                <c:pt idx="6831">
                  <c:v>7</c:v>
                </c:pt>
                <c:pt idx="6832">
                  <c:v>7</c:v>
                </c:pt>
                <c:pt idx="6833">
                  <c:v>7</c:v>
                </c:pt>
                <c:pt idx="6834">
                  <c:v>7</c:v>
                </c:pt>
                <c:pt idx="6835">
                  <c:v>7</c:v>
                </c:pt>
                <c:pt idx="6836">
                  <c:v>7</c:v>
                </c:pt>
                <c:pt idx="6837">
                  <c:v>7</c:v>
                </c:pt>
                <c:pt idx="6838">
                  <c:v>7</c:v>
                </c:pt>
                <c:pt idx="6839">
                  <c:v>7</c:v>
                </c:pt>
                <c:pt idx="6840">
                  <c:v>7</c:v>
                </c:pt>
                <c:pt idx="6841">
                  <c:v>7</c:v>
                </c:pt>
                <c:pt idx="6842">
                  <c:v>7</c:v>
                </c:pt>
                <c:pt idx="6843">
                  <c:v>7</c:v>
                </c:pt>
                <c:pt idx="6844">
                  <c:v>7</c:v>
                </c:pt>
                <c:pt idx="6845">
                  <c:v>7</c:v>
                </c:pt>
                <c:pt idx="6846">
                  <c:v>7</c:v>
                </c:pt>
                <c:pt idx="6847">
                  <c:v>7</c:v>
                </c:pt>
                <c:pt idx="6848">
                  <c:v>7</c:v>
                </c:pt>
                <c:pt idx="6849">
                  <c:v>7</c:v>
                </c:pt>
                <c:pt idx="6850">
                  <c:v>7</c:v>
                </c:pt>
                <c:pt idx="6851">
                  <c:v>7</c:v>
                </c:pt>
                <c:pt idx="6852">
                  <c:v>7</c:v>
                </c:pt>
                <c:pt idx="6853">
                  <c:v>7</c:v>
                </c:pt>
                <c:pt idx="6854">
                  <c:v>7</c:v>
                </c:pt>
                <c:pt idx="6855">
                  <c:v>7</c:v>
                </c:pt>
                <c:pt idx="6856">
                  <c:v>7</c:v>
                </c:pt>
                <c:pt idx="6857">
                  <c:v>7</c:v>
                </c:pt>
                <c:pt idx="6858">
                  <c:v>7</c:v>
                </c:pt>
                <c:pt idx="6859">
                  <c:v>7</c:v>
                </c:pt>
                <c:pt idx="6860">
                  <c:v>7</c:v>
                </c:pt>
                <c:pt idx="6861">
                  <c:v>7</c:v>
                </c:pt>
                <c:pt idx="6862">
                  <c:v>7</c:v>
                </c:pt>
                <c:pt idx="6863">
                  <c:v>7</c:v>
                </c:pt>
                <c:pt idx="6864">
                  <c:v>7</c:v>
                </c:pt>
                <c:pt idx="6865">
                  <c:v>7</c:v>
                </c:pt>
                <c:pt idx="6866">
                  <c:v>7</c:v>
                </c:pt>
                <c:pt idx="6867">
                  <c:v>7</c:v>
                </c:pt>
                <c:pt idx="6868">
                  <c:v>7</c:v>
                </c:pt>
                <c:pt idx="6869">
                  <c:v>7</c:v>
                </c:pt>
                <c:pt idx="6870">
                  <c:v>7</c:v>
                </c:pt>
                <c:pt idx="6871">
                  <c:v>7</c:v>
                </c:pt>
                <c:pt idx="6872">
                  <c:v>7</c:v>
                </c:pt>
                <c:pt idx="6873">
                  <c:v>7</c:v>
                </c:pt>
                <c:pt idx="6874">
                  <c:v>7</c:v>
                </c:pt>
                <c:pt idx="6875">
                  <c:v>7</c:v>
                </c:pt>
                <c:pt idx="6876">
                  <c:v>7</c:v>
                </c:pt>
                <c:pt idx="6877">
                  <c:v>7</c:v>
                </c:pt>
                <c:pt idx="6878">
                  <c:v>7</c:v>
                </c:pt>
                <c:pt idx="6879">
                  <c:v>7</c:v>
                </c:pt>
                <c:pt idx="6880">
                  <c:v>7</c:v>
                </c:pt>
                <c:pt idx="6881">
                  <c:v>7</c:v>
                </c:pt>
                <c:pt idx="6882">
                  <c:v>7</c:v>
                </c:pt>
                <c:pt idx="6883">
                  <c:v>7</c:v>
                </c:pt>
                <c:pt idx="6884">
                  <c:v>7</c:v>
                </c:pt>
                <c:pt idx="6885">
                  <c:v>7</c:v>
                </c:pt>
                <c:pt idx="6886">
                  <c:v>7</c:v>
                </c:pt>
                <c:pt idx="6887">
                  <c:v>7</c:v>
                </c:pt>
                <c:pt idx="6888">
                  <c:v>7</c:v>
                </c:pt>
                <c:pt idx="6889">
                  <c:v>7</c:v>
                </c:pt>
                <c:pt idx="689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D-4C9A-ADD2-10FA57F1F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910159"/>
        <c:axId val="775912655"/>
      </c:scatterChart>
      <c:valAx>
        <c:axId val="775910159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5912655"/>
        <c:crosses val="autoZero"/>
        <c:crossBetween val="midCat"/>
        <c:majorUnit val="1000"/>
      </c:valAx>
      <c:valAx>
        <c:axId val="775912655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591015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095760023074704E-2"/>
          <c:y val="0.91015138040557053"/>
          <c:w val="0.96242825614218164"/>
          <c:h val="7.99194722697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transpose!$P$1</c:f>
              <c:strCache>
                <c:ptCount val="1"/>
                <c:pt idx="0">
                  <c:v>B2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transpose!$P$2:$P$7686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3-421E-88E9-22CAEC3436C6}"/>
            </c:ext>
          </c:extLst>
        </c:ser>
        <c:ser>
          <c:idx val="1"/>
          <c:order val="1"/>
          <c:tx>
            <c:strRef>
              <c:f>transpose!$T$1</c:f>
              <c:strCache>
                <c:ptCount val="1"/>
                <c:pt idx="0">
                  <c:v>B4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transpose!$T$2:$T$7686</c:f>
              <c:numCache>
                <c:formatCode>General</c:formatCode>
                <c:ptCount val="7685"/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3-421E-88E9-22CAEC3436C6}"/>
            </c:ext>
          </c:extLst>
        </c:ser>
        <c:ser>
          <c:idx val="2"/>
          <c:order val="2"/>
          <c:tx>
            <c:strRef>
              <c:f>transpose!$X$1</c:f>
              <c:strCache>
                <c:ptCount val="1"/>
                <c:pt idx="0">
                  <c:v>B6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transpose!$X$2:$X$7686</c:f>
              <c:numCache>
                <c:formatCode>General</c:formatCode>
                <c:ptCount val="7685"/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83-421E-88E9-22CAEC3436C6}"/>
            </c:ext>
          </c:extLst>
        </c:ser>
        <c:ser>
          <c:idx val="3"/>
          <c:order val="3"/>
          <c:tx>
            <c:strRef>
              <c:f>transpose!$AB$1</c:f>
              <c:strCache>
                <c:ptCount val="1"/>
                <c:pt idx="0">
                  <c:v>B8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transpose!$AB$2:$AB$7686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83-421E-88E9-22CAEC3436C6}"/>
            </c:ext>
          </c:extLst>
        </c:ser>
        <c:ser>
          <c:idx val="4"/>
          <c:order val="4"/>
          <c:tx>
            <c:strRef>
              <c:f>transpose!$AF$1</c:f>
              <c:strCache>
                <c:ptCount val="1"/>
                <c:pt idx="0">
                  <c:v>B10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transpose!$AF$2:$AF$7686</c:f>
              <c:numCache>
                <c:formatCode>General</c:formatCode>
                <c:ptCount val="7685"/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83-421E-88E9-22CAEC3436C6}"/>
            </c:ext>
          </c:extLst>
        </c:ser>
        <c:ser>
          <c:idx val="5"/>
          <c:order val="5"/>
          <c:tx>
            <c:strRef>
              <c:f>transpose!$AJ$1</c:f>
              <c:strCache>
                <c:ptCount val="1"/>
                <c:pt idx="0">
                  <c:v>B12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transpose!$AJ$2:$AJ$7686</c:f>
              <c:numCache>
                <c:formatCode>General</c:formatCode>
                <c:ptCount val="7685"/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5775">
                  <c:v>4</c:v>
                </c:pt>
                <c:pt idx="5776">
                  <c:v>4</c:v>
                </c:pt>
                <c:pt idx="5777">
                  <c:v>4</c:v>
                </c:pt>
                <c:pt idx="5778">
                  <c:v>4</c:v>
                </c:pt>
                <c:pt idx="5779">
                  <c:v>4</c:v>
                </c:pt>
                <c:pt idx="5780">
                  <c:v>4</c:v>
                </c:pt>
                <c:pt idx="5781">
                  <c:v>4</c:v>
                </c:pt>
                <c:pt idx="5782">
                  <c:v>4</c:v>
                </c:pt>
                <c:pt idx="5783">
                  <c:v>4</c:v>
                </c:pt>
                <c:pt idx="5784">
                  <c:v>4</c:v>
                </c:pt>
                <c:pt idx="5785">
                  <c:v>4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4</c:v>
                </c:pt>
                <c:pt idx="5790">
                  <c:v>4</c:v>
                </c:pt>
                <c:pt idx="5791">
                  <c:v>4</c:v>
                </c:pt>
                <c:pt idx="5792">
                  <c:v>4</c:v>
                </c:pt>
                <c:pt idx="5793">
                  <c:v>4</c:v>
                </c:pt>
                <c:pt idx="5794">
                  <c:v>4</c:v>
                </c:pt>
                <c:pt idx="5795">
                  <c:v>4</c:v>
                </c:pt>
                <c:pt idx="5796">
                  <c:v>4</c:v>
                </c:pt>
                <c:pt idx="5797">
                  <c:v>4</c:v>
                </c:pt>
                <c:pt idx="5798">
                  <c:v>4</c:v>
                </c:pt>
                <c:pt idx="5799">
                  <c:v>4</c:v>
                </c:pt>
                <c:pt idx="5800">
                  <c:v>4</c:v>
                </c:pt>
                <c:pt idx="5801">
                  <c:v>4</c:v>
                </c:pt>
                <c:pt idx="5802">
                  <c:v>4</c:v>
                </c:pt>
                <c:pt idx="5803">
                  <c:v>4</c:v>
                </c:pt>
                <c:pt idx="5804">
                  <c:v>4</c:v>
                </c:pt>
                <c:pt idx="5805">
                  <c:v>4</c:v>
                </c:pt>
                <c:pt idx="5806">
                  <c:v>4</c:v>
                </c:pt>
                <c:pt idx="5807">
                  <c:v>4</c:v>
                </c:pt>
                <c:pt idx="5808">
                  <c:v>4</c:v>
                </c:pt>
                <c:pt idx="5809">
                  <c:v>4</c:v>
                </c:pt>
                <c:pt idx="5810">
                  <c:v>4</c:v>
                </c:pt>
                <c:pt idx="5811">
                  <c:v>4</c:v>
                </c:pt>
                <c:pt idx="5812">
                  <c:v>4</c:v>
                </c:pt>
                <c:pt idx="5813">
                  <c:v>4</c:v>
                </c:pt>
                <c:pt idx="5814">
                  <c:v>4</c:v>
                </c:pt>
                <c:pt idx="5815">
                  <c:v>4</c:v>
                </c:pt>
                <c:pt idx="5816">
                  <c:v>4</c:v>
                </c:pt>
                <c:pt idx="5817">
                  <c:v>4</c:v>
                </c:pt>
                <c:pt idx="5818">
                  <c:v>4</c:v>
                </c:pt>
                <c:pt idx="5819">
                  <c:v>4</c:v>
                </c:pt>
                <c:pt idx="5820">
                  <c:v>4</c:v>
                </c:pt>
                <c:pt idx="5821">
                  <c:v>4</c:v>
                </c:pt>
                <c:pt idx="5822">
                  <c:v>4</c:v>
                </c:pt>
                <c:pt idx="5823">
                  <c:v>4</c:v>
                </c:pt>
                <c:pt idx="5824">
                  <c:v>4</c:v>
                </c:pt>
                <c:pt idx="5825">
                  <c:v>4</c:v>
                </c:pt>
                <c:pt idx="5826">
                  <c:v>4</c:v>
                </c:pt>
                <c:pt idx="5827">
                  <c:v>4</c:v>
                </c:pt>
                <c:pt idx="582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83-421E-88E9-22CAEC3436C6}"/>
            </c:ext>
          </c:extLst>
        </c:ser>
        <c:ser>
          <c:idx val="6"/>
          <c:order val="6"/>
          <c:tx>
            <c:strRef>
              <c:f>transpose!$AN$1</c:f>
              <c:strCache>
                <c:ptCount val="1"/>
                <c:pt idx="0">
                  <c:v>B14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transpose!$AN$2:$AN$7686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83-421E-88E9-22CAEC3436C6}"/>
            </c:ext>
          </c:extLst>
        </c:ser>
        <c:ser>
          <c:idx val="7"/>
          <c:order val="7"/>
          <c:tx>
            <c:strRef>
              <c:f>transpose!$AR$1</c:f>
              <c:strCache>
                <c:ptCount val="1"/>
                <c:pt idx="0">
                  <c:v>B16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transpose!$AR$2:$AR$7686</c:f>
              <c:numCache>
                <c:formatCode>General</c:formatCode>
                <c:ptCount val="7685"/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83-421E-88E9-22CAEC34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353391"/>
        <c:axId val="810354223"/>
      </c:scatterChart>
      <c:valAx>
        <c:axId val="810353391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0354223"/>
        <c:crosses val="autoZero"/>
        <c:crossBetween val="midCat"/>
        <c:majorUnit val="1000"/>
      </c:valAx>
      <c:valAx>
        <c:axId val="810354223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035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943760490725131E-2"/>
          <c:y val="0.80759814426480392"/>
          <c:w val="0.98331772320266597"/>
          <c:h val="0.16053907476672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transpose!$J$1</c:f>
              <c:strCache>
                <c:ptCount val="1"/>
                <c:pt idx="0">
                  <c:v>Megy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transpose!$J$2:$J$7686</c:f>
              <c:numCache>
                <c:formatCode>General</c:formatCode>
                <c:ptCount val="7685"/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88">
                  <c:v>7</c:v>
                </c:pt>
                <c:pt idx="589">
                  <c:v>7</c:v>
                </c:pt>
                <c:pt idx="590">
                  <c:v>7</c:v>
                </c:pt>
                <c:pt idx="591">
                  <c:v>7</c:v>
                </c:pt>
                <c:pt idx="592">
                  <c:v>7</c:v>
                </c:pt>
                <c:pt idx="593">
                  <c:v>7</c:v>
                </c:pt>
                <c:pt idx="594">
                  <c:v>7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</c:v>
                </c:pt>
                <c:pt idx="799">
                  <c:v>11</c:v>
                </c:pt>
                <c:pt idx="800">
                  <c:v>11</c:v>
                </c:pt>
                <c:pt idx="801">
                  <c:v>11</c:v>
                </c:pt>
                <c:pt idx="802">
                  <c:v>11</c:v>
                </c:pt>
                <c:pt idx="803">
                  <c:v>11</c:v>
                </c:pt>
                <c:pt idx="804">
                  <c:v>11</c:v>
                </c:pt>
                <c:pt idx="805">
                  <c:v>11</c:v>
                </c:pt>
                <c:pt idx="806">
                  <c:v>11</c:v>
                </c:pt>
                <c:pt idx="807">
                  <c:v>11</c:v>
                </c:pt>
                <c:pt idx="808">
                  <c:v>11</c:v>
                </c:pt>
                <c:pt idx="809">
                  <c:v>11</c:v>
                </c:pt>
                <c:pt idx="810">
                  <c:v>11</c:v>
                </c:pt>
                <c:pt idx="811">
                  <c:v>11</c:v>
                </c:pt>
                <c:pt idx="812">
                  <c:v>11</c:v>
                </c:pt>
                <c:pt idx="813">
                  <c:v>11</c:v>
                </c:pt>
                <c:pt idx="814">
                  <c:v>11</c:v>
                </c:pt>
                <c:pt idx="815">
                  <c:v>11</c:v>
                </c:pt>
                <c:pt idx="816">
                  <c:v>11</c:v>
                </c:pt>
                <c:pt idx="817">
                  <c:v>11</c:v>
                </c:pt>
                <c:pt idx="818">
                  <c:v>11</c:v>
                </c:pt>
                <c:pt idx="819">
                  <c:v>11</c:v>
                </c:pt>
                <c:pt idx="820">
                  <c:v>11</c:v>
                </c:pt>
                <c:pt idx="821">
                  <c:v>11</c:v>
                </c:pt>
                <c:pt idx="822">
                  <c:v>11</c:v>
                </c:pt>
                <c:pt idx="823">
                  <c:v>11</c:v>
                </c:pt>
                <c:pt idx="824">
                  <c:v>11</c:v>
                </c:pt>
                <c:pt idx="825">
                  <c:v>11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11</c:v>
                </c:pt>
                <c:pt idx="831">
                  <c:v>11</c:v>
                </c:pt>
                <c:pt idx="832">
                  <c:v>11</c:v>
                </c:pt>
                <c:pt idx="833">
                  <c:v>11</c:v>
                </c:pt>
                <c:pt idx="834">
                  <c:v>11</c:v>
                </c:pt>
                <c:pt idx="835">
                  <c:v>11</c:v>
                </c:pt>
                <c:pt idx="836">
                  <c:v>11</c:v>
                </c:pt>
                <c:pt idx="837">
                  <c:v>11</c:v>
                </c:pt>
                <c:pt idx="838">
                  <c:v>11</c:v>
                </c:pt>
                <c:pt idx="839">
                  <c:v>11</c:v>
                </c:pt>
                <c:pt idx="840">
                  <c:v>11</c:v>
                </c:pt>
                <c:pt idx="841">
                  <c:v>11</c:v>
                </c:pt>
                <c:pt idx="853">
                  <c:v>12</c:v>
                </c:pt>
                <c:pt idx="854">
                  <c:v>12</c:v>
                </c:pt>
                <c:pt idx="855">
                  <c:v>12</c:v>
                </c:pt>
                <c:pt idx="856">
                  <c:v>12</c:v>
                </c:pt>
                <c:pt idx="857">
                  <c:v>12</c:v>
                </c:pt>
                <c:pt idx="858">
                  <c:v>12</c:v>
                </c:pt>
                <c:pt idx="859">
                  <c:v>12</c:v>
                </c:pt>
                <c:pt idx="860">
                  <c:v>12</c:v>
                </c:pt>
                <c:pt idx="861">
                  <c:v>12</c:v>
                </c:pt>
                <c:pt idx="862">
                  <c:v>12</c:v>
                </c:pt>
                <c:pt idx="863">
                  <c:v>12</c:v>
                </c:pt>
                <c:pt idx="864">
                  <c:v>12</c:v>
                </c:pt>
                <c:pt idx="865">
                  <c:v>12</c:v>
                </c:pt>
                <c:pt idx="866">
                  <c:v>12</c:v>
                </c:pt>
                <c:pt idx="867">
                  <c:v>12</c:v>
                </c:pt>
                <c:pt idx="868">
                  <c:v>12</c:v>
                </c:pt>
                <c:pt idx="869">
                  <c:v>12</c:v>
                </c:pt>
                <c:pt idx="870">
                  <c:v>12</c:v>
                </c:pt>
                <c:pt idx="871">
                  <c:v>12</c:v>
                </c:pt>
                <c:pt idx="872">
                  <c:v>12</c:v>
                </c:pt>
                <c:pt idx="873">
                  <c:v>12</c:v>
                </c:pt>
                <c:pt idx="874">
                  <c:v>12</c:v>
                </c:pt>
                <c:pt idx="875">
                  <c:v>12</c:v>
                </c:pt>
                <c:pt idx="876">
                  <c:v>12</c:v>
                </c:pt>
                <c:pt idx="877">
                  <c:v>12</c:v>
                </c:pt>
                <c:pt idx="878">
                  <c:v>12</c:v>
                </c:pt>
                <c:pt idx="879">
                  <c:v>12</c:v>
                </c:pt>
                <c:pt idx="880">
                  <c:v>12</c:v>
                </c:pt>
                <c:pt idx="881">
                  <c:v>12</c:v>
                </c:pt>
                <c:pt idx="882">
                  <c:v>12</c:v>
                </c:pt>
                <c:pt idx="897">
                  <c:v>13</c:v>
                </c:pt>
                <c:pt idx="898">
                  <c:v>13</c:v>
                </c:pt>
                <c:pt idx="899">
                  <c:v>13</c:v>
                </c:pt>
                <c:pt idx="900">
                  <c:v>13</c:v>
                </c:pt>
                <c:pt idx="901">
                  <c:v>13</c:v>
                </c:pt>
                <c:pt idx="902">
                  <c:v>13</c:v>
                </c:pt>
                <c:pt idx="903">
                  <c:v>13</c:v>
                </c:pt>
                <c:pt idx="904">
                  <c:v>13</c:v>
                </c:pt>
                <c:pt idx="905">
                  <c:v>13</c:v>
                </c:pt>
                <c:pt idx="906">
                  <c:v>13</c:v>
                </c:pt>
                <c:pt idx="907">
                  <c:v>13</c:v>
                </c:pt>
                <c:pt idx="908">
                  <c:v>13</c:v>
                </c:pt>
                <c:pt idx="909">
                  <c:v>13</c:v>
                </c:pt>
                <c:pt idx="910">
                  <c:v>13</c:v>
                </c:pt>
                <c:pt idx="911">
                  <c:v>13</c:v>
                </c:pt>
                <c:pt idx="912">
                  <c:v>13</c:v>
                </c:pt>
                <c:pt idx="913">
                  <c:v>13</c:v>
                </c:pt>
                <c:pt idx="914">
                  <c:v>13</c:v>
                </c:pt>
                <c:pt idx="915">
                  <c:v>13</c:v>
                </c:pt>
                <c:pt idx="916">
                  <c:v>13</c:v>
                </c:pt>
                <c:pt idx="917">
                  <c:v>13</c:v>
                </c:pt>
                <c:pt idx="918">
                  <c:v>13</c:v>
                </c:pt>
                <c:pt idx="919">
                  <c:v>13</c:v>
                </c:pt>
                <c:pt idx="920">
                  <c:v>13</c:v>
                </c:pt>
                <c:pt idx="921">
                  <c:v>13</c:v>
                </c:pt>
                <c:pt idx="922">
                  <c:v>13</c:v>
                </c:pt>
                <c:pt idx="923">
                  <c:v>13</c:v>
                </c:pt>
                <c:pt idx="924">
                  <c:v>13</c:v>
                </c:pt>
                <c:pt idx="925">
                  <c:v>13</c:v>
                </c:pt>
                <c:pt idx="926">
                  <c:v>13</c:v>
                </c:pt>
                <c:pt idx="927">
                  <c:v>13</c:v>
                </c:pt>
                <c:pt idx="928">
                  <c:v>13</c:v>
                </c:pt>
                <c:pt idx="929">
                  <c:v>13</c:v>
                </c:pt>
                <c:pt idx="930">
                  <c:v>13</c:v>
                </c:pt>
                <c:pt idx="931">
                  <c:v>13</c:v>
                </c:pt>
                <c:pt idx="932">
                  <c:v>13</c:v>
                </c:pt>
                <c:pt idx="933">
                  <c:v>13</c:v>
                </c:pt>
                <c:pt idx="934">
                  <c:v>13</c:v>
                </c:pt>
                <c:pt idx="935">
                  <c:v>13</c:v>
                </c:pt>
                <c:pt idx="936">
                  <c:v>13</c:v>
                </c:pt>
                <c:pt idx="937">
                  <c:v>13</c:v>
                </c:pt>
                <c:pt idx="938">
                  <c:v>13</c:v>
                </c:pt>
                <c:pt idx="939">
                  <c:v>13</c:v>
                </c:pt>
                <c:pt idx="940">
                  <c:v>13</c:v>
                </c:pt>
                <c:pt idx="941">
                  <c:v>13</c:v>
                </c:pt>
                <c:pt idx="942">
                  <c:v>13</c:v>
                </c:pt>
                <c:pt idx="943">
                  <c:v>13</c:v>
                </c:pt>
                <c:pt idx="944">
                  <c:v>13</c:v>
                </c:pt>
                <c:pt idx="945">
                  <c:v>13</c:v>
                </c:pt>
                <c:pt idx="946">
                  <c:v>13</c:v>
                </c:pt>
                <c:pt idx="947">
                  <c:v>13</c:v>
                </c:pt>
                <c:pt idx="948">
                  <c:v>13</c:v>
                </c:pt>
                <c:pt idx="949">
                  <c:v>13</c:v>
                </c:pt>
                <c:pt idx="950">
                  <c:v>13</c:v>
                </c:pt>
                <c:pt idx="951">
                  <c:v>13</c:v>
                </c:pt>
                <c:pt idx="952">
                  <c:v>13</c:v>
                </c:pt>
                <c:pt idx="953">
                  <c:v>13</c:v>
                </c:pt>
                <c:pt idx="954">
                  <c:v>13</c:v>
                </c:pt>
                <c:pt idx="955">
                  <c:v>13</c:v>
                </c:pt>
                <c:pt idx="956">
                  <c:v>13</c:v>
                </c:pt>
                <c:pt idx="957">
                  <c:v>13</c:v>
                </c:pt>
                <c:pt idx="958">
                  <c:v>13</c:v>
                </c:pt>
                <c:pt idx="959">
                  <c:v>13</c:v>
                </c:pt>
                <c:pt idx="960">
                  <c:v>13</c:v>
                </c:pt>
                <c:pt idx="961">
                  <c:v>13</c:v>
                </c:pt>
                <c:pt idx="962">
                  <c:v>13</c:v>
                </c:pt>
                <c:pt idx="978">
                  <c:v>14</c:v>
                </c:pt>
                <c:pt idx="979">
                  <c:v>14</c:v>
                </c:pt>
                <c:pt idx="980">
                  <c:v>14</c:v>
                </c:pt>
                <c:pt idx="981">
                  <c:v>14</c:v>
                </c:pt>
                <c:pt idx="982">
                  <c:v>14</c:v>
                </c:pt>
                <c:pt idx="983">
                  <c:v>14</c:v>
                </c:pt>
                <c:pt idx="984">
                  <c:v>14</c:v>
                </c:pt>
                <c:pt idx="985">
                  <c:v>14</c:v>
                </c:pt>
                <c:pt idx="986">
                  <c:v>14</c:v>
                </c:pt>
                <c:pt idx="987">
                  <c:v>14</c:v>
                </c:pt>
                <c:pt idx="988">
                  <c:v>14</c:v>
                </c:pt>
                <c:pt idx="989">
                  <c:v>14</c:v>
                </c:pt>
                <c:pt idx="990">
                  <c:v>14</c:v>
                </c:pt>
                <c:pt idx="991">
                  <c:v>14</c:v>
                </c:pt>
                <c:pt idx="992">
                  <c:v>14</c:v>
                </c:pt>
                <c:pt idx="993">
                  <c:v>14</c:v>
                </c:pt>
                <c:pt idx="994">
                  <c:v>14</c:v>
                </c:pt>
                <c:pt idx="995">
                  <c:v>14</c:v>
                </c:pt>
                <c:pt idx="996">
                  <c:v>14</c:v>
                </c:pt>
                <c:pt idx="997">
                  <c:v>14</c:v>
                </c:pt>
                <c:pt idx="998">
                  <c:v>14</c:v>
                </c:pt>
                <c:pt idx="999">
                  <c:v>14</c:v>
                </c:pt>
                <c:pt idx="1000">
                  <c:v>14</c:v>
                </c:pt>
                <c:pt idx="1001">
                  <c:v>14</c:v>
                </c:pt>
                <c:pt idx="1002">
                  <c:v>14</c:v>
                </c:pt>
                <c:pt idx="1003">
                  <c:v>14</c:v>
                </c:pt>
                <c:pt idx="1018">
                  <c:v>15</c:v>
                </c:pt>
                <c:pt idx="1019">
                  <c:v>15</c:v>
                </c:pt>
                <c:pt idx="1020">
                  <c:v>15</c:v>
                </c:pt>
                <c:pt idx="1021">
                  <c:v>15</c:v>
                </c:pt>
                <c:pt idx="1022">
                  <c:v>15</c:v>
                </c:pt>
                <c:pt idx="1023">
                  <c:v>15</c:v>
                </c:pt>
                <c:pt idx="1024">
                  <c:v>15</c:v>
                </c:pt>
                <c:pt idx="1025">
                  <c:v>15</c:v>
                </c:pt>
                <c:pt idx="1026">
                  <c:v>15</c:v>
                </c:pt>
                <c:pt idx="1027">
                  <c:v>15</c:v>
                </c:pt>
                <c:pt idx="1028">
                  <c:v>15</c:v>
                </c:pt>
                <c:pt idx="1029">
                  <c:v>15</c:v>
                </c:pt>
                <c:pt idx="1030">
                  <c:v>15</c:v>
                </c:pt>
                <c:pt idx="1031">
                  <c:v>15</c:v>
                </c:pt>
                <c:pt idx="1032">
                  <c:v>15</c:v>
                </c:pt>
                <c:pt idx="1033">
                  <c:v>15</c:v>
                </c:pt>
                <c:pt idx="1034">
                  <c:v>15</c:v>
                </c:pt>
                <c:pt idx="1035">
                  <c:v>15</c:v>
                </c:pt>
                <c:pt idx="1036">
                  <c:v>15</c:v>
                </c:pt>
                <c:pt idx="1037">
                  <c:v>15</c:v>
                </c:pt>
                <c:pt idx="1038">
                  <c:v>15</c:v>
                </c:pt>
                <c:pt idx="1039">
                  <c:v>15</c:v>
                </c:pt>
                <c:pt idx="1040">
                  <c:v>15</c:v>
                </c:pt>
                <c:pt idx="1041">
                  <c:v>15</c:v>
                </c:pt>
                <c:pt idx="1042">
                  <c:v>15</c:v>
                </c:pt>
                <c:pt idx="1043">
                  <c:v>15</c:v>
                </c:pt>
                <c:pt idx="1044">
                  <c:v>15</c:v>
                </c:pt>
                <c:pt idx="1045">
                  <c:v>15</c:v>
                </c:pt>
                <c:pt idx="1046">
                  <c:v>15</c:v>
                </c:pt>
                <c:pt idx="1047">
                  <c:v>15</c:v>
                </c:pt>
                <c:pt idx="1048">
                  <c:v>15</c:v>
                </c:pt>
                <c:pt idx="1049">
                  <c:v>15</c:v>
                </c:pt>
                <c:pt idx="1050">
                  <c:v>15</c:v>
                </c:pt>
                <c:pt idx="1051">
                  <c:v>15</c:v>
                </c:pt>
                <c:pt idx="1096">
                  <c:v>16</c:v>
                </c:pt>
                <c:pt idx="1097">
                  <c:v>16</c:v>
                </c:pt>
                <c:pt idx="1098">
                  <c:v>16</c:v>
                </c:pt>
                <c:pt idx="1099">
                  <c:v>16</c:v>
                </c:pt>
                <c:pt idx="1100">
                  <c:v>16</c:v>
                </c:pt>
                <c:pt idx="1101">
                  <c:v>16</c:v>
                </c:pt>
                <c:pt idx="1102">
                  <c:v>16</c:v>
                </c:pt>
                <c:pt idx="1103">
                  <c:v>16</c:v>
                </c:pt>
                <c:pt idx="1104">
                  <c:v>16</c:v>
                </c:pt>
                <c:pt idx="1105">
                  <c:v>16</c:v>
                </c:pt>
                <c:pt idx="1106">
                  <c:v>16</c:v>
                </c:pt>
                <c:pt idx="1107">
                  <c:v>16</c:v>
                </c:pt>
                <c:pt idx="1108">
                  <c:v>16</c:v>
                </c:pt>
                <c:pt idx="1109">
                  <c:v>16</c:v>
                </c:pt>
                <c:pt idx="1110">
                  <c:v>16</c:v>
                </c:pt>
                <c:pt idx="1111">
                  <c:v>16</c:v>
                </c:pt>
                <c:pt idx="1112">
                  <c:v>16</c:v>
                </c:pt>
                <c:pt idx="1113">
                  <c:v>16</c:v>
                </c:pt>
                <c:pt idx="1114">
                  <c:v>16</c:v>
                </c:pt>
                <c:pt idx="1115">
                  <c:v>16</c:v>
                </c:pt>
                <c:pt idx="1116">
                  <c:v>16</c:v>
                </c:pt>
                <c:pt idx="1117">
                  <c:v>16</c:v>
                </c:pt>
                <c:pt idx="1118">
                  <c:v>16</c:v>
                </c:pt>
                <c:pt idx="1119">
                  <c:v>16</c:v>
                </c:pt>
                <c:pt idx="1120">
                  <c:v>16</c:v>
                </c:pt>
                <c:pt idx="1121">
                  <c:v>16</c:v>
                </c:pt>
                <c:pt idx="1122">
                  <c:v>16</c:v>
                </c:pt>
                <c:pt idx="1123">
                  <c:v>16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43">
                  <c:v>16</c:v>
                </c:pt>
                <c:pt idx="1144">
                  <c:v>16</c:v>
                </c:pt>
                <c:pt idx="1145">
                  <c:v>16</c:v>
                </c:pt>
                <c:pt idx="1146">
                  <c:v>16</c:v>
                </c:pt>
                <c:pt idx="1147">
                  <c:v>16</c:v>
                </c:pt>
                <c:pt idx="1148">
                  <c:v>16</c:v>
                </c:pt>
                <c:pt idx="1149">
                  <c:v>16</c:v>
                </c:pt>
                <c:pt idx="1150">
                  <c:v>16</c:v>
                </c:pt>
                <c:pt idx="1151">
                  <c:v>16</c:v>
                </c:pt>
                <c:pt idx="1152">
                  <c:v>16</c:v>
                </c:pt>
                <c:pt idx="1153">
                  <c:v>16</c:v>
                </c:pt>
                <c:pt idx="1154">
                  <c:v>16</c:v>
                </c:pt>
                <c:pt idx="1155">
                  <c:v>16</c:v>
                </c:pt>
                <c:pt idx="1156">
                  <c:v>16</c:v>
                </c:pt>
                <c:pt idx="1157">
                  <c:v>16</c:v>
                </c:pt>
                <c:pt idx="1158">
                  <c:v>16</c:v>
                </c:pt>
                <c:pt idx="1159">
                  <c:v>16</c:v>
                </c:pt>
                <c:pt idx="1160">
                  <c:v>16</c:v>
                </c:pt>
                <c:pt idx="1161">
                  <c:v>16</c:v>
                </c:pt>
                <c:pt idx="1162">
                  <c:v>16</c:v>
                </c:pt>
                <c:pt idx="1163">
                  <c:v>16</c:v>
                </c:pt>
                <c:pt idx="1164">
                  <c:v>16</c:v>
                </c:pt>
                <c:pt idx="1165">
                  <c:v>16</c:v>
                </c:pt>
                <c:pt idx="1166">
                  <c:v>16</c:v>
                </c:pt>
                <c:pt idx="1191">
                  <c:v>17</c:v>
                </c:pt>
                <c:pt idx="1192">
                  <c:v>17</c:v>
                </c:pt>
                <c:pt idx="1193">
                  <c:v>17</c:v>
                </c:pt>
                <c:pt idx="1194">
                  <c:v>17</c:v>
                </c:pt>
                <c:pt idx="1195">
                  <c:v>17</c:v>
                </c:pt>
                <c:pt idx="1196">
                  <c:v>17</c:v>
                </c:pt>
                <c:pt idx="1197">
                  <c:v>17</c:v>
                </c:pt>
                <c:pt idx="1198">
                  <c:v>17</c:v>
                </c:pt>
                <c:pt idx="1199">
                  <c:v>17</c:v>
                </c:pt>
                <c:pt idx="1211">
                  <c:v>18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18</c:v>
                </c:pt>
                <c:pt idx="1217">
                  <c:v>18</c:v>
                </c:pt>
                <c:pt idx="1218">
                  <c:v>18</c:v>
                </c:pt>
                <c:pt idx="1219">
                  <c:v>18</c:v>
                </c:pt>
                <c:pt idx="1220">
                  <c:v>18</c:v>
                </c:pt>
                <c:pt idx="1221">
                  <c:v>18</c:v>
                </c:pt>
                <c:pt idx="1222">
                  <c:v>18</c:v>
                </c:pt>
                <c:pt idx="1223">
                  <c:v>18</c:v>
                </c:pt>
                <c:pt idx="1224">
                  <c:v>18</c:v>
                </c:pt>
                <c:pt idx="1225">
                  <c:v>18</c:v>
                </c:pt>
                <c:pt idx="1356">
                  <c:v>19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19</c:v>
                </c:pt>
                <c:pt idx="1365">
                  <c:v>19</c:v>
                </c:pt>
                <c:pt idx="1366">
                  <c:v>19</c:v>
                </c:pt>
                <c:pt idx="1367">
                  <c:v>19</c:v>
                </c:pt>
                <c:pt idx="1368">
                  <c:v>19</c:v>
                </c:pt>
                <c:pt idx="1369">
                  <c:v>19</c:v>
                </c:pt>
                <c:pt idx="1370">
                  <c:v>19</c:v>
                </c:pt>
                <c:pt idx="1371">
                  <c:v>19</c:v>
                </c:pt>
                <c:pt idx="1372">
                  <c:v>19</c:v>
                </c:pt>
                <c:pt idx="1373">
                  <c:v>19</c:v>
                </c:pt>
                <c:pt idx="1374">
                  <c:v>19</c:v>
                </c:pt>
                <c:pt idx="1375">
                  <c:v>19</c:v>
                </c:pt>
                <c:pt idx="1376">
                  <c:v>19</c:v>
                </c:pt>
                <c:pt idx="1377">
                  <c:v>19</c:v>
                </c:pt>
                <c:pt idx="1378">
                  <c:v>19</c:v>
                </c:pt>
                <c:pt idx="1379">
                  <c:v>19</c:v>
                </c:pt>
                <c:pt idx="1380">
                  <c:v>19</c:v>
                </c:pt>
                <c:pt idx="1381">
                  <c:v>19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21</c:v>
                </c:pt>
                <c:pt idx="1461">
                  <c:v>21</c:v>
                </c:pt>
                <c:pt idx="1462">
                  <c:v>21</c:v>
                </c:pt>
                <c:pt idx="1463">
                  <c:v>21</c:v>
                </c:pt>
                <c:pt idx="1464">
                  <c:v>21</c:v>
                </c:pt>
                <c:pt idx="1465">
                  <c:v>21</c:v>
                </c:pt>
                <c:pt idx="1466">
                  <c:v>21</c:v>
                </c:pt>
                <c:pt idx="1467">
                  <c:v>21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22</c:v>
                </c:pt>
                <c:pt idx="1548">
                  <c:v>22</c:v>
                </c:pt>
                <c:pt idx="1549">
                  <c:v>22</c:v>
                </c:pt>
                <c:pt idx="1550">
                  <c:v>22</c:v>
                </c:pt>
                <c:pt idx="1551">
                  <c:v>22</c:v>
                </c:pt>
                <c:pt idx="1552">
                  <c:v>22</c:v>
                </c:pt>
                <c:pt idx="1553">
                  <c:v>22</c:v>
                </c:pt>
                <c:pt idx="1554">
                  <c:v>22</c:v>
                </c:pt>
                <c:pt idx="1555">
                  <c:v>22</c:v>
                </c:pt>
                <c:pt idx="1556">
                  <c:v>22</c:v>
                </c:pt>
                <c:pt idx="1557">
                  <c:v>22</c:v>
                </c:pt>
                <c:pt idx="1558">
                  <c:v>22</c:v>
                </c:pt>
                <c:pt idx="1559">
                  <c:v>22</c:v>
                </c:pt>
                <c:pt idx="1560">
                  <c:v>22</c:v>
                </c:pt>
                <c:pt idx="1561">
                  <c:v>22</c:v>
                </c:pt>
                <c:pt idx="1562">
                  <c:v>22</c:v>
                </c:pt>
                <c:pt idx="1563">
                  <c:v>22</c:v>
                </c:pt>
                <c:pt idx="1564">
                  <c:v>22</c:v>
                </c:pt>
                <c:pt idx="1565">
                  <c:v>22</c:v>
                </c:pt>
                <c:pt idx="1566">
                  <c:v>22</c:v>
                </c:pt>
                <c:pt idx="1567">
                  <c:v>22</c:v>
                </c:pt>
                <c:pt idx="1568">
                  <c:v>22</c:v>
                </c:pt>
                <c:pt idx="1569">
                  <c:v>22</c:v>
                </c:pt>
                <c:pt idx="1570">
                  <c:v>22</c:v>
                </c:pt>
                <c:pt idx="1571">
                  <c:v>22</c:v>
                </c:pt>
                <c:pt idx="1572">
                  <c:v>22</c:v>
                </c:pt>
                <c:pt idx="1573">
                  <c:v>22</c:v>
                </c:pt>
                <c:pt idx="1574">
                  <c:v>22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22</c:v>
                </c:pt>
                <c:pt idx="1585">
                  <c:v>22</c:v>
                </c:pt>
                <c:pt idx="1586">
                  <c:v>22</c:v>
                </c:pt>
                <c:pt idx="1587">
                  <c:v>22</c:v>
                </c:pt>
                <c:pt idx="1588">
                  <c:v>22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22</c:v>
                </c:pt>
                <c:pt idx="1593">
                  <c:v>22</c:v>
                </c:pt>
                <c:pt idx="1594">
                  <c:v>22</c:v>
                </c:pt>
                <c:pt idx="1595">
                  <c:v>22</c:v>
                </c:pt>
                <c:pt idx="1596">
                  <c:v>22</c:v>
                </c:pt>
                <c:pt idx="1597">
                  <c:v>22</c:v>
                </c:pt>
                <c:pt idx="1598">
                  <c:v>22</c:v>
                </c:pt>
                <c:pt idx="1599">
                  <c:v>22</c:v>
                </c:pt>
                <c:pt idx="1600">
                  <c:v>22</c:v>
                </c:pt>
                <c:pt idx="1601">
                  <c:v>22</c:v>
                </c:pt>
                <c:pt idx="1602">
                  <c:v>22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22</c:v>
                </c:pt>
                <c:pt idx="1607">
                  <c:v>22</c:v>
                </c:pt>
                <c:pt idx="1608">
                  <c:v>22</c:v>
                </c:pt>
                <c:pt idx="1609">
                  <c:v>22</c:v>
                </c:pt>
                <c:pt idx="1610">
                  <c:v>22</c:v>
                </c:pt>
                <c:pt idx="1611">
                  <c:v>22</c:v>
                </c:pt>
                <c:pt idx="1612">
                  <c:v>22</c:v>
                </c:pt>
                <c:pt idx="1613">
                  <c:v>22</c:v>
                </c:pt>
                <c:pt idx="1614">
                  <c:v>22</c:v>
                </c:pt>
                <c:pt idx="1615">
                  <c:v>22</c:v>
                </c:pt>
                <c:pt idx="1616">
                  <c:v>22</c:v>
                </c:pt>
                <c:pt idx="1617">
                  <c:v>22</c:v>
                </c:pt>
                <c:pt idx="1618">
                  <c:v>22</c:v>
                </c:pt>
                <c:pt idx="1619">
                  <c:v>22</c:v>
                </c:pt>
                <c:pt idx="1620">
                  <c:v>22</c:v>
                </c:pt>
                <c:pt idx="1621">
                  <c:v>22</c:v>
                </c:pt>
                <c:pt idx="1622">
                  <c:v>22</c:v>
                </c:pt>
                <c:pt idx="1623">
                  <c:v>22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22</c:v>
                </c:pt>
                <c:pt idx="1629">
                  <c:v>22</c:v>
                </c:pt>
                <c:pt idx="1630">
                  <c:v>22</c:v>
                </c:pt>
                <c:pt idx="1631">
                  <c:v>22</c:v>
                </c:pt>
                <c:pt idx="1699">
                  <c:v>23</c:v>
                </c:pt>
                <c:pt idx="1700">
                  <c:v>23</c:v>
                </c:pt>
                <c:pt idx="1701">
                  <c:v>23</c:v>
                </c:pt>
                <c:pt idx="1702">
                  <c:v>23</c:v>
                </c:pt>
                <c:pt idx="1703">
                  <c:v>23</c:v>
                </c:pt>
                <c:pt idx="1704">
                  <c:v>23</c:v>
                </c:pt>
                <c:pt idx="1705">
                  <c:v>23</c:v>
                </c:pt>
                <c:pt idx="1706">
                  <c:v>23</c:v>
                </c:pt>
                <c:pt idx="1707">
                  <c:v>23</c:v>
                </c:pt>
                <c:pt idx="1708">
                  <c:v>23</c:v>
                </c:pt>
                <c:pt idx="1709">
                  <c:v>23</c:v>
                </c:pt>
                <c:pt idx="1710">
                  <c:v>23</c:v>
                </c:pt>
                <c:pt idx="1711">
                  <c:v>23</c:v>
                </c:pt>
                <c:pt idx="1712">
                  <c:v>23</c:v>
                </c:pt>
                <c:pt idx="1713">
                  <c:v>23</c:v>
                </c:pt>
                <c:pt idx="1714">
                  <c:v>23</c:v>
                </c:pt>
                <c:pt idx="1715">
                  <c:v>23</c:v>
                </c:pt>
                <c:pt idx="1716">
                  <c:v>23</c:v>
                </c:pt>
                <c:pt idx="1717">
                  <c:v>23</c:v>
                </c:pt>
                <c:pt idx="1718">
                  <c:v>23</c:v>
                </c:pt>
                <c:pt idx="1719">
                  <c:v>23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23</c:v>
                </c:pt>
                <c:pt idx="1727">
                  <c:v>23</c:v>
                </c:pt>
                <c:pt idx="1728">
                  <c:v>23</c:v>
                </c:pt>
                <c:pt idx="1729">
                  <c:v>23</c:v>
                </c:pt>
                <c:pt idx="1730">
                  <c:v>23</c:v>
                </c:pt>
                <c:pt idx="1731">
                  <c:v>23</c:v>
                </c:pt>
                <c:pt idx="1732">
                  <c:v>23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24</c:v>
                </c:pt>
                <c:pt idx="1875">
                  <c:v>24</c:v>
                </c:pt>
                <c:pt idx="1876">
                  <c:v>24</c:v>
                </c:pt>
                <c:pt idx="1877">
                  <c:v>24</c:v>
                </c:pt>
                <c:pt idx="1878">
                  <c:v>24</c:v>
                </c:pt>
                <c:pt idx="1879">
                  <c:v>24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63">
                  <c:v>25</c:v>
                </c:pt>
                <c:pt idx="1964">
                  <c:v>25</c:v>
                </c:pt>
                <c:pt idx="1965">
                  <c:v>25</c:v>
                </c:pt>
                <c:pt idx="1966">
                  <c:v>25</c:v>
                </c:pt>
                <c:pt idx="1967">
                  <c:v>25</c:v>
                </c:pt>
                <c:pt idx="1968">
                  <c:v>25</c:v>
                </c:pt>
                <c:pt idx="1969">
                  <c:v>25</c:v>
                </c:pt>
                <c:pt idx="1970">
                  <c:v>25</c:v>
                </c:pt>
                <c:pt idx="1971">
                  <c:v>25</c:v>
                </c:pt>
                <c:pt idx="1972">
                  <c:v>25</c:v>
                </c:pt>
                <c:pt idx="1973">
                  <c:v>25</c:v>
                </c:pt>
                <c:pt idx="1974">
                  <c:v>25</c:v>
                </c:pt>
                <c:pt idx="1975">
                  <c:v>25</c:v>
                </c:pt>
                <c:pt idx="1976">
                  <c:v>25</c:v>
                </c:pt>
                <c:pt idx="1977">
                  <c:v>25</c:v>
                </c:pt>
                <c:pt idx="1978">
                  <c:v>25</c:v>
                </c:pt>
                <c:pt idx="1979">
                  <c:v>25</c:v>
                </c:pt>
                <c:pt idx="1980">
                  <c:v>25</c:v>
                </c:pt>
                <c:pt idx="1981">
                  <c:v>25</c:v>
                </c:pt>
                <c:pt idx="1982">
                  <c:v>25</c:v>
                </c:pt>
                <c:pt idx="1983">
                  <c:v>25</c:v>
                </c:pt>
                <c:pt idx="1984">
                  <c:v>25</c:v>
                </c:pt>
                <c:pt idx="1985">
                  <c:v>25</c:v>
                </c:pt>
                <c:pt idx="1986">
                  <c:v>25</c:v>
                </c:pt>
                <c:pt idx="1987">
                  <c:v>25</c:v>
                </c:pt>
                <c:pt idx="1988">
                  <c:v>25</c:v>
                </c:pt>
                <c:pt idx="1989">
                  <c:v>25</c:v>
                </c:pt>
                <c:pt idx="1990">
                  <c:v>25</c:v>
                </c:pt>
                <c:pt idx="1991">
                  <c:v>25</c:v>
                </c:pt>
                <c:pt idx="1992">
                  <c:v>25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25</c:v>
                </c:pt>
                <c:pt idx="1999">
                  <c:v>25</c:v>
                </c:pt>
                <c:pt idx="2000">
                  <c:v>25</c:v>
                </c:pt>
                <c:pt idx="2001">
                  <c:v>25</c:v>
                </c:pt>
                <c:pt idx="2002">
                  <c:v>25</c:v>
                </c:pt>
                <c:pt idx="2003">
                  <c:v>25</c:v>
                </c:pt>
                <c:pt idx="2004">
                  <c:v>25</c:v>
                </c:pt>
                <c:pt idx="2005">
                  <c:v>25</c:v>
                </c:pt>
                <c:pt idx="2006">
                  <c:v>25</c:v>
                </c:pt>
                <c:pt idx="2007">
                  <c:v>25</c:v>
                </c:pt>
                <c:pt idx="2008">
                  <c:v>25</c:v>
                </c:pt>
                <c:pt idx="2009">
                  <c:v>25</c:v>
                </c:pt>
                <c:pt idx="2010">
                  <c:v>25</c:v>
                </c:pt>
                <c:pt idx="2011">
                  <c:v>25</c:v>
                </c:pt>
                <c:pt idx="2012">
                  <c:v>25</c:v>
                </c:pt>
                <c:pt idx="2013">
                  <c:v>25</c:v>
                </c:pt>
                <c:pt idx="2014">
                  <c:v>25</c:v>
                </c:pt>
                <c:pt idx="2015">
                  <c:v>25</c:v>
                </c:pt>
                <c:pt idx="2016">
                  <c:v>25</c:v>
                </c:pt>
                <c:pt idx="2017">
                  <c:v>25</c:v>
                </c:pt>
                <c:pt idx="2018">
                  <c:v>25</c:v>
                </c:pt>
                <c:pt idx="2019">
                  <c:v>25</c:v>
                </c:pt>
                <c:pt idx="2020">
                  <c:v>25</c:v>
                </c:pt>
                <c:pt idx="2098">
                  <c:v>26</c:v>
                </c:pt>
                <c:pt idx="2099">
                  <c:v>26</c:v>
                </c:pt>
                <c:pt idx="2100">
                  <c:v>26</c:v>
                </c:pt>
                <c:pt idx="2101">
                  <c:v>26</c:v>
                </c:pt>
                <c:pt idx="2102">
                  <c:v>26</c:v>
                </c:pt>
                <c:pt idx="2103">
                  <c:v>26</c:v>
                </c:pt>
                <c:pt idx="2104">
                  <c:v>26</c:v>
                </c:pt>
                <c:pt idx="2105">
                  <c:v>26</c:v>
                </c:pt>
                <c:pt idx="2106">
                  <c:v>26</c:v>
                </c:pt>
                <c:pt idx="2107">
                  <c:v>26</c:v>
                </c:pt>
                <c:pt idx="2108">
                  <c:v>26</c:v>
                </c:pt>
                <c:pt idx="2109">
                  <c:v>26</c:v>
                </c:pt>
                <c:pt idx="2110">
                  <c:v>26</c:v>
                </c:pt>
                <c:pt idx="2111">
                  <c:v>26</c:v>
                </c:pt>
                <c:pt idx="2112">
                  <c:v>26</c:v>
                </c:pt>
                <c:pt idx="2113">
                  <c:v>26</c:v>
                </c:pt>
                <c:pt idx="2114">
                  <c:v>26</c:v>
                </c:pt>
                <c:pt idx="2115">
                  <c:v>26</c:v>
                </c:pt>
                <c:pt idx="2116">
                  <c:v>26</c:v>
                </c:pt>
                <c:pt idx="2117">
                  <c:v>26</c:v>
                </c:pt>
                <c:pt idx="2118">
                  <c:v>26</c:v>
                </c:pt>
                <c:pt idx="2119">
                  <c:v>26</c:v>
                </c:pt>
                <c:pt idx="2120">
                  <c:v>26</c:v>
                </c:pt>
                <c:pt idx="2121">
                  <c:v>26</c:v>
                </c:pt>
                <c:pt idx="2122">
                  <c:v>26</c:v>
                </c:pt>
                <c:pt idx="2123">
                  <c:v>26</c:v>
                </c:pt>
                <c:pt idx="2124">
                  <c:v>26</c:v>
                </c:pt>
                <c:pt idx="2125">
                  <c:v>26</c:v>
                </c:pt>
                <c:pt idx="2126">
                  <c:v>26</c:v>
                </c:pt>
                <c:pt idx="2127">
                  <c:v>26</c:v>
                </c:pt>
                <c:pt idx="2128">
                  <c:v>26</c:v>
                </c:pt>
                <c:pt idx="2170">
                  <c:v>27</c:v>
                </c:pt>
                <c:pt idx="2171">
                  <c:v>27</c:v>
                </c:pt>
                <c:pt idx="2172">
                  <c:v>27</c:v>
                </c:pt>
                <c:pt idx="2173">
                  <c:v>27</c:v>
                </c:pt>
                <c:pt idx="2174">
                  <c:v>27</c:v>
                </c:pt>
                <c:pt idx="2175">
                  <c:v>27</c:v>
                </c:pt>
                <c:pt idx="2176">
                  <c:v>27</c:v>
                </c:pt>
                <c:pt idx="2177">
                  <c:v>27</c:v>
                </c:pt>
                <c:pt idx="2178">
                  <c:v>27</c:v>
                </c:pt>
                <c:pt idx="2179">
                  <c:v>27</c:v>
                </c:pt>
                <c:pt idx="2180">
                  <c:v>27</c:v>
                </c:pt>
                <c:pt idx="2181">
                  <c:v>27</c:v>
                </c:pt>
                <c:pt idx="2182">
                  <c:v>27</c:v>
                </c:pt>
                <c:pt idx="2183">
                  <c:v>27</c:v>
                </c:pt>
                <c:pt idx="2184">
                  <c:v>27</c:v>
                </c:pt>
                <c:pt idx="2185">
                  <c:v>27</c:v>
                </c:pt>
                <c:pt idx="2186">
                  <c:v>27</c:v>
                </c:pt>
                <c:pt idx="2187">
                  <c:v>27</c:v>
                </c:pt>
                <c:pt idx="2188">
                  <c:v>27</c:v>
                </c:pt>
                <c:pt idx="2189">
                  <c:v>27</c:v>
                </c:pt>
                <c:pt idx="2190">
                  <c:v>27</c:v>
                </c:pt>
                <c:pt idx="2191">
                  <c:v>27</c:v>
                </c:pt>
                <c:pt idx="2192">
                  <c:v>27</c:v>
                </c:pt>
                <c:pt idx="2193">
                  <c:v>27</c:v>
                </c:pt>
                <c:pt idx="2194">
                  <c:v>27</c:v>
                </c:pt>
                <c:pt idx="2195">
                  <c:v>27</c:v>
                </c:pt>
                <c:pt idx="2196">
                  <c:v>27</c:v>
                </c:pt>
                <c:pt idx="2197">
                  <c:v>27</c:v>
                </c:pt>
                <c:pt idx="2198">
                  <c:v>27</c:v>
                </c:pt>
                <c:pt idx="2199">
                  <c:v>27</c:v>
                </c:pt>
                <c:pt idx="2200">
                  <c:v>27</c:v>
                </c:pt>
                <c:pt idx="2201">
                  <c:v>27</c:v>
                </c:pt>
                <c:pt idx="2202">
                  <c:v>27</c:v>
                </c:pt>
                <c:pt idx="2203">
                  <c:v>27</c:v>
                </c:pt>
                <c:pt idx="2204">
                  <c:v>27</c:v>
                </c:pt>
                <c:pt idx="2205">
                  <c:v>27</c:v>
                </c:pt>
                <c:pt idx="2206">
                  <c:v>27</c:v>
                </c:pt>
                <c:pt idx="2207">
                  <c:v>27</c:v>
                </c:pt>
                <c:pt idx="2208">
                  <c:v>27</c:v>
                </c:pt>
                <c:pt idx="2209">
                  <c:v>27</c:v>
                </c:pt>
                <c:pt idx="2210">
                  <c:v>27</c:v>
                </c:pt>
                <c:pt idx="2211">
                  <c:v>27</c:v>
                </c:pt>
                <c:pt idx="2212">
                  <c:v>27</c:v>
                </c:pt>
                <c:pt idx="2213">
                  <c:v>27</c:v>
                </c:pt>
                <c:pt idx="2214">
                  <c:v>27</c:v>
                </c:pt>
                <c:pt idx="2215">
                  <c:v>27</c:v>
                </c:pt>
                <c:pt idx="2216">
                  <c:v>27</c:v>
                </c:pt>
                <c:pt idx="2217">
                  <c:v>27</c:v>
                </c:pt>
                <c:pt idx="2218">
                  <c:v>27</c:v>
                </c:pt>
                <c:pt idx="2219">
                  <c:v>27</c:v>
                </c:pt>
                <c:pt idx="2232">
                  <c:v>28</c:v>
                </c:pt>
                <c:pt idx="2233">
                  <c:v>28</c:v>
                </c:pt>
                <c:pt idx="2234">
                  <c:v>28</c:v>
                </c:pt>
                <c:pt idx="2235">
                  <c:v>28</c:v>
                </c:pt>
                <c:pt idx="2236">
                  <c:v>28</c:v>
                </c:pt>
                <c:pt idx="2237">
                  <c:v>28</c:v>
                </c:pt>
                <c:pt idx="2238">
                  <c:v>28</c:v>
                </c:pt>
                <c:pt idx="2239">
                  <c:v>28</c:v>
                </c:pt>
                <c:pt idx="2240">
                  <c:v>28</c:v>
                </c:pt>
                <c:pt idx="2241">
                  <c:v>28</c:v>
                </c:pt>
                <c:pt idx="2242">
                  <c:v>28</c:v>
                </c:pt>
                <c:pt idx="2243">
                  <c:v>28</c:v>
                </c:pt>
                <c:pt idx="2244">
                  <c:v>28</c:v>
                </c:pt>
                <c:pt idx="2245">
                  <c:v>28</c:v>
                </c:pt>
                <c:pt idx="2246">
                  <c:v>28</c:v>
                </c:pt>
                <c:pt idx="2247">
                  <c:v>28</c:v>
                </c:pt>
                <c:pt idx="2248">
                  <c:v>28</c:v>
                </c:pt>
                <c:pt idx="2249">
                  <c:v>28</c:v>
                </c:pt>
                <c:pt idx="2250">
                  <c:v>28</c:v>
                </c:pt>
                <c:pt idx="2251">
                  <c:v>28</c:v>
                </c:pt>
                <c:pt idx="2252">
                  <c:v>28</c:v>
                </c:pt>
                <c:pt idx="2253">
                  <c:v>28</c:v>
                </c:pt>
                <c:pt idx="2297">
                  <c:v>29</c:v>
                </c:pt>
                <c:pt idx="2298">
                  <c:v>29</c:v>
                </c:pt>
                <c:pt idx="2299">
                  <c:v>29</c:v>
                </c:pt>
                <c:pt idx="2300">
                  <c:v>29</c:v>
                </c:pt>
                <c:pt idx="2301">
                  <c:v>29</c:v>
                </c:pt>
                <c:pt idx="2302">
                  <c:v>29</c:v>
                </c:pt>
                <c:pt idx="2303">
                  <c:v>29</c:v>
                </c:pt>
                <c:pt idx="2304">
                  <c:v>29</c:v>
                </c:pt>
                <c:pt idx="2305">
                  <c:v>29</c:v>
                </c:pt>
                <c:pt idx="2306">
                  <c:v>29</c:v>
                </c:pt>
                <c:pt idx="2307">
                  <c:v>29</c:v>
                </c:pt>
                <c:pt idx="2308">
                  <c:v>29</c:v>
                </c:pt>
                <c:pt idx="2309">
                  <c:v>29</c:v>
                </c:pt>
                <c:pt idx="2310">
                  <c:v>29</c:v>
                </c:pt>
                <c:pt idx="2311">
                  <c:v>29</c:v>
                </c:pt>
                <c:pt idx="2312">
                  <c:v>29</c:v>
                </c:pt>
                <c:pt idx="2313">
                  <c:v>29</c:v>
                </c:pt>
                <c:pt idx="2314">
                  <c:v>29</c:v>
                </c:pt>
                <c:pt idx="2315">
                  <c:v>29</c:v>
                </c:pt>
                <c:pt idx="2316">
                  <c:v>29</c:v>
                </c:pt>
                <c:pt idx="2317">
                  <c:v>29</c:v>
                </c:pt>
                <c:pt idx="2318">
                  <c:v>29</c:v>
                </c:pt>
                <c:pt idx="2319">
                  <c:v>29</c:v>
                </c:pt>
                <c:pt idx="2320">
                  <c:v>29</c:v>
                </c:pt>
                <c:pt idx="2321">
                  <c:v>29</c:v>
                </c:pt>
                <c:pt idx="2322">
                  <c:v>29</c:v>
                </c:pt>
                <c:pt idx="2323">
                  <c:v>29</c:v>
                </c:pt>
                <c:pt idx="2324">
                  <c:v>29</c:v>
                </c:pt>
                <c:pt idx="2325">
                  <c:v>29</c:v>
                </c:pt>
                <c:pt idx="2326">
                  <c:v>29</c:v>
                </c:pt>
                <c:pt idx="2327">
                  <c:v>29</c:v>
                </c:pt>
                <c:pt idx="2328">
                  <c:v>29</c:v>
                </c:pt>
                <c:pt idx="2329">
                  <c:v>29</c:v>
                </c:pt>
                <c:pt idx="2330">
                  <c:v>29</c:v>
                </c:pt>
                <c:pt idx="2331">
                  <c:v>29</c:v>
                </c:pt>
                <c:pt idx="2332">
                  <c:v>29</c:v>
                </c:pt>
                <c:pt idx="2333">
                  <c:v>29</c:v>
                </c:pt>
                <c:pt idx="2334">
                  <c:v>29</c:v>
                </c:pt>
                <c:pt idx="2335">
                  <c:v>29</c:v>
                </c:pt>
                <c:pt idx="2336">
                  <c:v>29</c:v>
                </c:pt>
                <c:pt idx="2337">
                  <c:v>29</c:v>
                </c:pt>
                <c:pt idx="2338">
                  <c:v>29</c:v>
                </c:pt>
                <c:pt idx="2339">
                  <c:v>29</c:v>
                </c:pt>
                <c:pt idx="2340">
                  <c:v>29</c:v>
                </c:pt>
                <c:pt idx="2341">
                  <c:v>29</c:v>
                </c:pt>
                <c:pt idx="2342">
                  <c:v>29</c:v>
                </c:pt>
                <c:pt idx="2343">
                  <c:v>29</c:v>
                </c:pt>
                <c:pt idx="2344">
                  <c:v>29</c:v>
                </c:pt>
                <c:pt idx="2345">
                  <c:v>29</c:v>
                </c:pt>
                <c:pt idx="2346">
                  <c:v>29</c:v>
                </c:pt>
                <c:pt idx="2347">
                  <c:v>29</c:v>
                </c:pt>
                <c:pt idx="2348">
                  <c:v>29</c:v>
                </c:pt>
                <c:pt idx="2349">
                  <c:v>29</c:v>
                </c:pt>
                <c:pt idx="2350">
                  <c:v>29</c:v>
                </c:pt>
                <c:pt idx="2351">
                  <c:v>29</c:v>
                </c:pt>
                <c:pt idx="2352">
                  <c:v>29</c:v>
                </c:pt>
                <c:pt idx="2353">
                  <c:v>29</c:v>
                </c:pt>
                <c:pt idx="2354">
                  <c:v>29</c:v>
                </c:pt>
                <c:pt idx="2355">
                  <c:v>29</c:v>
                </c:pt>
                <c:pt idx="2356">
                  <c:v>29</c:v>
                </c:pt>
                <c:pt idx="2357">
                  <c:v>29</c:v>
                </c:pt>
                <c:pt idx="2358">
                  <c:v>29</c:v>
                </c:pt>
                <c:pt idx="2359">
                  <c:v>29</c:v>
                </c:pt>
                <c:pt idx="2360">
                  <c:v>29</c:v>
                </c:pt>
                <c:pt idx="2361">
                  <c:v>29</c:v>
                </c:pt>
                <c:pt idx="2362">
                  <c:v>29</c:v>
                </c:pt>
                <c:pt idx="2363">
                  <c:v>29</c:v>
                </c:pt>
                <c:pt idx="2364">
                  <c:v>29</c:v>
                </c:pt>
                <c:pt idx="2365">
                  <c:v>29</c:v>
                </c:pt>
                <c:pt idx="2366">
                  <c:v>29</c:v>
                </c:pt>
                <c:pt idx="2367">
                  <c:v>29</c:v>
                </c:pt>
                <c:pt idx="2368">
                  <c:v>29</c:v>
                </c:pt>
                <c:pt idx="2369">
                  <c:v>29</c:v>
                </c:pt>
                <c:pt idx="2370">
                  <c:v>29</c:v>
                </c:pt>
                <c:pt idx="2371">
                  <c:v>29</c:v>
                </c:pt>
                <c:pt idx="2372">
                  <c:v>29</c:v>
                </c:pt>
                <c:pt idx="2373">
                  <c:v>29</c:v>
                </c:pt>
                <c:pt idx="2374">
                  <c:v>29</c:v>
                </c:pt>
                <c:pt idx="2375">
                  <c:v>29</c:v>
                </c:pt>
                <c:pt idx="2376">
                  <c:v>29</c:v>
                </c:pt>
                <c:pt idx="2377">
                  <c:v>29</c:v>
                </c:pt>
                <c:pt idx="2378">
                  <c:v>29</c:v>
                </c:pt>
                <c:pt idx="2379">
                  <c:v>29</c:v>
                </c:pt>
                <c:pt idx="2380">
                  <c:v>29</c:v>
                </c:pt>
                <c:pt idx="2381">
                  <c:v>29</c:v>
                </c:pt>
                <c:pt idx="2382">
                  <c:v>29</c:v>
                </c:pt>
                <c:pt idx="2383">
                  <c:v>29</c:v>
                </c:pt>
                <c:pt idx="2384">
                  <c:v>29</c:v>
                </c:pt>
                <c:pt idx="2385">
                  <c:v>29</c:v>
                </c:pt>
                <c:pt idx="2386">
                  <c:v>29</c:v>
                </c:pt>
                <c:pt idx="2387">
                  <c:v>29</c:v>
                </c:pt>
                <c:pt idx="2388">
                  <c:v>29</c:v>
                </c:pt>
                <c:pt idx="2389">
                  <c:v>29</c:v>
                </c:pt>
                <c:pt idx="2390">
                  <c:v>29</c:v>
                </c:pt>
                <c:pt idx="2391">
                  <c:v>29</c:v>
                </c:pt>
                <c:pt idx="2392">
                  <c:v>29</c:v>
                </c:pt>
                <c:pt idx="2393">
                  <c:v>29</c:v>
                </c:pt>
                <c:pt idx="2394">
                  <c:v>29</c:v>
                </c:pt>
                <c:pt idx="2395">
                  <c:v>29</c:v>
                </c:pt>
                <c:pt idx="2396">
                  <c:v>29</c:v>
                </c:pt>
                <c:pt idx="2397">
                  <c:v>29</c:v>
                </c:pt>
                <c:pt idx="2398">
                  <c:v>29</c:v>
                </c:pt>
                <c:pt idx="2399">
                  <c:v>29</c:v>
                </c:pt>
                <c:pt idx="2400">
                  <c:v>29</c:v>
                </c:pt>
                <c:pt idx="2401">
                  <c:v>29</c:v>
                </c:pt>
                <c:pt idx="2402">
                  <c:v>29</c:v>
                </c:pt>
                <c:pt idx="2403">
                  <c:v>29</c:v>
                </c:pt>
                <c:pt idx="2404">
                  <c:v>29</c:v>
                </c:pt>
                <c:pt idx="2405">
                  <c:v>29</c:v>
                </c:pt>
                <c:pt idx="2406">
                  <c:v>29</c:v>
                </c:pt>
                <c:pt idx="2407">
                  <c:v>29</c:v>
                </c:pt>
                <c:pt idx="2408">
                  <c:v>29</c:v>
                </c:pt>
                <c:pt idx="2409">
                  <c:v>29</c:v>
                </c:pt>
                <c:pt idx="2410">
                  <c:v>29</c:v>
                </c:pt>
                <c:pt idx="2411">
                  <c:v>29</c:v>
                </c:pt>
                <c:pt idx="2412">
                  <c:v>29</c:v>
                </c:pt>
                <c:pt idx="2413">
                  <c:v>29</c:v>
                </c:pt>
                <c:pt idx="2414">
                  <c:v>29</c:v>
                </c:pt>
                <c:pt idx="2415">
                  <c:v>29</c:v>
                </c:pt>
                <c:pt idx="2416">
                  <c:v>29</c:v>
                </c:pt>
                <c:pt idx="2417">
                  <c:v>29</c:v>
                </c:pt>
                <c:pt idx="2418">
                  <c:v>29</c:v>
                </c:pt>
                <c:pt idx="2419">
                  <c:v>29</c:v>
                </c:pt>
                <c:pt idx="2420">
                  <c:v>29</c:v>
                </c:pt>
                <c:pt idx="2421">
                  <c:v>29</c:v>
                </c:pt>
                <c:pt idx="2422">
                  <c:v>29</c:v>
                </c:pt>
                <c:pt idx="2423">
                  <c:v>29</c:v>
                </c:pt>
                <c:pt idx="2424">
                  <c:v>29</c:v>
                </c:pt>
                <c:pt idx="2425">
                  <c:v>29</c:v>
                </c:pt>
                <c:pt idx="2426">
                  <c:v>29</c:v>
                </c:pt>
                <c:pt idx="2427">
                  <c:v>29</c:v>
                </c:pt>
                <c:pt idx="2428">
                  <c:v>29</c:v>
                </c:pt>
                <c:pt idx="2429">
                  <c:v>29</c:v>
                </c:pt>
                <c:pt idx="2430">
                  <c:v>29</c:v>
                </c:pt>
                <c:pt idx="2431">
                  <c:v>29</c:v>
                </c:pt>
                <c:pt idx="2432">
                  <c:v>29</c:v>
                </c:pt>
                <c:pt idx="2433">
                  <c:v>29</c:v>
                </c:pt>
                <c:pt idx="2434">
                  <c:v>29</c:v>
                </c:pt>
                <c:pt idx="2435">
                  <c:v>29</c:v>
                </c:pt>
                <c:pt idx="2436">
                  <c:v>29</c:v>
                </c:pt>
                <c:pt idx="2437">
                  <c:v>29</c:v>
                </c:pt>
                <c:pt idx="2438">
                  <c:v>29</c:v>
                </c:pt>
                <c:pt idx="2439">
                  <c:v>29</c:v>
                </c:pt>
                <c:pt idx="2440">
                  <c:v>29</c:v>
                </c:pt>
                <c:pt idx="2441">
                  <c:v>29</c:v>
                </c:pt>
                <c:pt idx="2442">
                  <c:v>29</c:v>
                </c:pt>
                <c:pt idx="2443">
                  <c:v>29</c:v>
                </c:pt>
                <c:pt idx="2444">
                  <c:v>29</c:v>
                </c:pt>
                <c:pt idx="2445">
                  <c:v>29</c:v>
                </c:pt>
                <c:pt idx="2468">
                  <c:v>30</c:v>
                </c:pt>
                <c:pt idx="2469">
                  <c:v>30</c:v>
                </c:pt>
                <c:pt idx="2470">
                  <c:v>30</c:v>
                </c:pt>
                <c:pt idx="2471">
                  <c:v>30</c:v>
                </c:pt>
                <c:pt idx="2472">
                  <c:v>30</c:v>
                </c:pt>
                <c:pt idx="2473">
                  <c:v>30</c:v>
                </c:pt>
                <c:pt idx="2474">
                  <c:v>30</c:v>
                </c:pt>
                <c:pt idx="2475">
                  <c:v>30</c:v>
                </c:pt>
                <c:pt idx="2476">
                  <c:v>30</c:v>
                </c:pt>
                <c:pt idx="2477">
                  <c:v>30</c:v>
                </c:pt>
                <c:pt idx="2478">
                  <c:v>30</c:v>
                </c:pt>
                <c:pt idx="2479">
                  <c:v>30</c:v>
                </c:pt>
                <c:pt idx="2480">
                  <c:v>30</c:v>
                </c:pt>
                <c:pt idx="2481">
                  <c:v>30</c:v>
                </c:pt>
                <c:pt idx="2482">
                  <c:v>30</c:v>
                </c:pt>
                <c:pt idx="2483">
                  <c:v>30</c:v>
                </c:pt>
                <c:pt idx="2484">
                  <c:v>30</c:v>
                </c:pt>
                <c:pt idx="2485">
                  <c:v>30</c:v>
                </c:pt>
                <c:pt idx="2486">
                  <c:v>30</c:v>
                </c:pt>
                <c:pt idx="2487">
                  <c:v>30</c:v>
                </c:pt>
                <c:pt idx="2488">
                  <c:v>30</c:v>
                </c:pt>
                <c:pt idx="2489">
                  <c:v>30</c:v>
                </c:pt>
                <c:pt idx="2490">
                  <c:v>30</c:v>
                </c:pt>
                <c:pt idx="2491">
                  <c:v>30</c:v>
                </c:pt>
                <c:pt idx="2586">
                  <c:v>31</c:v>
                </c:pt>
                <c:pt idx="2587">
                  <c:v>31</c:v>
                </c:pt>
                <c:pt idx="2588">
                  <c:v>31</c:v>
                </c:pt>
                <c:pt idx="2589">
                  <c:v>31</c:v>
                </c:pt>
                <c:pt idx="2590">
                  <c:v>31</c:v>
                </c:pt>
                <c:pt idx="2591">
                  <c:v>31</c:v>
                </c:pt>
                <c:pt idx="2592">
                  <c:v>31</c:v>
                </c:pt>
                <c:pt idx="2593">
                  <c:v>31</c:v>
                </c:pt>
                <c:pt idx="2594">
                  <c:v>31</c:v>
                </c:pt>
                <c:pt idx="2595">
                  <c:v>31</c:v>
                </c:pt>
                <c:pt idx="2596">
                  <c:v>31</c:v>
                </c:pt>
                <c:pt idx="2597">
                  <c:v>31</c:v>
                </c:pt>
                <c:pt idx="2638">
                  <c:v>32</c:v>
                </c:pt>
                <c:pt idx="2639">
                  <c:v>32</c:v>
                </c:pt>
                <c:pt idx="2640">
                  <c:v>32</c:v>
                </c:pt>
                <c:pt idx="2641">
                  <c:v>32</c:v>
                </c:pt>
                <c:pt idx="2642">
                  <c:v>32</c:v>
                </c:pt>
                <c:pt idx="2643">
                  <c:v>32</c:v>
                </c:pt>
                <c:pt idx="2644">
                  <c:v>32</c:v>
                </c:pt>
                <c:pt idx="2645">
                  <c:v>32</c:v>
                </c:pt>
                <c:pt idx="2646">
                  <c:v>32</c:v>
                </c:pt>
                <c:pt idx="2647">
                  <c:v>32</c:v>
                </c:pt>
                <c:pt idx="2648">
                  <c:v>32</c:v>
                </c:pt>
                <c:pt idx="2649">
                  <c:v>32</c:v>
                </c:pt>
                <c:pt idx="2650">
                  <c:v>32</c:v>
                </c:pt>
                <c:pt idx="2651">
                  <c:v>32</c:v>
                </c:pt>
                <c:pt idx="2652">
                  <c:v>32</c:v>
                </c:pt>
                <c:pt idx="2653">
                  <c:v>32</c:v>
                </c:pt>
                <c:pt idx="2654">
                  <c:v>32</c:v>
                </c:pt>
                <c:pt idx="2655">
                  <c:v>32</c:v>
                </c:pt>
                <c:pt idx="2656">
                  <c:v>32</c:v>
                </c:pt>
                <c:pt idx="2657">
                  <c:v>32</c:v>
                </c:pt>
                <c:pt idx="2658">
                  <c:v>32</c:v>
                </c:pt>
                <c:pt idx="2659">
                  <c:v>32</c:v>
                </c:pt>
                <c:pt idx="2660">
                  <c:v>32</c:v>
                </c:pt>
                <c:pt idx="2661">
                  <c:v>32</c:v>
                </c:pt>
                <c:pt idx="2662">
                  <c:v>32</c:v>
                </c:pt>
                <c:pt idx="2663">
                  <c:v>32</c:v>
                </c:pt>
                <c:pt idx="2664">
                  <c:v>32</c:v>
                </c:pt>
                <c:pt idx="2665">
                  <c:v>32</c:v>
                </c:pt>
                <c:pt idx="2666">
                  <c:v>32</c:v>
                </c:pt>
                <c:pt idx="2667">
                  <c:v>32</c:v>
                </c:pt>
                <c:pt idx="2668">
                  <c:v>32</c:v>
                </c:pt>
                <c:pt idx="2669">
                  <c:v>32</c:v>
                </c:pt>
                <c:pt idx="2670">
                  <c:v>32</c:v>
                </c:pt>
                <c:pt idx="2671">
                  <c:v>32</c:v>
                </c:pt>
                <c:pt idx="2672">
                  <c:v>32</c:v>
                </c:pt>
                <c:pt idx="2673">
                  <c:v>32</c:v>
                </c:pt>
                <c:pt idx="2674">
                  <c:v>32</c:v>
                </c:pt>
                <c:pt idx="2675">
                  <c:v>32</c:v>
                </c:pt>
                <c:pt idx="2676">
                  <c:v>32</c:v>
                </c:pt>
                <c:pt idx="2677">
                  <c:v>32</c:v>
                </c:pt>
                <c:pt idx="2678">
                  <c:v>32</c:v>
                </c:pt>
                <c:pt idx="2679">
                  <c:v>32</c:v>
                </c:pt>
                <c:pt idx="2680">
                  <c:v>32</c:v>
                </c:pt>
                <c:pt idx="2681">
                  <c:v>32</c:v>
                </c:pt>
                <c:pt idx="2682">
                  <c:v>32</c:v>
                </c:pt>
                <c:pt idx="2683">
                  <c:v>32</c:v>
                </c:pt>
                <c:pt idx="2684">
                  <c:v>32</c:v>
                </c:pt>
                <c:pt idx="2685">
                  <c:v>32</c:v>
                </c:pt>
                <c:pt idx="2686">
                  <c:v>32</c:v>
                </c:pt>
                <c:pt idx="2687">
                  <c:v>32</c:v>
                </c:pt>
                <c:pt idx="2688">
                  <c:v>32</c:v>
                </c:pt>
                <c:pt idx="2689">
                  <c:v>32</c:v>
                </c:pt>
                <c:pt idx="2690">
                  <c:v>32</c:v>
                </c:pt>
                <c:pt idx="2691">
                  <c:v>32</c:v>
                </c:pt>
                <c:pt idx="2692">
                  <c:v>32</c:v>
                </c:pt>
                <c:pt idx="2693">
                  <c:v>32</c:v>
                </c:pt>
                <c:pt idx="2694">
                  <c:v>32</c:v>
                </c:pt>
                <c:pt idx="2695">
                  <c:v>32</c:v>
                </c:pt>
                <c:pt idx="2696">
                  <c:v>32</c:v>
                </c:pt>
                <c:pt idx="2697">
                  <c:v>32</c:v>
                </c:pt>
                <c:pt idx="2698">
                  <c:v>32</c:v>
                </c:pt>
                <c:pt idx="2699">
                  <c:v>32</c:v>
                </c:pt>
                <c:pt idx="2716">
                  <c:v>33</c:v>
                </c:pt>
                <c:pt idx="2717">
                  <c:v>33</c:v>
                </c:pt>
                <c:pt idx="2718">
                  <c:v>33</c:v>
                </c:pt>
                <c:pt idx="2719">
                  <c:v>33</c:v>
                </c:pt>
                <c:pt idx="2720">
                  <c:v>33</c:v>
                </c:pt>
                <c:pt idx="2721">
                  <c:v>33</c:v>
                </c:pt>
                <c:pt idx="2722">
                  <c:v>33</c:v>
                </c:pt>
                <c:pt idx="2723">
                  <c:v>33</c:v>
                </c:pt>
                <c:pt idx="2724">
                  <c:v>33</c:v>
                </c:pt>
                <c:pt idx="2785">
                  <c:v>34</c:v>
                </c:pt>
                <c:pt idx="2786">
                  <c:v>34</c:v>
                </c:pt>
                <c:pt idx="2787">
                  <c:v>34</c:v>
                </c:pt>
                <c:pt idx="2788">
                  <c:v>34</c:v>
                </c:pt>
                <c:pt idx="2789">
                  <c:v>34</c:v>
                </c:pt>
                <c:pt idx="2790">
                  <c:v>34</c:v>
                </c:pt>
                <c:pt idx="2791">
                  <c:v>34</c:v>
                </c:pt>
                <c:pt idx="2792">
                  <c:v>34</c:v>
                </c:pt>
                <c:pt idx="2793">
                  <c:v>34</c:v>
                </c:pt>
                <c:pt idx="2794">
                  <c:v>34</c:v>
                </c:pt>
                <c:pt idx="2795">
                  <c:v>34</c:v>
                </c:pt>
                <c:pt idx="2796">
                  <c:v>34</c:v>
                </c:pt>
                <c:pt idx="2797">
                  <c:v>34</c:v>
                </c:pt>
                <c:pt idx="2798">
                  <c:v>34</c:v>
                </c:pt>
                <c:pt idx="2799">
                  <c:v>34</c:v>
                </c:pt>
                <c:pt idx="2800">
                  <c:v>34</c:v>
                </c:pt>
                <c:pt idx="2801">
                  <c:v>34</c:v>
                </c:pt>
                <c:pt idx="2802">
                  <c:v>34</c:v>
                </c:pt>
                <c:pt idx="2819">
                  <c:v>35</c:v>
                </c:pt>
                <c:pt idx="2820">
                  <c:v>35</c:v>
                </c:pt>
                <c:pt idx="2821">
                  <c:v>35</c:v>
                </c:pt>
                <c:pt idx="2822">
                  <c:v>35</c:v>
                </c:pt>
                <c:pt idx="2823">
                  <c:v>35</c:v>
                </c:pt>
                <c:pt idx="2824">
                  <c:v>35</c:v>
                </c:pt>
                <c:pt idx="2825">
                  <c:v>35</c:v>
                </c:pt>
                <c:pt idx="2826">
                  <c:v>35</c:v>
                </c:pt>
                <c:pt idx="2827">
                  <c:v>35</c:v>
                </c:pt>
                <c:pt idx="2828">
                  <c:v>35</c:v>
                </c:pt>
                <c:pt idx="2829">
                  <c:v>35</c:v>
                </c:pt>
                <c:pt idx="2830">
                  <c:v>35</c:v>
                </c:pt>
                <c:pt idx="2831">
                  <c:v>35</c:v>
                </c:pt>
                <c:pt idx="2832">
                  <c:v>35</c:v>
                </c:pt>
                <c:pt idx="2833">
                  <c:v>35</c:v>
                </c:pt>
                <c:pt idx="2834">
                  <c:v>35</c:v>
                </c:pt>
                <c:pt idx="2835">
                  <c:v>35</c:v>
                </c:pt>
                <c:pt idx="2836">
                  <c:v>35</c:v>
                </c:pt>
                <c:pt idx="2837">
                  <c:v>35</c:v>
                </c:pt>
                <c:pt idx="2838">
                  <c:v>35</c:v>
                </c:pt>
                <c:pt idx="2839">
                  <c:v>35</c:v>
                </c:pt>
                <c:pt idx="2840">
                  <c:v>35</c:v>
                </c:pt>
                <c:pt idx="2841">
                  <c:v>35</c:v>
                </c:pt>
                <c:pt idx="2842">
                  <c:v>35</c:v>
                </c:pt>
                <c:pt idx="2843">
                  <c:v>35</c:v>
                </c:pt>
                <c:pt idx="2844">
                  <c:v>35</c:v>
                </c:pt>
                <c:pt idx="2845">
                  <c:v>35</c:v>
                </c:pt>
                <c:pt idx="2846">
                  <c:v>35</c:v>
                </c:pt>
                <c:pt idx="2847">
                  <c:v>35</c:v>
                </c:pt>
                <c:pt idx="2848">
                  <c:v>35</c:v>
                </c:pt>
                <c:pt idx="2849">
                  <c:v>35</c:v>
                </c:pt>
                <c:pt idx="2850">
                  <c:v>35</c:v>
                </c:pt>
                <c:pt idx="2851">
                  <c:v>35</c:v>
                </c:pt>
                <c:pt idx="2852">
                  <c:v>35</c:v>
                </c:pt>
                <c:pt idx="2853">
                  <c:v>35</c:v>
                </c:pt>
                <c:pt idx="2854">
                  <c:v>35</c:v>
                </c:pt>
                <c:pt idx="2855">
                  <c:v>35</c:v>
                </c:pt>
                <c:pt idx="2856">
                  <c:v>35</c:v>
                </c:pt>
                <c:pt idx="2857">
                  <c:v>35</c:v>
                </c:pt>
                <c:pt idx="2858">
                  <c:v>35</c:v>
                </c:pt>
                <c:pt idx="2859">
                  <c:v>35</c:v>
                </c:pt>
                <c:pt idx="2860">
                  <c:v>35</c:v>
                </c:pt>
                <c:pt idx="2893">
                  <c:v>36</c:v>
                </c:pt>
                <c:pt idx="2894">
                  <c:v>36</c:v>
                </c:pt>
                <c:pt idx="2895">
                  <c:v>36</c:v>
                </c:pt>
                <c:pt idx="2896">
                  <c:v>36</c:v>
                </c:pt>
                <c:pt idx="2897">
                  <c:v>36</c:v>
                </c:pt>
                <c:pt idx="2898">
                  <c:v>36</c:v>
                </c:pt>
                <c:pt idx="2899">
                  <c:v>36</c:v>
                </c:pt>
                <c:pt idx="2900">
                  <c:v>36</c:v>
                </c:pt>
                <c:pt idx="2901">
                  <c:v>36</c:v>
                </c:pt>
                <c:pt idx="2902">
                  <c:v>36</c:v>
                </c:pt>
                <c:pt idx="2903">
                  <c:v>36</c:v>
                </c:pt>
                <c:pt idx="2904">
                  <c:v>36</c:v>
                </c:pt>
                <c:pt idx="2905">
                  <c:v>36</c:v>
                </c:pt>
                <c:pt idx="2906">
                  <c:v>36</c:v>
                </c:pt>
                <c:pt idx="2907">
                  <c:v>36</c:v>
                </c:pt>
                <c:pt idx="2908">
                  <c:v>36</c:v>
                </c:pt>
                <c:pt idx="2926">
                  <c:v>37</c:v>
                </c:pt>
                <c:pt idx="2927">
                  <c:v>37</c:v>
                </c:pt>
                <c:pt idx="2928">
                  <c:v>37</c:v>
                </c:pt>
                <c:pt idx="2929">
                  <c:v>37</c:v>
                </c:pt>
                <c:pt idx="2930">
                  <c:v>37</c:v>
                </c:pt>
                <c:pt idx="2931">
                  <c:v>37</c:v>
                </c:pt>
                <c:pt idx="2932">
                  <c:v>37</c:v>
                </c:pt>
                <c:pt idx="2933">
                  <c:v>37</c:v>
                </c:pt>
                <c:pt idx="2934">
                  <c:v>37</c:v>
                </c:pt>
                <c:pt idx="2935">
                  <c:v>37</c:v>
                </c:pt>
                <c:pt idx="2936">
                  <c:v>37</c:v>
                </c:pt>
                <c:pt idx="2937">
                  <c:v>37</c:v>
                </c:pt>
                <c:pt idx="2938">
                  <c:v>37</c:v>
                </c:pt>
                <c:pt idx="2939">
                  <c:v>37</c:v>
                </c:pt>
                <c:pt idx="2940">
                  <c:v>37</c:v>
                </c:pt>
                <c:pt idx="2941">
                  <c:v>37</c:v>
                </c:pt>
                <c:pt idx="2942">
                  <c:v>37</c:v>
                </c:pt>
                <c:pt idx="2943">
                  <c:v>37</c:v>
                </c:pt>
                <c:pt idx="2944">
                  <c:v>37</c:v>
                </c:pt>
                <c:pt idx="2945">
                  <c:v>37</c:v>
                </c:pt>
                <c:pt idx="2946">
                  <c:v>37</c:v>
                </c:pt>
                <c:pt idx="2947">
                  <c:v>37</c:v>
                </c:pt>
                <c:pt idx="2948">
                  <c:v>37</c:v>
                </c:pt>
                <c:pt idx="2999">
                  <c:v>38</c:v>
                </c:pt>
                <c:pt idx="3000">
                  <c:v>38</c:v>
                </c:pt>
                <c:pt idx="3001">
                  <c:v>38</c:v>
                </c:pt>
                <c:pt idx="3002">
                  <c:v>38</c:v>
                </c:pt>
                <c:pt idx="3003">
                  <c:v>38</c:v>
                </c:pt>
                <c:pt idx="3004">
                  <c:v>38</c:v>
                </c:pt>
                <c:pt idx="3005">
                  <c:v>38</c:v>
                </c:pt>
                <c:pt idx="3006">
                  <c:v>38</c:v>
                </c:pt>
                <c:pt idx="3007">
                  <c:v>38</c:v>
                </c:pt>
                <c:pt idx="3008">
                  <c:v>38</c:v>
                </c:pt>
                <c:pt idx="3009">
                  <c:v>38</c:v>
                </c:pt>
                <c:pt idx="3010">
                  <c:v>38</c:v>
                </c:pt>
                <c:pt idx="3011">
                  <c:v>38</c:v>
                </c:pt>
                <c:pt idx="3012">
                  <c:v>38</c:v>
                </c:pt>
                <c:pt idx="3013">
                  <c:v>38</c:v>
                </c:pt>
                <c:pt idx="3014">
                  <c:v>38</c:v>
                </c:pt>
                <c:pt idx="3015">
                  <c:v>38</c:v>
                </c:pt>
                <c:pt idx="3016">
                  <c:v>38</c:v>
                </c:pt>
                <c:pt idx="3017">
                  <c:v>38</c:v>
                </c:pt>
                <c:pt idx="3018">
                  <c:v>38</c:v>
                </c:pt>
                <c:pt idx="3019">
                  <c:v>38</c:v>
                </c:pt>
                <c:pt idx="3020">
                  <c:v>38</c:v>
                </c:pt>
                <c:pt idx="3021">
                  <c:v>38</c:v>
                </c:pt>
                <c:pt idx="3022">
                  <c:v>38</c:v>
                </c:pt>
                <c:pt idx="3023">
                  <c:v>38</c:v>
                </c:pt>
                <c:pt idx="3024">
                  <c:v>38</c:v>
                </c:pt>
                <c:pt idx="3025">
                  <c:v>38</c:v>
                </c:pt>
                <c:pt idx="3026">
                  <c:v>38</c:v>
                </c:pt>
                <c:pt idx="3027">
                  <c:v>38</c:v>
                </c:pt>
                <c:pt idx="3028">
                  <c:v>38</c:v>
                </c:pt>
                <c:pt idx="3029">
                  <c:v>38</c:v>
                </c:pt>
                <c:pt idx="3030">
                  <c:v>38</c:v>
                </c:pt>
                <c:pt idx="3031">
                  <c:v>38</c:v>
                </c:pt>
                <c:pt idx="3032">
                  <c:v>38</c:v>
                </c:pt>
                <c:pt idx="3033">
                  <c:v>38</c:v>
                </c:pt>
                <c:pt idx="3034">
                  <c:v>38</c:v>
                </c:pt>
                <c:pt idx="3035">
                  <c:v>38</c:v>
                </c:pt>
                <c:pt idx="3036">
                  <c:v>38</c:v>
                </c:pt>
                <c:pt idx="3037">
                  <c:v>38</c:v>
                </c:pt>
                <c:pt idx="3038">
                  <c:v>38</c:v>
                </c:pt>
                <c:pt idx="3039">
                  <c:v>38</c:v>
                </c:pt>
                <c:pt idx="3040">
                  <c:v>38</c:v>
                </c:pt>
                <c:pt idx="3041">
                  <c:v>38</c:v>
                </c:pt>
                <c:pt idx="3042">
                  <c:v>38</c:v>
                </c:pt>
                <c:pt idx="3043">
                  <c:v>38</c:v>
                </c:pt>
                <c:pt idx="3044">
                  <c:v>38</c:v>
                </c:pt>
                <c:pt idx="3045">
                  <c:v>38</c:v>
                </c:pt>
                <c:pt idx="3046">
                  <c:v>38</c:v>
                </c:pt>
                <c:pt idx="3047">
                  <c:v>38</c:v>
                </c:pt>
                <c:pt idx="3048">
                  <c:v>38</c:v>
                </c:pt>
                <c:pt idx="3049">
                  <c:v>38</c:v>
                </c:pt>
                <c:pt idx="3050">
                  <c:v>38</c:v>
                </c:pt>
                <c:pt idx="3051">
                  <c:v>38</c:v>
                </c:pt>
                <c:pt idx="3052">
                  <c:v>38</c:v>
                </c:pt>
                <c:pt idx="3053">
                  <c:v>38</c:v>
                </c:pt>
                <c:pt idx="3054">
                  <c:v>38</c:v>
                </c:pt>
                <c:pt idx="3055">
                  <c:v>38</c:v>
                </c:pt>
                <c:pt idx="3056">
                  <c:v>38</c:v>
                </c:pt>
                <c:pt idx="3073">
                  <c:v>39</c:v>
                </c:pt>
                <c:pt idx="3074">
                  <c:v>39</c:v>
                </c:pt>
                <c:pt idx="3075">
                  <c:v>39</c:v>
                </c:pt>
                <c:pt idx="3076">
                  <c:v>39</c:v>
                </c:pt>
                <c:pt idx="3077">
                  <c:v>39</c:v>
                </c:pt>
                <c:pt idx="3078">
                  <c:v>39</c:v>
                </c:pt>
                <c:pt idx="3079">
                  <c:v>39</c:v>
                </c:pt>
                <c:pt idx="3080">
                  <c:v>39</c:v>
                </c:pt>
                <c:pt idx="3081">
                  <c:v>39</c:v>
                </c:pt>
                <c:pt idx="3082">
                  <c:v>39</c:v>
                </c:pt>
                <c:pt idx="3083">
                  <c:v>39</c:v>
                </c:pt>
                <c:pt idx="3084">
                  <c:v>39</c:v>
                </c:pt>
                <c:pt idx="3085">
                  <c:v>39</c:v>
                </c:pt>
                <c:pt idx="3086">
                  <c:v>39</c:v>
                </c:pt>
                <c:pt idx="3087">
                  <c:v>39</c:v>
                </c:pt>
                <c:pt idx="3088">
                  <c:v>39</c:v>
                </c:pt>
                <c:pt idx="3151">
                  <c:v>40</c:v>
                </c:pt>
                <c:pt idx="3152">
                  <c:v>40</c:v>
                </c:pt>
                <c:pt idx="3153">
                  <c:v>40</c:v>
                </c:pt>
                <c:pt idx="3154">
                  <c:v>40</c:v>
                </c:pt>
                <c:pt idx="3155">
                  <c:v>40</c:v>
                </c:pt>
                <c:pt idx="3167">
                  <c:v>41</c:v>
                </c:pt>
                <c:pt idx="3168">
                  <c:v>41</c:v>
                </c:pt>
                <c:pt idx="3169">
                  <c:v>41</c:v>
                </c:pt>
                <c:pt idx="3170">
                  <c:v>41</c:v>
                </c:pt>
                <c:pt idx="3171">
                  <c:v>41</c:v>
                </c:pt>
                <c:pt idx="3172">
                  <c:v>41</c:v>
                </c:pt>
                <c:pt idx="3173">
                  <c:v>41</c:v>
                </c:pt>
                <c:pt idx="3174">
                  <c:v>41</c:v>
                </c:pt>
                <c:pt idx="3175">
                  <c:v>41</c:v>
                </c:pt>
                <c:pt idx="3176">
                  <c:v>41</c:v>
                </c:pt>
                <c:pt idx="3177">
                  <c:v>41</c:v>
                </c:pt>
                <c:pt idx="3178">
                  <c:v>41</c:v>
                </c:pt>
                <c:pt idx="3179">
                  <c:v>41</c:v>
                </c:pt>
                <c:pt idx="3180">
                  <c:v>41</c:v>
                </c:pt>
                <c:pt idx="3181">
                  <c:v>41</c:v>
                </c:pt>
                <c:pt idx="3182">
                  <c:v>41</c:v>
                </c:pt>
                <c:pt idx="3183">
                  <c:v>41</c:v>
                </c:pt>
                <c:pt idx="3184">
                  <c:v>41</c:v>
                </c:pt>
                <c:pt idx="3198">
                  <c:v>42</c:v>
                </c:pt>
                <c:pt idx="3199">
                  <c:v>42</c:v>
                </c:pt>
                <c:pt idx="3200">
                  <c:v>42</c:v>
                </c:pt>
                <c:pt idx="3201">
                  <c:v>42</c:v>
                </c:pt>
                <c:pt idx="3202">
                  <c:v>42</c:v>
                </c:pt>
                <c:pt idx="3203">
                  <c:v>42</c:v>
                </c:pt>
                <c:pt idx="3204">
                  <c:v>42</c:v>
                </c:pt>
                <c:pt idx="3205">
                  <c:v>42</c:v>
                </c:pt>
                <c:pt idx="3206">
                  <c:v>42</c:v>
                </c:pt>
                <c:pt idx="3207">
                  <c:v>42</c:v>
                </c:pt>
                <c:pt idx="3208">
                  <c:v>42</c:v>
                </c:pt>
                <c:pt idx="3209">
                  <c:v>42</c:v>
                </c:pt>
                <c:pt idx="3210">
                  <c:v>42</c:v>
                </c:pt>
                <c:pt idx="3211">
                  <c:v>42</c:v>
                </c:pt>
                <c:pt idx="3212">
                  <c:v>42</c:v>
                </c:pt>
                <c:pt idx="3213">
                  <c:v>42</c:v>
                </c:pt>
                <c:pt idx="3214">
                  <c:v>42</c:v>
                </c:pt>
                <c:pt idx="3215">
                  <c:v>42</c:v>
                </c:pt>
                <c:pt idx="3216">
                  <c:v>42</c:v>
                </c:pt>
                <c:pt idx="3217">
                  <c:v>42</c:v>
                </c:pt>
                <c:pt idx="3218">
                  <c:v>42</c:v>
                </c:pt>
                <c:pt idx="3219">
                  <c:v>42</c:v>
                </c:pt>
                <c:pt idx="3220">
                  <c:v>42</c:v>
                </c:pt>
                <c:pt idx="3221">
                  <c:v>42</c:v>
                </c:pt>
                <c:pt idx="3222">
                  <c:v>42</c:v>
                </c:pt>
                <c:pt idx="3223">
                  <c:v>42</c:v>
                </c:pt>
                <c:pt idx="3224">
                  <c:v>42</c:v>
                </c:pt>
                <c:pt idx="3225">
                  <c:v>42</c:v>
                </c:pt>
                <c:pt idx="3226">
                  <c:v>42</c:v>
                </c:pt>
                <c:pt idx="3227">
                  <c:v>42</c:v>
                </c:pt>
                <c:pt idx="3228">
                  <c:v>42</c:v>
                </c:pt>
                <c:pt idx="3229">
                  <c:v>42</c:v>
                </c:pt>
                <c:pt idx="3230">
                  <c:v>42</c:v>
                </c:pt>
                <c:pt idx="3231">
                  <c:v>42</c:v>
                </c:pt>
                <c:pt idx="3232">
                  <c:v>42</c:v>
                </c:pt>
                <c:pt idx="3233">
                  <c:v>42</c:v>
                </c:pt>
                <c:pt idx="3234">
                  <c:v>42</c:v>
                </c:pt>
                <c:pt idx="3235">
                  <c:v>42</c:v>
                </c:pt>
                <c:pt idx="3236">
                  <c:v>42</c:v>
                </c:pt>
                <c:pt idx="3237">
                  <c:v>42</c:v>
                </c:pt>
                <c:pt idx="3238">
                  <c:v>42</c:v>
                </c:pt>
                <c:pt idx="3239">
                  <c:v>42</c:v>
                </c:pt>
                <c:pt idx="3240">
                  <c:v>42</c:v>
                </c:pt>
                <c:pt idx="3241">
                  <c:v>42</c:v>
                </c:pt>
                <c:pt idx="3242">
                  <c:v>42</c:v>
                </c:pt>
                <c:pt idx="3243">
                  <c:v>42</c:v>
                </c:pt>
                <c:pt idx="3244">
                  <c:v>42</c:v>
                </c:pt>
                <c:pt idx="3245">
                  <c:v>42</c:v>
                </c:pt>
                <c:pt idx="3246">
                  <c:v>42</c:v>
                </c:pt>
                <c:pt idx="3247">
                  <c:v>42</c:v>
                </c:pt>
                <c:pt idx="3248">
                  <c:v>42</c:v>
                </c:pt>
                <c:pt idx="3249">
                  <c:v>42</c:v>
                </c:pt>
                <c:pt idx="3250">
                  <c:v>42</c:v>
                </c:pt>
                <c:pt idx="3251">
                  <c:v>42</c:v>
                </c:pt>
                <c:pt idx="3252">
                  <c:v>42</c:v>
                </c:pt>
                <c:pt idx="3253">
                  <c:v>42</c:v>
                </c:pt>
                <c:pt idx="3254">
                  <c:v>42</c:v>
                </c:pt>
                <c:pt idx="3255">
                  <c:v>42</c:v>
                </c:pt>
                <c:pt idx="3256">
                  <c:v>42</c:v>
                </c:pt>
                <c:pt idx="3257">
                  <c:v>42</c:v>
                </c:pt>
                <c:pt idx="3284">
                  <c:v>43</c:v>
                </c:pt>
                <c:pt idx="3285">
                  <c:v>43</c:v>
                </c:pt>
                <c:pt idx="3286">
                  <c:v>43</c:v>
                </c:pt>
                <c:pt idx="3287">
                  <c:v>43</c:v>
                </c:pt>
                <c:pt idx="3288">
                  <c:v>43</c:v>
                </c:pt>
                <c:pt idx="3289">
                  <c:v>43</c:v>
                </c:pt>
                <c:pt idx="3290">
                  <c:v>43</c:v>
                </c:pt>
                <c:pt idx="3291">
                  <c:v>43</c:v>
                </c:pt>
                <c:pt idx="3292">
                  <c:v>43</c:v>
                </c:pt>
                <c:pt idx="3293">
                  <c:v>43</c:v>
                </c:pt>
                <c:pt idx="3294">
                  <c:v>43</c:v>
                </c:pt>
                <c:pt idx="3295">
                  <c:v>43</c:v>
                </c:pt>
                <c:pt idx="3296">
                  <c:v>43</c:v>
                </c:pt>
                <c:pt idx="3297">
                  <c:v>43</c:v>
                </c:pt>
                <c:pt idx="3298">
                  <c:v>43</c:v>
                </c:pt>
                <c:pt idx="3299">
                  <c:v>43</c:v>
                </c:pt>
                <c:pt idx="3300">
                  <c:v>43</c:v>
                </c:pt>
                <c:pt idx="3301">
                  <c:v>43</c:v>
                </c:pt>
                <c:pt idx="3302">
                  <c:v>43</c:v>
                </c:pt>
                <c:pt idx="3303">
                  <c:v>43</c:v>
                </c:pt>
                <c:pt idx="3304">
                  <c:v>43</c:v>
                </c:pt>
                <c:pt idx="3305">
                  <c:v>43</c:v>
                </c:pt>
                <c:pt idx="3306">
                  <c:v>43</c:v>
                </c:pt>
                <c:pt idx="3307">
                  <c:v>43</c:v>
                </c:pt>
                <c:pt idx="3308">
                  <c:v>43</c:v>
                </c:pt>
                <c:pt idx="3309">
                  <c:v>43</c:v>
                </c:pt>
                <c:pt idx="3310">
                  <c:v>43</c:v>
                </c:pt>
                <c:pt idx="3311">
                  <c:v>43</c:v>
                </c:pt>
                <c:pt idx="3312">
                  <c:v>43</c:v>
                </c:pt>
                <c:pt idx="3313">
                  <c:v>43</c:v>
                </c:pt>
                <c:pt idx="3314">
                  <c:v>43</c:v>
                </c:pt>
                <c:pt idx="3315">
                  <c:v>43</c:v>
                </c:pt>
                <c:pt idx="3363">
                  <c:v>44</c:v>
                </c:pt>
                <c:pt idx="3364">
                  <c:v>44</c:v>
                </c:pt>
                <c:pt idx="3365">
                  <c:v>44</c:v>
                </c:pt>
                <c:pt idx="3366">
                  <c:v>44</c:v>
                </c:pt>
                <c:pt idx="3367">
                  <c:v>44</c:v>
                </c:pt>
                <c:pt idx="3368">
                  <c:v>44</c:v>
                </c:pt>
                <c:pt idx="3369">
                  <c:v>44</c:v>
                </c:pt>
                <c:pt idx="3370">
                  <c:v>44</c:v>
                </c:pt>
                <c:pt idx="3371">
                  <c:v>44</c:v>
                </c:pt>
                <c:pt idx="3372">
                  <c:v>44</c:v>
                </c:pt>
                <c:pt idx="3373">
                  <c:v>44</c:v>
                </c:pt>
                <c:pt idx="3374">
                  <c:v>44</c:v>
                </c:pt>
                <c:pt idx="3375">
                  <c:v>44</c:v>
                </c:pt>
                <c:pt idx="3376">
                  <c:v>44</c:v>
                </c:pt>
                <c:pt idx="3377">
                  <c:v>44</c:v>
                </c:pt>
                <c:pt idx="3378">
                  <c:v>44</c:v>
                </c:pt>
                <c:pt idx="3379">
                  <c:v>44</c:v>
                </c:pt>
                <c:pt idx="3380">
                  <c:v>44</c:v>
                </c:pt>
                <c:pt idx="3381">
                  <c:v>44</c:v>
                </c:pt>
                <c:pt idx="3382">
                  <c:v>44</c:v>
                </c:pt>
                <c:pt idx="3383">
                  <c:v>44</c:v>
                </c:pt>
                <c:pt idx="3384">
                  <c:v>44</c:v>
                </c:pt>
                <c:pt idx="3385">
                  <c:v>44</c:v>
                </c:pt>
                <c:pt idx="3386">
                  <c:v>44</c:v>
                </c:pt>
                <c:pt idx="3387">
                  <c:v>44</c:v>
                </c:pt>
                <c:pt idx="3388">
                  <c:v>44</c:v>
                </c:pt>
                <c:pt idx="3389">
                  <c:v>44</c:v>
                </c:pt>
                <c:pt idx="3390">
                  <c:v>44</c:v>
                </c:pt>
                <c:pt idx="3391">
                  <c:v>44</c:v>
                </c:pt>
                <c:pt idx="3392">
                  <c:v>44</c:v>
                </c:pt>
                <c:pt idx="3393">
                  <c:v>44</c:v>
                </c:pt>
                <c:pt idx="3394">
                  <c:v>44</c:v>
                </c:pt>
                <c:pt idx="3395">
                  <c:v>44</c:v>
                </c:pt>
                <c:pt idx="3396">
                  <c:v>44</c:v>
                </c:pt>
                <c:pt idx="3397">
                  <c:v>44</c:v>
                </c:pt>
                <c:pt idx="3398">
                  <c:v>44</c:v>
                </c:pt>
                <c:pt idx="3399">
                  <c:v>44</c:v>
                </c:pt>
                <c:pt idx="3400">
                  <c:v>44</c:v>
                </c:pt>
                <c:pt idx="3401">
                  <c:v>44</c:v>
                </c:pt>
                <c:pt idx="3402">
                  <c:v>44</c:v>
                </c:pt>
                <c:pt idx="3403">
                  <c:v>44</c:v>
                </c:pt>
                <c:pt idx="3404">
                  <c:v>44</c:v>
                </c:pt>
                <c:pt idx="3405">
                  <c:v>44</c:v>
                </c:pt>
                <c:pt idx="3406">
                  <c:v>44</c:v>
                </c:pt>
                <c:pt idx="3407">
                  <c:v>44</c:v>
                </c:pt>
                <c:pt idx="3408">
                  <c:v>44</c:v>
                </c:pt>
                <c:pt idx="3409">
                  <c:v>44</c:v>
                </c:pt>
                <c:pt idx="3410">
                  <c:v>44</c:v>
                </c:pt>
                <c:pt idx="3411">
                  <c:v>44</c:v>
                </c:pt>
                <c:pt idx="3412">
                  <c:v>44</c:v>
                </c:pt>
                <c:pt idx="3425">
                  <c:v>45</c:v>
                </c:pt>
                <c:pt idx="3426">
                  <c:v>45</c:v>
                </c:pt>
                <c:pt idx="3427">
                  <c:v>45</c:v>
                </c:pt>
                <c:pt idx="3428">
                  <c:v>45</c:v>
                </c:pt>
                <c:pt idx="3429">
                  <c:v>45</c:v>
                </c:pt>
                <c:pt idx="3430">
                  <c:v>45</c:v>
                </c:pt>
                <c:pt idx="3431">
                  <c:v>45</c:v>
                </c:pt>
                <c:pt idx="3432">
                  <c:v>45</c:v>
                </c:pt>
                <c:pt idx="3433">
                  <c:v>45</c:v>
                </c:pt>
                <c:pt idx="3434">
                  <c:v>45</c:v>
                </c:pt>
                <c:pt idx="3435">
                  <c:v>45</c:v>
                </c:pt>
                <c:pt idx="3436">
                  <c:v>45</c:v>
                </c:pt>
                <c:pt idx="3437">
                  <c:v>45</c:v>
                </c:pt>
                <c:pt idx="3438">
                  <c:v>45</c:v>
                </c:pt>
                <c:pt idx="3439">
                  <c:v>45</c:v>
                </c:pt>
                <c:pt idx="3440">
                  <c:v>45</c:v>
                </c:pt>
                <c:pt idx="3441">
                  <c:v>45</c:v>
                </c:pt>
                <c:pt idx="3442">
                  <c:v>45</c:v>
                </c:pt>
                <c:pt idx="3443">
                  <c:v>45</c:v>
                </c:pt>
                <c:pt idx="3444">
                  <c:v>45</c:v>
                </c:pt>
                <c:pt idx="3445">
                  <c:v>45</c:v>
                </c:pt>
                <c:pt idx="3446">
                  <c:v>45</c:v>
                </c:pt>
                <c:pt idx="3447">
                  <c:v>45</c:v>
                </c:pt>
                <c:pt idx="3448">
                  <c:v>45</c:v>
                </c:pt>
                <c:pt idx="3449">
                  <c:v>45</c:v>
                </c:pt>
                <c:pt idx="3450">
                  <c:v>45</c:v>
                </c:pt>
                <c:pt idx="3451">
                  <c:v>45</c:v>
                </c:pt>
                <c:pt idx="3452">
                  <c:v>45</c:v>
                </c:pt>
                <c:pt idx="3453">
                  <c:v>45</c:v>
                </c:pt>
                <c:pt idx="3454">
                  <c:v>45</c:v>
                </c:pt>
                <c:pt idx="3455">
                  <c:v>45</c:v>
                </c:pt>
                <c:pt idx="3456">
                  <c:v>45</c:v>
                </c:pt>
                <c:pt idx="3457">
                  <c:v>45</c:v>
                </c:pt>
                <c:pt idx="3458">
                  <c:v>45</c:v>
                </c:pt>
                <c:pt idx="3459">
                  <c:v>45</c:v>
                </c:pt>
                <c:pt idx="3460">
                  <c:v>45</c:v>
                </c:pt>
                <c:pt idx="3461">
                  <c:v>45</c:v>
                </c:pt>
                <c:pt idx="3462">
                  <c:v>45</c:v>
                </c:pt>
                <c:pt idx="3463">
                  <c:v>45</c:v>
                </c:pt>
                <c:pt idx="3464">
                  <c:v>45</c:v>
                </c:pt>
                <c:pt idx="3465">
                  <c:v>45</c:v>
                </c:pt>
                <c:pt idx="3466">
                  <c:v>45</c:v>
                </c:pt>
                <c:pt idx="3467">
                  <c:v>45</c:v>
                </c:pt>
                <c:pt idx="3468">
                  <c:v>45</c:v>
                </c:pt>
                <c:pt idx="3469">
                  <c:v>45</c:v>
                </c:pt>
                <c:pt idx="3475">
                  <c:v>46</c:v>
                </c:pt>
                <c:pt idx="3476">
                  <c:v>46</c:v>
                </c:pt>
                <c:pt idx="3477">
                  <c:v>46</c:v>
                </c:pt>
                <c:pt idx="3478">
                  <c:v>46</c:v>
                </c:pt>
                <c:pt idx="3479">
                  <c:v>46</c:v>
                </c:pt>
                <c:pt idx="3480">
                  <c:v>46</c:v>
                </c:pt>
                <c:pt idx="3481">
                  <c:v>46</c:v>
                </c:pt>
                <c:pt idx="3482">
                  <c:v>46</c:v>
                </c:pt>
                <c:pt idx="3483">
                  <c:v>46</c:v>
                </c:pt>
                <c:pt idx="3484">
                  <c:v>46</c:v>
                </c:pt>
                <c:pt idx="3485">
                  <c:v>46</c:v>
                </c:pt>
                <c:pt idx="3486">
                  <c:v>46</c:v>
                </c:pt>
                <c:pt idx="3487">
                  <c:v>46</c:v>
                </c:pt>
                <c:pt idx="3488">
                  <c:v>46</c:v>
                </c:pt>
                <c:pt idx="3489">
                  <c:v>46</c:v>
                </c:pt>
                <c:pt idx="3490">
                  <c:v>46</c:v>
                </c:pt>
                <c:pt idx="3491">
                  <c:v>46</c:v>
                </c:pt>
                <c:pt idx="3492">
                  <c:v>46</c:v>
                </c:pt>
                <c:pt idx="3493">
                  <c:v>46</c:v>
                </c:pt>
                <c:pt idx="3494">
                  <c:v>46</c:v>
                </c:pt>
                <c:pt idx="3495">
                  <c:v>46</c:v>
                </c:pt>
                <c:pt idx="3496">
                  <c:v>46</c:v>
                </c:pt>
                <c:pt idx="3497">
                  <c:v>46</c:v>
                </c:pt>
                <c:pt idx="3498">
                  <c:v>46</c:v>
                </c:pt>
                <c:pt idx="3499">
                  <c:v>46</c:v>
                </c:pt>
                <c:pt idx="3500">
                  <c:v>46</c:v>
                </c:pt>
                <c:pt idx="3501">
                  <c:v>46</c:v>
                </c:pt>
                <c:pt idx="3502">
                  <c:v>46</c:v>
                </c:pt>
                <c:pt idx="3503">
                  <c:v>46</c:v>
                </c:pt>
                <c:pt idx="3504">
                  <c:v>46</c:v>
                </c:pt>
                <c:pt idx="3505">
                  <c:v>46</c:v>
                </c:pt>
                <c:pt idx="3506">
                  <c:v>46</c:v>
                </c:pt>
                <c:pt idx="3507">
                  <c:v>46</c:v>
                </c:pt>
                <c:pt idx="3508">
                  <c:v>46</c:v>
                </c:pt>
                <c:pt idx="3509">
                  <c:v>46</c:v>
                </c:pt>
                <c:pt idx="3510">
                  <c:v>46</c:v>
                </c:pt>
                <c:pt idx="3511">
                  <c:v>46</c:v>
                </c:pt>
                <c:pt idx="3527">
                  <c:v>47</c:v>
                </c:pt>
                <c:pt idx="3528">
                  <c:v>47</c:v>
                </c:pt>
                <c:pt idx="3529">
                  <c:v>47</c:v>
                </c:pt>
                <c:pt idx="3530">
                  <c:v>47</c:v>
                </c:pt>
                <c:pt idx="3531">
                  <c:v>47</c:v>
                </c:pt>
                <c:pt idx="3532">
                  <c:v>47</c:v>
                </c:pt>
                <c:pt idx="3533">
                  <c:v>47</c:v>
                </c:pt>
                <c:pt idx="3534">
                  <c:v>47</c:v>
                </c:pt>
                <c:pt idx="3535">
                  <c:v>47</c:v>
                </c:pt>
                <c:pt idx="3536">
                  <c:v>47</c:v>
                </c:pt>
                <c:pt idx="3537">
                  <c:v>47</c:v>
                </c:pt>
                <c:pt idx="3538">
                  <c:v>47</c:v>
                </c:pt>
                <c:pt idx="3539">
                  <c:v>47</c:v>
                </c:pt>
                <c:pt idx="3540">
                  <c:v>47</c:v>
                </c:pt>
                <c:pt idx="3541">
                  <c:v>47</c:v>
                </c:pt>
                <c:pt idx="3542">
                  <c:v>47</c:v>
                </c:pt>
                <c:pt idx="3543">
                  <c:v>47</c:v>
                </c:pt>
                <c:pt idx="3544">
                  <c:v>47</c:v>
                </c:pt>
                <c:pt idx="3545">
                  <c:v>47</c:v>
                </c:pt>
                <c:pt idx="3546">
                  <c:v>47</c:v>
                </c:pt>
                <c:pt idx="3547">
                  <c:v>47</c:v>
                </c:pt>
                <c:pt idx="3548">
                  <c:v>47</c:v>
                </c:pt>
                <c:pt idx="3549">
                  <c:v>47</c:v>
                </c:pt>
                <c:pt idx="3550">
                  <c:v>47</c:v>
                </c:pt>
                <c:pt idx="3551">
                  <c:v>47</c:v>
                </c:pt>
                <c:pt idx="3552">
                  <c:v>47</c:v>
                </c:pt>
                <c:pt idx="3553">
                  <c:v>47</c:v>
                </c:pt>
                <c:pt idx="3554">
                  <c:v>47</c:v>
                </c:pt>
                <c:pt idx="3555">
                  <c:v>47</c:v>
                </c:pt>
                <c:pt idx="3556">
                  <c:v>47</c:v>
                </c:pt>
                <c:pt idx="3557">
                  <c:v>47</c:v>
                </c:pt>
                <c:pt idx="3558">
                  <c:v>47</c:v>
                </c:pt>
                <c:pt idx="3559">
                  <c:v>47</c:v>
                </c:pt>
                <c:pt idx="3560">
                  <c:v>47</c:v>
                </c:pt>
                <c:pt idx="3561">
                  <c:v>47</c:v>
                </c:pt>
                <c:pt idx="3562">
                  <c:v>47</c:v>
                </c:pt>
                <c:pt idx="3563">
                  <c:v>47</c:v>
                </c:pt>
                <c:pt idx="3564">
                  <c:v>47</c:v>
                </c:pt>
                <c:pt idx="3565">
                  <c:v>47</c:v>
                </c:pt>
                <c:pt idx="3566">
                  <c:v>47</c:v>
                </c:pt>
                <c:pt idx="3567">
                  <c:v>47</c:v>
                </c:pt>
                <c:pt idx="3568">
                  <c:v>47</c:v>
                </c:pt>
                <c:pt idx="3569">
                  <c:v>47</c:v>
                </c:pt>
                <c:pt idx="3570">
                  <c:v>47</c:v>
                </c:pt>
                <c:pt idx="3571">
                  <c:v>47</c:v>
                </c:pt>
                <c:pt idx="3572">
                  <c:v>47</c:v>
                </c:pt>
                <c:pt idx="3573">
                  <c:v>47</c:v>
                </c:pt>
                <c:pt idx="3574">
                  <c:v>47</c:v>
                </c:pt>
                <c:pt idx="3608">
                  <c:v>48</c:v>
                </c:pt>
                <c:pt idx="3609">
                  <c:v>48</c:v>
                </c:pt>
                <c:pt idx="3610">
                  <c:v>48</c:v>
                </c:pt>
                <c:pt idx="3611">
                  <c:v>48</c:v>
                </c:pt>
                <c:pt idx="3612">
                  <c:v>48</c:v>
                </c:pt>
                <c:pt idx="3613">
                  <c:v>48</c:v>
                </c:pt>
                <c:pt idx="3614">
                  <c:v>48</c:v>
                </c:pt>
                <c:pt idx="3615">
                  <c:v>48</c:v>
                </c:pt>
                <c:pt idx="3616">
                  <c:v>48</c:v>
                </c:pt>
                <c:pt idx="3617">
                  <c:v>48</c:v>
                </c:pt>
                <c:pt idx="3618">
                  <c:v>48</c:v>
                </c:pt>
                <c:pt idx="3619">
                  <c:v>48</c:v>
                </c:pt>
                <c:pt idx="3620">
                  <c:v>48</c:v>
                </c:pt>
                <c:pt idx="3621">
                  <c:v>48</c:v>
                </c:pt>
                <c:pt idx="3622">
                  <c:v>48</c:v>
                </c:pt>
                <c:pt idx="3623">
                  <c:v>48</c:v>
                </c:pt>
                <c:pt idx="3624">
                  <c:v>48</c:v>
                </c:pt>
                <c:pt idx="3625">
                  <c:v>48</c:v>
                </c:pt>
                <c:pt idx="3626">
                  <c:v>48</c:v>
                </c:pt>
                <c:pt idx="3627">
                  <c:v>48</c:v>
                </c:pt>
                <c:pt idx="3628">
                  <c:v>48</c:v>
                </c:pt>
                <c:pt idx="3629">
                  <c:v>48</c:v>
                </c:pt>
                <c:pt idx="3630">
                  <c:v>48</c:v>
                </c:pt>
                <c:pt idx="3631">
                  <c:v>48</c:v>
                </c:pt>
                <c:pt idx="3632">
                  <c:v>48</c:v>
                </c:pt>
                <c:pt idx="3639">
                  <c:v>49</c:v>
                </c:pt>
                <c:pt idx="3640">
                  <c:v>49</c:v>
                </c:pt>
                <c:pt idx="3641">
                  <c:v>49</c:v>
                </c:pt>
                <c:pt idx="3642">
                  <c:v>49</c:v>
                </c:pt>
                <c:pt idx="3643">
                  <c:v>49</c:v>
                </c:pt>
                <c:pt idx="3644">
                  <c:v>49</c:v>
                </c:pt>
                <c:pt idx="3645">
                  <c:v>49</c:v>
                </c:pt>
                <c:pt idx="3646">
                  <c:v>49</c:v>
                </c:pt>
                <c:pt idx="3647">
                  <c:v>49</c:v>
                </c:pt>
                <c:pt idx="3648">
                  <c:v>49</c:v>
                </c:pt>
                <c:pt idx="3649">
                  <c:v>49</c:v>
                </c:pt>
                <c:pt idx="3650">
                  <c:v>49</c:v>
                </c:pt>
                <c:pt idx="3651">
                  <c:v>49</c:v>
                </c:pt>
                <c:pt idx="3652">
                  <c:v>49</c:v>
                </c:pt>
                <c:pt idx="3653">
                  <c:v>49</c:v>
                </c:pt>
                <c:pt idx="3654">
                  <c:v>49</c:v>
                </c:pt>
                <c:pt idx="3655">
                  <c:v>49</c:v>
                </c:pt>
                <c:pt idx="3656">
                  <c:v>49</c:v>
                </c:pt>
                <c:pt idx="3657">
                  <c:v>49</c:v>
                </c:pt>
                <c:pt idx="3658">
                  <c:v>49</c:v>
                </c:pt>
                <c:pt idx="3694">
                  <c:v>50</c:v>
                </c:pt>
                <c:pt idx="3695">
                  <c:v>50</c:v>
                </c:pt>
                <c:pt idx="3696">
                  <c:v>50</c:v>
                </c:pt>
                <c:pt idx="3697">
                  <c:v>50</c:v>
                </c:pt>
                <c:pt idx="3698">
                  <c:v>50</c:v>
                </c:pt>
                <c:pt idx="3699">
                  <c:v>50</c:v>
                </c:pt>
                <c:pt idx="3700">
                  <c:v>50</c:v>
                </c:pt>
                <c:pt idx="3701">
                  <c:v>50</c:v>
                </c:pt>
                <c:pt idx="3702">
                  <c:v>50</c:v>
                </c:pt>
                <c:pt idx="3703">
                  <c:v>50</c:v>
                </c:pt>
                <c:pt idx="3704">
                  <c:v>50</c:v>
                </c:pt>
                <c:pt idx="3705">
                  <c:v>50</c:v>
                </c:pt>
                <c:pt idx="3706">
                  <c:v>50</c:v>
                </c:pt>
                <c:pt idx="3707">
                  <c:v>50</c:v>
                </c:pt>
                <c:pt idx="3708">
                  <c:v>50</c:v>
                </c:pt>
                <c:pt idx="3709">
                  <c:v>50</c:v>
                </c:pt>
                <c:pt idx="3710">
                  <c:v>50</c:v>
                </c:pt>
                <c:pt idx="3711">
                  <c:v>50</c:v>
                </c:pt>
                <c:pt idx="3712">
                  <c:v>50</c:v>
                </c:pt>
                <c:pt idx="3713">
                  <c:v>50</c:v>
                </c:pt>
                <c:pt idx="3729">
                  <c:v>51</c:v>
                </c:pt>
                <c:pt idx="3730">
                  <c:v>51</c:v>
                </c:pt>
                <c:pt idx="3731">
                  <c:v>51</c:v>
                </c:pt>
                <c:pt idx="3732">
                  <c:v>51</c:v>
                </c:pt>
                <c:pt idx="3733">
                  <c:v>51</c:v>
                </c:pt>
                <c:pt idx="3734">
                  <c:v>51</c:v>
                </c:pt>
                <c:pt idx="3735">
                  <c:v>51</c:v>
                </c:pt>
                <c:pt idx="3736">
                  <c:v>51</c:v>
                </c:pt>
                <c:pt idx="3737">
                  <c:v>51</c:v>
                </c:pt>
                <c:pt idx="3738">
                  <c:v>51</c:v>
                </c:pt>
                <c:pt idx="3739">
                  <c:v>51</c:v>
                </c:pt>
                <c:pt idx="3740">
                  <c:v>51</c:v>
                </c:pt>
                <c:pt idx="3741">
                  <c:v>51</c:v>
                </c:pt>
                <c:pt idx="3742">
                  <c:v>51</c:v>
                </c:pt>
                <c:pt idx="3814">
                  <c:v>52</c:v>
                </c:pt>
                <c:pt idx="3815">
                  <c:v>52</c:v>
                </c:pt>
                <c:pt idx="3816">
                  <c:v>52</c:v>
                </c:pt>
                <c:pt idx="3817">
                  <c:v>52</c:v>
                </c:pt>
                <c:pt idx="3818">
                  <c:v>52</c:v>
                </c:pt>
                <c:pt idx="3819">
                  <c:v>52</c:v>
                </c:pt>
                <c:pt idx="3820">
                  <c:v>52</c:v>
                </c:pt>
                <c:pt idx="3821">
                  <c:v>52</c:v>
                </c:pt>
                <c:pt idx="3822">
                  <c:v>52</c:v>
                </c:pt>
                <c:pt idx="3823">
                  <c:v>52</c:v>
                </c:pt>
                <c:pt idx="3824">
                  <c:v>52</c:v>
                </c:pt>
                <c:pt idx="3825">
                  <c:v>52</c:v>
                </c:pt>
                <c:pt idx="3826">
                  <c:v>52</c:v>
                </c:pt>
                <c:pt idx="3827">
                  <c:v>52</c:v>
                </c:pt>
                <c:pt idx="3828">
                  <c:v>52</c:v>
                </c:pt>
                <c:pt idx="3829">
                  <c:v>52</c:v>
                </c:pt>
                <c:pt idx="3830">
                  <c:v>52</c:v>
                </c:pt>
                <c:pt idx="3831">
                  <c:v>52</c:v>
                </c:pt>
                <c:pt idx="3832">
                  <c:v>52</c:v>
                </c:pt>
                <c:pt idx="3833">
                  <c:v>52</c:v>
                </c:pt>
                <c:pt idx="3834">
                  <c:v>52</c:v>
                </c:pt>
                <c:pt idx="3835">
                  <c:v>52</c:v>
                </c:pt>
                <c:pt idx="3836">
                  <c:v>52</c:v>
                </c:pt>
                <c:pt idx="3837">
                  <c:v>52</c:v>
                </c:pt>
                <c:pt idx="3838">
                  <c:v>52</c:v>
                </c:pt>
                <c:pt idx="3839">
                  <c:v>52</c:v>
                </c:pt>
                <c:pt idx="3840">
                  <c:v>52</c:v>
                </c:pt>
                <c:pt idx="3841">
                  <c:v>52</c:v>
                </c:pt>
                <c:pt idx="3891">
                  <c:v>53</c:v>
                </c:pt>
                <c:pt idx="3892">
                  <c:v>53</c:v>
                </c:pt>
                <c:pt idx="3893">
                  <c:v>53</c:v>
                </c:pt>
                <c:pt idx="3894">
                  <c:v>53</c:v>
                </c:pt>
                <c:pt idx="3895">
                  <c:v>53</c:v>
                </c:pt>
                <c:pt idx="3896">
                  <c:v>53</c:v>
                </c:pt>
                <c:pt idx="3897">
                  <c:v>53</c:v>
                </c:pt>
                <c:pt idx="3898">
                  <c:v>53</c:v>
                </c:pt>
                <c:pt idx="3899">
                  <c:v>53</c:v>
                </c:pt>
                <c:pt idx="3900">
                  <c:v>53</c:v>
                </c:pt>
                <c:pt idx="3901">
                  <c:v>53</c:v>
                </c:pt>
                <c:pt idx="3902">
                  <c:v>53</c:v>
                </c:pt>
                <c:pt idx="3903">
                  <c:v>53</c:v>
                </c:pt>
                <c:pt idx="3904">
                  <c:v>53</c:v>
                </c:pt>
                <c:pt idx="3905">
                  <c:v>53</c:v>
                </c:pt>
                <c:pt idx="3906">
                  <c:v>53</c:v>
                </c:pt>
                <c:pt idx="3907">
                  <c:v>53</c:v>
                </c:pt>
                <c:pt idx="3908">
                  <c:v>53</c:v>
                </c:pt>
                <c:pt idx="3909">
                  <c:v>53</c:v>
                </c:pt>
                <c:pt idx="3910">
                  <c:v>53</c:v>
                </c:pt>
                <c:pt idx="3911">
                  <c:v>53</c:v>
                </c:pt>
                <c:pt idx="3912">
                  <c:v>53</c:v>
                </c:pt>
                <c:pt idx="3913">
                  <c:v>53</c:v>
                </c:pt>
                <c:pt idx="3914">
                  <c:v>53</c:v>
                </c:pt>
                <c:pt idx="3915">
                  <c:v>53</c:v>
                </c:pt>
                <c:pt idx="3916">
                  <c:v>53</c:v>
                </c:pt>
                <c:pt idx="3917">
                  <c:v>53</c:v>
                </c:pt>
                <c:pt idx="3918">
                  <c:v>53</c:v>
                </c:pt>
                <c:pt idx="3919">
                  <c:v>53</c:v>
                </c:pt>
                <c:pt idx="3920">
                  <c:v>53</c:v>
                </c:pt>
                <c:pt idx="3921">
                  <c:v>53</c:v>
                </c:pt>
                <c:pt idx="3922">
                  <c:v>53</c:v>
                </c:pt>
                <c:pt idx="3923">
                  <c:v>53</c:v>
                </c:pt>
                <c:pt idx="3924">
                  <c:v>53</c:v>
                </c:pt>
                <c:pt idx="3925">
                  <c:v>53</c:v>
                </c:pt>
                <c:pt idx="3926">
                  <c:v>53</c:v>
                </c:pt>
                <c:pt idx="3927">
                  <c:v>53</c:v>
                </c:pt>
                <c:pt idx="3928">
                  <c:v>53</c:v>
                </c:pt>
                <c:pt idx="3929">
                  <c:v>53</c:v>
                </c:pt>
                <c:pt idx="3930">
                  <c:v>53</c:v>
                </c:pt>
                <c:pt idx="3931">
                  <c:v>53</c:v>
                </c:pt>
                <c:pt idx="3932">
                  <c:v>53</c:v>
                </c:pt>
                <c:pt idx="3933">
                  <c:v>53</c:v>
                </c:pt>
                <c:pt idx="3934">
                  <c:v>53</c:v>
                </c:pt>
                <c:pt idx="3935">
                  <c:v>53</c:v>
                </c:pt>
                <c:pt idx="3936">
                  <c:v>53</c:v>
                </c:pt>
                <c:pt idx="3937">
                  <c:v>53</c:v>
                </c:pt>
                <c:pt idx="3938">
                  <c:v>53</c:v>
                </c:pt>
                <c:pt idx="3939">
                  <c:v>53</c:v>
                </c:pt>
                <c:pt idx="3940">
                  <c:v>53</c:v>
                </c:pt>
                <c:pt idx="3941">
                  <c:v>53</c:v>
                </c:pt>
                <c:pt idx="3942">
                  <c:v>53</c:v>
                </c:pt>
                <c:pt idx="3943">
                  <c:v>53</c:v>
                </c:pt>
                <c:pt idx="3944">
                  <c:v>53</c:v>
                </c:pt>
                <c:pt idx="3945">
                  <c:v>53</c:v>
                </c:pt>
                <c:pt idx="3946">
                  <c:v>53</c:v>
                </c:pt>
                <c:pt idx="3947">
                  <c:v>53</c:v>
                </c:pt>
                <c:pt idx="3948">
                  <c:v>53</c:v>
                </c:pt>
                <c:pt idx="3949">
                  <c:v>53</c:v>
                </c:pt>
                <c:pt idx="3950">
                  <c:v>53</c:v>
                </c:pt>
                <c:pt idx="3951">
                  <c:v>53</c:v>
                </c:pt>
                <c:pt idx="3952">
                  <c:v>53</c:v>
                </c:pt>
                <c:pt idx="3953">
                  <c:v>53</c:v>
                </c:pt>
                <c:pt idx="3954">
                  <c:v>53</c:v>
                </c:pt>
                <c:pt idx="3955">
                  <c:v>53</c:v>
                </c:pt>
                <c:pt idx="4060">
                  <c:v>54</c:v>
                </c:pt>
                <c:pt idx="4061">
                  <c:v>54</c:v>
                </c:pt>
                <c:pt idx="4062">
                  <c:v>54</c:v>
                </c:pt>
                <c:pt idx="4063">
                  <c:v>54</c:v>
                </c:pt>
                <c:pt idx="4064">
                  <c:v>54</c:v>
                </c:pt>
                <c:pt idx="4065">
                  <c:v>54</c:v>
                </c:pt>
                <c:pt idx="4066">
                  <c:v>54</c:v>
                </c:pt>
                <c:pt idx="4067">
                  <c:v>54</c:v>
                </c:pt>
                <c:pt idx="4068">
                  <c:v>54</c:v>
                </c:pt>
                <c:pt idx="4069">
                  <c:v>54</c:v>
                </c:pt>
                <c:pt idx="4070">
                  <c:v>54</c:v>
                </c:pt>
                <c:pt idx="4071">
                  <c:v>54</c:v>
                </c:pt>
                <c:pt idx="4072">
                  <c:v>54</c:v>
                </c:pt>
                <c:pt idx="4073">
                  <c:v>54</c:v>
                </c:pt>
                <c:pt idx="4074">
                  <c:v>54</c:v>
                </c:pt>
                <c:pt idx="4075">
                  <c:v>54</c:v>
                </c:pt>
                <c:pt idx="4076">
                  <c:v>54</c:v>
                </c:pt>
                <c:pt idx="4077">
                  <c:v>54</c:v>
                </c:pt>
                <c:pt idx="4078">
                  <c:v>54</c:v>
                </c:pt>
                <c:pt idx="4079">
                  <c:v>54</c:v>
                </c:pt>
                <c:pt idx="4080">
                  <c:v>54</c:v>
                </c:pt>
                <c:pt idx="4081">
                  <c:v>54</c:v>
                </c:pt>
                <c:pt idx="4082">
                  <c:v>54</c:v>
                </c:pt>
                <c:pt idx="4083">
                  <c:v>54</c:v>
                </c:pt>
                <c:pt idx="4084">
                  <c:v>54</c:v>
                </c:pt>
                <c:pt idx="4085">
                  <c:v>54</c:v>
                </c:pt>
                <c:pt idx="4086">
                  <c:v>54</c:v>
                </c:pt>
                <c:pt idx="4087">
                  <c:v>54</c:v>
                </c:pt>
                <c:pt idx="4088">
                  <c:v>54</c:v>
                </c:pt>
                <c:pt idx="4089">
                  <c:v>54</c:v>
                </c:pt>
                <c:pt idx="4090">
                  <c:v>54</c:v>
                </c:pt>
                <c:pt idx="4091">
                  <c:v>54</c:v>
                </c:pt>
                <c:pt idx="4092">
                  <c:v>54</c:v>
                </c:pt>
                <c:pt idx="4093">
                  <c:v>54</c:v>
                </c:pt>
                <c:pt idx="4094">
                  <c:v>54</c:v>
                </c:pt>
                <c:pt idx="4095">
                  <c:v>54</c:v>
                </c:pt>
                <c:pt idx="4096">
                  <c:v>54</c:v>
                </c:pt>
                <c:pt idx="4097">
                  <c:v>54</c:v>
                </c:pt>
                <c:pt idx="4098">
                  <c:v>54</c:v>
                </c:pt>
                <c:pt idx="4099">
                  <c:v>54</c:v>
                </c:pt>
                <c:pt idx="4100">
                  <c:v>54</c:v>
                </c:pt>
                <c:pt idx="4101">
                  <c:v>54</c:v>
                </c:pt>
                <c:pt idx="4102">
                  <c:v>54</c:v>
                </c:pt>
                <c:pt idx="4103">
                  <c:v>54</c:v>
                </c:pt>
                <c:pt idx="4104">
                  <c:v>54</c:v>
                </c:pt>
                <c:pt idx="4105">
                  <c:v>54</c:v>
                </c:pt>
                <c:pt idx="4106">
                  <c:v>54</c:v>
                </c:pt>
                <c:pt idx="4107">
                  <c:v>54</c:v>
                </c:pt>
                <c:pt idx="4108">
                  <c:v>54</c:v>
                </c:pt>
                <c:pt idx="4109">
                  <c:v>54</c:v>
                </c:pt>
                <c:pt idx="4110">
                  <c:v>54</c:v>
                </c:pt>
                <c:pt idx="4111">
                  <c:v>54</c:v>
                </c:pt>
                <c:pt idx="4112">
                  <c:v>54</c:v>
                </c:pt>
                <c:pt idx="4113">
                  <c:v>54</c:v>
                </c:pt>
                <c:pt idx="4114">
                  <c:v>54</c:v>
                </c:pt>
                <c:pt idx="4115">
                  <c:v>54</c:v>
                </c:pt>
                <c:pt idx="4116">
                  <c:v>54</c:v>
                </c:pt>
                <c:pt idx="4117">
                  <c:v>54</c:v>
                </c:pt>
                <c:pt idx="4118">
                  <c:v>54</c:v>
                </c:pt>
                <c:pt idx="4119">
                  <c:v>54</c:v>
                </c:pt>
                <c:pt idx="4120">
                  <c:v>54</c:v>
                </c:pt>
                <c:pt idx="4121">
                  <c:v>54</c:v>
                </c:pt>
                <c:pt idx="4122">
                  <c:v>54</c:v>
                </c:pt>
                <c:pt idx="4123">
                  <c:v>54</c:v>
                </c:pt>
                <c:pt idx="4124">
                  <c:v>54</c:v>
                </c:pt>
                <c:pt idx="4125">
                  <c:v>54</c:v>
                </c:pt>
                <c:pt idx="4126">
                  <c:v>54</c:v>
                </c:pt>
                <c:pt idx="4127">
                  <c:v>54</c:v>
                </c:pt>
                <c:pt idx="4128">
                  <c:v>54</c:v>
                </c:pt>
                <c:pt idx="4129">
                  <c:v>54</c:v>
                </c:pt>
                <c:pt idx="4130">
                  <c:v>54</c:v>
                </c:pt>
                <c:pt idx="4530">
                  <c:v>55</c:v>
                </c:pt>
                <c:pt idx="4531">
                  <c:v>55</c:v>
                </c:pt>
                <c:pt idx="4532">
                  <c:v>55</c:v>
                </c:pt>
                <c:pt idx="4533">
                  <c:v>55</c:v>
                </c:pt>
                <c:pt idx="4534">
                  <c:v>55</c:v>
                </c:pt>
                <c:pt idx="4535">
                  <c:v>55</c:v>
                </c:pt>
                <c:pt idx="4536">
                  <c:v>55</c:v>
                </c:pt>
                <c:pt idx="4537">
                  <c:v>55</c:v>
                </c:pt>
                <c:pt idx="4538">
                  <c:v>55</c:v>
                </c:pt>
                <c:pt idx="4539">
                  <c:v>55</c:v>
                </c:pt>
                <c:pt idx="4540">
                  <c:v>55</c:v>
                </c:pt>
                <c:pt idx="4541">
                  <c:v>55</c:v>
                </c:pt>
                <c:pt idx="4542">
                  <c:v>55</c:v>
                </c:pt>
                <c:pt idx="4543">
                  <c:v>55</c:v>
                </c:pt>
                <c:pt idx="4544">
                  <c:v>55</c:v>
                </c:pt>
                <c:pt idx="4545">
                  <c:v>55</c:v>
                </c:pt>
                <c:pt idx="4546">
                  <c:v>55</c:v>
                </c:pt>
                <c:pt idx="4547">
                  <c:v>55</c:v>
                </c:pt>
                <c:pt idx="4548">
                  <c:v>55</c:v>
                </c:pt>
                <c:pt idx="4549">
                  <c:v>55</c:v>
                </c:pt>
                <c:pt idx="4550">
                  <c:v>55</c:v>
                </c:pt>
                <c:pt idx="4551">
                  <c:v>55</c:v>
                </c:pt>
                <c:pt idx="4552">
                  <c:v>55</c:v>
                </c:pt>
                <c:pt idx="4553">
                  <c:v>55</c:v>
                </c:pt>
                <c:pt idx="4554">
                  <c:v>55</c:v>
                </c:pt>
                <c:pt idx="4555">
                  <c:v>55</c:v>
                </c:pt>
                <c:pt idx="4556">
                  <c:v>55</c:v>
                </c:pt>
                <c:pt idx="4557">
                  <c:v>55</c:v>
                </c:pt>
                <c:pt idx="4558">
                  <c:v>55</c:v>
                </c:pt>
                <c:pt idx="4559">
                  <c:v>55</c:v>
                </c:pt>
                <c:pt idx="4560">
                  <c:v>55</c:v>
                </c:pt>
                <c:pt idx="4561">
                  <c:v>55</c:v>
                </c:pt>
                <c:pt idx="4562">
                  <c:v>55</c:v>
                </c:pt>
                <c:pt idx="4563">
                  <c:v>55</c:v>
                </c:pt>
                <c:pt idx="4564">
                  <c:v>55</c:v>
                </c:pt>
                <c:pt idx="4565">
                  <c:v>55</c:v>
                </c:pt>
                <c:pt idx="4566">
                  <c:v>55</c:v>
                </c:pt>
                <c:pt idx="4567">
                  <c:v>55</c:v>
                </c:pt>
                <c:pt idx="4568">
                  <c:v>55</c:v>
                </c:pt>
                <c:pt idx="4569">
                  <c:v>55</c:v>
                </c:pt>
                <c:pt idx="4570">
                  <c:v>55</c:v>
                </c:pt>
                <c:pt idx="4571">
                  <c:v>55</c:v>
                </c:pt>
                <c:pt idx="4572">
                  <c:v>55</c:v>
                </c:pt>
                <c:pt idx="4573">
                  <c:v>55</c:v>
                </c:pt>
                <c:pt idx="4574">
                  <c:v>55</c:v>
                </c:pt>
                <c:pt idx="4575">
                  <c:v>55</c:v>
                </c:pt>
                <c:pt idx="4576">
                  <c:v>55</c:v>
                </c:pt>
                <c:pt idx="4577">
                  <c:v>55</c:v>
                </c:pt>
                <c:pt idx="4578">
                  <c:v>55</c:v>
                </c:pt>
                <c:pt idx="4579">
                  <c:v>55</c:v>
                </c:pt>
                <c:pt idx="4580">
                  <c:v>55</c:v>
                </c:pt>
                <c:pt idx="4581">
                  <c:v>55</c:v>
                </c:pt>
                <c:pt idx="4582">
                  <c:v>55</c:v>
                </c:pt>
                <c:pt idx="4583">
                  <c:v>55</c:v>
                </c:pt>
                <c:pt idx="4584">
                  <c:v>55</c:v>
                </c:pt>
                <c:pt idx="4585">
                  <c:v>55</c:v>
                </c:pt>
                <c:pt idx="4586">
                  <c:v>55</c:v>
                </c:pt>
                <c:pt idx="4587">
                  <c:v>55</c:v>
                </c:pt>
                <c:pt idx="4588">
                  <c:v>55</c:v>
                </c:pt>
                <c:pt idx="4589">
                  <c:v>55</c:v>
                </c:pt>
                <c:pt idx="4590">
                  <c:v>55</c:v>
                </c:pt>
                <c:pt idx="4591">
                  <c:v>55</c:v>
                </c:pt>
                <c:pt idx="4592">
                  <c:v>55</c:v>
                </c:pt>
                <c:pt idx="4593">
                  <c:v>55</c:v>
                </c:pt>
                <c:pt idx="4594">
                  <c:v>55</c:v>
                </c:pt>
                <c:pt idx="4595">
                  <c:v>55</c:v>
                </c:pt>
                <c:pt idx="4596">
                  <c:v>55</c:v>
                </c:pt>
                <c:pt idx="4597">
                  <c:v>55</c:v>
                </c:pt>
                <c:pt idx="4762">
                  <c:v>56</c:v>
                </c:pt>
                <c:pt idx="4763">
                  <c:v>56</c:v>
                </c:pt>
                <c:pt idx="4764">
                  <c:v>56</c:v>
                </c:pt>
                <c:pt idx="4765">
                  <c:v>56</c:v>
                </c:pt>
                <c:pt idx="4766">
                  <c:v>56</c:v>
                </c:pt>
                <c:pt idx="4767">
                  <c:v>56</c:v>
                </c:pt>
                <c:pt idx="4768">
                  <c:v>56</c:v>
                </c:pt>
                <c:pt idx="4769">
                  <c:v>56</c:v>
                </c:pt>
                <c:pt idx="4770">
                  <c:v>56</c:v>
                </c:pt>
                <c:pt idx="4771">
                  <c:v>56</c:v>
                </c:pt>
                <c:pt idx="4772">
                  <c:v>56</c:v>
                </c:pt>
                <c:pt idx="4773">
                  <c:v>56</c:v>
                </c:pt>
                <c:pt idx="4774">
                  <c:v>56</c:v>
                </c:pt>
                <c:pt idx="4775">
                  <c:v>56</c:v>
                </c:pt>
                <c:pt idx="4776">
                  <c:v>56</c:v>
                </c:pt>
                <c:pt idx="4777">
                  <c:v>56</c:v>
                </c:pt>
                <c:pt idx="4778">
                  <c:v>56</c:v>
                </c:pt>
                <c:pt idx="4779">
                  <c:v>56</c:v>
                </c:pt>
                <c:pt idx="4780">
                  <c:v>56</c:v>
                </c:pt>
                <c:pt idx="4781">
                  <c:v>56</c:v>
                </c:pt>
                <c:pt idx="4782">
                  <c:v>56</c:v>
                </c:pt>
                <c:pt idx="4783">
                  <c:v>56</c:v>
                </c:pt>
                <c:pt idx="4784">
                  <c:v>56</c:v>
                </c:pt>
                <c:pt idx="4785">
                  <c:v>56</c:v>
                </c:pt>
                <c:pt idx="4786">
                  <c:v>56</c:v>
                </c:pt>
                <c:pt idx="4787">
                  <c:v>56</c:v>
                </c:pt>
                <c:pt idx="4788">
                  <c:v>56</c:v>
                </c:pt>
                <c:pt idx="4789">
                  <c:v>56</c:v>
                </c:pt>
                <c:pt idx="4790">
                  <c:v>56</c:v>
                </c:pt>
                <c:pt idx="4791">
                  <c:v>56</c:v>
                </c:pt>
                <c:pt idx="4792">
                  <c:v>56</c:v>
                </c:pt>
                <c:pt idx="4793">
                  <c:v>56</c:v>
                </c:pt>
                <c:pt idx="4794">
                  <c:v>56</c:v>
                </c:pt>
                <c:pt idx="4795">
                  <c:v>56</c:v>
                </c:pt>
                <c:pt idx="4796">
                  <c:v>56</c:v>
                </c:pt>
                <c:pt idx="4797">
                  <c:v>56</c:v>
                </c:pt>
                <c:pt idx="4798">
                  <c:v>56</c:v>
                </c:pt>
                <c:pt idx="4799">
                  <c:v>56</c:v>
                </c:pt>
                <c:pt idx="4800">
                  <c:v>56</c:v>
                </c:pt>
                <c:pt idx="4801">
                  <c:v>56</c:v>
                </c:pt>
                <c:pt idx="4802">
                  <c:v>56</c:v>
                </c:pt>
                <c:pt idx="4803">
                  <c:v>56</c:v>
                </c:pt>
                <c:pt idx="4804">
                  <c:v>56</c:v>
                </c:pt>
                <c:pt idx="4805">
                  <c:v>56</c:v>
                </c:pt>
                <c:pt idx="4806">
                  <c:v>56</c:v>
                </c:pt>
                <c:pt idx="4807">
                  <c:v>56</c:v>
                </c:pt>
                <c:pt idx="4808">
                  <c:v>56</c:v>
                </c:pt>
                <c:pt idx="4809">
                  <c:v>56</c:v>
                </c:pt>
                <c:pt idx="4810">
                  <c:v>56</c:v>
                </c:pt>
                <c:pt idx="4811">
                  <c:v>56</c:v>
                </c:pt>
                <c:pt idx="4812">
                  <c:v>56</c:v>
                </c:pt>
                <c:pt idx="4813">
                  <c:v>56</c:v>
                </c:pt>
                <c:pt idx="4814">
                  <c:v>56</c:v>
                </c:pt>
                <c:pt idx="4815">
                  <c:v>56</c:v>
                </c:pt>
                <c:pt idx="4816">
                  <c:v>56</c:v>
                </c:pt>
                <c:pt idx="4817">
                  <c:v>56</c:v>
                </c:pt>
                <c:pt idx="4818">
                  <c:v>56</c:v>
                </c:pt>
                <c:pt idx="4819">
                  <c:v>56</c:v>
                </c:pt>
                <c:pt idx="4820">
                  <c:v>56</c:v>
                </c:pt>
                <c:pt idx="4821">
                  <c:v>56</c:v>
                </c:pt>
                <c:pt idx="4822">
                  <c:v>56</c:v>
                </c:pt>
                <c:pt idx="4823">
                  <c:v>56</c:v>
                </c:pt>
                <c:pt idx="4824">
                  <c:v>56</c:v>
                </c:pt>
                <c:pt idx="4825">
                  <c:v>56</c:v>
                </c:pt>
                <c:pt idx="4826">
                  <c:v>56</c:v>
                </c:pt>
                <c:pt idx="4827">
                  <c:v>56</c:v>
                </c:pt>
                <c:pt idx="4828">
                  <c:v>56</c:v>
                </c:pt>
                <c:pt idx="4829">
                  <c:v>56</c:v>
                </c:pt>
                <c:pt idx="4830">
                  <c:v>56</c:v>
                </c:pt>
                <c:pt idx="4831">
                  <c:v>56</c:v>
                </c:pt>
                <c:pt idx="4832">
                  <c:v>56</c:v>
                </c:pt>
                <c:pt idx="4833">
                  <c:v>56</c:v>
                </c:pt>
                <c:pt idx="4834">
                  <c:v>56</c:v>
                </c:pt>
                <c:pt idx="4835">
                  <c:v>56</c:v>
                </c:pt>
                <c:pt idx="4836">
                  <c:v>56</c:v>
                </c:pt>
                <c:pt idx="4837">
                  <c:v>56</c:v>
                </c:pt>
                <c:pt idx="4838">
                  <c:v>56</c:v>
                </c:pt>
                <c:pt idx="4839">
                  <c:v>56</c:v>
                </c:pt>
                <c:pt idx="4840">
                  <c:v>56</c:v>
                </c:pt>
                <c:pt idx="4841">
                  <c:v>56</c:v>
                </c:pt>
                <c:pt idx="4842">
                  <c:v>56</c:v>
                </c:pt>
                <c:pt idx="4843">
                  <c:v>56</c:v>
                </c:pt>
                <c:pt idx="4844">
                  <c:v>56</c:v>
                </c:pt>
                <c:pt idx="4845">
                  <c:v>56</c:v>
                </c:pt>
                <c:pt idx="4846">
                  <c:v>56</c:v>
                </c:pt>
                <c:pt idx="4847">
                  <c:v>56</c:v>
                </c:pt>
                <c:pt idx="4848">
                  <c:v>56</c:v>
                </c:pt>
                <c:pt idx="4849">
                  <c:v>56</c:v>
                </c:pt>
                <c:pt idx="4850">
                  <c:v>56</c:v>
                </c:pt>
                <c:pt idx="4851">
                  <c:v>56</c:v>
                </c:pt>
                <c:pt idx="4852">
                  <c:v>56</c:v>
                </c:pt>
                <c:pt idx="4853">
                  <c:v>56</c:v>
                </c:pt>
                <c:pt idx="4854">
                  <c:v>56</c:v>
                </c:pt>
                <c:pt idx="4855">
                  <c:v>56</c:v>
                </c:pt>
                <c:pt idx="4856">
                  <c:v>56</c:v>
                </c:pt>
                <c:pt idx="4857">
                  <c:v>56</c:v>
                </c:pt>
                <c:pt idx="4858">
                  <c:v>56</c:v>
                </c:pt>
                <c:pt idx="4859">
                  <c:v>56</c:v>
                </c:pt>
                <c:pt idx="4860">
                  <c:v>56</c:v>
                </c:pt>
                <c:pt idx="4861">
                  <c:v>56</c:v>
                </c:pt>
                <c:pt idx="4862">
                  <c:v>56</c:v>
                </c:pt>
                <c:pt idx="4863">
                  <c:v>56</c:v>
                </c:pt>
                <c:pt idx="5102">
                  <c:v>57</c:v>
                </c:pt>
                <c:pt idx="5103">
                  <c:v>57</c:v>
                </c:pt>
                <c:pt idx="5104">
                  <c:v>57</c:v>
                </c:pt>
                <c:pt idx="5105">
                  <c:v>57</c:v>
                </c:pt>
                <c:pt idx="5106">
                  <c:v>57</c:v>
                </c:pt>
                <c:pt idx="5107">
                  <c:v>57</c:v>
                </c:pt>
                <c:pt idx="5108">
                  <c:v>57</c:v>
                </c:pt>
                <c:pt idx="5109">
                  <c:v>57</c:v>
                </c:pt>
                <c:pt idx="5110">
                  <c:v>57</c:v>
                </c:pt>
                <c:pt idx="5111">
                  <c:v>57</c:v>
                </c:pt>
                <c:pt idx="5112">
                  <c:v>57</c:v>
                </c:pt>
                <c:pt idx="5113">
                  <c:v>57</c:v>
                </c:pt>
                <c:pt idx="5114">
                  <c:v>57</c:v>
                </c:pt>
                <c:pt idx="5115">
                  <c:v>57</c:v>
                </c:pt>
                <c:pt idx="5116">
                  <c:v>57</c:v>
                </c:pt>
                <c:pt idx="5117">
                  <c:v>57</c:v>
                </c:pt>
                <c:pt idx="5286">
                  <c:v>58</c:v>
                </c:pt>
                <c:pt idx="5287">
                  <c:v>58</c:v>
                </c:pt>
                <c:pt idx="5288">
                  <c:v>58</c:v>
                </c:pt>
                <c:pt idx="5289">
                  <c:v>58</c:v>
                </c:pt>
                <c:pt idx="5290">
                  <c:v>58</c:v>
                </c:pt>
                <c:pt idx="5291">
                  <c:v>58</c:v>
                </c:pt>
                <c:pt idx="5292">
                  <c:v>58</c:v>
                </c:pt>
                <c:pt idx="5293">
                  <c:v>58</c:v>
                </c:pt>
                <c:pt idx="5294">
                  <c:v>58</c:v>
                </c:pt>
                <c:pt idx="5295">
                  <c:v>58</c:v>
                </c:pt>
                <c:pt idx="5296">
                  <c:v>58</c:v>
                </c:pt>
                <c:pt idx="5297">
                  <c:v>58</c:v>
                </c:pt>
                <c:pt idx="5298">
                  <c:v>58</c:v>
                </c:pt>
                <c:pt idx="5299">
                  <c:v>58</c:v>
                </c:pt>
                <c:pt idx="5300">
                  <c:v>58</c:v>
                </c:pt>
                <c:pt idx="5301">
                  <c:v>58</c:v>
                </c:pt>
                <c:pt idx="5302">
                  <c:v>58</c:v>
                </c:pt>
                <c:pt idx="5303">
                  <c:v>58</c:v>
                </c:pt>
                <c:pt idx="5304">
                  <c:v>58</c:v>
                </c:pt>
                <c:pt idx="5305">
                  <c:v>58</c:v>
                </c:pt>
                <c:pt idx="5306">
                  <c:v>58</c:v>
                </c:pt>
                <c:pt idx="5307">
                  <c:v>58</c:v>
                </c:pt>
                <c:pt idx="5308">
                  <c:v>58</c:v>
                </c:pt>
                <c:pt idx="5309">
                  <c:v>58</c:v>
                </c:pt>
                <c:pt idx="5310">
                  <c:v>58</c:v>
                </c:pt>
                <c:pt idx="5311">
                  <c:v>58</c:v>
                </c:pt>
                <c:pt idx="5312">
                  <c:v>58</c:v>
                </c:pt>
                <c:pt idx="5313">
                  <c:v>58</c:v>
                </c:pt>
                <c:pt idx="5314">
                  <c:v>58</c:v>
                </c:pt>
                <c:pt idx="5315">
                  <c:v>58</c:v>
                </c:pt>
                <c:pt idx="5316">
                  <c:v>58</c:v>
                </c:pt>
                <c:pt idx="5317">
                  <c:v>58</c:v>
                </c:pt>
                <c:pt idx="5343">
                  <c:v>59</c:v>
                </c:pt>
                <c:pt idx="5344">
                  <c:v>59</c:v>
                </c:pt>
                <c:pt idx="5345">
                  <c:v>59</c:v>
                </c:pt>
                <c:pt idx="5346">
                  <c:v>59</c:v>
                </c:pt>
                <c:pt idx="5347">
                  <c:v>59</c:v>
                </c:pt>
                <c:pt idx="5348">
                  <c:v>59</c:v>
                </c:pt>
                <c:pt idx="5349">
                  <c:v>59</c:v>
                </c:pt>
                <c:pt idx="5350">
                  <c:v>59</c:v>
                </c:pt>
                <c:pt idx="5351">
                  <c:v>59</c:v>
                </c:pt>
                <c:pt idx="5352">
                  <c:v>59</c:v>
                </c:pt>
                <c:pt idx="5353">
                  <c:v>59</c:v>
                </c:pt>
                <c:pt idx="5354">
                  <c:v>59</c:v>
                </c:pt>
                <c:pt idx="5355">
                  <c:v>59</c:v>
                </c:pt>
                <c:pt idx="5356">
                  <c:v>59</c:v>
                </c:pt>
                <c:pt idx="5357">
                  <c:v>59</c:v>
                </c:pt>
                <c:pt idx="5358">
                  <c:v>59</c:v>
                </c:pt>
                <c:pt idx="5359">
                  <c:v>59</c:v>
                </c:pt>
                <c:pt idx="5360">
                  <c:v>59</c:v>
                </c:pt>
                <c:pt idx="5361">
                  <c:v>59</c:v>
                </c:pt>
                <c:pt idx="5362">
                  <c:v>59</c:v>
                </c:pt>
                <c:pt idx="5363">
                  <c:v>59</c:v>
                </c:pt>
                <c:pt idx="5364">
                  <c:v>59</c:v>
                </c:pt>
                <c:pt idx="5365">
                  <c:v>59</c:v>
                </c:pt>
                <c:pt idx="5366">
                  <c:v>59</c:v>
                </c:pt>
                <c:pt idx="5367">
                  <c:v>59</c:v>
                </c:pt>
                <c:pt idx="5368">
                  <c:v>59</c:v>
                </c:pt>
                <c:pt idx="5369">
                  <c:v>59</c:v>
                </c:pt>
                <c:pt idx="5602">
                  <c:v>60</c:v>
                </c:pt>
                <c:pt idx="5603">
                  <c:v>60</c:v>
                </c:pt>
                <c:pt idx="5604">
                  <c:v>60</c:v>
                </c:pt>
                <c:pt idx="5605">
                  <c:v>60</c:v>
                </c:pt>
                <c:pt idx="5606">
                  <c:v>60</c:v>
                </c:pt>
                <c:pt idx="5607">
                  <c:v>60</c:v>
                </c:pt>
                <c:pt idx="5608">
                  <c:v>60</c:v>
                </c:pt>
                <c:pt idx="5609">
                  <c:v>60</c:v>
                </c:pt>
                <c:pt idx="5610">
                  <c:v>60</c:v>
                </c:pt>
                <c:pt idx="5611">
                  <c:v>60</c:v>
                </c:pt>
                <c:pt idx="5612">
                  <c:v>60</c:v>
                </c:pt>
                <c:pt idx="5613">
                  <c:v>60</c:v>
                </c:pt>
                <c:pt idx="5614">
                  <c:v>60</c:v>
                </c:pt>
                <c:pt idx="5615">
                  <c:v>60</c:v>
                </c:pt>
                <c:pt idx="5616">
                  <c:v>60</c:v>
                </c:pt>
                <c:pt idx="5617">
                  <c:v>60</c:v>
                </c:pt>
                <c:pt idx="5618">
                  <c:v>60</c:v>
                </c:pt>
                <c:pt idx="5619">
                  <c:v>60</c:v>
                </c:pt>
                <c:pt idx="5620">
                  <c:v>60</c:v>
                </c:pt>
                <c:pt idx="5621">
                  <c:v>60</c:v>
                </c:pt>
                <c:pt idx="5622">
                  <c:v>60</c:v>
                </c:pt>
                <c:pt idx="5623">
                  <c:v>60</c:v>
                </c:pt>
                <c:pt idx="5624">
                  <c:v>60</c:v>
                </c:pt>
                <c:pt idx="5625">
                  <c:v>60</c:v>
                </c:pt>
                <c:pt idx="5626">
                  <c:v>60</c:v>
                </c:pt>
                <c:pt idx="5627">
                  <c:v>60</c:v>
                </c:pt>
                <c:pt idx="5628">
                  <c:v>60</c:v>
                </c:pt>
                <c:pt idx="5629">
                  <c:v>60</c:v>
                </c:pt>
                <c:pt idx="5630">
                  <c:v>60</c:v>
                </c:pt>
                <c:pt idx="5631">
                  <c:v>60</c:v>
                </c:pt>
                <c:pt idx="5632">
                  <c:v>60</c:v>
                </c:pt>
                <c:pt idx="5633">
                  <c:v>60</c:v>
                </c:pt>
                <c:pt idx="5634">
                  <c:v>60</c:v>
                </c:pt>
                <c:pt idx="5635">
                  <c:v>60</c:v>
                </c:pt>
                <c:pt idx="5636">
                  <c:v>60</c:v>
                </c:pt>
                <c:pt idx="5637">
                  <c:v>60</c:v>
                </c:pt>
                <c:pt idx="5638">
                  <c:v>60</c:v>
                </c:pt>
                <c:pt idx="5639">
                  <c:v>60</c:v>
                </c:pt>
                <c:pt idx="5640">
                  <c:v>60</c:v>
                </c:pt>
                <c:pt idx="5641">
                  <c:v>60</c:v>
                </c:pt>
                <c:pt idx="5642">
                  <c:v>60</c:v>
                </c:pt>
                <c:pt idx="5643">
                  <c:v>60</c:v>
                </c:pt>
                <c:pt idx="5644">
                  <c:v>60</c:v>
                </c:pt>
                <c:pt idx="5645">
                  <c:v>60</c:v>
                </c:pt>
                <c:pt idx="5646">
                  <c:v>60</c:v>
                </c:pt>
                <c:pt idx="5647">
                  <c:v>60</c:v>
                </c:pt>
                <c:pt idx="5648">
                  <c:v>60</c:v>
                </c:pt>
                <c:pt idx="5649">
                  <c:v>60</c:v>
                </c:pt>
                <c:pt idx="5650">
                  <c:v>60</c:v>
                </c:pt>
                <c:pt idx="5651">
                  <c:v>60</c:v>
                </c:pt>
                <c:pt idx="5652">
                  <c:v>60</c:v>
                </c:pt>
                <c:pt idx="5653">
                  <c:v>60</c:v>
                </c:pt>
                <c:pt idx="5654">
                  <c:v>60</c:v>
                </c:pt>
                <c:pt idx="5655">
                  <c:v>60</c:v>
                </c:pt>
                <c:pt idx="5656">
                  <c:v>60</c:v>
                </c:pt>
                <c:pt idx="5657">
                  <c:v>60</c:v>
                </c:pt>
                <c:pt idx="5658">
                  <c:v>60</c:v>
                </c:pt>
                <c:pt idx="5659">
                  <c:v>60</c:v>
                </c:pt>
                <c:pt idx="5660">
                  <c:v>60</c:v>
                </c:pt>
                <c:pt idx="5661">
                  <c:v>60</c:v>
                </c:pt>
                <c:pt idx="5662">
                  <c:v>60</c:v>
                </c:pt>
                <c:pt idx="5663">
                  <c:v>60</c:v>
                </c:pt>
                <c:pt idx="5664">
                  <c:v>60</c:v>
                </c:pt>
                <c:pt idx="5665">
                  <c:v>60</c:v>
                </c:pt>
                <c:pt idx="5666">
                  <c:v>60</c:v>
                </c:pt>
                <c:pt idx="5667">
                  <c:v>60</c:v>
                </c:pt>
                <c:pt idx="5668">
                  <c:v>60</c:v>
                </c:pt>
                <c:pt idx="5669">
                  <c:v>60</c:v>
                </c:pt>
                <c:pt idx="5670">
                  <c:v>60</c:v>
                </c:pt>
                <c:pt idx="5671">
                  <c:v>60</c:v>
                </c:pt>
                <c:pt idx="5672">
                  <c:v>60</c:v>
                </c:pt>
                <c:pt idx="5673">
                  <c:v>60</c:v>
                </c:pt>
                <c:pt idx="5674">
                  <c:v>60</c:v>
                </c:pt>
                <c:pt idx="5675">
                  <c:v>60</c:v>
                </c:pt>
                <c:pt idx="5676">
                  <c:v>60</c:v>
                </c:pt>
                <c:pt idx="5677">
                  <c:v>60</c:v>
                </c:pt>
                <c:pt idx="5678">
                  <c:v>60</c:v>
                </c:pt>
                <c:pt idx="5679">
                  <c:v>60</c:v>
                </c:pt>
                <c:pt idx="5680">
                  <c:v>60</c:v>
                </c:pt>
                <c:pt idx="5681">
                  <c:v>60</c:v>
                </c:pt>
                <c:pt idx="5682">
                  <c:v>60</c:v>
                </c:pt>
                <c:pt idx="5683">
                  <c:v>60</c:v>
                </c:pt>
                <c:pt idx="5684">
                  <c:v>60</c:v>
                </c:pt>
                <c:pt idx="5685">
                  <c:v>60</c:v>
                </c:pt>
                <c:pt idx="5686">
                  <c:v>60</c:v>
                </c:pt>
                <c:pt idx="5687">
                  <c:v>60</c:v>
                </c:pt>
                <c:pt idx="5688">
                  <c:v>60</c:v>
                </c:pt>
                <c:pt idx="5689">
                  <c:v>60</c:v>
                </c:pt>
                <c:pt idx="5690">
                  <c:v>60</c:v>
                </c:pt>
                <c:pt idx="5691">
                  <c:v>60</c:v>
                </c:pt>
                <c:pt idx="5692">
                  <c:v>60</c:v>
                </c:pt>
                <c:pt idx="5693">
                  <c:v>60</c:v>
                </c:pt>
                <c:pt idx="5694">
                  <c:v>60</c:v>
                </c:pt>
                <c:pt idx="5695">
                  <c:v>60</c:v>
                </c:pt>
                <c:pt idx="5696">
                  <c:v>60</c:v>
                </c:pt>
                <c:pt idx="5697">
                  <c:v>60</c:v>
                </c:pt>
                <c:pt idx="5698">
                  <c:v>60</c:v>
                </c:pt>
                <c:pt idx="5699">
                  <c:v>60</c:v>
                </c:pt>
                <c:pt idx="5700">
                  <c:v>60</c:v>
                </c:pt>
                <c:pt idx="5701">
                  <c:v>60</c:v>
                </c:pt>
                <c:pt idx="5702">
                  <c:v>60</c:v>
                </c:pt>
                <c:pt idx="5703">
                  <c:v>60</c:v>
                </c:pt>
                <c:pt idx="5704">
                  <c:v>60</c:v>
                </c:pt>
                <c:pt idx="5705">
                  <c:v>60</c:v>
                </c:pt>
                <c:pt idx="5706">
                  <c:v>60</c:v>
                </c:pt>
                <c:pt idx="5707">
                  <c:v>60</c:v>
                </c:pt>
                <c:pt idx="5708">
                  <c:v>60</c:v>
                </c:pt>
                <c:pt idx="5709">
                  <c:v>60</c:v>
                </c:pt>
                <c:pt idx="5722">
                  <c:v>61</c:v>
                </c:pt>
                <c:pt idx="5723">
                  <c:v>61</c:v>
                </c:pt>
                <c:pt idx="5724">
                  <c:v>61</c:v>
                </c:pt>
                <c:pt idx="5725">
                  <c:v>61</c:v>
                </c:pt>
                <c:pt idx="5726">
                  <c:v>61</c:v>
                </c:pt>
                <c:pt idx="5727">
                  <c:v>61</c:v>
                </c:pt>
                <c:pt idx="5728">
                  <c:v>61</c:v>
                </c:pt>
                <c:pt idx="5729">
                  <c:v>61</c:v>
                </c:pt>
                <c:pt idx="5730">
                  <c:v>61</c:v>
                </c:pt>
                <c:pt idx="5731">
                  <c:v>61</c:v>
                </c:pt>
                <c:pt idx="5732">
                  <c:v>61</c:v>
                </c:pt>
                <c:pt idx="5733">
                  <c:v>61</c:v>
                </c:pt>
                <c:pt idx="5734">
                  <c:v>61</c:v>
                </c:pt>
                <c:pt idx="5735">
                  <c:v>61</c:v>
                </c:pt>
                <c:pt idx="5736">
                  <c:v>61</c:v>
                </c:pt>
                <c:pt idx="5737">
                  <c:v>61</c:v>
                </c:pt>
                <c:pt idx="5738">
                  <c:v>61</c:v>
                </c:pt>
                <c:pt idx="5739">
                  <c:v>61</c:v>
                </c:pt>
                <c:pt idx="5740">
                  <c:v>61</c:v>
                </c:pt>
                <c:pt idx="5741">
                  <c:v>61</c:v>
                </c:pt>
                <c:pt idx="5742">
                  <c:v>61</c:v>
                </c:pt>
                <c:pt idx="5743">
                  <c:v>61</c:v>
                </c:pt>
                <c:pt idx="5744">
                  <c:v>61</c:v>
                </c:pt>
                <c:pt idx="5745">
                  <c:v>61</c:v>
                </c:pt>
                <c:pt idx="5746">
                  <c:v>61</c:v>
                </c:pt>
                <c:pt idx="5747">
                  <c:v>61</c:v>
                </c:pt>
                <c:pt idx="5748">
                  <c:v>61</c:v>
                </c:pt>
                <c:pt idx="5749">
                  <c:v>61</c:v>
                </c:pt>
                <c:pt idx="5750">
                  <c:v>61</c:v>
                </c:pt>
                <c:pt idx="5751">
                  <c:v>61</c:v>
                </c:pt>
                <c:pt idx="5752">
                  <c:v>61</c:v>
                </c:pt>
                <c:pt idx="5753">
                  <c:v>61</c:v>
                </c:pt>
                <c:pt idx="5754">
                  <c:v>61</c:v>
                </c:pt>
                <c:pt idx="5755">
                  <c:v>61</c:v>
                </c:pt>
                <c:pt idx="5756">
                  <c:v>61</c:v>
                </c:pt>
                <c:pt idx="5757">
                  <c:v>61</c:v>
                </c:pt>
                <c:pt idx="5758">
                  <c:v>61</c:v>
                </c:pt>
                <c:pt idx="5759">
                  <c:v>61</c:v>
                </c:pt>
                <c:pt idx="5760">
                  <c:v>61</c:v>
                </c:pt>
                <c:pt idx="5761">
                  <c:v>61</c:v>
                </c:pt>
                <c:pt idx="5762">
                  <c:v>61</c:v>
                </c:pt>
                <c:pt idx="5763">
                  <c:v>61</c:v>
                </c:pt>
                <c:pt idx="5764">
                  <c:v>61</c:v>
                </c:pt>
                <c:pt idx="5765">
                  <c:v>61</c:v>
                </c:pt>
                <c:pt idx="5766">
                  <c:v>61</c:v>
                </c:pt>
                <c:pt idx="5767">
                  <c:v>61</c:v>
                </c:pt>
                <c:pt idx="5768">
                  <c:v>61</c:v>
                </c:pt>
                <c:pt idx="5769">
                  <c:v>61</c:v>
                </c:pt>
                <c:pt idx="5770">
                  <c:v>61</c:v>
                </c:pt>
                <c:pt idx="5771">
                  <c:v>61</c:v>
                </c:pt>
                <c:pt idx="5772">
                  <c:v>61</c:v>
                </c:pt>
                <c:pt idx="5773">
                  <c:v>61</c:v>
                </c:pt>
                <c:pt idx="5774">
                  <c:v>61</c:v>
                </c:pt>
                <c:pt idx="5829">
                  <c:v>62</c:v>
                </c:pt>
                <c:pt idx="5830">
                  <c:v>62</c:v>
                </c:pt>
                <c:pt idx="5831">
                  <c:v>62</c:v>
                </c:pt>
                <c:pt idx="5832">
                  <c:v>62</c:v>
                </c:pt>
                <c:pt idx="5833">
                  <c:v>62</c:v>
                </c:pt>
                <c:pt idx="5834">
                  <c:v>62</c:v>
                </c:pt>
                <c:pt idx="5835">
                  <c:v>62</c:v>
                </c:pt>
                <c:pt idx="5836">
                  <c:v>62</c:v>
                </c:pt>
                <c:pt idx="5837">
                  <c:v>62</c:v>
                </c:pt>
                <c:pt idx="5838">
                  <c:v>62</c:v>
                </c:pt>
                <c:pt idx="5839">
                  <c:v>62</c:v>
                </c:pt>
                <c:pt idx="5840">
                  <c:v>62</c:v>
                </c:pt>
                <c:pt idx="5841">
                  <c:v>62</c:v>
                </c:pt>
                <c:pt idx="5842">
                  <c:v>62</c:v>
                </c:pt>
                <c:pt idx="5843">
                  <c:v>62</c:v>
                </c:pt>
                <c:pt idx="5844">
                  <c:v>62</c:v>
                </c:pt>
                <c:pt idx="5845">
                  <c:v>62</c:v>
                </c:pt>
                <c:pt idx="5846">
                  <c:v>62</c:v>
                </c:pt>
                <c:pt idx="5847">
                  <c:v>62</c:v>
                </c:pt>
                <c:pt idx="5848">
                  <c:v>62</c:v>
                </c:pt>
                <c:pt idx="5849">
                  <c:v>62</c:v>
                </c:pt>
                <c:pt idx="5850">
                  <c:v>62</c:v>
                </c:pt>
                <c:pt idx="5851">
                  <c:v>62</c:v>
                </c:pt>
                <c:pt idx="5852">
                  <c:v>62</c:v>
                </c:pt>
                <c:pt idx="5853">
                  <c:v>62</c:v>
                </c:pt>
                <c:pt idx="5854">
                  <c:v>62</c:v>
                </c:pt>
                <c:pt idx="5855">
                  <c:v>62</c:v>
                </c:pt>
                <c:pt idx="5856">
                  <c:v>62</c:v>
                </c:pt>
                <c:pt idx="5857">
                  <c:v>62</c:v>
                </c:pt>
                <c:pt idx="5858">
                  <c:v>62</c:v>
                </c:pt>
                <c:pt idx="5859">
                  <c:v>62</c:v>
                </c:pt>
                <c:pt idx="5860">
                  <c:v>62</c:v>
                </c:pt>
                <c:pt idx="5861">
                  <c:v>62</c:v>
                </c:pt>
                <c:pt idx="5862">
                  <c:v>62</c:v>
                </c:pt>
                <c:pt idx="5863">
                  <c:v>62</c:v>
                </c:pt>
                <c:pt idx="5864">
                  <c:v>62</c:v>
                </c:pt>
                <c:pt idx="5865">
                  <c:v>62</c:v>
                </c:pt>
                <c:pt idx="5866">
                  <c:v>62</c:v>
                </c:pt>
                <c:pt idx="5867">
                  <c:v>62</c:v>
                </c:pt>
                <c:pt idx="5868">
                  <c:v>62</c:v>
                </c:pt>
                <c:pt idx="5869">
                  <c:v>62</c:v>
                </c:pt>
                <c:pt idx="5870">
                  <c:v>62</c:v>
                </c:pt>
                <c:pt idx="5871">
                  <c:v>62</c:v>
                </c:pt>
                <c:pt idx="5872">
                  <c:v>62</c:v>
                </c:pt>
                <c:pt idx="5873">
                  <c:v>62</c:v>
                </c:pt>
                <c:pt idx="5874">
                  <c:v>62</c:v>
                </c:pt>
                <c:pt idx="5875">
                  <c:v>62</c:v>
                </c:pt>
                <c:pt idx="5876">
                  <c:v>62</c:v>
                </c:pt>
                <c:pt idx="5877">
                  <c:v>62</c:v>
                </c:pt>
                <c:pt idx="5878">
                  <c:v>62</c:v>
                </c:pt>
                <c:pt idx="5879">
                  <c:v>62</c:v>
                </c:pt>
                <c:pt idx="5880">
                  <c:v>62</c:v>
                </c:pt>
                <c:pt idx="5881">
                  <c:v>62</c:v>
                </c:pt>
                <c:pt idx="5882">
                  <c:v>62</c:v>
                </c:pt>
                <c:pt idx="5883">
                  <c:v>62</c:v>
                </c:pt>
                <c:pt idx="5884">
                  <c:v>62</c:v>
                </c:pt>
                <c:pt idx="5885">
                  <c:v>62</c:v>
                </c:pt>
                <c:pt idx="5886">
                  <c:v>62</c:v>
                </c:pt>
                <c:pt idx="5887">
                  <c:v>62</c:v>
                </c:pt>
                <c:pt idx="5888">
                  <c:v>62</c:v>
                </c:pt>
                <c:pt idx="5889">
                  <c:v>62</c:v>
                </c:pt>
                <c:pt idx="5890">
                  <c:v>62</c:v>
                </c:pt>
                <c:pt idx="5891">
                  <c:v>62</c:v>
                </c:pt>
                <c:pt idx="5892">
                  <c:v>62</c:v>
                </c:pt>
                <c:pt idx="5893">
                  <c:v>62</c:v>
                </c:pt>
                <c:pt idx="5894">
                  <c:v>62</c:v>
                </c:pt>
                <c:pt idx="5895">
                  <c:v>62</c:v>
                </c:pt>
                <c:pt idx="5896">
                  <c:v>62</c:v>
                </c:pt>
                <c:pt idx="5897">
                  <c:v>62</c:v>
                </c:pt>
                <c:pt idx="5898">
                  <c:v>62</c:v>
                </c:pt>
                <c:pt idx="5899">
                  <c:v>62</c:v>
                </c:pt>
                <c:pt idx="5900">
                  <c:v>62</c:v>
                </c:pt>
                <c:pt idx="5901">
                  <c:v>62</c:v>
                </c:pt>
                <c:pt idx="5902">
                  <c:v>62</c:v>
                </c:pt>
                <c:pt idx="5903">
                  <c:v>62</c:v>
                </c:pt>
                <c:pt idx="5904">
                  <c:v>62</c:v>
                </c:pt>
                <c:pt idx="5905">
                  <c:v>62</c:v>
                </c:pt>
                <c:pt idx="5906">
                  <c:v>62</c:v>
                </c:pt>
                <c:pt idx="5907">
                  <c:v>62</c:v>
                </c:pt>
                <c:pt idx="5908">
                  <c:v>62</c:v>
                </c:pt>
                <c:pt idx="5946">
                  <c:v>63</c:v>
                </c:pt>
                <c:pt idx="5947">
                  <c:v>63</c:v>
                </c:pt>
                <c:pt idx="5948">
                  <c:v>63</c:v>
                </c:pt>
                <c:pt idx="5949">
                  <c:v>63</c:v>
                </c:pt>
                <c:pt idx="5950">
                  <c:v>63</c:v>
                </c:pt>
                <c:pt idx="5951">
                  <c:v>63</c:v>
                </c:pt>
                <c:pt idx="5952">
                  <c:v>63</c:v>
                </c:pt>
                <c:pt idx="5953">
                  <c:v>63</c:v>
                </c:pt>
                <c:pt idx="5954">
                  <c:v>63</c:v>
                </c:pt>
                <c:pt idx="5955">
                  <c:v>63</c:v>
                </c:pt>
                <c:pt idx="5956">
                  <c:v>63</c:v>
                </c:pt>
                <c:pt idx="5957">
                  <c:v>63</c:v>
                </c:pt>
                <c:pt idx="5958">
                  <c:v>63</c:v>
                </c:pt>
                <c:pt idx="5959">
                  <c:v>63</c:v>
                </c:pt>
                <c:pt idx="5960">
                  <c:v>63</c:v>
                </c:pt>
                <c:pt idx="5961">
                  <c:v>63</c:v>
                </c:pt>
                <c:pt idx="5962">
                  <c:v>63</c:v>
                </c:pt>
                <c:pt idx="5963">
                  <c:v>63</c:v>
                </c:pt>
                <c:pt idx="6011">
                  <c:v>64</c:v>
                </c:pt>
                <c:pt idx="6012">
                  <c:v>64</c:v>
                </c:pt>
                <c:pt idx="6013">
                  <c:v>64</c:v>
                </c:pt>
                <c:pt idx="6014">
                  <c:v>64</c:v>
                </c:pt>
                <c:pt idx="6015">
                  <c:v>64</c:v>
                </c:pt>
                <c:pt idx="6016">
                  <c:v>64</c:v>
                </c:pt>
                <c:pt idx="6017">
                  <c:v>64</c:v>
                </c:pt>
                <c:pt idx="6018">
                  <c:v>64</c:v>
                </c:pt>
                <c:pt idx="6019">
                  <c:v>64</c:v>
                </c:pt>
                <c:pt idx="6020">
                  <c:v>64</c:v>
                </c:pt>
                <c:pt idx="6021">
                  <c:v>64</c:v>
                </c:pt>
                <c:pt idx="6022">
                  <c:v>64</c:v>
                </c:pt>
                <c:pt idx="6023">
                  <c:v>64</c:v>
                </c:pt>
                <c:pt idx="6024">
                  <c:v>64</c:v>
                </c:pt>
                <c:pt idx="6025">
                  <c:v>64</c:v>
                </c:pt>
                <c:pt idx="6026">
                  <c:v>64</c:v>
                </c:pt>
                <c:pt idx="6027">
                  <c:v>64</c:v>
                </c:pt>
                <c:pt idx="6028">
                  <c:v>64</c:v>
                </c:pt>
                <c:pt idx="6029">
                  <c:v>64</c:v>
                </c:pt>
                <c:pt idx="6030">
                  <c:v>64</c:v>
                </c:pt>
                <c:pt idx="6031">
                  <c:v>64</c:v>
                </c:pt>
                <c:pt idx="6032">
                  <c:v>64</c:v>
                </c:pt>
                <c:pt idx="6033">
                  <c:v>64</c:v>
                </c:pt>
                <c:pt idx="6034">
                  <c:v>64</c:v>
                </c:pt>
                <c:pt idx="6035">
                  <c:v>64</c:v>
                </c:pt>
                <c:pt idx="6036">
                  <c:v>64</c:v>
                </c:pt>
                <c:pt idx="6037">
                  <c:v>64</c:v>
                </c:pt>
                <c:pt idx="6063">
                  <c:v>65</c:v>
                </c:pt>
                <c:pt idx="6064">
                  <c:v>65</c:v>
                </c:pt>
                <c:pt idx="6065">
                  <c:v>65</c:v>
                </c:pt>
                <c:pt idx="6066">
                  <c:v>65</c:v>
                </c:pt>
                <c:pt idx="6067">
                  <c:v>65</c:v>
                </c:pt>
                <c:pt idx="6068">
                  <c:v>65</c:v>
                </c:pt>
                <c:pt idx="6069">
                  <c:v>65</c:v>
                </c:pt>
                <c:pt idx="6070">
                  <c:v>65</c:v>
                </c:pt>
                <c:pt idx="6071">
                  <c:v>65</c:v>
                </c:pt>
                <c:pt idx="6072">
                  <c:v>65</c:v>
                </c:pt>
                <c:pt idx="6073">
                  <c:v>65</c:v>
                </c:pt>
                <c:pt idx="6074">
                  <c:v>65</c:v>
                </c:pt>
                <c:pt idx="6075">
                  <c:v>65</c:v>
                </c:pt>
                <c:pt idx="6076">
                  <c:v>65</c:v>
                </c:pt>
                <c:pt idx="6077">
                  <c:v>65</c:v>
                </c:pt>
                <c:pt idx="6078">
                  <c:v>65</c:v>
                </c:pt>
                <c:pt idx="6079">
                  <c:v>65</c:v>
                </c:pt>
                <c:pt idx="6080">
                  <c:v>65</c:v>
                </c:pt>
                <c:pt idx="6081">
                  <c:v>65</c:v>
                </c:pt>
                <c:pt idx="6082">
                  <c:v>65</c:v>
                </c:pt>
                <c:pt idx="6083">
                  <c:v>65</c:v>
                </c:pt>
                <c:pt idx="6084">
                  <c:v>65</c:v>
                </c:pt>
                <c:pt idx="6085">
                  <c:v>65</c:v>
                </c:pt>
                <c:pt idx="6086">
                  <c:v>65</c:v>
                </c:pt>
                <c:pt idx="6087">
                  <c:v>65</c:v>
                </c:pt>
                <c:pt idx="6088">
                  <c:v>65</c:v>
                </c:pt>
                <c:pt idx="6089">
                  <c:v>65</c:v>
                </c:pt>
                <c:pt idx="6090">
                  <c:v>65</c:v>
                </c:pt>
                <c:pt idx="6091">
                  <c:v>65</c:v>
                </c:pt>
                <c:pt idx="6092">
                  <c:v>65</c:v>
                </c:pt>
                <c:pt idx="6093">
                  <c:v>65</c:v>
                </c:pt>
                <c:pt idx="6094">
                  <c:v>65</c:v>
                </c:pt>
                <c:pt idx="6095">
                  <c:v>65</c:v>
                </c:pt>
                <c:pt idx="6096">
                  <c:v>65</c:v>
                </c:pt>
                <c:pt idx="6097">
                  <c:v>65</c:v>
                </c:pt>
                <c:pt idx="6098">
                  <c:v>65</c:v>
                </c:pt>
                <c:pt idx="6099">
                  <c:v>65</c:v>
                </c:pt>
                <c:pt idx="6100">
                  <c:v>65</c:v>
                </c:pt>
                <c:pt idx="6146">
                  <c:v>66</c:v>
                </c:pt>
                <c:pt idx="6147">
                  <c:v>66</c:v>
                </c:pt>
                <c:pt idx="6148">
                  <c:v>66</c:v>
                </c:pt>
                <c:pt idx="6149">
                  <c:v>66</c:v>
                </c:pt>
                <c:pt idx="6150">
                  <c:v>66</c:v>
                </c:pt>
                <c:pt idx="6151">
                  <c:v>66</c:v>
                </c:pt>
                <c:pt idx="6152">
                  <c:v>66</c:v>
                </c:pt>
                <c:pt idx="6153">
                  <c:v>66</c:v>
                </c:pt>
                <c:pt idx="6154">
                  <c:v>66</c:v>
                </c:pt>
                <c:pt idx="6324">
                  <c:v>67</c:v>
                </c:pt>
                <c:pt idx="6325">
                  <c:v>67</c:v>
                </c:pt>
                <c:pt idx="6326">
                  <c:v>67</c:v>
                </c:pt>
                <c:pt idx="6327">
                  <c:v>67</c:v>
                </c:pt>
                <c:pt idx="6328">
                  <c:v>67</c:v>
                </c:pt>
                <c:pt idx="6329">
                  <c:v>67</c:v>
                </c:pt>
                <c:pt idx="6330">
                  <c:v>67</c:v>
                </c:pt>
                <c:pt idx="6331">
                  <c:v>67</c:v>
                </c:pt>
                <c:pt idx="6332">
                  <c:v>67</c:v>
                </c:pt>
                <c:pt idx="6333">
                  <c:v>67</c:v>
                </c:pt>
                <c:pt idx="6334">
                  <c:v>67</c:v>
                </c:pt>
                <c:pt idx="6335">
                  <c:v>67</c:v>
                </c:pt>
                <c:pt idx="6336">
                  <c:v>67</c:v>
                </c:pt>
                <c:pt idx="6337">
                  <c:v>67</c:v>
                </c:pt>
                <c:pt idx="6338">
                  <c:v>67</c:v>
                </c:pt>
                <c:pt idx="6339">
                  <c:v>67</c:v>
                </c:pt>
                <c:pt idx="6340">
                  <c:v>67</c:v>
                </c:pt>
                <c:pt idx="6341">
                  <c:v>67</c:v>
                </c:pt>
                <c:pt idx="6342">
                  <c:v>67</c:v>
                </c:pt>
                <c:pt idx="6343">
                  <c:v>67</c:v>
                </c:pt>
                <c:pt idx="6344">
                  <c:v>67</c:v>
                </c:pt>
                <c:pt idx="6345">
                  <c:v>67</c:v>
                </c:pt>
                <c:pt idx="6346">
                  <c:v>67</c:v>
                </c:pt>
                <c:pt idx="6347">
                  <c:v>67</c:v>
                </c:pt>
                <c:pt idx="6348">
                  <c:v>67</c:v>
                </c:pt>
                <c:pt idx="6349">
                  <c:v>67</c:v>
                </c:pt>
                <c:pt idx="6350">
                  <c:v>67</c:v>
                </c:pt>
                <c:pt idx="6351">
                  <c:v>67</c:v>
                </c:pt>
                <c:pt idx="6352">
                  <c:v>67</c:v>
                </c:pt>
                <c:pt idx="6353">
                  <c:v>67</c:v>
                </c:pt>
                <c:pt idx="6354">
                  <c:v>67</c:v>
                </c:pt>
                <c:pt idx="6355">
                  <c:v>67</c:v>
                </c:pt>
                <c:pt idx="6356">
                  <c:v>67</c:v>
                </c:pt>
                <c:pt idx="6357">
                  <c:v>67</c:v>
                </c:pt>
                <c:pt idx="6358">
                  <c:v>67</c:v>
                </c:pt>
                <c:pt idx="6359">
                  <c:v>67</c:v>
                </c:pt>
                <c:pt idx="6360">
                  <c:v>67</c:v>
                </c:pt>
                <c:pt idx="6361">
                  <c:v>67</c:v>
                </c:pt>
                <c:pt idx="6362">
                  <c:v>67</c:v>
                </c:pt>
                <c:pt idx="6406">
                  <c:v>68</c:v>
                </c:pt>
                <c:pt idx="6407">
                  <c:v>68</c:v>
                </c:pt>
                <c:pt idx="6408">
                  <c:v>68</c:v>
                </c:pt>
                <c:pt idx="6409">
                  <c:v>68</c:v>
                </c:pt>
                <c:pt idx="6410">
                  <c:v>68</c:v>
                </c:pt>
                <c:pt idx="6411">
                  <c:v>68</c:v>
                </c:pt>
                <c:pt idx="6412">
                  <c:v>68</c:v>
                </c:pt>
                <c:pt idx="6413">
                  <c:v>68</c:v>
                </c:pt>
                <c:pt idx="6414">
                  <c:v>68</c:v>
                </c:pt>
                <c:pt idx="6415">
                  <c:v>68</c:v>
                </c:pt>
                <c:pt idx="6416">
                  <c:v>68</c:v>
                </c:pt>
                <c:pt idx="6466">
                  <c:v>69</c:v>
                </c:pt>
                <c:pt idx="6467">
                  <c:v>69</c:v>
                </c:pt>
                <c:pt idx="6468">
                  <c:v>69</c:v>
                </c:pt>
                <c:pt idx="6469">
                  <c:v>69</c:v>
                </c:pt>
                <c:pt idx="6470">
                  <c:v>69</c:v>
                </c:pt>
                <c:pt idx="6471">
                  <c:v>69</c:v>
                </c:pt>
                <c:pt idx="6472">
                  <c:v>69</c:v>
                </c:pt>
                <c:pt idx="6473">
                  <c:v>69</c:v>
                </c:pt>
                <c:pt idx="6474">
                  <c:v>69</c:v>
                </c:pt>
                <c:pt idx="6475">
                  <c:v>69</c:v>
                </c:pt>
                <c:pt idx="6476">
                  <c:v>69</c:v>
                </c:pt>
                <c:pt idx="6477">
                  <c:v>69</c:v>
                </c:pt>
                <c:pt idx="6478">
                  <c:v>69</c:v>
                </c:pt>
                <c:pt idx="6479">
                  <c:v>69</c:v>
                </c:pt>
                <c:pt idx="6480">
                  <c:v>69</c:v>
                </c:pt>
                <c:pt idx="6481">
                  <c:v>69</c:v>
                </c:pt>
                <c:pt idx="6482">
                  <c:v>69</c:v>
                </c:pt>
                <c:pt idx="6483">
                  <c:v>69</c:v>
                </c:pt>
                <c:pt idx="6484">
                  <c:v>69</c:v>
                </c:pt>
                <c:pt idx="6485">
                  <c:v>69</c:v>
                </c:pt>
                <c:pt idx="6486">
                  <c:v>69</c:v>
                </c:pt>
                <c:pt idx="6487">
                  <c:v>69</c:v>
                </c:pt>
                <c:pt idx="6762">
                  <c:v>70</c:v>
                </c:pt>
                <c:pt idx="6763">
                  <c:v>70</c:v>
                </c:pt>
                <c:pt idx="6764">
                  <c:v>70</c:v>
                </c:pt>
                <c:pt idx="6765">
                  <c:v>70</c:v>
                </c:pt>
                <c:pt idx="6766">
                  <c:v>70</c:v>
                </c:pt>
                <c:pt idx="6767">
                  <c:v>70</c:v>
                </c:pt>
                <c:pt idx="6768">
                  <c:v>70</c:v>
                </c:pt>
                <c:pt idx="6769">
                  <c:v>70</c:v>
                </c:pt>
                <c:pt idx="6770">
                  <c:v>70</c:v>
                </c:pt>
                <c:pt idx="6771">
                  <c:v>70</c:v>
                </c:pt>
                <c:pt idx="6772">
                  <c:v>70</c:v>
                </c:pt>
                <c:pt idx="6773">
                  <c:v>70</c:v>
                </c:pt>
                <c:pt idx="6774">
                  <c:v>70</c:v>
                </c:pt>
                <c:pt idx="6775">
                  <c:v>70</c:v>
                </c:pt>
                <c:pt idx="6776">
                  <c:v>70</c:v>
                </c:pt>
                <c:pt idx="6777">
                  <c:v>70</c:v>
                </c:pt>
                <c:pt idx="6778">
                  <c:v>70</c:v>
                </c:pt>
                <c:pt idx="6779">
                  <c:v>70</c:v>
                </c:pt>
                <c:pt idx="6780">
                  <c:v>70</c:v>
                </c:pt>
                <c:pt idx="6781">
                  <c:v>70</c:v>
                </c:pt>
                <c:pt idx="6782">
                  <c:v>70</c:v>
                </c:pt>
                <c:pt idx="6783">
                  <c:v>70</c:v>
                </c:pt>
                <c:pt idx="6784">
                  <c:v>70</c:v>
                </c:pt>
                <c:pt idx="6785">
                  <c:v>70</c:v>
                </c:pt>
                <c:pt idx="6786">
                  <c:v>70</c:v>
                </c:pt>
                <c:pt idx="6787">
                  <c:v>70</c:v>
                </c:pt>
                <c:pt idx="6788">
                  <c:v>70</c:v>
                </c:pt>
                <c:pt idx="6789">
                  <c:v>70</c:v>
                </c:pt>
                <c:pt idx="6790">
                  <c:v>70</c:v>
                </c:pt>
                <c:pt idx="6791">
                  <c:v>70</c:v>
                </c:pt>
                <c:pt idx="6792">
                  <c:v>70</c:v>
                </c:pt>
                <c:pt idx="6793">
                  <c:v>70</c:v>
                </c:pt>
                <c:pt idx="6794">
                  <c:v>70</c:v>
                </c:pt>
                <c:pt idx="6795">
                  <c:v>70</c:v>
                </c:pt>
                <c:pt idx="6858">
                  <c:v>71</c:v>
                </c:pt>
                <c:pt idx="6859">
                  <c:v>71</c:v>
                </c:pt>
                <c:pt idx="6860">
                  <c:v>71</c:v>
                </c:pt>
                <c:pt idx="6861">
                  <c:v>71</c:v>
                </c:pt>
                <c:pt idx="6862">
                  <c:v>71</c:v>
                </c:pt>
                <c:pt idx="6863">
                  <c:v>71</c:v>
                </c:pt>
                <c:pt idx="6864">
                  <c:v>71</c:v>
                </c:pt>
                <c:pt idx="6865">
                  <c:v>71</c:v>
                </c:pt>
                <c:pt idx="6866">
                  <c:v>71</c:v>
                </c:pt>
                <c:pt idx="6867">
                  <c:v>71</c:v>
                </c:pt>
                <c:pt idx="6868">
                  <c:v>71</c:v>
                </c:pt>
                <c:pt idx="6869">
                  <c:v>71</c:v>
                </c:pt>
                <c:pt idx="6870">
                  <c:v>71</c:v>
                </c:pt>
                <c:pt idx="6871">
                  <c:v>71</c:v>
                </c:pt>
                <c:pt idx="6872">
                  <c:v>71</c:v>
                </c:pt>
                <c:pt idx="6873">
                  <c:v>71</c:v>
                </c:pt>
                <c:pt idx="6874">
                  <c:v>71</c:v>
                </c:pt>
                <c:pt idx="6875">
                  <c:v>71</c:v>
                </c:pt>
                <c:pt idx="6876">
                  <c:v>71</c:v>
                </c:pt>
                <c:pt idx="6877">
                  <c:v>71</c:v>
                </c:pt>
                <c:pt idx="6878">
                  <c:v>71</c:v>
                </c:pt>
                <c:pt idx="6879">
                  <c:v>71</c:v>
                </c:pt>
                <c:pt idx="6880">
                  <c:v>71</c:v>
                </c:pt>
                <c:pt idx="6881">
                  <c:v>71</c:v>
                </c:pt>
                <c:pt idx="6882">
                  <c:v>71</c:v>
                </c:pt>
                <c:pt idx="6883">
                  <c:v>71</c:v>
                </c:pt>
                <c:pt idx="6884">
                  <c:v>71</c:v>
                </c:pt>
                <c:pt idx="6885">
                  <c:v>71</c:v>
                </c:pt>
                <c:pt idx="6886">
                  <c:v>71</c:v>
                </c:pt>
                <c:pt idx="6887">
                  <c:v>71</c:v>
                </c:pt>
                <c:pt idx="6888">
                  <c:v>71</c:v>
                </c:pt>
                <c:pt idx="6889">
                  <c:v>71</c:v>
                </c:pt>
                <c:pt idx="6890">
                  <c:v>71</c:v>
                </c:pt>
                <c:pt idx="6891">
                  <c:v>71</c:v>
                </c:pt>
                <c:pt idx="7089">
                  <c:v>72</c:v>
                </c:pt>
                <c:pt idx="7090">
                  <c:v>72</c:v>
                </c:pt>
                <c:pt idx="7091">
                  <c:v>72</c:v>
                </c:pt>
                <c:pt idx="7092">
                  <c:v>72</c:v>
                </c:pt>
                <c:pt idx="7093">
                  <c:v>72</c:v>
                </c:pt>
                <c:pt idx="7094">
                  <c:v>72</c:v>
                </c:pt>
                <c:pt idx="7095">
                  <c:v>72</c:v>
                </c:pt>
                <c:pt idx="7132">
                  <c:v>73</c:v>
                </c:pt>
                <c:pt idx="7133">
                  <c:v>73</c:v>
                </c:pt>
                <c:pt idx="7134">
                  <c:v>73</c:v>
                </c:pt>
                <c:pt idx="7135">
                  <c:v>73</c:v>
                </c:pt>
                <c:pt idx="7136">
                  <c:v>73</c:v>
                </c:pt>
                <c:pt idx="7137">
                  <c:v>73</c:v>
                </c:pt>
                <c:pt idx="7138">
                  <c:v>73</c:v>
                </c:pt>
                <c:pt idx="7139">
                  <c:v>73</c:v>
                </c:pt>
                <c:pt idx="7140">
                  <c:v>73</c:v>
                </c:pt>
                <c:pt idx="7141">
                  <c:v>73</c:v>
                </c:pt>
                <c:pt idx="7142">
                  <c:v>73</c:v>
                </c:pt>
                <c:pt idx="7143">
                  <c:v>73</c:v>
                </c:pt>
                <c:pt idx="7144">
                  <c:v>73</c:v>
                </c:pt>
                <c:pt idx="7145">
                  <c:v>73</c:v>
                </c:pt>
                <c:pt idx="7146">
                  <c:v>73</c:v>
                </c:pt>
                <c:pt idx="7147">
                  <c:v>73</c:v>
                </c:pt>
                <c:pt idx="7148">
                  <c:v>73</c:v>
                </c:pt>
                <c:pt idx="7149">
                  <c:v>73</c:v>
                </c:pt>
                <c:pt idx="7150">
                  <c:v>73</c:v>
                </c:pt>
                <c:pt idx="7151">
                  <c:v>73</c:v>
                </c:pt>
                <c:pt idx="7152">
                  <c:v>73</c:v>
                </c:pt>
                <c:pt idx="7153">
                  <c:v>73</c:v>
                </c:pt>
                <c:pt idx="7154">
                  <c:v>73</c:v>
                </c:pt>
                <c:pt idx="7155">
                  <c:v>73</c:v>
                </c:pt>
                <c:pt idx="7156">
                  <c:v>73</c:v>
                </c:pt>
                <c:pt idx="7157">
                  <c:v>73</c:v>
                </c:pt>
                <c:pt idx="7158">
                  <c:v>73</c:v>
                </c:pt>
                <c:pt idx="7159">
                  <c:v>73</c:v>
                </c:pt>
                <c:pt idx="7160">
                  <c:v>73</c:v>
                </c:pt>
                <c:pt idx="7161">
                  <c:v>73</c:v>
                </c:pt>
                <c:pt idx="7162">
                  <c:v>73</c:v>
                </c:pt>
                <c:pt idx="7163">
                  <c:v>73</c:v>
                </c:pt>
                <c:pt idx="7164">
                  <c:v>73</c:v>
                </c:pt>
                <c:pt idx="7165">
                  <c:v>73</c:v>
                </c:pt>
                <c:pt idx="7166">
                  <c:v>73</c:v>
                </c:pt>
                <c:pt idx="7167">
                  <c:v>73</c:v>
                </c:pt>
                <c:pt idx="7168">
                  <c:v>73</c:v>
                </c:pt>
                <c:pt idx="7169">
                  <c:v>73</c:v>
                </c:pt>
                <c:pt idx="7170">
                  <c:v>73</c:v>
                </c:pt>
                <c:pt idx="7171">
                  <c:v>73</c:v>
                </c:pt>
                <c:pt idx="7172">
                  <c:v>73</c:v>
                </c:pt>
                <c:pt idx="7173">
                  <c:v>73</c:v>
                </c:pt>
                <c:pt idx="7174">
                  <c:v>73</c:v>
                </c:pt>
                <c:pt idx="7175">
                  <c:v>73</c:v>
                </c:pt>
                <c:pt idx="7176">
                  <c:v>73</c:v>
                </c:pt>
                <c:pt idx="7177">
                  <c:v>73</c:v>
                </c:pt>
                <c:pt idx="7178">
                  <c:v>73</c:v>
                </c:pt>
                <c:pt idx="7204">
                  <c:v>74</c:v>
                </c:pt>
                <c:pt idx="7205">
                  <c:v>74</c:v>
                </c:pt>
                <c:pt idx="7206">
                  <c:v>74</c:v>
                </c:pt>
                <c:pt idx="7207">
                  <c:v>74</c:v>
                </c:pt>
                <c:pt idx="7208">
                  <c:v>74</c:v>
                </c:pt>
                <c:pt idx="7209">
                  <c:v>74</c:v>
                </c:pt>
                <c:pt idx="7210">
                  <c:v>74</c:v>
                </c:pt>
                <c:pt idx="7211">
                  <c:v>74</c:v>
                </c:pt>
                <c:pt idx="7212">
                  <c:v>74</c:v>
                </c:pt>
                <c:pt idx="7213">
                  <c:v>74</c:v>
                </c:pt>
                <c:pt idx="7214">
                  <c:v>74</c:v>
                </c:pt>
                <c:pt idx="7338">
                  <c:v>75</c:v>
                </c:pt>
                <c:pt idx="7339">
                  <c:v>75</c:v>
                </c:pt>
                <c:pt idx="7340">
                  <c:v>75</c:v>
                </c:pt>
                <c:pt idx="7341">
                  <c:v>75</c:v>
                </c:pt>
                <c:pt idx="7342">
                  <c:v>75</c:v>
                </c:pt>
                <c:pt idx="7343">
                  <c:v>75</c:v>
                </c:pt>
                <c:pt idx="7344">
                  <c:v>75</c:v>
                </c:pt>
                <c:pt idx="7345">
                  <c:v>75</c:v>
                </c:pt>
                <c:pt idx="7346">
                  <c:v>75</c:v>
                </c:pt>
                <c:pt idx="7347">
                  <c:v>75</c:v>
                </c:pt>
                <c:pt idx="7348">
                  <c:v>75</c:v>
                </c:pt>
                <c:pt idx="7349">
                  <c:v>75</c:v>
                </c:pt>
                <c:pt idx="7350">
                  <c:v>75</c:v>
                </c:pt>
                <c:pt idx="7351">
                  <c:v>75</c:v>
                </c:pt>
                <c:pt idx="7352">
                  <c:v>75</c:v>
                </c:pt>
                <c:pt idx="7353">
                  <c:v>75</c:v>
                </c:pt>
                <c:pt idx="7354">
                  <c:v>75</c:v>
                </c:pt>
                <c:pt idx="7355">
                  <c:v>75</c:v>
                </c:pt>
                <c:pt idx="7356">
                  <c:v>75</c:v>
                </c:pt>
                <c:pt idx="7357">
                  <c:v>75</c:v>
                </c:pt>
                <c:pt idx="7365">
                  <c:v>76</c:v>
                </c:pt>
                <c:pt idx="7366">
                  <c:v>76</c:v>
                </c:pt>
                <c:pt idx="7367">
                  <c:v>76</c:v>
                </c:pt>
                <c:pt idx="7368">
                  <c:v>76</c:v>
                </c:pt>
                <c:pt idx="7369">
                  <c:v>76</c:v>
                </c:pt>
                <c:pt idx="7370">
                  <c:v>76</c:v>
                </c:pt>
                <c:pt idx="7371">
                  <c:v>76</c:v>
                </c:pt>
                <c:pt idx="7372">
                  <c:v>76</c:v>
                </c:pt>
                <c:pt idx="7373">
                  <c:v>76</c:v>
                </c:pt>
                <c:pt idx="7374">
                  <c:v>76</c:v>
                </c:pt>
                <c:pt idx="7375">
                  <c:v>76</c:v>
                </c:pt>
                <c:pt idx="7376">
                  <c:v>76</c:v>
                </c:pt>
                <c:pt idx="7377">
                  <c:v>76</c:v>
                </c:pt>
                <c:pt idx="7378">
                  <c:v>76</c:v>
                </c:pt>
                <c:pt idx="7379">
                  <c:v>76</c:v>
                </c:pt>
                <c:pt idx="7380">
                  <c:v>76</c:v>
                </c:pt>
                <c:pt idx="7381">
                  <c:v>76</c:v>
                </c:pt>
                <c:pt idx="7382">
                  <c:v>76</c:v>
                </c:pt>
                <c:pt idx="7383">
                  <c:v>76</c:v>
                </c:pt>
                <c:pt idx="7384">
                  <c:v>76</c:v>
                </c:pt>
                <c:pt idx="7385">
                  <c:v>76</c:v>
                </c:pt>
                <c:pt idx="7386">
                  <c:v>76</c:v>
                </c:pt>
                <c:pt idx="7387">
                  <c:v>76</c:v>
                </c:pt>
                <c:pt idx="7388">
                  <c:v>76</c:v>
                </c:pt>
                <c:pt idx="7389">
                  <c:v>76</c:v>
                </c:pt>
                <c:pt idx="7390">
                  <c:v>76</c:v>
                </c:pt>
                <c:pt idx="7391">
                  <c:v>76</c:v>
                </c:pt>
                <c:pt idx="7392">
                  <c:v>76</c:v>
                </c:pt>
                <c:pt idx="7393">
                  <c:v>76</c:v>
                </c:pt>
                <c:pt idx="7394">
                  <c:v>76</c:v>
                </c:pt>
                <c:pt idx="7395">
                  <c:v>76</c:v>
                </c:pt>
                <c:pt idx="7396">
                  <c:v>76</c:v>
                </c:pt>
                <c:pt idx="7397">
                  <c:v>76</c:v>
                </c:pt>
                <c:pt idx="7398">
                  <c:v>76</c:v>
                </c:pt>
                <c:pt idx="7399">
                  <c:v>76</c:v>
                </c:pt>
                <c:pt idx="7400">
                  <c:v>76</c:v>
                </c:pt>
                <c:pt idx="7401">
                  <c:v>76</c:v>
                </c:pt>
                <c:pt idx="7402">
                  <c:v>76</c:v>
                </c:pt>
                <c:pt idx="7403">
                  <c:v>76</c:v>
                </c:pt>
                <c:pt idx="7404">
                  <c:v>76</c:v>
                </c:pt>
                <c:pt idx="7405">
                  <c:v>76</c:v>
                </c:pt>
                <c:pt idx="7406">
                  <c:v>76</c:v>
                </c:pt>
                <c:pt idx="7407">
                  <c:v>76</c:v>
                </c:pt>
                <c:pt idx="7408">
                  <c:v>76</c:v>
                </c:pt>
                <c:pt idx="7409">
                  <c:v>76</c:v>
                </c:pt>
                <c:pt idx="7410">
                  <c:v>76</c:v>
                </c:pt>
                <c:pt idx="7411">
                  <c:v>76</c:v>
                </c:pt>
                <c:pt idx="7412">
                  <c:v>76</c:v>
                </c:pt>
                <c:pt idx="741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F-414C-AE11-397EDF516594}"/>
            </c:ext>
          </c:extLst>
        </c:ser>
        <c:ser>
          <c:idx val="1"/>
          <c:order val="1"/>
          <c:tx>
            <c:strRef>
              <c:f>transpose!$AW$1</c:f>
              <c:strCache>
                <c:ptCount val="1"/>
                <c:pt idx="0">
                  <c:v>ÁLL_rövden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transpose!$AW$2:$AW$7686</c:f>
              <c:numCache>
                <c:formatCode>General</c:formatCode>
                <c:ptCount val="7685"/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68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6</c:v>
                </c:pt>
                <c:pt idx="1084">
                  <c:v>7</c:v>
                </c:pt>
                <c:pt idx="1085">
                  <c:v>7</c:v>
                </c:pt>
                <c:pt idx="1086">
                  <c:v>7</c:v>
                </c:pt>
                <c:pt idx="1087">
                  <c:v>7</c:v>
                </c:pt>
                <c:pt idx="1088">
                  <c:v>7</c:v>
                </c:pt>
                <c:pt idx="1089">
                  <c:v>7</c:v>
                </c:pt>
                <c:pt idx="1090">
                  <c:v>7</c:v>
                </c:pt>
                <c:pt idx="1091">
                  <c:v>7</c:v>
                </c:pt>
                <c:pt idx="1092">
                  <c:v>7</c:v>
                </c:pt>
                <c:pt idx="1093">
                  <c:v>7</c:v>
                </c:pt>
                <c:pt idx="1094">
                  <c:v>7</c:v>
                </c:pt>
                <c:pt idx="1095">
                  <c:v>7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95">
                  <c:v>10</c:v>
                </c:pt>
                <c:pt idx="1396">
                  <c:v>10</c:v>
                </c:pt>
                <c:pt idx="1397">
                  <c:v>10</c:v>
                </c:pt>
                <c:pt idx="1398">
                  <c:v>10</c:v>
                </c:pt>
                <c:pt idx="1399">
                  <c:v>10</c:v>
                </c:pt>
                <c:pt idx="1400">
                  <c:v>10</c:v>
                </c:pt>
                <c:pt idx="1401">
                  <c:v>10</c:v>
                </c:pt>
                <c:pt idx="1402">
                  <c:v>10</c:v>
                </c:pt>
                <c:pt idx="1403">
                  <c:v>10</c:v>
                </c:pt>
                <c:pt idx="1404">
                  <c:v>10</c:v>
                </c:pt>
                <c:pt idx="1405">
                  <c:v>10</c:v>
                </c:pt>
                <c:pt idx="1415">
                  <c:v>11</c:v>
                </c:pt>
                <c:pt idx="1416">
                  <c:v>11</c:v>
                </c:pt>
                <c:pt idx="2220">
                  <c:v>12</c:v>
                </c:pt>
                <c:pt idx="2221">
                  <c:v>12</c:v>
                </c:pt>
                <c:pt idx="2222">
                  <c:v>12</c:v>
                </c:pt>
                <c:pt idx="2223">
                  <c:v>12</c:v>
                </c:pt>
                <c:pt idx="2224">
                  <c:v>12</c:v>
                </c:pt>
                <c:pt idx="2225">
                  <c:v>12</c:v>
                </c:pt>
                <c:pt idx="2226">
                  <c:v>12</c:v>
                </c:pt>
                <c:pt idx="2227">
                  <c:v>12</c:v>
                </c:pt>
                <c:pt idx="2228">
                  <c:v>12</c:v>
                </c:pt>
                <c:pt idx="2229">
                  <c:v>12</c:v>
                </c:pt>
                <c:pt idx="2230">
                  <c:v>12</c:v>
                </c:pt>
                <c:pt idx="2231">
                  <c:v>12</c:v>
                </c:pt>
                <c:pt idx="2574">
                  <c:v>13</c:v>
                </c:pt>
                <c:pt idx="2575">
                  <c:v>13</c:v>
                </c:pt>
                <c:pt idx="2576">
                  <c:v>13</c:v>
                </c:pt>
                <c:pt idx="2577">
                  <c:v>13</c:v>
                </c:pt>
                <c:pt idx="2578">
                  <c:v>13</c:v>
                </c:pt>
                <c:pt idx="2579">
                  <c:v>13</c:v>
                </c:pt>
                <c:pt idx="2580">
                  <c:v>13</c:v>
                </c:pt>
                <c:pt idx="2581">
                  <c:v>13</c:v>
                </c:pt>
                <c:pt idx="2582">
                  <c:v>13</c:v>
                </c:pt>
                <c:pt idx="2583">
                  <c:v>13</c:v>
                </c:pt>
                <c:pt idx="2584">
                  <c:v>13</c:v>
                </c:pt>
                <c:pt idx="2585">
                  <c:v>13</c:v>
                </c:pt>
                <c:pt idx="2636">
                  <c:v>14</c:v>
                </c:pt>
                <c:pt idx="2637">
                  <c:v>14</c:v>
                </c:pt>
                <c:pt idx="3316">
                  <c:v>15</c:v>
                </c:pt>
                <c:pt idx="3317">
                  <c:v>15</c:v>
                </c:pt>
                <c:pt idx="3318">
                  <c:v>15</c:v>
                </c:pt>
                <c:pt idx="3319">
                  <c:v>15</c:v>
                </c:pt>
                <c:pt idx="3320">
                  <c:v>15</c:v>
                </c:pt>
                <c:pt idx="3321">
                  <c:v>15</c:v>
                </c:pt>
                <c:pt idx="3322">
                  <c:v>15</c:v>
                </c:pt>
                <c:pt idx="3323">
                  <c:v>15</c:v>
                </c:pt>
                <c:pt idx="3324">
                  <c:v>15</c:v>
                </c:pt>
                <c:pt idx="3325">
                  <c:v>15</c:v>
                </c:pt>
                <c:pt idx="3326">
                  <c:v>15</c:v>
                </c:pt>
                <c:pt idx="3413">
                  <c:v>16</c:v>
                </c:pt>
                <c:pt idx="3414">
                  <c:v>16</c:v>
                </c:pt>
                <c:pt idx="3415">
                  <c:v>16</c:v>
                </c:pt>
                <c:pt idx="3416">
                  <c:v>16</c:v>
                </c:pt>
                <c:pt idx="3417">
                  <c:v>16</c:v>
                </c:pt>
                <c:pt idx="3418">
                  <c:v>16</c:v>
                </c:pt>
                <c:pt idx="3419">
                  <c:v>16</c:v>
                </c:pt>
                <c:pt idx="3420">
                  <c:v>16</c:v>
                </c:pt>
                <c:pt idx="3421">
                  <c:v>16</c:v>
                </c:pt>
                <c:pt idx="3422">
                  <c:v>16</c:v>
                </c:pt>
                <c:pt idx="3423">
                  <c:v>16</c:v>
                </c:pt>
                <c:pt idx="3424">
                  <c:v>16</c:v>
                </c:pt>
                <c:pt idx="3470">
                  <c:v>17</c:v>
                </c:pt>
                <c:pt idx="3471">
                  <c:v>17</c:v>
                </c:pt>
                <c:pt idx="3472">
                  <c:v>17</c:v>
                </c:pt>
                <c:pt idx="3473">
                  <c:v>17</c:v>
                </c:pt>
                <c:pt idx="3474">
                  <c:v>17</c:v>
                </c:pt>
                <c:pt idx="3842">
                  <c:v>18</c:v>
                </c:pt>
                <c:pt idx="3843">
                  <c:v>18</c:v>
                </c:pt>
                <c:pt idx="3844">
                  <c:v>18</c:v>
                </c:pt>
                <c:pt idx="5337">
                  <c:v>19</c:v>
                </c:pt>
                <c:pt idx="5338">
                  <c:v>19</c:v>
                </c:pt>
                <c:pt idx="5339">
                  <c:v>19</c:v>
                </c:pt>
                <c:pt idx="5340">
                  <c:v>19</c:v>
                </c:pt>
                <c:pt idx="5341">
                  <c:v>19</c:v>
                </c:pt>
                <c:pt idx="5342">
                  <c:v>19</c:v>
                </c:pt>
                <c:pt idx="6142">
                  <c:v>20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363">
                  <c:v>21</c:v>
                </c:pt>
                <c:pt idx="6364">
                  <c:v>21</c:v>
                </c:pt>
                <c:pt idx="6365">
                  <c:v>21</c:v>
                </c:pt>
                <c:pt idx="6366">
                  <c:v>21</c:v>
                </c:pt>
                <c:pt idx="6761">
                  <c:v>22</c:v>
                </c:pt>
                <c:pt idx="6824">
                  <c:v>23</c:v>
                </c:pt>
                <c:pt idx="6825">
                  <c:v>23</c:v>
                </c:pt>
                <c:pt idx="6826">
                  <c:v>23</c:v>
                </c:pt>
                <c:pt idx="6827">
                  <c:v>23</c:v>
                </c:pt>
                <c:pt idx="6828">
                  <c:v>23</c:v>
                </c:pt>
                <c:pt idx="6829">
                  <c:v>23</c:v>
                </c:pt>
                <c:pt idx="6830">
                  <c:v>23</c:v>
                </c:pt>
                <c:pt idx="6831">
                  <c:v>23</c:v>
                </c:pt>
                <c:pt idx="6832">
                  <c:v>23</c:v>
                </c:pt>
                <c:pt idx="6833">
                  <c:v>23</c:v>
                </c:pt>
                <c:pt idx="6834">
                  <c:v>23</c:v>
                </c:pt>
                <c:pt idx="6835">
                  <c:v>23</c:v>
                </c:pt>
                <c:pt idx="6836">
                  <c:v>23</c:v>
                </c:pt>
                <c:pt idx="6837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FF-414C-AE11-397EDF516594}"/>
            </c:ext>
          </c:extLst>
        </c:ser>
        <c:ser>
          <c:idx val="2"/>
          <c:order val="2"/>
          <c:tx>
            <c:strRef>
              <c:f>transpose!$AT$1</c:f>
              <c:strCache>
                <c:ptCount val="1"/>
                <c:pt idx="0">
                  <c:v>pihen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transpose!$AT$2:$AT$7686</c:f>
              <c:numCache>
                <c:formatCode>General</c:formatCode>
                <c:ptCount val="7685"/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1167">
                  <c:v>9</c:v>
                </c:pt>
                <c:pt idx="1168">
                  <c:v>9</c:v>
                </c:pt>
                <c:pt idx="1169">
                  <c:v>9</c:v>
                </c:pt>
                <c:pt idx="1170">
                  <c:v>9</c:v>
                </c:pt>
                <c:pt idx="1171">
                  <c:v>9</c:v>
                </c:pt>
                <c:pt idx="1172">
                  <c:v>9</c:v>
                </c:pt>
                <c:pt idx="1173">
                  <c:v>9</c:v>
                </c:pt>
                <c:pt idx="1174">
                  <c:v>9</c:v>
                </c:pt>
                <c:pt idx="1226">
                  <c:v>10</c:v>
                </c:pt>
                <c:pt idx="1227">
                  <c:v>10</c:v>
                </c:pt>
                <c:pt idx="1228">
                  <c:v>10</c:v>
                </c:pt>
                <c:pt idx="1229">
                  <c:v>10</c:v>
                </c:pt>
                <c:pt idx="1230">
                  <c:v>10</c:v>
                </c:pt>
                <c:pt idx="1231">
                  <c:v>10</c:v>
                </c:pt>
                <c:pt idx="1232">
                  <c:v>10</c:v>
                </c:pt>
                <c:pt idx="1233">
                  <c:v>10</c:v>
                </c:pt>
                <c:pt idx="1234">
                  <c:v>10</c:v>
                </c:pt>
                <c:pt idx="1235">
                  <c:v>10</c:v>
                </c:pt>
                <c:pt idx="1236">
                  <c:v>10</c:v>
                </c:pt>
                <c:pt idx="1237">
                  <c:v>10</c:v>
                </c:pt>
                <c:pt idx="1238">
                  <c:v>10</c:v>
                </c:pt>
                <c:pt idx="1239">
                  <c:v>10</c:v>
                </c:pt>
                <c:pt idx="1240">
                  <c:v>10</c:v>
                </c:pt>
                <c:pt idx="1241">
                  <c:v>10</c:v>
                </c:pt>
                <c:pt idx="1242">
                  <c:v>10</c:v>
                </c:pt>
                <c:pt idx="1243">
                  <c:v>10</c:v>
                </c:pt>
                <c:pt idx="1244">
                  <c:v>10</c:v>
                </c:pt>
                <c:pt idx="1245">
                  <c:v>10</c:v>
                </c:pt>
                <c:pt idx="1246">
                  <c:v>10</c:v>
                </c:pt>
                <c:pt idx="1247">
                  <c:v>10</c:v>
                </c:pt>
                <c:pt idx="1248">
                  <c:v>10</c:v>
                </c:pt>
                <c:pt idx="1249">
                  <c:v>10</c:v>
                </c:pt>
                <c:pt idx="1250">
                  <c:v>10</c:v>
                </c:pt>
                <c:pt idx="1251">
                  <c:v>10</c:v>
                </c:pt>
                <c:pt idx="1252">
                  <c:v>10</c:v>
                </c:pt>
                <c:pt idx="1253">
                  <c:v>10</c:v>
                </c:pt>
                <c:pt idx="1254">
                  <c:v>10</c:v>
                </c:pt>
                <c:pt idx="1255">
                  <c:v>10</c:v>
                </c:pt>
                <c:pt idx="1256">
                  <c:v>10</c:v>
                </c:pt>
                <c:pt idx="1257">
                  <c:v>10</c:v>
                </c:pt>
                <c:pt idx="1258">
                  <c:v>10</c:v>
                </c:pt>
                <c:pt idx="1259">
                  <c:v>10</c:v>
                </c:pt>
                <c:pt idx="1926">
                  <c:v>11</c:v>
                </c:pt>
                <c:pt idx="1927">
                  <c:v>11</c:v>
                </c:pt>
                <c:pt idx="1928">
                  <c:v>11</c:v>
                </c:pt>
                <c:pt idx="1929">
                  <c:v>11</c:v>
                </c:pt>
                <c:pt idx="1930">
                  <c:v>11</c:v>
                </c:pt>
                <c:pt idx="1931">
                  <c:v>11</c:v>
                </c:pt>
                <c:pt idx="1932">
                  <c:v>11</c:v>
                </c:pt>
                <c:pt idx="1933">
                  <c:v>11</c:v>
                </c:pt>
                <c:pt idx="1934">
                  <c:v>11</c:v>
                </c:pt>
                <c:pt idx="1935">
                  <c:v>11</c:v>
                </c:pt>
                <c:pt idx="1936">
                  <c:v>11</c:v>
                </c:pt>
                <c:pt idx="1937">
                  <c:v>11</c:v>
                </c:pt>
                <c:pt idx="1938">
                  <c:v>11</c:v>
                </c:pt>
                <c:pt idx="1939">
                  <c:v>11</c:v>
                </c:pt>
                <c:pt idx="1940">
                  <c:v>11</c:v>
                </c:pt>
                <c:pt idx="1941">
                  <c:v>11</c:v>
                </c:pt>
                <c:pt idx="1942">
                  <c:v>11</c:v>
                </c:pt>
                <c:pt idx="1943">
                  <c:v>11</c:v>
                </c:pt>
                <c:pt idx="1944">
                  <c:v>11</c:v>
                </c:pt>
                <c:pt idx="1945">
                  <c:v>11</c:v>
                </c:pt>
                <c:pt idx="1946">
                  <c:v>11</c:v>
                </c:pt>
                <c:pt idx="1947">
                  <c:v>11</c:v>
                </c:pt>
                <c:pt idx="1948">
                  <c:v>11</c:v>
                </c:pt>
                <c:pt idx="1949">
                  <c:v>11</c:v>
                </c:pt>
                <c:pt idx="1950">
                  <c:v>11</c:v>
                </c:pt>
                <c:pt idx="1951">
                  <c:v>11</c:v>
                </c:pt>
                <c:pt idx="1952">
                  <c:v>11</c:v>
                </c:pt>
                <c:pt idx="1953">
                  <c:v>11</c:v>
                </c:pt>
                <c:pt idx="1954">
                  <c:v>11</c:v>
                </c:pt>
                <c:pt idx="1955">
                  <c:v>11</c:v>
                </c:pt>
                <c:pt idx="1956">
                  <c:v>11</c:v>
                </c:pt>
                <c:pt idx="1957">
                  <c:v>11</c:v>
                </c:pt>
                <c:pt idx="1958">
                  <c:v>11</c:v>
                </c:pt>
                <c:pt idx="1959">
                  <c:v>11</c:v>
                </c:pt>
                <c:pt idx="1960">
                  <c:v>11</c:v>
                </c:pt>
                <c:pt idx="1961">
                  <c:v>11</c:v>
                </c:pt>
                <c:pt idx="1962">
                  <c:v>11</c:v>
                </c:pt>
                <c:pt idx="2254">
                  <c:v>12</c:v>
                </c:pt>
                <c:pt idx="2255">
                  <c:v>12</c:v>
                </c:pt>
                <c:pt idx="2256">
                  <c:v>12</c:v>
                </c:pt>
                <c:pt idx="2257">
                  <c:v>12</c:v>
                </c:pt>
                <c:pt idx="2258">
                  <c:v>12</c:v>
                </c:pt>
                <c:pt idx="2259">
                  <c:v>12</c:v>
                </c:pt>
                <c:pt idx="2260">
                  <c:v>12</c:v>
                </c:pt>
                <c:pt idx="2261">
                  <c:v>12</c:v>
                </c:pt>
                <c:pt idx="2262">
                  <c:v>12</c:v>
                </c:pt>
                <c:pt idx="2263">
                  <c:v>12</c:v>
                </c:pt>
                <c:pt idx="2264">
                  <c:v>12</c:v>
                </c:pt>
                <c:pt idx="2265">
                  <c:v>12</c:v>
                </c:pt>
                <c:pt idx="2446">
                  <c:v>13</c:v>
                </c:pt>
                <c:pt idx="2447">
                  <c:v>13</c:v>
                </c:pt>
                <c:pt idx="2448">
                  <c:v>13</c:v>
                </c:pt>
                <c:pt idx="2449">
                  <c:v>13</c:v>
                </c:pt>
                <c:pt idx="2450">
                  <c:v>13</c:v>
                </c:pt>
                <c:pt idx="2451">
                  <c:v>13</c:v>
                </c:pt>
                <c:pt idx="2452">
                  <c:v>13</c:v>
                </c:pt>
                <c:pt idx="2453">
                  <c:v>13</c:v>
                </c:pt>
                <c:pt idx="2454">
                  <c:v>13</c:v>
                </c:pt>
                <c:pt idx="2455">
                  <c:v>13</c:v>
                </c:pt>
                <c:pt idx="2456">
                  <c:v>13</c:v>
                </c:pt>
                <c:pt idx="2457">
                  <c:v>13</c:v>
                </c:pt>
                <c:pt idx="2458">
                  <c:v>13</c:v>
                </c:pt>
                <c:pt idx="2459">
                  <c:v>13</c:v>
                </c:pt>
                <c:pt idx="2460">
                  <c:v>13</c:v>
                </c:pt>
                <c:pt idx="2461">
                  <c:v>13</c:v>
                </c:pt>
                <c:pt idx="2462">
                  <c:v>13</c:v>
                </c:pt>
                <c:pt idx="2463">
                  <c:v>13</c:v>
                </c:pt>
                <c:pt idx="2464">
                  <c:v>13</c:v>
                </c:pt>
                <c:pt idx="2465">
                  <c:v>13</c:v>
                </c:pt>
                <c:pt idx="2466">
                  <c:v>13</c:v>
                </c:pt>
                <c:pt idx="2467">
                  <c:v>13</c:v>
                </c:pt>
                <c:pt idx="2700">
                  <c:v>14</c:v>
                </c:pt>
                <c:pt idx="2701">
                  <c:v>14</c:v>
                </c:pt>
                <c:pt idx="2702">
                  <c:v>14</c:v>
                </c:pt>
                <c:pt idx="2703">
                  <c:v>14</c:v>
                </c:pt>
                <c:pt idx="2704">
                  <c:v>14</c:v>
                </c:pt>
                <c:pt idx="2705">
                  <c:v>14</c:v>
                </c:pt>
                <c:pt idx="2706">
                  <c:v>14</c:v>
                </c:pt>
                <c:pt idx="2707">
                  <c:v>14</c:v>
                </c:pt>
                <c:pt idx="2708">
                  <c:v>14</c:v>
                </c:pt>
                <c:pt idx="2709">
                  <c:v>14</c:v>
                </c:pt>
                <c:pt idx="2710">
                  <c:v>14</c:v>
                </c:pt>
                <c:pt idx="2711">
                  <c:v>14</c:v>
                </c:pt>
                <c:pt idx="2712">
                  <c:v>14</c:v>
                </c:pt>
                <c:pt idx="2713">
                  <c:v>14</c:v>
                </c:pt>
                <c:pt idx="2714">
                  <c:v>14</c:v>
                </c:pt>
                <c:pt idx="2715">
                  <c:v>14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949">
                  <c:v>16</c:v>
                </c:pt>
                <c:pt idx="2950">
                  <c:v>16</c:v>
                </c:pt>
                <c:pt idx="2951">
                  <c:v>16</c:v>
                </c:pt>
                <c:pt idx="2952">
                  <c:v>16</c:v>
                </c:pt>
                <c:pt idx="2953">
                  <c:v>16</c:v>
                </c:pt>
                <c:pt idx="2954">
                  <c:v>16</c:v>
                </c:pt>
                <c:pt idx="2955">
                  <c:v>16</c:v>
                </c:pt>
                <c:pt idx="2956">
                  <c:v>16</c:v>
                </c:pt>
                <c:pt idx="2957">
                  <c:v>16</c:v>
                </c:pt>
                <c:pt idx="2958">
                  <c:v>16</c:v>
                </c:pt>
                <c:pt idx="2959">
                  <c:v>16</c:v>
                </c:pt>
                <c:pt idx="2960">
                  <c:v>16</c:v>
                </c:pt>
                <c:pt idx="2961">
                  <c:v>16</c:v>
                </c:pt>
                <c:pt idx="2962">
                  <c:v>16</c:v>
                </c:pt>
                <c:pt idx="2963">
                  <c:v>16</c:v>
                </c:pt>
                <c:pt idx="2964">
                  <c:v>16</c:v>
                </c:pt>
                <c:pt idx="2965">
                  <c:v>16</c:v>
                </c:pt>
                <c:pt idx="2966">
                  <c:v>16</c:v>
                </c:pt>
                <c:pt idx="2967">
                  <c:v>16</c:v>
                </c:pt>
                <c:pt idx="2968">
                  <c:v>16</c:v>
                </c:pt>
                <c:pt idx="2969">
                  <c:v>16</c:v>
                </c:pt>
                <c:pt idx="2970">
                  <c:v>16</c:v>
                </c:pt>
                <c:pt idx="2971">
                  <c:v>16</c:v>
                </c:pt>
                <c:pt idx="2972">
                  <c:v>16</c:v>
                </c:pt>
                <c:pt idx="2973">
                  <c:v>16</c:v>
                </c:pt>
                <c:pt idx="2974">
                  <c:v>16</c:v>
                </c:pt>
                <c:pt idx="2975">
                  <c:v>16</c:v>
                </c:pt>
                <c:pt idx="2976">
                  <c:v>16</c:v>
                </c:pt>
                <c:pt idx="2977">
                  <c:v>16</c:v>
                </c:pt>
                <c:pt idx="2978">
                  <c:v>16</c:v>
                </c:pt>
                <c:pt idx="2979">
                  <c:v>16</c:v>
                </c:pt>
                <c:pt idx="2980">
                  <c:v>16</c:v>
                </c:pt>
                <c:pt idx="2981">
                  <c:v>16</c:v>
                </c:pt>
                <c:pt idx="2982">
                  <c:v>16</c:v>
                </c:pt>
                <c:pt idx="2983">
                  <c:v>16</c:v>
                </c:pt>
                <c:pt idx="2984">
                  <c:v>16</c:v>
                </c:pt>
                <c:pt idx="2985">
                  <c:v>16</c:v>
                </c:pt>
                <c:pt idx="2986">
                  <c:v>16</c:v>
                </c:pt>
                <c:pt idx="2987">
                  <c:v>16</c:v>
                </c:pt>
                <c:pt idx="2988">
                  <c:v>16</c:v>
                </c:pt>
                <c:pt idx="2989">
                  <c:v>16</c:v>
                </c:pt>
                <c:pt idx="2990">
                  <c:v>16</c:v>
                </c:pt>
                <c:pt idx="2991">
                  <c:v>16</c:v>
                </c:pt>
                <c:pt idx="2992">
                  <c:v>16</c:v>
                </c:pt>
                <c:pt idx="2993">
                  <c:v>16</c:v>
                </c:pt>
                <c:pt idx="2994">
                  <c:v>16</c:v>
                </c:pt>
                <c:pt idx="2995">
                  <c:v>16</c:v>
                </c:pt>
                <c:pt idx="2996">
                  <c:v>16</c:v>
                </c:pt>
                <c:pt idx="2997">
                  <c:v>16</c:v>
                </c:pt>
                <c:pt idx="2998">
                  <c:v>16</c:v>
                </c:pt>
                <c:pt idx="3057">
                  <c:v>17</c:v>
                </c:pt>
                <c:pt idx="3058">
                  <c:v>17</c:v>
                </c:pt>
                <c:pt idx="3059">
                  <c:v>17</c:v>
                </c:pt>
                <c:pt idx="3060">
                  <c:v>17</c:v>
                </c:pt>
                <c:pt idx="3061">
                  <c:v>17</c:v>
                </c:pt>
                <c:pt idx="3062">
                  <c:v>17</c:v>
                </c:pt>
                <c:pt idx="3063">
                  <c:v>17</c:v>
                </c:pt>
                <c:pt idx="3064">
                  <c:v>17</c:v>
                </c:pt>
                <c:pt idx="3065">
                  <c:v>17</c:v>
                </c:pt>
                <c:pt idx="3066">
                  <c:v>17</c:v>
                </c:pt>
                <c:pt idx="3067">
                  <c:v>17</c:v>
                </c:pt>
                <c:pt idx="3068">
                  <c:v>17</c:v>
                </c:pt>
                <c:pt idx="3069">
                  <c:v>17</c:v>
                </c:pt>
                <c:pt idx="3070">
                  <c:v>17</c:v>
                </c:pt>
                <c:pt idx="3071">
                  <c:v>17</c:v>
                </c:pt>
                <c:pt idx="3072">
                  <c:v>17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18</c:v>
                </c:pt>
                <c:pt idx="3093">
                  <c:v>18</c:v>
                </c:pt>
                <c:pt idx="3094">
                  <c:v>18</c:v>
                </c:pt>
                <c:pt idx="3095">
                  <c:v>18</c:v>
                </c:pt>
                <c:pt idx="3096">
                  <c:v>18</c:v>
                </c:pt>
                <c:pt idx="3097">
                  <c:v>18</c:v>
                </c:pt>
                <c:pt idx="3098">
                  <c:v>18</c:v>
                </c:pt>
                <c:pt idx="3099">
                  <c:v>18</c:v>
                </c:pt>
                <c:pt idx="3100">
                  <c:v>18</c:v>
                </c:pt>
                <c:pt idx="3101">
                  <c:v>18</c:v>
                </c:pt>
                <c:pt idx="3102">
                  <c:v>18</c:v>
                </c:pt>
                <c:pt idx="3103">
                  <c:v>18</c:v>
                </c:pt>
                <c:pt idx="3104">
                  <c:v>18</c:v>
                </c:pt>
                <c:pt idx="3105">
                  <c:v>18</c:v>
                </c:pt>
                <c:pt idx="3106">
                  <c:v>18</c:v>
                </c:pt>
                <c:pt idx="3107">
                  <c:v>18</c:v>
                </c:pt>
                <c:pt idx="3108">
                  <c:v>18</c:v>
                </c:pt>
                <c:pt idx="3109">
                  <c:v>18</c:v>
                </c:pt>
                <c:pt idx="3110">
                  <c:v>18</c:v>
                </c:pt>
                <c:pt idx="3111">
                  <c:v>18</c:v>
                </c:pt>
                <c:pt idx="3112">
                  <c:v>18</c:v>
                </c:pt>
                <c:pt idx="3113">
                  <c:v>18</c:v>
                </c:pt>
                <c:pt idx="3114">
                  <c:v>18</c:v>
                </c:pt>
                <c:pt idx="3115">
                  <c:v>18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18</c:v>
                </c:pt>
                <c:pt idx="3120">
                  <c:v>18</c:v>
                </c:pt>
                <c:pt idx="3121">
                  <c:v>18</c:v>
                </c:pt>
                <c:pt idx="3122">
                  <c:v>18</c:v>
                </c:pt>
                <c:pt idx="3123">
                  <c:v>18</c:v>
                </c:pt>
                <c:pt idx="3124">
                  <c:v>18</c:v>
                </c:pt>
                <c:pt idx="3125">
                  <c:v>18</c:v>
                </c:pt>
                <c:pt idx="3126">
                  <c:v>18</c:v>
                </c:pt>
                <c:pt idx="3127">
                  <c:v>18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18</c:v>
                </c:pt>
                <c:pt idx="3133">
                  <c:v>18</c:v>
                </c:pt>
                <c:pt idx="3134">
                  <c:v>18</c:v>
                </c:pt>
                <c:pt idx="3135">
                  <c:v>18</c:v>
                </c:pt>
                <c:pt idx="3136">
                  <c:v>18</c:v>
                </c:pt>
                <c:pt idx="3137">
                  <c:v>18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18</c:v>
                </c:pt>
                <c:pt idx="3148">
                  <c:v>18</c:v>
                </c:pt>
                <c:pt idx="3149">
                  <c:v>18</c:v>
                </c:pt>
                <c:pt idx="3150">
                  <c:v>18</c:v>
                </c:pt>
                <c:pt idx="3156">
                  <c:v>19</c:v>
                </c:pt>
                <c:pt idx="3157">
                  <c:v>19</c:v>
                </c:pt>
                <c:pt idx="3158">
                  <c:v>19</c:v>
                </c:pt>
                <c:pt idx="3159">
                  <c:v>19</c:v>
                </c:pt>
                <c:pt idx="3160">
                  <c:v>19</c:v>
                </c:pt>
                <c:pt idx="3161">
                  <c:v>19</c:v>
                </c:pt>
                <c:pt idx="3162">
                  <c:v>19</c:v>
                </c:pt>
                <c:pt idx="3163">
                  <c:v>19</c:v>
                </c:pt>
                <c:pt idx="3164">
                  <c:v>19</c:v>
                </c:pt>
                <c:pt idx="3165">
                  <c:v>19</c:v>
                </c:pt>
                <c:pt idx="3166">
                  <c:v>19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21</c:v>
                </c:pt>
                <c:pt idx="3663">
                  <c:v>21</c:v>
                </c:pt>
                <c:pt idx="3664">
                  <c:v>21</c:v>
                </c:pt>
                <c:pt idx="3665">
                  <c:v>21</c:v>
                </c:pt>
                <c:pt idx="3666">
                  <c:v>21</c:v>
                </c:pt>
                <c:pt idx="3667">
                  <c:v>21</c:v>
                </c:pt>
                <c:pt idx="3668">
                  <c:v>21</c:v>
                </c:pt>
                <c:pt idx="3669">
                  <c:v>21</c:v>
                </c:pt>
                <c:pt idx="3670">
                  <c:v>21</c:v>
                </c:pt>
                <c:pt idx="3671">
                  <c:v>21</c:v>
                </c:pt>
                <c:pt idx="3672">
                  <c:v>21</c:v>
                </c:pt>
                <c:pt idx="3673">
                  <c:v>21</c:v>
                </c:pt>
                <c:pt idx="3674">
                  <c:v>21</c:v>
                </c:pt>
                <c:pt idx="3675">
                  <c:v>21</c:v>
                </c:pt>
                <c:pt idx="3676">
                  <c:v>21</c:v>
                </c:pt>
                <c:pt idx="3677">
                  <c:v>21</c:v>
                </c:pt>
                <c:pt idx="3678">
                  <c:v>21</c:v>
                </c:pt>
                <c:pt idx="3679">
                  <c:v>21</c:v>
                </c:pt>
                <c:pt idx="3680">
                  <c:v>21</c:v>
                </c:pt>
                <c:pt idx="3681">
                  <c:v>21</c:v>
                </c:pt>
                <c:pt idx="3682">
                  <c:v>21</c:v>
                </c:pt>
                <c:pt idx="3683">
                  <c:v>21</c:v>
                </c:pt>
                <c:pt idx="3684">
                  <c:v>21</c:v>
                </c:pt>
                <c:pt idx="3685">
                  <c:v>21</c:v>
                </c:pt>
                <c:pt idx="3686">
                  <c:v>21</c:v>
                </c:pt>
                <c:pt idx="3687">
                  <c:v>21</c:v>
                </c:pt>
                <c:pt idx="3688">
                  <c:v>21</c:v>
                </c:pt>
                <c:pt idx="3689">
                  <c:v>21</c:v>
                </c:pt>
                <c:pt idx="3690">
                  <c:v>21</c:v>
                </c:pt>
                <c:pt idx="3691">
                  <c:v>21</c:v>
                </c:pt>
                <c:pt idx="3692">
                  <c:v>21</c:v>
                </c:pt>
                <c:pt idx="3693">
                  <c:v>21</c:v>
                </c:pt>
                <c:pt idx="3743">
                  <c:v>22</c:v>
                </c:pt>
                <c:pt idx="3744">
                  <c:v>22</c:v>
                </c:pt>
                <c:pt idx="3745">
                  <c:v>22</c:v>
                </c:pt>
                <c:pt idx="3746">
                  <c:v>22</c:v>
                </c:pt>
                <c:pt idx="3747">
                  <c:v>22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22</c:v>
                </c:pt>
                <c:pt idx="3756">
                  <c:v>22</c:v>
                </c:pt>
                <c:pt idx="3757">
                  <c:v>22</c:v>
                </c:pt>
                <c:pt idx="3758">
                  <c:v>22</c:v>
                </c:pt>
                <c:pt idx="3759">
                  <c:v>22</c:v>
                </c:pt>
                <c:pt idx="3760">
                  <c:v>22</c:v>
                </c:pt>
                <c:pt idx="3761">
                  <c:v>22</c:v>
                </c:pt>
                <c:pt idx="3762">
                  <c:v>22</c:v>
                </c:pt>
                <c:pt idx="3763">
                  <c:v>22</c:v>
                </c:pt>
                <c:pt idx="3764">
                  <c:v>22</c:v>
                </c:pt>
                <c:pt idx="3765">
                  <c:v>22</c:v>
                </c:pt>
                <c:pt idx="3766">
                  <c:v>22</c:v>
                </c:pt>
                <c:pt idx="3767">
                  <c:v>22</c:v>
                </c:pt>
                <c:pt idx="3768">
                  <c:v>22</c:v>
                </c:pt>
                <c:pt idx="3769">
                  <c:v>22</c:v>
                </c:pt>
                <c:pt idx="3770">
                  <c:v>22</c:v>
                </c:pt>
                <c:pt idx="3771">
                  <c:v>22</c:v>
                </c:pt>
                <c:pt idx="3772">
                  <c:v>22</c:v>
                </c:pt>
                <c:pt idx="3773">
                  <c:v>22</c:v>
                </c:pt>
                <c:pt idx="3774">
                  <c:v>22</c:v>
                </c:pt>
                <c:pt idx="3775">
                  <c:v>22</c:v>
                </c:pt>
                <c:pt idx="3776">
                  <c:v>22</c:v>
                </c:pt>
                <c:pt idx="3777">
                  <c:v>22</c:v>
                </c:pt>
                <c:pt idx="3778">
                  <c:v>22</c:v>
                </c:pt>
                <c:pt idx="3779">
                  <c:v>22</c:v>
                </c:pt>
                <c:pt idx="3780">
                  <c:v>22</c:v>
                </c:pt>
                <c:pt idx="3781">
                  <c:v>22</c:v>
                </c:pt>
                <c:pt idx="3782">
                  <c:v>22</c:v>
                </c:pt>
                <c:pt idx="3783">
                  <c:v>22</c:v>
                </c:pt>
                <c:pt idx="3784">
                  <c:v>22</c:v>
                </c:pt>
                <c:pt idx="3785">
                  <c:v>22</c:v>
                </c:pt>
                <c:pt idx="3786">
                  <c:v>22</c:v>
                </c:pt>
                <c:pt idx="3787">
                  <c:v>22</c:v>
                </c:pt>
                <c:pt idx="3788">
                  <c:v>22</c:v>
                </c:pt>
                <c:pt idx="3956">
                  <c:v>23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23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23</c:v>
                </c:pt>
                <c:pt idx="3980">
                  <c:v>23</c:v>
                </c:pt>
                <c:pt idx="3981">
                  <c:v>23</c:v>
                </c:pt>
                <c:pt idx="3982">
                  <c:v>23</c:v>
                </c:pt>
                <c:pt idx="3983">
                  <c:v>23</c:v>
                </c:pt>
                <c:pt idx="3984">
                  <c:v>23</c:v>
                </c:pt>
                <c:pt idx="3985">
                  <c:v>23</c:v>
                </c:pt>
                <c:pt idx="3986">
                  <c:v>23</c:v>
                </c:pt>
                <c:pt idx="3987">
                  <c:v>23</c:v>
                </c:pt>
                <c:pt idx="3988">
                  <c:v>23</c:v>
                </c:pt>
                <c:pt idx="3989">
                  <c:v>23</c:v>
                </c:pt>
                <c:pt idx="3990">
                  <c:v>23</c:v>
                </c:pt>
                <c:pt idx="3991">
                  <c:v>23</c:v>
                </c:pt>
                <c:pt idx="3992">
                  <c:v>23</c:v>
                </c:pt>
                <c:pt idx="3993">
                  <c:v>23</c:v>
                </c:pt>
                <c:pt idx="3994">
                  <c:v>23</c:v>
                </c:pt>
                <c:pt idx="3995">
                  <c:v>23</c:v>
                </c:pt>
                <c:pt idx="3996">
                  <c:v>23</c:v>
                </c:pt>
                <c:pt idx="3997">
                  <c:v>23</c:v>
                </c:pt>
                <c:pt idx="3998">
                  <c:v>23</c:v>
                </c:pt>
                <c:pt idx="3999">
                  <c:v>23</c:v>
                </c:pt>
                <c:pt idx="4000">
                  <c:v>23</c:v>
                </c:pt>
                <c:pt idx="4001">
                  <c:v>23</c:v>
                </c:pt>
                <c:pt idx="4002">
                  <c:v>23</c:v>
                </c:pt>
                <c:pt idx="4003">
                  <c:v>23</c:v>
                </c:pt>
                <c:pt idx="4004">
                  <c:v>23</c:v>
                </c:pt>
                <c:pt idx="4005">
                  <c:v>23</c:v>
                </c:pt>
                <c:pt idx="4006">
                  <c:v>23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23</c:v>
                </c:pt>
                <c:pt idx="4011">
                  <c:v>23</c:v>
                </c:pt>
                <c:pt idx="4012">
                  <c:v>23</c:v>
                </c:pt>
                <c:pt idx="4013">
                  <c:v>23</c:v>
                </c:pt>
                <c:pt idx="4014">
                  <c:v>23</c:v>
                </c:pt>
                <c:pt idx="4015">
                  <c:v>23</c:v>
                </c:pt>
                <c:pt idx="4016">
                  <c:v>23</c:v>
                </c:pt>
                <c:pt idx="4017">
                  <c:v>23</c:v>
                </c:pt>
                <c:pt idx="4018">
                  <c:v>23</c:v>
                </c:pt>
                <c:pt idx="4019">
                  <c:v>23</c:v>
                </c:pt>
                <c:pt idx="4020">
                  <c:v>23</c:v>
                </c:pt>
                <c:pt idx="4021">
                  <c:v>23</c:v>
                </c:pt>
                <c:pt idx="4022">
                  <c:v>23</c:v>
                </c:pt>
                <c:pt idx="4023">
                  <c:v>23</c:v>
                </c:pt>
                <c:pt idx="4024">
                  <c:v>23</c:v>
                </c:pt>
                <c:pt idx="4025">
                  <c:v>23</c:v>
                </c:pt>
                <c:pt idx="4026">
                  <c:v>23</c:v>
                </c:pt>
                <c:pt idx="4027">
                  <c:v>23</c:v>
                </c:pt>
                <c:pt idx="4028">
                  <c:v>23</c:v>
                </c:pt>
                <c:pt idx="4029">
                  <c:v>23</c:v>
                </c:pt>
                <c:pt idx="4030">
                  <c:v>23</c:v>
                </c:pt>
                <c:pt idx="4031">
                  <c:v>23</c:v>
                </c:pt>
                <c:pt idx="4032">
                  <c:v>23</c:v>
                </c:pt>
                <c:pt idx="4033">
                  <c:v>23</c:v>
                </c:pt>
                <c:pt idx="4034">
                  <c:v>23</c:v>
                </c:pt>
                <c:pt idx="4035">
                  <c:v>23</c:v>
                </c:pt>
                <c:pt idx="4036">
                  <c:v>23</c:v>
                </c:pt>
                <c:pt idx="4037">
                  <c:v>23</c:v>
                </c:pt>
                <c:pt idx="4038">
                  <c:v>23</c:v>
                </c:pt>
                <c:pt idx="4039">
                  <c:v>23</c:v>
                </c:pt>
                <c:pt idx="4040">
                  <c:v>23</c:v>
                </c:pt>
                <c:pt idx="4041">
                  <c:v>23</c:v>
                </c:pt>
                <c:pt idx="4042">
                  <c:v>23</c:v>
                </c:pt>
                <c:pt idx="4043">
                  <c:v>23</c:v>
                </c:pt>
                <c:pt idx="4044">
                  <c:v>23</c:v>
                </c:pt>
                <c:pt idx="4045">
                  <c:v>23</c:v>
                </c:pt>
                <c:pt idx="4046">
                  <c:v>23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131">
                  <c:v>24</c:v>
                </c:pt>
                <c:pt idx="4132">
                  <c:v>24</c:v>
                </c:pt>
                <c:pt idx="4133">
                  <c:v>24</c:v>
                </c:pt>
                <c:pt idx="4134">
                  <c:v>24</c:v>
                </c:pt>
                <c:pt idx="4135">
                  <c:v>24</c:v>
                </c:pt>
                <c:pt idx="4136">
                  <c:v>24</c:v>
                </c:pt>
                <c:pt idx="4137">
                  <c:v>24</c:v>
                </c:pt>
                <c:pt idx="4138">
                  <c:v>24</c:v>
                </c:pt>
                <c:pt idx="4139">
                  <c:v>24</c:v>
                </c:pt>
                <c:pt idx="5710">
                  <c:v>25</c:v>
                </c:pt>
                <c:pt idx="5711">
                  <c:v>25</c:v>
                </c:pt>
                <c:pt idx="5712">
                  <c:v>25</c:v>
                </c:pt>
                <c:pt idx="5713">
                  <c:v>25</c:v>
                </c:pt>
                <c:pt idx="5714">
                  <c:v>25</c:v>
                </c:pt>
                <c:pt idx="5715">
                  <c:v>25</c:v>
                </c:pt>
                <c:pt idx="5716">
                  <c:v>25</c:v>
                </c:pt>
                <c:pt idx="5717">
                  <c:v>25</c:v>
                </c:pt>
                <c:pt idx="5718">
                  <c:v>25</c:v>
                </c:pt>
                <c:pt idx="5719">
                  <c:v>25</c:v>
                </c:pt>
                <c:pt idx="5720">
                  <c:v>25</c:v>
                </c:pt>
                <c:pt idx="572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FF-414C-AE11-397EDF516594}"/>
            </c:ext>
          </c:extLst>
        </c:ser>
        <c:ser>
          <c:idx val="3"/>
          <c:order val="3"/>
          <c:tx>
            <c:strRef>
              <c:f>transpose!$AU$1</c:f>
              <c:strCache>
                <c:ptCount val="1"/>
                <c:pt idx="0">
                  <c:v>áll-figyel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transpose!$AU$2:$AU$7686</c:f>
              <c:numCache>
                <c:formatCode>General</c:formatCode>
                <c:ptCount val="7685"/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FF-414C-AE11-397EDF516594}"/>
            </c:ext>
          </c:extLst>
        </c:ser>
        <c:ser>
          <c:idx val="4"/>
          <c:order val="4"/>
          <c:tx>
            <c:strRef>
              <c:f>transpose!$AV$1</c:f>
              <c:strCache>
                <c:ptCount val="1"/>
                <c:pt idx="0">
                  <c:v>mosakodás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transpose!$AV$2:$AV$7686</c:f>
              <c:numCache>
                <c:formatCode>General</c:formatCode>
                <c:ptCount val="7685"/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4</c:v>
                </c:pt>
                <c:pt idx="3853">
                  <c:v>4</c:v>
                </c:pt>
                <c:pt idx="3854">
                  <c:v>4</c:v>
                </c:pt>
                <c:pt idx="3855">
                  <c:v>4</c:v>
                </c:pt>
                <c:pt idx="3856">
                  <c:v>4</c:v>
                </c:pt>
                <c:pt idx="3857">
                  <c:v>4</c:v>
                </c:pt>
                <c:pt idx="3858">
                  <c:v>4</c:v>
                </c:pt>
                <c:pt idx="3859">
                  <c:v>4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4</c:v>
                </c:pt>
                <c:pt idx="3864">
                  <c:v>4</c:v>
                </c:pt>
                <c:pt idx="3865">
                  <c:v>4</c:v>
                </c:pt>
                <c:pt idx="6101">
                  <c:v>5</c:v>
                </c:pt>
                <c:pt idx="6102">
                  <c:v>5</c:v>
                </c:pt>
                <c:pt idx="6103">
                  <c:v>5</c:v>
                </c:pt>
                <c:pt idx="6104">
                  <c:v>5</c:v>
                </c:pt>
                <c:pt idx="6105">
                  <c:v>5</c:v>
                </c:pt>
                <c:pt idx="6106">
                  <c:v>5</c:v>
                </c:pt>
                <c:pt idx="6107">
                  <c:v>5</c:v>
                </c:pt>
                <c:pt idx="6108">
                  <c:v>5</c:v>
                </c:pt>
                <c:pt idx="6109">
                  <c:v>5</c:v>
                </c:pt>
                <c:pt idx="6110">
                  <c:v>5</c:v>
                </c:pt>
                <c:pt idx="6111">
                  <c:v>5</c:v>
                </c:pt>
                <c:pt idx="6112">
                  <c:v>5</c:v>
                </c:pt>
                <c:pt idx="611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FF-414C-AE11-397EDF51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38927"/>
        <c:axId val="971641839"/>
      </c:scatterChart>
      <c:valAx>
        <c:axId val="971638927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41839"/>
        <c:crosses val="autoZero"/>
        <c:crossBetween val="midCat"/>
        <c:majorUnit val="1000"/>
      </c:valAx>
      <c:valAx>
        <c:axId val="971641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38927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103010749263769E-3"/>
          <c:y val="0.821182697707316"/>
          <c:w val="0.98457898955206025"/>
          <c:h val="0.14920419635587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layout>
        <c:manualLayout>
          <c:xMode val="edge"/>
          <c:yMode val="edge"/>
          <c:x val="0.21155513287122557"/>
          <c:y val="2.6961353553357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transpose!$AW$1</c:f>
              <c:strCache>
                <c:ptCount val="1"/>
                <c:pt idx="0">
                  <c:v>ÁLL_rövden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transpose!$AW$2:$AW$7686</c:f>
              <c:numCache>
                <c:formatCode>General</c:formatCode>
                <c:ptCount val="7685"/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68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6</c:v>
                </c:pt>
                <c:pt idx="1084">
                  <c:v>7</c:v>
                </c:pt>
                <c:pt idx="1085">
                  <c:v>7</c:v>
                </c:pt>
                <c:pt idx="1086">
                  <c:v>7</c:v>
                </c:pt>
                <c:pt idx="1087">
                  <c:v>7</c:v>
                </c:pt>
                <c:pt idx="1088">
                  <c:v>7</c:v>
                </c:pt>
                <c:pt idx="1089">
                  <c:v>7</c:v>
                </c:pt>
                <c:pt idx="1090">
                  <c:v>7</c:v>
                </c:pt>
                <c:pt idx="1091">
                  <c:v>7</c:v>
                </c:pt>
                <c:pt idx="1092">
                  <c:v>7</c:v>
                </c:pt>
                <c:pt idx="1093">
                  <c:v>7</c:v>
                </c:pt>
                <c:pt idx="1094">
                  <c:v>7</c:v>
                </c:pt>
                <c:pt idx="1095">
                  <c:v>7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95">
                  <c:v>10</c:v>
                </c:pt>
                <c:pt idx="1396">
                  <c:v>10</c:v>
                </c:pt>
                <c:pt idx="1397">
                  <c:v>10</c:v>
                </c:pt>
                <c:pt idx="1398">
                  <c:v>10</c:v>
                </c:pt>
                <c:pt idx="1399">
                  <c:v>10</c:v>
                </c:pt>
                <c:pt idx="1400">
                  <c:v>10</c:v>
                </c:pt>
                <c:pt idx="1401">
                  <c:v>10</c:v>
                </c:pt>
                <c:pt idx="1402">
                  <c:v>10</c:v>
                </c:pt>
                <c:pt idx="1403">
                  <c:v>10</c:v>
                </c:pt>
                <c:pt idx="1404">
                  <c:v>10</c:v>
                </c:pt>
                <c:pt idx="1405">
                  <c:v>10</c:v>
                </c:pt>
                <c:pt idx="1415">
                  <c:v>11</c:v>
                </c:pt>
                <c:pt idx="1416">
                  <c:v>11</c:v>
                </c:pt>
                <c:pt idx="2220">
                  <c:v>12</c:v>
                </c:pt>
                <c:pt idx="2221">
                  <c:v>12</c:v>
                </c:pt>
                <c:pt idx="2222">
                  <c:v>12</c:v>
                </c:pt>
                <c:pt idx="2223">
                  <c:v>12</c:v>
                </c:pt>
                <c:pt idx="2224">
                  <c:v>12</c:v>
                </c:pt>
                <c:pt idx="2225">
                  <c:v>12</c:v>
                </c:pt>
                <c:pt idx="2226">
                  <c:v>12</c:v>
                </c:pt>
                <c:pt idx="2227">
                  <c:v>12</c:v>
                </c:pt>
                <c:pt idx="2228">
                  <c:v>12</c:v>
                </c:pt>
                <c:pt idx="2229">
                  <c:v>12</c:v>
                </c:pt>
                <c:pt idx="2230">
                  <c:v>12</c:v>
                </c:pt>
                <c:pt idx="2231">
                  <c:v>12</c:v>
                </c:pt>
                <c:pt idx="2574">
                  <c:v>13</c:v>
                </c:pt>
                <c:pt idx="2575">
                  <c:v>13</c:v>
                </c:pt>
                <c:pt idx="2576">
                  <c:v>13</c:v>
                </c:pt>
                <c:pt idx="2577">
                  <c:v>13</c:v>
                </c:pt>
                <c:pt idx="2578">
                  <c:v>13</c:v>
                </c:pt>
                <c:pt idx="2579">
                  <c:v>13</c:v>
                </c:pt>
                <c:pt idx="2580">
                  <c:v>13</c:v>
                </c:pt>
                <c:pt idx="2581">
                  <c:v>13</c:v>
                </c:pt>
                <c:pt idx="2582">
                  <c:v>13</c:v>
                </c:pt>
                <c:pt idx="2583">
                  <c:v>13</c:v>
                </c:pt>
                <c:pt idx="2584">
                  <c:v>13</c:v>
                </c:pt>
                <c:pt idx="2585">
                  <c:v>13</c:v>
                </c:pt>
                <c:pt idx="2636">
                  <c:v>14</c:v>
                </c:pt>
                <c:pt idx="2637">
                  <c:v>14</c:v>
                </c:pt>
                <c:pt idx="3316">
                  <c:v>15</c:v>
                </c:pt>
                <c:pt idx="3317">
                  <c:v>15</c:v>
                </c:pt>
                <c:pt idx="3318">
                  <c:v>15</c:v>
                </c:pt>
                <c:pt idx="3319">
                  <c:v>15</c:v>
                </c:pt>
                <c:pt idx="3320">
                  <c:v>15</c:v>
                </c:pt>
                <c:pt idx="3321">
                  <c:v>15</c:v>
                </c:pt>
                <c:pt idx="3322">
                  <c:v>15</c:v>
                </c:pt>
                <c:pt idx="3323">
                  <c:v>15</c:v>
                </c:pt>
                <c:pt idx="3324">
                  <c:v>15</c:v>
                </c:pt>
                <c:pt idx="3325">
                  <c:v>15</c:v>
                </c:pt>
                <c:pt idx="3326">
                  <c:v>15</c:v>
                </c:pt>
                <c:pt idx="3413">
                  <c:v>16</c:v>
                </c:pt>
                <c:pt idx="3414">
                  <c:v>16</c:v>
                </c:pt>
                <c:pt idx="3415">
                  <c:v>16</c:v>
                </c:pt>
                <c:pt idx="3416">
                  <c:v>16</c:v>
                </c:pt>
                <c:pt idx="3417">
                  <c:v>16</c:v>
                </c:pt>
                <c:pt idx="3418">
                  <c:v>16</c:v>
                </c:pt>
                <c:pt idx="3419">
                  <c:v>16</c:v>
                </c:pt>
                <c:pt idx="3420">
                  <c:v>16</c:v>
                </c:pt>
                <c:pt idx="3421">
                  <c:v>16</c:v>
                </c:pt>
                <c:pt idx="3422">
                  <c:v>16</c:v>
                </c:pt>
                <c:pt idx="3423">
                  <c:v>16</c:v>
                </c:pt>
                <c:pt idx="3424">
                  <c:v>16</c:v>
                </c:pt>
                <c:pt idx="3470">
                  <c:v>17</c:v>
                </c:pt>
                <c:pt idx="3471">
                  <c:v>17</c:v>
                </c:pt>
                <c:pt idx="3472">
                  <c:v>17</c:v>
                </c:pt>
                <c:pt idx="3473">
                  <c:v>17</c:v>
                </c:pt>
                <c:pt idx="3474">
                  <c:v>17</c:v>
                </c:pt>
                <c:pt idx="3842">
                  <c:v>18</c:v>
                </c:pt>
                <c:pt idx="3843">
                  <c:v>18</c:v>
                </c:pt>
                <c:pt idx="3844">
                  <c:v>18</c:v>
                </c:pt>
                <c:pt idx="5337">
                  <c:v>19</c:v>
                </c:pt>
                <c:pt idx="5338">
                  <c:v>19</c:v>
                </c:pt>
                <c:pt idx="5339">
                  <c:v>19</c:v>
                </c:pt>
                <c:pt idx="5340">
                  <c:v>19</c:v>
                </c:pt>
                <c:pt idx="5341">
                  <c:v>19</c:v>
                </c:pt>
                <c:pt idx="5342">
                  <c:v>19</c:v>
                </c:pt>
                <c:pt idx="6142">
                  <c:v>20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363">
                  <c:v>21</c:v>
                </c:pt>
                <c:pt idx="6364">
                  <c:v>21</c:v>
                </c:pt>
                <c:pt idx="6365">
                  <c:v>21</c:v>
                </c:pt>
                <c:pt idx="6366">
                  <c:v>21</c:v>
                </c:pt>
                <c:pt idx="6761">
                  <c:v>22</c:v>
                </c:pt>
                <c:pt idx="6824">
                  <c:v>23</c:v>
                </c:pt>
                <c:pt idx="6825">
                  <c:v>23</c:v>
                </c:pt>
                <c:pt idx="6826">
                  <c:v>23</c:v>
                </c:pt>
                <c:pt idx="6827">
                  <c:v>23</c:v>
                </c:pt>
                <c:pt idx="6828">
                  <c:v>23</c:v>
                </c:pt>
                <c:pt idx="6829">
                  <c:v>23</c:v>
                </c:pt>
                <c:pt idx="6830">
                  <c:v>23</c:v>
                </c:pt>
                <c:pt idx="6831">
                  <c:v>23</c:v>
                </c:pt>
                <c:pt idx="6832">
                  <c:v>23</c:v>
                </c:pt>
                <c:pt idx="6833">
                  <c:v>23</c:v>
                </c:pt>
                <c:pt idx="6834">
                  <c:v>23</c:v>
                </c:pt>
                <c:pt idx="6835">
                  <c:v>23</c:v>
                </c:pt>
                <c:pt idx="6836">
                  <c:v>23</c:v>
                </c:pt>
                <c:pt idx="6837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6-4C75-BFBE-F132244D9FDF}"/>
            </c:ext>
          </c:extLst>
        </c:ser>
        <c:ser>
          <c:idx val="2"/>
          <c:order val="2"/>
          <c:tx>
            <c:strRef>
              <c:f>transpose!$AT$1</c:f>
              <c:strCache>
                <c:ptCount val="1"/>
                <c:pt idx="0">
                  <c:v>pihen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transpose!$AT$2:$AT$7686</c:f>
              <c:numCache>
                <c:formatCode>General</c:formatCode>
                <c:ptCount val="7685"/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1167">
                  <c:v>9</c:v>
                </c:pt>
                <c:pt idx="1168">
                  <c:v>9</c:v>
                </c:pt>
                <c:pt idx="1169">
                  <c:v>9</c:v>
                </c:pt>
                <c:pt idx="1170">
                  <c:v>9</c:v>
                </c:pt>
                <c:pt idx="1171">
                  <c:v>9</c:v>
                </c:pt>
                <c:pt idx="1172">
                  <c:v>9</c:v>
                </c:pt>
                <c:pt idx="1173">
                  <c:v>9</c:v>
                </c:pt>
                <c:pt idx="1174">
                  <c:v>9</c:v>
                </c:pt>
                <c:pt idx="1226">
                  <c:v>10</c:v>
                </c:pt>
                <c:pt idx="1227">
                  <c:v>10</c:v>
                </c:pt>
                <c:pt idx="1228">
                  <c:v>10</c:v>
                </c:pt>
                <c:pt idx="1229">
                  <c:v>10</c:v>
                </c:pt>
                <c:pt idx="1230">
                  <c:v>10</c:v>
                </c:pt>
                <c:pt idx="1231">
                  <c:v>10</c:v>
                </c:pt>
                <c:pt idx="1232">
                  <c:v>10</c:v>
                </c:pt>
                <c:pt idx="1233">
                  <c:v>10</c:v>
                </c:pt>
                <c:pt idx="1234">
                  <c:v>10</c:v>
                </c:pt>
                <c:pt idx="1235">
                  <c:v>10</c:v>
                </c:pt>
                <c:pt idx="1236">
                  <c:v>10</c:v>
                </c:pt>
                <c:pt idx="1237">
                  <c:v>10</c:v>
                </c:pt>
                <c:pt idx="1238">
                  <c:v>10</c:v>
                </c:pt>
                <c:pt idx="1239">
                  <c:v>10</c:v>
                </c:pt>
                <c:pt idx="1240">
                  <c:v>10</c:v>
                </c:pt>
                <c:pt idx="1241">
                  <c:v>10</c:v>
                </c:pt>
                <c:pt idx="1242">
                  <c:v>10</c:v>
                </c:pt>
                <c:pt idx="1243">
                  <c:v>10</c:v>
                </c:pt>
                <c:pt idx="1244">
                  <c:v>10</c:v>
                </c:pt>
                <c:pt idx="1245">
                  <c:v>10</c:v>
                </c:pt>
                <c:pt idx="1246">
                  <c:v>10</c:v>
                </c:pt>
                <c:pt idx="1247">
                  <c:v>10</c:v>
                </c:pt>
                <c:pt idx="1248">
                  <c:v>10</c:v>
                </c:pt>
                <c:pt idx="1249">
                  <c:v>10</c:v>
                </c:pt>
                <c:pt idx="1250">
                  <c:v>10</c:v>
                </c:pt>
                <c:pt idx="1251">
                  <c:v>10</c:v>
                </c:pt>
                <c:pt idx="1252">
                  <c:v>10</c:v>
                </c:pt>
                <c:pt idx="1253">
                  <c:v>10</c:v>
                </c:pt>
                <c:pt idx="1254">
                  <c:v>10</c:v>
                </c:pt>
                <c:pt idx="1255">
                  <c:v>10</c:v>
                </c:pt>
                <c:pt idx="1256">
                  <c:v>10</c:v>
                </c:pt>
                <c:pt idx="1257">
                  <c:v>10</c:v>
                </c:pt>
                <c:pt idx="1258">
                  <c:v>10</c:v>
                </c:pt>
                <c:pt idx="1259">
                  <c:v>10</c:v>
                </c:pt>
                <c:pt idx="1926">
                  <c:v>11</c:v>
                </c:pt>
                <c:pt idx="1927">
                  <c:v>11</c:v>
                </c:pt>
                <c:pt idx="1928">
                  <c:v>11</c:v>
                </c:pt>
                <c:pt idx="1929">
                  <c:v>11</c:v>
                </c:pt>
                <c:pt idx="1930">
                  <c:v>11</c:v>
                </c:pt>
                <c:pt idx="1931">
                  <c:v>11</c:v>
                </c:pt>
                <c:pt idx="1932">
                  <c:v>11</c:v>
                </c:pt>
                <c:pt idx="1933">
                  <c:v>11</c:v>
                </c:pt>
                <c:pt idx="1934">
                  <c:v>11</c:v>
                </c:pt>
                <c:pt idx="1935">
                  <c:v>11</c:v>
                </c:pt>
                <c:pt idx="1936">
                  <c:v>11</c:v>
                </c:pt>
                <c:pt idx="1937">
                  <c:v>11</c:v>
                </c:pt>
                <c:pt idx="1938">
                  <c:v>11</c:v>
                </c:pt>
                <c:pt idx="1939">
                  <c:v>11</c:v>
                </c:pt>
                <c:pt idx="1940">
                  <c:v>11</c:v>
                </c:pt>
                <c:pt idx="1941">
                  <c:v>11</c:v>
                </c:pt>
                <c:pt idx="1942">
                  <c:v>11</c:v>
                </c:pt>
                <c:pt idx="1943">
                  <c:v>11</c:v>
                </c:pt>
                <c:pt idx="1944">
                  <c:v>11</c:v>
                </c:pt>
                <c:pt idx="1945">
                  <c:v>11</c:v>
                </c:pt>
                <c:pt idx="1946">
                  <c:v>11</c:v>
                </c:pt>
                <c:pt idx="1947">
                  <c:v>11</c:v>
                </c:pt>
                <c:pt idx="1948">
                  <c:v>11</c:v>
                </c:pt>
                <c:pt idx="1949">
                  <c:v>11</c:v>
                </c:pt>
                <c:pt idx="1950">
                  <c:v>11</c:v>
                </c:pt>
                <c:pt idx="1951">
                  <c:v>11</c:v>
                </c:pt>
                <c:pt idx="1952">
                  <c:v>11</c:v>
                </c:pt>
                <c:pt idx="1953">
                  <c:v>11</c:v>
                </c:pt>
                <c:pt idx="1954">
                  <c:v>11</c:v>
                </c:pt>
                <c:pt idx="1955">
                  <c:v>11</c:v>
                </c:pt>
                <c:pt idx="1956">
                  <c:v>11</c:v>
                </c:pt>
                <c:pt idx="1957">
                  <c:v>11</c:v>
                </c:pt>
                <c:pt idx="1958">
                  <c:v>11</c:v>
                </c:pt>
                <c:pt idx="1959">
                  <c:v>11</c:v>
                </c:pt>
                <c:pt idx="1960">
                  <c:v>11</c:v>
                </c:pt>
                <c:pt idx="1961">
                  <c:v>11</c:v>
                </c:pt>
                <c:pt idx="1962">
                  <c:v>11</c:v>
                </c:pt>
                <c:pt idx="2254">
                  <c:v>12</c:v>
                </c:pt>
                <c:pt idx="2255">
                  <c:v>12</c:v>
                </c:pt>
                <c:pt idx="2256">
                  <c:v>12</c:v>
                </c:pt>
                <c:pt idx="2257">
                  <c:v>12</c:v>
                </c:pt>
                <c:pt idx="2258">
                  <c:v>12</c:v>
                </c:pt>
                <c:pt idx="2259">
                  <c:v>12</c:v>
                </c:pt>
                <c:pt idx="2260">
                  <c:v>12</c:v>
                </c:pt>
                <c:pt idx="2261">
                  <c:v>12</c:v>
                </c:pt>
                <c:pt idx="2262">
                  <c:v>12</c:v>
                </c:pt>
                <c:pt idx="2263">
                  <c:v>12</c:v>
                </c:pt>
                <c:pt idx="2264">
                  <c:v>12</c:v>
                </c:pt>
                <c:pt idx="2265">
                  <c:v>12</c:v>
                </c:pt>
                <c:pt idx="2446">
                  <c:v>13</c:v>
                </c:pt>
                <c:pt idx="2447">
                  <c:v>13</c:v>
                </c:pt>
                <c:pt idx="2448">
                  <c:v>13</c:v>
                </c:pt>
                <c:pt idx="2449">
                  <c:v>13</c:v>
                </c:pt>
                <c:pt idx="2450">
                  <c:v>13</c:v>
                </c:pt>
                <c:pt idx="2451">
                  <c:v>13</c:v>
                </c:pt>
                <c:pt idx="2452">
                  <c:v>13</c:v>
                </c:pt>
                <c:pt idx="2453">
                  <c:v>13</c:v>
                </c:pt>
                <c:pt idx="2454">
                  <c:v>13</c:v>
                </c:pt>
                <c:pt idx="2455">
                  <c:v>13</c:v>
                </c:pt>
                <c:pt idx="2456">
                  <c:v>13</c:v>
                </c:pt>
                <c:pt idx="2457">
                  <c:v>13</c:v>
                </c:pt>
                <c:pt idx="2458">
                  <c:v>13</c:v>
                </c:pt>
                <c:pt idx="2459">
                  <c:v>13</c:v>
                </c:pt>
                <c:pt idx="2460">
                  <c:v>13</c:v>
                </c:pt>
                <c:pt idx="2461">
                  <c:v>13</c:v>
                </c:pt>
                <c:pt idx="2462">
                  <c:v>13</c:v>
                </c:pt>
                <c:pt idx="2463">
                  <c:v>13</c:v>
                </c:pt>
                <c:pt idx="2464">
                  <c:v>13</c:v>
                </c:pt>
                <c:pt idx="2465">
                  <c:v>13</c:v>
                </c:pt>
                <c:pt idx="2466">
                  <c:v>13</c:v>
                </c:pt>
                <c:pt idx="2467">
                  <c:v>13</c:v>
                </c:pt>
                <c:pt idx="2700">
                  <c:v>14</c:v>
                </c:pt>
                <c:pt idx="2701">
                  <c:v>14</c:v>
                </c:pt>
                <c:pt idx="2702">
                  <c:v>14</c:v>
                </c:pt>
                <c:pt idx="2703">
                  <c:v>14</c:v>
                </c:pt>
                <c:pt idx="2704">
                  <c:v>14</c:v>
                </c:pt>
                <c:pt idx="2705">
                  <c:v>14</c:v>
                </c:pt>
                <c:pt idx="2706">
                  <c:v>14</c:v>
                </c:pt>
                <c:pt idx="2707">
                  <c:v>14</c:v>
                </c:pt>
                <c:pt idx="2708">
                  <c:v>14</c:v>
                </c:pt>
                <c:pt idx="2709">
                  <c:v>14</c:v>
                </c:pt>
                <c:pt idx="2710">
                  <c:v>14</c:v>
                </c:pt>
                <c:pt idx="2711">
                  <c:v>14</c:v>
                </c:pt>
                <c:pt idx="2712">
                  <c:v>14</c:v>
                </c:pt>
                <c:pt idx="2713">
                  <c:v>14</c:v>
                </c:pt>
                <c:pt idx="2714">
                  <c:v>14</c:v>
                </c:pt>
                <c:pt idx="2715">
                  <c:v>14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949">
                  <c:v>16</c:v>
                </c:pt>
                <c:pt idx="2950">
                  <c:v>16</c:v>
                </c:pt>
                <c:pt idx="2951">
                  <c:v>16</c:v>
                </c:pt>
                <c:pt idx="2952">
                  <c:v>16</c:v>
                </c:pt>
                <c:pt idx="2953">
                  <c:v>16</c:v>
                </c:pt>
                <c:pt idx="2954">
                  <c:v>16</c:v>
                </c:pt>
                <c:pt idx="2955">
                  <c:v>16</c:v>
                </c:pt>
                <c:pt idx="2956">
                  <c:v>16</c:v>
                </c:pt>
                <c:pt idx="2957">
                  <c:v>16</c:v>
                </c:pt>
                <c:pt idx="2958">
                  <c:v>16</c:v>
                </c:pt>
                <c:pt idx="2959">
                  <c:v>16</c:v>
                </c:pt>
                <c:pt idx="2960">
                  <c:v>16</c:v>
                </c:pt>
                <c:pt idx="2961">
                  <c:v>16</c:v>
                </c:pt>
                <c:pt idx="2962">
                  <c:v>16</c:v>
                </c:pt>
                <c:pt idx="2963">
                  <c:v>16</c:v>
                </c:pt>
                <c:pt idx="2964">
                  <c:v>16</c:v>
                </c:pt>
                <c:pt idx="2965">
                  <c:v>16</c:v>
                </c:pt>
                <c:pt idx="2966">
                  <c:v>16</c:v>
                </c:pt>
                <c:pt idx="2967">
                  <c:v>16</c:v>
                </c:pt>
                <c:pt idx="2968">
                  <c:v>16</c:v>
                </c:pt>
                <c:pt idx="2969">
                  <c:v>16</c:v>
                </c:pt>
                <c:pt idx="2970">
                  <c:v>16</c:v>
                </c:pt>
                <c:pt idx="2971">
                  <c:v>16</c:v>
                </c:pt>
                <c:pt idx="2972">
                  <c:v>16</c:v>
                </c:pt>
                <c:pt idx="2973">
                  <c:v>16</c:v>
                </c:pt>
                <c:pt idx="2974">
                  <c:v>16</c:v>
                </c:pt>
                <c:pt idx="2975">
                  <c:v>16</c:v>
                </c:pt>
                <c:pt idx="2976">
                  <c:v>16</c:v>
                </c:pt>
                <c:pt idx="2977">
                  <c:v>16</c:v>
                </c:pt>
                <c:pt idx="2978">
                  <c:v>16</c:v>
                </c:pt>
                <c:pt idx="2979">
                  <c:v>16</c:v>
                </c:pt>
                <c:pt idx="2980">
                  <c:v>16</c:v>
                </c:pt>
                <c:pt idx="2981">
                  <c:v>16</c:v>
                </c:pt>
                <c:pt idx="2982">
                  <c:v>16</c:v>
                </c:pt>
                <c:pt idx="2983">
                  <c:v>16</c:v>
                </c:pt>
                <c:pt idx="2984">
                  <c:v>16</c:v>
                </c:pt>
                <c:pt idx="2985">
                  <c:v>16</c:v>
                </c:pt>
                <c:pt idx="2986">
                  <c:v>16</c:v>
                </c:pt>
                <c:pt idx="2987">
                  <c:v>16</c:v>
                </c:pt>
                <c:pt idx="2988">
                  <c:v>16</c:v>
                </c:pt>
                <c:pt idx="2989">
                  <c:v>16</c:v>
                </c:pt>
                <c:pt idx="2990">
                  <c:v>16</c:v>
                </c:pt>
                <c:pt idx="2991">
                  <c:v>16</c:v>
                </c:pt>
                <c:pt idx="2992">
                  <c:v>16</c:v>
                </c:pt>
                <c:pt idx="2993">
                  <c:v>16</c:v>
                </c:pt>
                <c:pt idx="2994">
                  <c:v>16</c:v>
                </c:pt>
                <c:pt idx="2995">
                  <c:v>16</c:v>
                </c:pt>
                <c:pt idx="2996">
                  <c:v>16</c:v>
                </c:pt>
                <c:pt idx="2997">
                  <c:v>16</c:v>
                </c:pt>
                <c:pt idx="2998">
                  <c:v>16</c:v>
                </c:pt>
                <c:pt idx="3057">
                  <c:v>17</c:v>
                </c:pt>
                <c:pt idx="3058">
                  <c:v>17</c:v>
                </c:pt>
                <c:pt idx="3059">
                  <c:v>17</c:v>
                </c:pt>
                <c:pt idx="3060">
                  <c:v>17</c:v>
                </c:pt>
                <c:pt idx="3061">
                  <c:v>17</c:v>
                </c:pt>
                <c:pt idx="3062">
                  <c:v>17</c:v>
                </c:pt>
                <c:pt idx="3063">
                  <c:v>17</c:v>
                </c:pt>
                <c:pt idx="3064">
                  <c:v>17</c:v>
                </c:pt>
                <c:pt idx="3065">
                  <c:v>17</c:v>
                </c:pt>
                <c:pt idx="3066">
                  <c:v>17</c:v>
                </c:pt>
                <c:pt idx="3067">
                  <c:v>17</c:v>
                </c:pt>
                <c:pt idx="3068">
                  <c:v>17</c:v>
                </c:pt>
                <c:pt idx="3069">
                  <c:v>17</c:v>
                </c:pt>
                <c:pt idx="3070">
                  <c:v>17</c:v>
                </c:pt>
                <c:pt idx="3071">
                  <c:v>17</c:v>
                </c:pt>
                <c:pt idx="3072">
                  <c:v>17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18</c:v>
                </c:pt>
                <c:pt idx="3093">
                  <c:v>18</c:v>
                </c:pt>
                <c:pt idx="3094">
                  <c:v>18</c:v>
                </c:pt>
                <c:pt idx="3095">
                  <c:v>18</c:v>
                </c:pt>
                <c:pt idx="3096">
                  <c:v>18</c:v>
                </c:pt>
                <c:pt idx="3097">
                  <c:v>18</c:v>
                </c:pt>
                <c:pt idx="3098">
                  <c:v>18</c:v>
                </c:pt>
                <c:pt idx="3099">
                  <c:v>18</c:v>
                </c:pt>
                <c:pt idx="3100">
                  <c:v>18</c:v>
                </c:pt>
                <c:pt idx="3101">
                  <c:v>18</c:v>
                </c:pt>
                <c:pt idx="3102">
                  <c:v>18</c:v>
                </c:pt>
                <c:pt idx="3103">
                  <c:v>18</c:v>
                </c:pt>
                <c:pt idx="3104">
                  <c:v>18</c:v>
                </c:pt>
                <c:pt idx="3105">
                  <c:v>18</c:v>
                </c:pt>
                <c:pt idx="3106">
                  <c:v>18</c:v>
                </c:pt>
                <c:pt idx="3107">
                  <c:v>18</c:v>
                </c:pt>
                <c:pt idx="3108">
                  <c:v>18</c:v>
                </c:pt>
                <c:pt idx="3109">
                  <c:v>18</c:v>
                </c:pt>
                <c:pt idx="3110">
                  <c:v>18</c:v>
                </c:pt>
                <c:pt idx="3111">
                  <c:v>18</c:v>
                </c:pt>
                <c:pt idx="3112">
                  <c:v>18</c:v>
                </c:pt>
                <c:pt idx="3113">
                  <c:v>18</c:v>
                </c:pt>
                <c:pt idx="3114">
                  <c:v>18</c:v>
                </c:pt>
                <c:pt idx="3115">
                  <c:v>18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18</c:v>
                </c:pt>
                <c:pt idx="3120">
                  <c:v>18</c:v>
                </c:pt>
                <c:pt idx="3121">
                  <c:v>18</c:v>
                </c:pt>
                <c:pt idx="3122">
                  <c:v>18</c:v>
                </c:pt>
                <c:pt idx="3123">
                  <c:v>18</c:v>
                </c:pt>
                <c:pt idx="3124">
                  <c:v>18</c:v>
                </c:pt>
                <c:pt idx="3125">
                  <c:v>18</c:v>
                </c:pt>
                <c:pt idx="3126">
                  <c:v>18</c:v>
                </c:pt>
                <c:pt idx="3127">
                  <c:v>18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18</c:v>
                </c:pt>
                <c:pt idx="3133">
                  <c:v>18</c:v>
                </c:pt>
                <c:pt idx="3134">
                  <c:v>18</c:v>
                </c:pt>
                <c:pt idx="3135">
                  <c:v>18</c:v>
                </c:pt>
                <c:pt idx="3136">
                  <c:v>18</c:v>
                </c:pt>
                <c:pt idx="3137">
                  <c:v>18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18</c:v>
                </c:pt>
                <c:pt idx="3148">
                  <c:v>18</c:v>
                </c:pt>
                <c:pt idx="3149">
                  <c:v>18</c:v>
                </c:pt>
                <c:pt idx="3150">
                  <c:v>18</c:v>
                </c:pt>
                <c:pt idx="3156">
                  <c:v>19</c:v>
                </c:pt>
                <c:pt idx="3157">
                  <c:v>19</c:v>
                </c:pt>
                <c:pt idx="3158">
                  <c:v>19</c:v>
                </c:pt>
                <c:pt idx="3159">
                  <c:v>19</c:v>
                </c:pt>
                <c:pt idx="3160">
                  <c:v>19</c:v>
                </c:pt>
                <c:pt idx="3161">
                  <c:v>19</c:v>
                </c:pt>
                <c:pt idx="3162">
                  <c:v>19</c:v>
                </c:pt>
                <c:pt idx="3163">
                  <c:v>19</c:v>
                </c:pt>
                <c:pt idx="3164">
                  <c:v>19</c:v>
                </c:pt>
                <c:pt idx="3165">
                  <c:v>19</c:v>
                </c:pt>
                <c:pt idx="3166">
                  <c:v>19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21</c:v>
                </c:pt>
                <c:pt idx="3663">
                  <c:v>21</c:v>
                </c:pt>
                <c:pt idx="3664">
                  <c:v>21</c:v>
                </c:pt>
                <c:pt idx="3665">
                  <c:v>21</c:v>
                </c:pt>
                <c:pt idx="3666">
                  <c:v>21</c:v>
                </c:pt>
                <c:pt idx="3667">
                  <c:v>21</c:v>
                </c:pt>
                <c:pt idx="3668">
                  <c:v>21</c:v>
                </c:pt>
                <c:pt idx="3669">
                  <c:v>21</c:v>
                </c:pt>
                <c:pt idx="3670">
                  <c:v>21</c:v>
                </c:pt>
                <c:pt idx="3671">
                  <c:v>21</c:v>
                </c:pt>
                <c:pt idx="3672">
                  <c:v>21</c:v>
                </c:pt>
                <c:pt idx="3673">
                  <c:v>21</c:v>
                </c:pt>
                <c:pt idx="3674">
                  <c:v>21</c:v>
                </c:pt>
                <c:pt idx="3675">
                  <c:v>21</c:v>
                </c:pt>
                <c:pt idx="3676">
                  <c:v>21</c:v>
                </c:pt>
                <c:pt idx="3677">
                  <c:v>21</c:v>
                </c:pt>
                <c:pt idx="3678">
                  <c:v>21</c:v>
                </c:pt>
                <c:pt idx="3679">
                  <c:v>21</c:v>
                </c:pt>
                <c:pt idx="3680">
                  <c:v>21</c:v>
                </c:pt>
                <c:pt idx="3681">
                  <c:v>21</c:v>
                </c:pt>
                <c:pt idx="3682">
                  <c:v>21</c:v>
                </c:pt>
                <c:pt idx="3683">
                  <c:v>21</c:v>
                </c:pt>
                <c:pt idx="3684">
                  <c:v>21</c:v>
                </c:pt>
                <c:pt idx="3685">
                  <c:v>21</c:v>
                </c:pt>
                <c:pt idx="3686">
                  <c:v>21</c:v>
                </c:pt>
                <c:pt idx="3687">
                  <c:v>21</c:v>
                </c:pt>
                <c:pt idx="3688">
                  <c:v>21</c:v>
                </c:pt>
                <c:pt idx="3689">
                  <c:v>21</c:v>
                </c:pt>
                <c:pt idx="3690">
                  <c:v>21</c:v>
                </c:pt>
                <c:pt idx="3691">
                  <c:v>21</c:v>
                </c:pt>
                <c:pt idx="3692">
                  <c:v>21</c:v>
                </c:pt>
                <c:pt idx="3693">
                  <c:v>21</c:v>
                </c:pt>
                <c:pt idx="3743">
                  <c:v>22</c:v>
                </c:pt>
                <c:pt idx="3744">
                  <c:v>22</c:v>
                </c:pt>
                <c:pt idx="3745">
                  <c:v>22</c:v>
                </c:pt>
                <c:pt idx="3746">
                  <c:v>22</c:v>
                </c:pt>
                <c:pt idx="3747">
                  <c:v>22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22</c:v>
                </c:pt>
                <c:pt idx="3756">
                  <c:v>22</c:v>
                </c:pt>
                <c:pt idx="3757">
                  <c:v>22</c:v>
                </c:pt>
                <c:pt idx="3758">
                  <c:v>22</c:v>
                </c:pt>
                <c:pt idx="3759">
                  <c:v>22</c:v>
                </c:pt>
                <c:pt idx="3760">
                  <c:v>22</c:v>
                </c:pt>
                <c:pt idx="3761">
                  <c:v>22</c:v>
                </c:pt>
                <c:pt idx="3762">
                  <c:v>22</c:v>
                </c:pt>
                <c:pt idx="3763">
                  <c:v>22</c:v>
                </c:pt>
                <c:pt idx="3764">
                  <c:v>22</c:v>
                </c:pt>
                <c:pt idx="3765">
                  <c:v>22</c:v>
                </c:pt>
                <c:pt idx="3766">
                  <c:v>22</c:v>
                </c:pt>
                <c:pt idx="3767">
                  <c:v>22</c:v>
                </c:pt>
                <c:pt idx="3768">
                  <c:v>22</c:v>
                </c:pt>
                <c:pt idx="3769">
                  <c:v>22</c:v>
                </c:pt>
                <c:pt idx="3770">
                  <c:v>22</c:v>
                </c:pt>
                <c:pt idx="3771">
                  <c:v>22</c:v>
                </c:pt>
                <c:pt idx="3772">
                  <c:v>22</c:v>
                </c:pt>
                <c:pt idx="3773">
                  <c:v>22</c:v>
                </c:pt>
                <c:pt idx="3774">
                  <c:v>22</c:v>
                </c:pt>
                <c:pt idx="3775">
                  <c:v>22</c:v>
                </c:pt>
                <c:pt idx="3776">
                  <c:v>22</c:v>
                </c:pt>
                <c:pt idx="3777">
                  <c:v>22</c:v>
                </c:pt>
                <c:pt idx="3778">
                  <c:v>22</c:v>
                </c:pt>
                <c:pt idx="3779">
                  <c:v>22</c:v>
                </c:pt>
                <c:pt idx="3780">
                  <c:v>22</c:v>
                </c:pt>
                <c:pt idx="3781">
                  <c:v>22</c:v>
                </c:pt>
                <c:pt idx="3782">
                  <c:v>22</c:v>
                </c:pt>
                <c:pt idx="3783">
                  <c:v>22</c:v>
                </c:pt>
                <c:pt idx="3784">
                  <c:v>22</c:v>
                </c:pt>
                <c:pt idx="3785">
                  <c:v>22</c:v>
                </c:pt>
                <c:pt idx="3786">
                  <c:v>22</c:v>
                </c:pt>
                <c:pt idx="3787">
                  <c:v>22</c:v>
                </c:pt>
                <c:pt idx="3788">
                  <c:v>22</c:v>
                </c:pt>
                <c:pt idx="3956">
                  <c:v>23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23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23</c:v>
                </c:pt>
                <c:pt idx="3980">
                  <c:v>23</c:v>
                </c:pt>
                <c:pt idx="3981">
                  <c:v>23</c:v>
                </c:pt>
                <c:pt idx="3982">
                  <c:v>23</c:v>
                </c:pt>
                <c:pt idx="3983">
                  <c:v>23</c:v>
                </c:pt>
                <c:pt idx="3984">
                  <c:v>23</c:v>
                </c:pt>
                <c:pt idx="3985">
                  <c:v>23</c:v>
                </c:pt>
                <c:pt idx="3986">
                  <c:v>23</c:v>
                </c:pt>
                <c:pt idx="3987">
                  <c:v>23</c:v>
                </c:pt>
                <c:pt idx="3988">
                  <c:v>23</c:v>
                </c:pt>
                <c:pt idx="3989">
                  <c:v>23</c:v>
                </c:pt>
                <c:pt idx="3990">
                  <c:v>23</c:v>
                </c:pt>
                <c:pt idx="3991">
                  <c:v>23</c:v>
                </c:pt>
                <c:pt idx="3992">
                  <c:v>23</c:v>
                </c:pt>
                <c:pt idx="3993">
                  <c:v>23</c:v>
                </c:pt>
                <c:pt idx="3994">
                  <c:v>23</c:v>
                </c:pt>
                <c:pt idx="3995">
                  <c:v>23</c:v>
                </c:pt>
                <c:pt idx="3996">
                  <c:v>23</c:v>
                </c:pt>
                <c:pt idx="3997">
                  <c:v>23</c:v>
                </c:pt>
                <c:pt idx="3998">
                  <c:v>23</c:v>
                </c:pt>
                <c:pt idx="3999">
                  <c:v>23</c:v>
                </c:pt>
                <c:pt idx="4000">
                  <c:v>23</c:v>
                </c:pt>
                <c:pt idx="4001">
                  <c:v>23</c:v>
                </c:pt>
                <c:pt idx="4002">
                  <c:v>23</c:v>
                </c:pt>
                <c:pt idx="4003">
                  <c:v>23</c:v>
                </c:pt>
                <c:pt idx="4004">
                  <c:v>23</c:v>
                </c:pt>
                <c:pt idx="4005">
                  <c:v>23</c:v>
                </c:pt>
                <c:pt idx="4006">
                  <c:v>23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23</c:v>
                </c:pt>
                <c:pt idx="4011">
                  <c:v>23</c:v>
                </c:pt>
                <c:pt idx="4012">
                  <c:v>23</c:v>
                </c:pt>
                <c:pt idx="4013">
                  <c:v>23</c:v>
                </c:pt>
                <c:pt idx="4014">
                  <c:v>23</c:v>
                </c:pt>
                <c:pt idx="4015">
                  <c:v>23</c:v>
                </c:pt>
                <c:pt idx="4016">
                  <c:v>23</c:v>
                </c:pt>
                <c:pt idx="4017">
                  <c:v>23</c:v>
                </c:pt>
                <c:pt idx="4018">
                  <c:v>23</c:v>
                </c:pt>
                <c:pt idx="4019">
                  <c:v>23</c:v>
                </c:pt>
                <c:pt idx="4020">
                  <c:v>23</c:v>
                </c:pt>
                <c:pt idx="4021">
                  <c:v>23</c:v>
                </c:pt>
                <c:pt idx="4022">
                  <c:v>23</c:v>
                </c:pt>
                <c:pt idx="4023">
                  <c:v>23</c:v>
                </c:pt>
                <c:pt idx="4024">
                  <c:v>23</c:v>
                </c:pt>
                <c:pt idx="4025">
                  <c:v>23</c:v>
                </c:pt>
                <c:pt idx="4026">
                  <c:v>23</c:v>
                </c:pt>
                <c:pt idx="4027">
                  <c:v>23</c:v>
                </c:pt>
                <c:pt idx="4028">
                  <c:v>23</c:v>
                </c:pt>
                <c:pt idx="4029">
                  <c:v>23</c:v>
                </c:pt>
                <c:pt idx="4030">
                  <c:v>23</c:v>
                </c:pt>
                <c:pt idx="4031">
                  <c:v>23</c:v>
                </c:pt>
                <c:pt idx="4032">
                  <c:v>23</c:v>
                </c:pt>
                <c:pt idx="4033">
                  <c:v>23</c:v>
                </c:pt>
                <c:pt idx="4034">
                  <c:v>23</c:v>
                </c:pt>
                <c:pt idx="4035">
                  <c:v>23</c:v>
                </c:pt>
                <c:pt idx="4036">
                  <c:v>23</c:v>
                </c:pt>
                <c:pt idx="4037">
                  <c:v>23</c:v>
                </c:pt>
                <c:pt idx="4038">
                  <c:v>23</c:v>
                </c:pt>
                <c:pt idx="4039">
                  <c:v>23</c:v>
                </c:pt>
                <c:pt idx="4040">
                  <c:v>23</c:v>
                </c:pt>
                <c:pt idx="4041">
                  <c:v>23</c:v>
                </c:pt>
                <c:pt idx="4042">
                  <c:v>23</c:v>
                </c:pt>
                <c:pt idx="4043">
                  <c:v>23</c:v>
                </c:pt>
                <c:pt idx="4044">
                  <c:v>23</c:v>
                </c:pt>
                <c:pt idx="4045">
                  <c:v>23</c:v>
                </c:pt>
                <c:pt idx="4046">
                  <c:v>23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131">
                  <c:v>24</c:v>
                </c:pt>
                <c:pt idx="4132">
                  <c:v>24</c:v>
                </c:pt>
                <c:pt idx="4133">
                  <c:v>24</c:v>
                </c:pt>
                <c:pt idx="4134">
                  <c:v>24</c:v>
                </c:pt>
                <c:pt idx="4135">
                  <c:v>24</c:v>
                </c:pt>
                <c:pt idx="4136">
                  <c:v>24</c:v>
                </c:pt>
                <c:pt idx="4137">
                  <c:v>24</c:v>
                </c:pt>
                <c:pt idx="4138">
                  <c:v>24</c:v>
                </c:pt>
                <c:pt idx="4139">
                  <c:v>24</c:v>
                </c:pt>
                <c:pt idx="5710">
                  <c:v>25</c:v>
                </c:pt>
                <c:pt idx="5711">
                  <c:v>25</c:v>
                </c:pt>
                <c:pt idx="5712">
                  <c:v>25</c:v>
                </c:pt>
                <c:pt idx="5713">
                  <c:v>25</c:v>
                </c:pt>
                <c:pt idx="5714">
                  <c:v>25</c:v>
                </c:pt>
                <c:pt idx="5715">
                  <c:v>25</c:v>
                </c:pt>
                <c:pt idx="5716">
                  <c:v>25</c:v>
                </c:pt>
                <c:pt idx="5717">
                  <c:v>25</c:v>
                </c:pt>
                <c:pt idx="5718">
                  <c:v>25</c:v>
                </c:pt>
                <c:pt idx="5719">
                  <c:v>25</c:v>
                </c:pt>
                <c:pt idx="5720">
                  <c:v>25</c:v>
                </c:pt>
                <c:pt idx="572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6-4C75-BFBE-F132244D9FDF}"/>
            </c:ext>
          </c:extLst>
        </c:ser>
        <c:ser>
          <c:idx val="3"/>
          <c:order val="3"/>
          <c:tx>
            <c:strRef>
              <c:f>transpose!$AU$1</c:f>
              <c:strCache>
                <c:ptCount val="1"/>
                <c:pt idx="0">
                  <c:v>áll-figyel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transpose!$AU$2:$AU$7686</c:f>
              <c:numCache>
                <c:formatCode>General</c:formatCode>
                <c:ptCount val="7685"/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6-4C75-BFBE-F132244D9FDF}"/>
            </c:ext>
          </c:extLst>
        </c:ser>
        <c:ser>
          <c:idx val="4"/>
          <c:order val="4"/>
          <c:tx>
            <c:strRef>
              <c:f>transpose!$AV$1</c:f>
              <c:strCache>
                <c:ptCount val="1"/>
                <c:pt idx="0">
                  <c:v>mosakodás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transpose!$AV$2:$AV$7686</c:f>
              <c:numCache>
                <c:formatCode>General</c:formatCode>
                <c:ptCount val="7685"/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4</c:v>
                </c:pt>
                <c:pt idx="3853">
                  <c:v>4</c:v>
                </c:pt>
                <c:pt idx="3854">
                  <c:v>4</c:v>
                </c:pt>
                <c:pt idx="3855">
                  <c:v>4</c:v>
                </c:pt>
                <c:pt idx="3856">
                  <c:v>4</c:v>
                </c:pt>
                <c:pt idx="3857">
                  <c:v>4</c:v>
                </c:pt>
                <c:pt idx="3858">
                  <c:v>4</c:v>
                </c:pt>
                <c:pt idx="3859">
                  <c:v>4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4</c:v>
                </c:pt>
                <c:pt idx="3864">
                  <c:v>4</c:v>
                </c:pt>
                <c:pt idx="3865">
                  <c:v>4</c:v>
                </c:pt>
                <c:pt idx="6101">
                  <c:v>5</c:v>
                </c:pt>
                <c:pt idx="6102">
                  <c:v>5</c:v>
                </c:pt>
                <c:pt idx="6103">
                  <c:v>5</c:v>
                </c:pt>
                <c:pt idx="6104">
                  <c:v>5</c:v>
                </c:pt>
                <c:pt idx="6105">
                  <c:v>5</c:v>
                </c:pt>
                <c:pt idx="6106">
                  <c:v>5</c:v>
                </c:pt>
                <c:pt idx="6107">
                  <c:v>5</c:v>
                </c:pt>
                <c:pt idx="6108">
                  <c:v>5</c:v>
                </c:pt>
                <c:pt idx="6109">
                  <c:v>5</c:v>
                </c:pt>
                <c:pt idx="6110">
                  <c:v>5</c:v>
                </c:pt>
                <c:pt idx="6111">
                  <c:v>5</c:v>
                </c:pt>
                <c:pt idx="6112">
                  <c:v>5</c:v>
                </c:pt>
                <c:pt idx="611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46-4C75-BFBE-F132244D9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38927"/>
        <c:axId val="9716418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transpose!$J$1</c15:sqref>
                        </c15:formulaRef>
                      </c:ext>
                    </c:extLst>
                    <c:strCache>
                      <c:ptCount val="1"/>
                      <c:pt idx="0">
                        <c:v>Megy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transpose!$J$2:$J$7686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98">
                        <c:v>2</c:v>
                      </c:pt>
                      <c:pt idx="99">
                        <c:v>2</c:v>
                      </c:pt>
                      <c:pt idx="100">
                        <c:v>2</c:v>
                      </c:pt>
                      <c:pt idx="101">
                        <c:v>2</c:v>
                      </c:pt>
                      <c:pt idx="102">
                        <c:v>2</c:v>
                      </c:pt>
                      <c:pt idx="103">
                        <c:v>2</c:v>
                      </c:pt>
                      <c:pt idx="104">
                        <c:v>2</c:v>
                      </c:pt>
                      <c:pt idx="105">
                        <c:v>2</c:v>
                      </c:pt>
                      <c:pt idx="106">
                        <c:v>2</c:v>
                      </c:pt>
                      <c:pt idx="107">
                        <c:v>2</c:v>
                      </c:pt>
                      <c:pt idx="108">
                        <c:v>2</c:v>
                      </c:pt>
                      <c:pt idx="109">
                        <c:v>2</c:v>
                      </c:pt>
                      <c:pt idx="110">
                        <c:v>2</c:v>
                      </c:pt>
                      <c:pt idx="111">
                        <c:v>2</c:v>
                      </c:pt>
                      <c:pt idx="135">
                        <c:v>3</c:v>
                      </c:pt>
                      <c:pt idx="136">
                        <c:v>3</c:v>
                      </c:pt>
                      <c:pt idx="137">
                        <c:v>3</c:v>
                      </c:pt>
                      <c:pt idx="138">
                        <c:v>3</c:v>
                      </c:pt>
                      <c:pt idx="139">
                        <c:v>3</c:v>
                      </c:pt>
                      <c:pt idx="140">
                        <c:v>3</c:v>
                      </c:pt>
                      <c:pt idx="141">
                        <c:v>3</c:v>
                      </c:pt>
                      <c:pt idx="142">
                        <c:v>3</c:v>
                      </c:pt>
                      <c:pt idx="143">
                        <c:v>3</c:v>
                      </c:pt>
                      <c:pt idx="144">
                        <c:v>3</c:v>
                      </c:pt>
                      <c:pt idx="145">
                        <c:v>3</c:v>
                      </c:pt>
                      <c:pt idx="146">
                        <c:v>3</c:v>
                      </c:pt>
                      <c:pt idx="147">
                        <c:v>3</c:v>
                      </c:pt>
                      <c:pt idx="148">
                        <c:v>3</c:v>
                      </c:pt>
                      <c:pt idx="149">
                        <c:v>3</c:v>
                      </c:pt>
                      <c:pt idx="150">
                        <c:v>3</c:v>
                      </c:pt>
                      <c:pt idx="151">
                        <c:v>3</c:v>
                      </c:pt>
                      <c:pt idx="152">
                        <c:v>3</c:v>
                      </c:pt>
                      <c:pt idx="262">
                        <c:v>4</c:v>
                      </c:pt>
                      <c:pt idx="263">
                        <c:v>4</c:v>
                      </c:pt>
                      <c:pt idx="264">
                        <c:v>4</c:v>
                      </c:pt>
                      <c:pt idx="265">
                        <c:v>4</c:v>
                      </c:pt>
                      <c:pt idx="266">
                        <c:v>4</c:v>
                      </c:pt>
                      <c:pt idx="267">
                        <c:v>4</c:v>
                      </c:pt>
                      <c:pt idx="268">
                        <c:v>4</c:v>
                      </c:pt>
                      <c:pt idx="269">
                        <c:v>4</c:v>
                      </c:pt>
                      <c:pt idx="270">
                        <c:v>4</c:v>
                      </c:pt>
                      <c:pt idx="271">
                        <c:v>4</c:v>
                      </c:pt>
                      <c:pt idx="272">
                        <c:v>4</c:v>
                      </c:pt>
                      <c:pt idx="273">
                        <c:v>4</c:v>
                      </c:pt>
                      <c:pt idx="274">
                        <c:v>4</c:v>
                      </c:pt>
                      <c:pt idx="275">
                        <c:v>4</c:v>
                      </c:pt>
                      <c:pt idx="276">
                        <c:v>4</c:v>
                      </c:pt>
                      <c:pt idx="277">
                        <c:v>4</c:v>
                      </c:pt>
                      <c:pt idx="278">
                        <c:v>4</c:v>
                      </c:pt>
                      <c:pt idx="279">
                        <c:v>4</c:v>
                      </c:pt>
                      <c:pt idx="280">
                        <c:v>4</c:v>
                      </c:pt>
                      <c:pt idx="281">
                        <c:v>4</c:v>
                      </c:pt>
                      <c:pt idx="282">
                        <c:v>4</c:v>
                      </c:pt>
                      <c:pt idx="283">
                        <c:v>4</c:v>
                      </c:pt>
                      <c:pt idx="284">
                        <c:v>4</c:v>
                      </c:pt>
                      <c:pt idx="285">
                        <c:v>4</c:v>
                      </c:pt>
                      <c:pt idx="286">
                        <c:v>4</c:v>
                      </c:pt>
                      <c:pt idx="287">
                        <c:v>4</c:v>
                      </c:pt>
                      <c:pt idx="288">
                        <c:v>4</c:v>
                      </c:pt>
                      <c:pt idx="289">
                        <c:v>4</c:v>
                      </c:pt>
                      <c:pt idx="290">
                        <c:v>4</c:v>
                      </c:pt>
                      <c:pt idx="291">
                        <c:v>4</c:v>
                      </c:pt>
                      <c:pt idx="292">
                        <c:v>4</c:v>
                      </c:pt>
                      <c:pt idx="293">
                        <c:v>4</c:v>
                      </c:pt>
                      <c:pt idx="294">
                        <c:v>4</c:v>
                      </c:pt>
                      <c:pt idx="295">
                        <c:v>4</c:v>
                      </c:pt>
                      <c:pt idx="296">
                        <c:v>4</c:v>
                      </c:pt>
                      <c:pt idx="297">
                        <c:v>4</c:v>
                      </c:pt>
                      <c:pt idx="298">
                        <c:v>4</c:v>
                      </c:pt>
                      <c:pt idx="299">
                        <c:v>4</c:v>
                      </c:pt>
                      <c:pt idx="300">
                        <c:v>4</c:v>
                      </c:pt>
                      <c:pt idx="301">
                        <c:v>4</c:v>
                      </c:pt>
                      <c:pt idx="302">
                        <c:v>4</c:v>
                      </c:pt>
                      <c:pt idx="303">
                        <c:v>4</c:v>
                      </c:pt>
                      <c:pt idx="304">
                        <c:v>4</c:v>
                      </c:pt>
                      <c:pt idx="369">
                        <c:v>5</c:v>
                      </c:pt>
                      <c:pt idx="370">
                        <c:v>5</c:v>
                      </c:pt>
                      <c:pt idx="371">
                        <c:v>5</c:v>
                      </c:pt>
                      <c:pt idx="372">
                        <c:v>5</c:v>
                      </c:pt>
                      <c:pt idx="373">
                        <c:v>5</c:v>
                      </c:pt>
                      <c:pt idx="374">
                        <c:v>5</c:v>
                      </c:pt>
                      <c:pt idx="375">
                        <c:v>5</c:v>
                      </c:pt>
                      <c:pt idx="376">
                        <c:v>5</c:v>
                      </c:pt>
                      <c:pt idx="377">
                        <c:v>5</c:v>
                      </c:pt>
                      <c:pt idx="378">
                        <c:v>5</c:v>
                      </c:pt>
                      <c:pt idx="379">
                        <c:v>5</c:v>
                      </c:pt>
                      <c:pt idx="380">
                        <c:v>5</c:v>
                      </c:pt>
                      <c:pt idx="381">
                        <c:v>5</c:v>
                      </c:pt>
                      <c:pt idx="382">
                        <c:v>5</c:v>
                      </c:pt>
                      <c:pt idx="383">
                        <c:v>5</c:v>
                      </c:pt>
                      <c:pt idx="384">
                        <c:v>5</c:v>
                      </c:pt>
                      <c:pt idx="385">
                        <c:v>5</c:v>
                      </c:pt>
                      <c:pt idx="386">
                        <c:v>5</c:v>
                      </c:pt>
                      <c:pt idx="387">
                        <c:v>5</c:v>
                      </c:pt>
                      <c:pt idx="388">
                        <c:v>5</c:v>
                      </c:pt>
                      <c:pt idx="389">
                        <c:v>5</c:v>
                      </c:pt>
                      <c:pt idx="390">
                        <c:v>5</c:v>
                      </c:pt>
                      <c:pt idx="391">
                        <c:v>5</c:v>
                      </c:pt>
                      <c:pt idx="392">
                        <c:v>5</c:v>
                      </c:pt>
                      <c:pt idx="393">
                        <c:v>5</c:v>
                      </c:pt>
                      <c:pt idx="394">
                        <c:v>5</c:v>
                      </c:pt>
                      <c:pt idx="395">
                        <c:v>5</c:v>
                      </c:pt>
                      <c:pt idx="396">
                        <c:v>5</c:v>
                      </c:pt>
                      <c:pt idx="397">
                        <c:v>5</c:v>
                      </c:pt>
                      <c:pt idx="398">
                        <c:v>5</c:v>
                      </c:pt>
                      <c:pt idx="399">
                        <c:v>5</c:v>
                      </c:pt>
                      <c:pt idx="400">
                        <c:v>5</c:v>
                      </c:pt>
                      <c:pt idx="401">
                        <c:v>5</c:v>
                      </c:pt>
                      <c:pt idx="402">
                        <c:v>5</c:v>
                      </c:pt>
                      <c:pt idx="403">
                        <c:v>5</c:v>
                      </c:pt>
                      <c:pt idx="404">
                        <c:v>5</c:v>
                      </c:pt>
                      <c:pt idx="405">
                        <c:v>5</c:v>
                      </c:pt>
                      <c:pt idx="406">
                        <c:v>5</c:v>
                      </c:pt>
                      <c:pt idx="407">
                        <c:v>5</c:v>
                      </c:pt>
                      <c:pt idx="408">
                        <c:v>5</c:v>
                      </c:pt>
                      <c:pt idx="409">
                        <c:v>5</c:v>
                      </c:pt>
                      <c:pt idx="410">
                        <c:v>5</c:v>
                      </c:pt>
                      <c:pt idx="411">
                        <c:v>5</c:v>
                      </c:pt>
                      <c:pt idx="412">
                        <c:v>5</c:v>
                      </c:pt>
                      <c:pt idx="413">
                        <c:v>5</c:v>
                      </c:pt>
                      <c:pt idx="414">
                        <c:v>5</c:v>
                      </c:pt>
                      <c:pt idx="415">
                        <c:v>5</c:v>
                      </c:pt>
                      <c:pt idx="416">
                        <c:v>5</c:v>
                      </c:pt>
                      <c:pt idx="417">
                        <c:v>5</c:v>
                      </c:pt>
                      <c:pt idx="418">
                        <c:v>5</c:v>
                      </c:pt>
                      <c:pt idx="419">
                        <c:v>5</c:v>
                      </c:pt>
                      <c:pt idx="420">
                        <c:v>5</c:v>
                      </c:pt>
                      <c:pt idx="421">
                        <c:v>5</c:v>
                      </c:pt>
                      <c:pt idx="422">
                        <c:v>5</c:v>
                      </c:pt>
                      <c:pt idx="423">
                        <c:v>5</c:v>
                      </c:pt>
                      <c:pt idx="424">
                        <c:v>5</c:v>
                      </c:pt>
                      <c:pt idx="425">
                        <c:v>5</c:v>
                      </c:pt>
                      <c:pt idx="426">
                        <c:v>5</c:v>
                      </c:pt>
                      <c:pt idx="427">
                        <c:v>5</c:v>
                      </c:pt>
                      <c:pt idx="428">
                        <c:v>5</c:v>
                      </c:pt>
                      <c:pt idx="429">
                        <c:v>5</c:v>
                      </c:pt>
                      <c:pt idx="430">
                        <c:v>5</c:v>
                      </c:pt>
                      <c:pt idx="431">
                        <c:v>5</c:v>
                      </c:pt>
                      <c:pt idx="432">
                        <c:v>5</c:v>
                      </c:pt>
                      <c:pt idx="433">
                        <c:v>5</c:v>
                      </c:pt>
                      <c:pt idx="434">
                        <c:v>5</c:v>
                      </c:pt>
                      <c:pt idx="435">
                        <c:v>5</c:v>
                      </c:pt>
                      <c:pt idx="436">
                        <c:v>5</c:v>
                      </c:pt>
                      <c:pt idx="437">
                        <c:v>5</c:v>
                      </c:pt>
                      <c:pt idx="438">
                        <c:v>5</c:v>
                      </c:pt>
                      <c:pt idx="439">
                        <c:v>5</c:v>
                      </c:pt>
                      <c:pt idx="440">
                        <c:v>5</c:v>
                      </c:pt>
                      <c:pt idx="441">
                        <c:v>5</c:v>
                      </c:pt>
                      <c:pt idx="442">
                        <c:v>5</c:v>
                      </c:pt>
                      <c:pt idx="443">
                        <c:v>5</c:v>
                      </c:pt>
                      <c:pt idx="444">
                        <c:v>5</c:v>
                      </c:pt>
                      <c:pt idx="445">
                        <c:v>5</c:v>
                      </c:pt>
                      <c:pt idx="446">
                        <c:v>5</c:v>
                      </c:pt>
                      <c:pt idx="447">
                        <c:v>5</c:v>
                      </c:pt>
                      <c:pt idx="448">
                        <c:v>5</c:v>
                      </c:pt>
                      <c:pt idx="449">
                        <c:v>5</c:v>
                      </c:pt>
                      <c:pt idx="512">
                        <c:v>6</c:v>
                      </c:pt>
                      <c:pt idx="513">
                        <c:v>6</c:v>
                      </c:pt>
                      <c:pt idx="514">
                        <c:v>6</c:v>
                      </c:pt>
                      <c:pt idx="515">
                        <c:v>6</c:v>
                      </c:pt>
                      <c:pt idx="516">
                        <c:v>6</c:v>
                      </c:pt>
                      <c:pt idx="517">
                        <c:v>6</c:v>
                      </c:pt>
                      <c:pt idx="518">
                        <c:v>6</c:v>
                      </c:pt>
                      <c:pt idx="519">
                        <c:v>6</c:v>
                      </c:pt>
                      <c:pt idx="520">
                        <c:v>6</c:v>
                      </c:pt>
                      <c:pt idx="521">
                        <c:v>6</c:v>
                      </c:pt>
                      <c:pt idx="522">
                        <c:v>6</c:v>
                      </c:pt>
                      <c:pt idx="523">
                        <c:v>6</c:v>
                      </c:pt>
                      <c:pt idx="524">
                        <c:v>6</c:v>
                      </c:pt>
                      <c:pt idx="525">
                        <c:v>6</c:v>
                      </c:pt>
                      <c:pt idx="526">
                        <c:v>6</c:v>
                      </c:pt>
                      <c:pt idx="527">
                        <c:v>6</c:v>
                      </c:pt>
                      <c:pt idx="528">
                        <c:v>6</c:v>
                      </c:pt>
                      <c:pt idx="588">
                        <c:v>7</c:v>
                      </c:pt>
                      <c:pt idx="589">
                        <c:v>7</c:v>
                      </c:pt>
                      <c:pt idx="590">
                        <c:v>7</c:v>
                      </c:pt>
                      <c:pt idx="591">
                        <c:v>7</c:v>
                      </c:pt>
                      <c:pt idx="592">
                        <c:v>7</c:v>
                      </c:pt>
                      <c:pt idx="593">
                        <c:v>7</c:v>
                      </c:pt>
                      <c:pt idx="594">
                        <c:v>7</c:v>
                      </c:pt>
                      <c:pt idx="644">
                        <c:v>8</c:v>
                      </c:pt>
                      <c:pt idx="645">
                        <c:v>8</c:v>
                      </c:pt>
                      <c:pt idx="646">
                        <c:v>8</c:v>
                      </c:pt>
                      <c:pt idx="647">
                        <c:v>8</c:v>
                      </c:pt>
                      <c:pt idx="648">
                        <c:v>8</c:v>
                      </c:pt>
                      <c:pt idx="649">
                        <c:v>8</c:v>
                      </c:pt>
                      <c:pt idx="650">
                        <c:v>8</c:v>
                      </c:pt>
                      <c:pt idx="651">
                        <c:v>8</c:v>
                      </c:pt>
                      <c:pt idx="652">
                        <c:v>8</c:v>
                      </c:pt>
                      <c:pt idx="653">
                        <c:v>8</c:v>
                      </c:pt>
                      <c:pt idx="654">
                        <c:v>8</c:v>
                      </c:pt>
                      <c:pt idx="655">
                        <c:v>8</c:v>
                      </c:pt>
                      <c:pt idx="656">
                        <c:v>8</c:v>
                      </c:pt>
                      <c:pt idx="657">
                        <c:v>8</c:v>
                      </c:pt>
                      <c:pt idx="687">
                        <c:v>9</c:v>
                      </c:pt>
                      <c:pt idx="688">
                        <c:v>9</c:v>
                      </c:pt>
                      <c:pt idx="689">
                        <c:v>9</c:v>
                      </c:pt>
                      <c:pt idx="690">
                        <c:v>9</c:v>
                      </c:pt>
                      <c:pt idx="691">
                        <c:v>9</c:v>
                      </c:pt>
                      <c:pt idx="692">
                        <c:v>9</c:v>
                      </c:pt>
                      <c:pt idx="693">
                        <c:v>9</c:v>
                      </c:pt>
                      <c:pt idx="694">
                        <c:v>9</c:v>
                      </c:pt>
                      <c:pt idx="695">
                        <c:v>9</c:v>
                      </c:pt>
                      <c:pt idx="696">
                        <c:v>9</c:v>
                      </c:pt>
                      <c:pt idx="697">
                        <c:v>9</c:v>
                      </c:pt>
                      <c:pt idx="698">
                        <c:v>9</c:v>
                      </c:pt>
                      <c:pt idx="699">
                        <c:v>9</c:v>
                      </c:pt>
                      <c:pt idx="700">
                        <c:v>9</c:v>
                      </c:pt>
                      <c:pt idx="713">
                        <c:v>10</c:v>
                      </c:pt>
                      <c:pt idx="714">
                        <c:v>10</c:v>
                      </c:pt>
                      <c:pt idx="715">
                        <c:v>10</c:v>
                      </c:pt>
                      <c:pt idx="716">
                        <c:v>10</c:v>
                      </c:pt>
                      <c:pt idx="717">
                        <c:v>10</c:v>
                      </c:pt>
                      <c:pt idx="718">
                        <c:v>10</c:v>
                      </c:pt>
                      <c:pt idx="719">
                        <c:v>10</c:v>
                      </c:pt>
                      <c:pt idx="720">
                        <c:v>10</c:v>
                      </c:pt>
                      <c:pt idx="721">
                        <c:v>10</c:v>
                      </c:pt>
                      <c:pt idx="722">
                        <c:v>10</c:v>
                      </c:pt>
                      <c:pt idx="723">
                        <c:v>10</c:v>
                      </c:pt>
                      <c:pt idx="724">
                        <c:v>10</c:v>
                      </c:pt>
                      <c:pt idx="725">
                        <c:v>10</c:v>
                      </c:pt>
                      <c:pt idx="726">
                        <c:v>10</c:v>
                      </c:pt>
                      <c:pt idx="727">
                        <c:v>10</c:v>
                      </c:pt>
                      <c:pt idx="728">
                        <c:v>10</c:v>
                      </c:pt>
                      <c:pt idx="729">
                        <c:v>10</c:v>
                      </c:pt>
                      <c:pt idx="788">
                        <c:v>11</c:v>
                      </c:pt>
                      <c:pt idx="789">
                        <c:v>11</c:v>
                      </c:pt>
                      <c:pt idx="790">
                        <c:v>11</c:v>
                      </c:pt>
                      <c:pt idx="791">
                        <c:v>11</c:v>
                      </c:pt>
                      <c:pt idx="792">
                        <c:v>11</c:v>
                      </c:pt>
                      <c:pt idx="793">
                        <c:v>11</c:v>
                      </c:pt>
                      <c:pt idx="794">
                        <c:v>11</c:v>
                      </c:pt>
                      <c:pt idx="795">
                        <c:v>11</c:v>
                      </c:pt>
                      <c:pt idx="796">
                        <c:v>11</c:v>
                      </c:pt>
                      <c:pt idx="797">
                        <c:v>11</c:v>
                      </c:pt>
                      <c:pt idx="798">
                        <c:v>11</c:v>
                      </c:pt>
                      <c:pt idx="799">
                        <c:v>11</c:v>
                      </c:pt>
                      <c:pt idx="800">
                        <c:v>11</c:v>
                      </c:pt>
                      <c:pt idx="801">
                        <c:v>11</c:v>
                      </c:pt>
                      <c:pt idx="802">
                        <c:v>11</c:v>
                      </c:pt>
                      <c:pt idx="803">
                        <c:v>11</c:v>
                      </c:pt>
                      <c:pt idx="804">
                        <c:v>11</c:v>
                      </c:pt>
                      <c:pt idx="805">
                        <c:v>11</c:v>
                      </c:pt>
                      <c:pt idx="806">
                        <c:v>11</c:v>
                      </c:pt>
                      <c:pt idx="807">
                        <c:v>11</c:v>
                      </c:pt>
                      <c:pt idx="808">
                        <c:v>11</c:v>
                      </c:pt>
                      <c:pt idx="809">
                        <c:v>11</c:v>
                      </c:pt>
                      <c:pt idx="810">
                        <c:v>11</c:v>
                      </c:pt>
                      <c:pt idx="811">
                        <c:v>11</c:v>
                      </c:pt>
                      <c:pt idx="812">
                        <c:v>11</c:v>
                      </c:pt>
                      <c:pt idx="813">
                        <c:v>11</c:v>
                      </c:pt>
                      <c:pt idx="814">
                        <c:v>11</c:v>
                      </c:pt>
                      <c:pt idx="815">
                        <c:v>11</c:v>
                      </c:pt>
                      <c:pt idx="816">
                        <c:v>11</c:v>
                      </c:pt>
                      <c:pt idx="817">
                        <c:v>11</c:v>
                      </c:pt>
                      <c:pt idx="818">
                        <c:v>11</c:v>
                      </c:pt>
                      <c:pt idx="819">
                        <c:v>11</c:v>
                      </c:pt>
                      <c:pt idx="820">
                        <c:v>11</c:v>
                      </c:pt>
                      <c:pt idx="821">
                        <c:v>11</c:v>
                      </c:pt>
                      <c:pt idx="822">
                        <c:v>11</c:v>
                      </c:pt>
                      <c:pt idx="823">
                        <c:v>11</c:v>
                      </c:pt>
                      <c:pt idx="824">
                        <c:v>11</c:v>
                      </c:pt>
                      <c:pt idx="825">
                        <c:v>11</c:v>
                      </c:pt>
                      <c:pt idx="826">
                        <c:v>11</c:v>
                      </c:pt>
                      <c:pt idx="827">
                        <c:v>11</c:v>
                      </c:pt>
                      <c:pt idx="828">
                        <c:v>11</c:v>
                      </c:pt>
                      <c:pt idx="829">
                        <c:v>11</c:v>
                      </c:pt>
                      <c:pt idx="830">
                        <c:v>11</c:v>
                      </c:pt>
                      <c:pt idx="831">
                        <c:v>11</c:v>
                      </c:pt>
                      <c:pt idx="832">
                        <c:v>11</c:v>
                      </c:pt>
                      <c:pt idx="833">
                        <c:v>11</c:v>
                      </c:pt>
                      <c:pt idx="834">
                        <c:v>11</c:v>
                      </c:pt>
                      <c:pt idx="835">
                        <c:v>11</c:v>
                      </c:pt>
                      <c:pt idx="836">
                        <c:v>11</c:v>
                      </c:pt>
                      <c:pt idx="837">
                        <c:v>11</c:v>
                      </c:pt>
                      <c:pt idx="838">
                        <c:v>11</c:v>
                      </c:pt>
                      <c:pt idx="839">
                        <c:v>11</c:v>
                      </c:pt>
                      <c:pt idx="840">
                        <c:v>11</c:v>
                      </c:pt>
                      <c:pt idx="841">
                        <c:v>11</c:v>
                      </c:pt>
                      <c:pt idx="853">
                        <c:v>12</c:v>
                      </c:pt>
                      <c:pt idx="854">
                        <c:v>12</c:v>
                      </c:pt>
                      <c:pt idx="855">
                        <c:v>12</c:v>
                      </c:pt>
                      <c:pt idx="856">
                        <c:v>12</c:v>
                      </c:pt>
                      <c:pt idx="857">
                        <c:v>12</c:v>
                      </c:pt>
                      <c:pt idx="858">
                        <c:v>12</c:v>
                      </c:pt>
                      <c:pt idx="859">
                        <c:v>12</c:v>
                      </c:pt>
                      <c:pt idx="860">
                        <c:v>12</c:v>
                      </c:pt>
                      <c:pt idx="861">
                        <c:v>12</c:v>
                      </c:pt>
                      <c:pt idx="862">
                        <c:v>12</c:v>
                      </c:pt>
                      <c:pt idx="863">
                        <c:v>12</c:v>
                      </c:pt>
                      <c:pt idx="864">
                        <c:v>12</c:v>
                      </c:pt>
                      <c:pt idx="865">
                        <c:v>12</c:v>
                      </c:pt>
                      <c:pt idx="866">
                        <c:v>12</c:v>
                      </c:pt>
                      <c:pt idx="867">
                        <c:v>12</c:v>
                      </c:pt>
                      <c:pt idx="868">
                        <c:v>12</c:v>
                      </c:pt>
                      <c:pt idx="869">
                        <c:v>12</c:v>
                      </c:pt>
                      <c:pt idx="870">
                        <c:v>12</c:v>
                      </c:pt>
                      <c:pt idx="871">
                        <c:v>12</c:v>
                      </c:pt>
                      <c:pt idx="872">
                        <c:v>12</c:v>
                      </c:pt>
                      <c:pt idx="873">
                        <c:v>12</c:v>
                      </c:pt>
                      <c:pt idx="874">
                        <c:v>12</c:v>
                      </c:pt>
                      <c:pt idx="875">
                        <c:v>12</c:v>
                      </c:pt>
                      <c:pt idx="876">
                        <c:v>12</c:v>
                      </c:pt>
                      <c:pt idx="877">
                        <c:v>12</c:v>
                      </c:pt>
                      <c:pt idx="878">
                        <c:v>12</c:v>
                      </c:pt>
                      <c:pt idx="879">
                        <c:v>12</c:v>
                      </c:pt>
                      <c:pt idx="880">
                        <c:v>12</c:v>
                      </c:pt>
                      <c:pt idx="881">
                        <c:v>12</c:v>
                      </c:pt>
                      <c:pt idx="882">
                        <c:v>12</c:v>
                      </c:pt>
                      <c:pt idx="897">
                        <c:v>13</c:v>
                      </c:pt>
                      <c:pt idx="898">
                        <c:v>13</c:v>
                      </c:pt>
                      <c:pt idx="899">
                        <c:v>13</c:v>
                      </c:pt>
                      <c:pt idx="900">
                        <c:v>13</c:v>
                      </c:pt>
                      <c:pt idx="901">
                        <c:v>13</c:v>
                      </c:pt>
                      <c:pt idx="902">
                        <c:v>13</c:v>
                      </c:pt>
                      <c:pt idx="903">
                        <c:v>13</c:v>
                      </c:pt>
                      <c:pt idx="904">
                        <c:v>13</c:v>
                      </c:pt>
                      <c:pt idx="905">
                        <c:v>13</c:v>
                      </c:pt>
                      <c:pt idx="906">
                        <c:v>13</c:v>
                      </c:pt>
                      <c:pt idx="907">
                        <c:v>13</c:v>
                      </c:pt>
                      <c:pt idx="908">
                        <c:v>13</c:v>
                      </c:pt>
                      <c:pt idx="909">
                        <c:v>13</c:v>
                      </c:pt>
                      <c:pt idx="910">
                        <c:v>13</c:v>
                      </c:pt>
                      <c:pt idx="911">
                        <c:v>13</c:v>
                      </c:pt>
                      <c:pt idx="912">
                        <c:v>13</c:v>
                      </c:pt>
                      <c:pt idx="913">
                        <c:v>13</c:v>
                      </c:pt>
                      <c:pt idx="914">
                        <c:v>13</c:v>
                      </c:pt>
                      <c:pt idx="915">
                        <c:v>13</c:v>
                      </c:pt>
                      <c:pt idx="916">
                        <c:v>13</c:v>
                      </c:pt>
                      <c:pt idx="917">
                        <c:v>13</c:v>
                      </c:pt>
                      <c:pt idx="918">
                        <c:v>13</c:v>
                      </c:pt>
                      <c:pt idx="919">
                        <c:v>13</c:v>
                      </c:pt>
                      <c:pt idx="920">
                        <c:v>13</c:v>
                      </c:pt>
                      <c:pt idx="921">
                        <c:v>13</c:v>
                      </c:pt>
                      <c:pt idx="922">
                        <c:v>13</c:v>
                      </c:pt>
                      <c:pt idx="923">
                        <c:v>13</c:v>
                      </c:pt>
                      <c:pt idx="924">
                        <c:v>13</c:v>
                      </c:pt>
                      <c:pt idx="925">
                        <c:v>13</c:v>
                      </c:pt>
                      <c:pt idx="926">
                        <c:v>13</c:v>
                      </c:pt>
                      <c:pt idx="927">
                        <c:v>13</c:v>
                      </c:pt>
                      <c:pt idx="928">
                        <c:v>13</c:v>
                      </c:pt>
                      <c:pt idx="929">
                        <c:v>13</c:v>
                      </c:pt>
                      <c:pt idx="930">
                        <c:v>13</c:v>
                      </c:pt>
                      <c:pt idx="931">
                        <c:v>13</c:v>
                      </c:pt>
                      <c:pt idx="932">
                        <c:v>13</c:v>
                      </c:pt>
                      <c:pt idx="933">
                        <c:v>13</c:v>
                      </c:pt>
                      <c:pt idx="934">
                        <c:v>13</c:v>
                      </c:pt>
                      <c:pt idx="935">
                        <c:v>13</c:v>
                      </c:pt>
                      <c:pt idx="936">
                        <c:v>13</c:v>
                      </c:pt>
                      <c:pt idx="937">
                        <c:v>13</c:v>
                      </c:pt>
                      <c:pt idx="938">
                        <c:v>13</c:v>
                      </c:pt>
                      <c:pt idx="939">
                        <c:v>13</c:v>
                      </c:pt>
                      <c:pt idx="940">
                        <c:v>13</c:v>
                      </c:pt>
                      <c:pt idx="941">
                        <c:v>13</c:v>
                      </c:pt>
                      <c:pt idx="942">
                        <c:v>13</c:v>
                      </c:pt>
                      <c:pt idx="943">
                        <c:v>13</c:v>
                      </c:pt>
                      <c:pt idx="944">
                        <c:v>13</c:v>
                      </c:pt>
                      <c:pt idx="945">
                        <c:v>13</c:v>
                      </c:pt>
                      <c:pt idx="946">
                        <c:v>13</c:v>
                      </c:pt>
                      <c:pt idx="947">
                        <c:v>13</c:v>
                      </c:pt>
                      <c:pt idx="948">
                        <c:v>13</c:v>
                      </c:pt>
                      <c:pt idx="949">
                        <c:v>13</c:v>
                      </c:pt>
                      <c:pt idx="950">
                        <c:v>13</c:v>
                      </c:pt>
                      <c:pt idx="951">
                        <c:v>13</c:v>
                      </c:pt>
                      <c:pt idx="952">
                        <c:v>13</c:v>
                      </c:pt>
                      <c:pt idx="953">
                        <c:v>13</c:v>
                      </c:pt>
                      <c:pt idx="954">
                        <c:v>13</c:v>
                      </c:pt>
                      <c:pt idx="955">
                        <c:v>13</c:v>
                      </c:pt>
                      <c:pt idx="956">
                        <c:v>13</c:v>
                      </c:pt>
                      <c:pt idx="957">
                        <c:v>13</c:v>
                      </c:pt>
                      <c:pt idx="958">
                        <c:v>13</c:v>
                      </c:pt>
                      <c:pt idx="959">
                        <c:v>13</c:v>
                      </c:pt>
                      <c:pt idx="960">
                        <c:v>13</c:v>
                      </c:pt>
                      <c:pt idx="961">
                        <c:v>13</c:v>
                      </c:pt>
                      <c:pt idx="962">
                        <c:v>13</c:v>
                      </c:pt>
                      <c:pt idx="978">
                        <c:v>14</c:v>
                      </c:pt>
                      <c:pt idx="979">
                        <c:v>14</c:v>
                      </c:pt>
                      <c:pt idx="980">
                        <c:v>14</c:v>
                      </c:pt>
                      <c:pt idx="981">
                        <c:v>14</c:v>
                      </c:pt>
                      <c:pt idx="982">
                        <c:v>14</c:v>
                      </c:pt>
                      <c:pt idx="983">
                        <c:v>14</c:v>
                      </c:pt>
                      <c:pt idx="984">
                        <c:v>14</c:v>
                      </c:pt>
                      <c:pt idx="985">
                        <c:v>14</c:v>
                      </c:pt>
                      <c:pt idx="986">
                        <c:v>14</c:v>
                      </c:pt>
                      <c:pt idx="987">
                        <c:v>14</c:v>
                      </c:pt>
                      <c:pt idx="988">
                        <c:v>14</c:v>
                      </c:pt>
                      <c:pt idx="989">
                        <c:v>14</c:v>
                      </c:pt>
                      <c:pt idx="990">
                        <c:v>14</c:v>
                      </c:pt>
                      <c:pt idx="991">
                        <c:v>14</c:v>
                      </c:pt>
                      <c:pt idx="992">
                        <c:v>14</c:v>
                      </c:pt>
                      <c:pt idx="993">
                        <c:v>14</c:v>
                      </c:pt>
                      <c:pt idx="994">
                        <c:v>14</c:v>
                      </c:pt>
                      <c:pt idx="995">
                        <c:v>14</c:v>
                      </c:pt>
                      <c:pt idx="996">
                        <c:v>14</c:v>
                      </c:pt>
                      <c:pt idx="997">
                        <c:v>14</c:v>
                      </c:pt>
                      <c:pt idx="998">
                        <c:v>14</c:v>
                      </c:pt>
                      <c:pt idx="999">
                        <c:v>14</c:v>
                      </c:pt>
                      <c:pt idx="1000">
                        <c:v>14</c:v>
                      </c:pt>
                      <c:pt idx="1001">
                        <c:v>14</c:v>
                      </c:pt>
                      <c:pt idx="1002">
                        <c:v>14</c:v>
                      </c:pt>
                      <c:pt idx="1003">
                        <c:v>14</c:v>
                      </c:pt>
                      <c:pt idx="1018">
                        <c:v>15</c:v>
                      </c:pt>
                      <c:pt idx="1019">
                        <c:v>15</c:v>
                      </c:pt>
                      <c:pt idx="1020">
                        <c:v>15</c:v>
                      </c:pt>
                      <c:pt idx="1021">
                        <c:v>15</c:v>
                      </c:pt>
                      <c:pt idx="1022">
                        <c:v>15</c:v>
                      </c:pt>
                      <c:pt idx="1023">
                        <c:v>15</c:v>
                      </c:pt>
                      <c:pt idx="1024">
                        <c:v>15</c:v>
                      </c:pt>
                      <c:pt idx="1025">
                        <c:v>15</c:v>
                      </c:pt>
                      <c:pt idx="1026">
                        <c:v>15</c:v>
                      </c:pt>
                      <c:pt idx="1027">
                        <c:v>15</c:v>
                      </c:pt>
                      <c:pt idx="1028">
                        <c:v>15</c:v>
                      </c:pt>
                      <c:pt idx="1029">
                        <c:v>15</c:v>
                      </c:pt>
                      <c:pt idx="1030">
                        <c:v>15</c:v>
                      </c:pt>
                      <c:pt idx="1031">
                        <c:v>15</c:v>
                      </c:pt>
                      <c:pt idx="1032">
                        <c:v>15</c:v>
                      </c:pt>
                      <c:pt idx="1033">
                        <c:v>15</c:v>
                      </c:pt>
                      <c:pt idx="1034">
                        <c:v>15</c:v>
                      </c:pt>
                      <c:pt idx="1035">
                        <c:v>15</c:v>
                      </c:pt>
                      <c:pt idx="1036">
                        <c:v>15</c:v>
                      </c:pt>
                      <c:pt idx="1037">
                        <c:v>15</c:v>
                      </c:pt>
                      <c:pt idx="1038">
                        <c:v>15</c:v>
                      </c:pt>
                      <c:pt idx="1039">
                        <c:v>15</c:v>
                      </c:pt>
                      <c:pt idx="1040">
                        <c:v>15</c:v>
                      </c:pt>
                      <c:pt idx="1041">
                        <c:v>15</c:v>
                      </c:pt>
                      <c:pt idx="1042">
                        <c:v>15</c:v>
                      </c:pt>
                      <c:pt idx="1043">
                        <c:v>15</c:v>
                      </c:pt>
                      <c:pt idx="1044">
                        <c:v>15</c:v>
                      </c:pt>
                      <c:pt idx="1045">
                        <c:v>15</c:v>
                      </c:pt>
                      <c:pt idx="1046">
                        <c:v>15</c:v>
                      </c:pt>
                      <c:pt idx="1047">
                        <c:v>15</c:v>
                      </c:pt>
                      <c:pt idx="1048">
                        <c:v>15</c:v>
                      </c:pt>
                      <c:pt idx="1049">
                        <c:v>15</c:v>
                      </c:pt>
                      <c:pt idx="1050">
                        <c:v>15</c:v>
                      </c:pt>
                      <c:pt idx="1051">
                        <c:v>15</c:v>
                      </c:pt>
                      <c:pt idx="1096">
                        <c:v>16</c:v>
                      </c:pt>
                      <c:pt idx="1097">
                        <c:v>16</c:v>
                      </c:pt>
                      <c:pt idx="1098">
                        <c:v>16</c:v>
                      </c:pt>
                      <c:pt idx="1099">
                        <c:v>16</c:v>
                      </c:pt>
                      <c:pt idx="1100">
                        <c:v>16</c:v>
                      </c:pt>
                      <c:pt idx="1101">
                        <c:v>16</c:v>
                      </c:pt>
                      <c:pt idx="1102">
                        <c:v>16</c:v>
                      </c:pt>
                      <c:pt idx="1103">
                        <c:v>16</c:v>
                      </c:pt>
                      <c:pt idx="1104">
                        <c:v>16</c:v>
                      </c:pt>
                      <c:pt idx="1105">
                        <c:v>16</c:v>
                      </c:pt>
                      <c:pt idx="1106">
                        <c:v>16</c:v>
                      </c:pt>
                      <c:pt idx="1107">
                        <c:v>16</c:v>
                      </c:pt>
                      <c:pt idx="1108">
                        <c:v>16</c:v>
                      </c:pt>
                      <c:pt idx="1109">
                        <c:v>16</c:v>
                      </c:pt>
                      <c:pt idx="1110">
                        <c:v>16</c:v>
                      </c:pt>
                      <c:pt idx="1111">
                        <c:v>16</c:v>
                      </c:pt>
                      <c:pt idx="1112">
                        <c:v>16</c:v>
                      </c:pt>
                      <c:pt idx="1113">
                        <c:v>16</c:v>
                      </c:pt>
                      <c:pt idx="1114">
                        <c:v>16</c:v>
                      </c:pt>
                      <c:pt idx="1115">
                        <c:v>16</c:v>
                      </c:pt>
                      <c:pt idx="1116">
                        <c:v>16</c:v>
                      </c:pt>
                      <c:pt idx="1117">
                        <c:v>16</c:v>
                      </c:pt>
                      <c:pt idx="1118">
                        <c:v>16</c:v>
                      </c:pt>
                      <c:pt idx="1119">
                        <c:v>16</c:v>
                      </c:pt>
                      <c:pt idx="1120">
                        <c:v>16</c:v>
                      </c:pt>
                      <c:pt idx="1121">
                        <c:v>16</c:v>
                      </c:pt>
                      <c:pt idx="1122">
                        <c:v>16</c:v>
                      </c:pt>
                      <c:pt idx="1123">
                        <c:v>16</c:v>
                      </c:pt>
                      <c:pt idx="1124">
                        <c:v>16</c:v>
                      </c:pt>
                      <c:pt idx="1125">
                        <c:v>16</c:v>
                      </c:pt>
                      <c:pt idx="1126">
                        <c:v>16</c:v>
                      </c:pt>
                      <c:pt idx="1127">
                        <c:v>16</c:v>
                      </c:pt>
                      <c:pt idx="1128">
                        <c:v>16</c:v>
                      </c:pt>
                      <c:pt idx="1129">
                        <c:v>16</c:v>
                      </c:pt>
                      <c:pt idx="1130">
                        <c:v>16</c:v>
                      </c:pt>
                      <c:pt idx="1131">
                        <c:v>16</c:v>
                      </c:pt>
                      <c:pt idx="1132">
                        <c:v>16</c:v>
                      </c:pt>
                      <c:pt idx="1133">
                        <c:v>16</c:v>
                      </c:pt>
                      <c:pt idx="1134">
                        <c:v>16</c:v>
                      </c:pt>
                      <c:pt idx="1135">
                        <c:v>16</c:v>
                      </c:pt>
                      <c:pt idx="1136">
                        <c:v>16</c:v>
                      </c:pt>
                      <c:pt idx="1137">
                        <c:v>16</c:v>
                      </c:pt>
                      <c:pt idx="1138">
                        <c:v>16</c:v>
                      </c:pt>
                      <c:pt idx="1139">
                        <c:v>16</c:v>
                      </c:pt>
                      <c:pt idx="1140">
                        <c:v>16</c:v>
                      </c:pt>
                      <c:pt idx="1141">
                        <c:v>16</c:v>
                      </c:pt>
                      <c:pt idx="1142">
                        <c:v>16</c:v>
                      </c:pt>
                      <c:pt idx="1143">
                        <c:v>16</c:v>
                      </c:pt>
                      <c:pt idx="1144">
                        <c:v>16</c:v>
                      </c:pt>
                      <c:pt idx="1145">
                        <c:v>16</c:v>
                      </c:pt>
                      <c:pt idx="1146">
                        <c:v>16</c:v>
                      </c:pt>
                      <c:pt idx="1147">
                        <c:v>16</c:v>
                      </c:pt>
                      <c:pt idx="1148">
                        <c:v>16</c:v>
                      </c:pt>
                      <c:pt idx="1149">
                        <c:v>16</c:v>
                      </c:pt>
                      <c:pt idx="1150">
                        <c:v>16</c:v>
                      </c:pt>
                      <c:pt idx="1151">
                        <c:v>16</c:v>
                      </c:pt>
                      <c:pt idx="1152">
                        <c:v>16</c:v>
                      </c:pt>
                      <c:pt idx="1153">
                        <c:v>16</c:v>
                      </c:pt>
                      <c:pt idx="1154">
                        <c:v>16</c:v>
                      </c:pt>
                      <c:pt idx="1155">
                        <c:v>16</c:v>
                      </c:pt>
                      <c:pt idx="1156">
                        <c:v>16</c:v>
                      </c:pt>
                      <c:pt idx="1157">
                        <c:v>16</c:v>
                      </c:pt>
                      <c:pt idx="1158">
                        <c:v>16</c:v>
                      </c:pt>
                      <c:pt idx="1159">
                        <c:v>16</c:v>
                      </c:pt>
                      <c:pt idx="1160">
                        <c:v>16</c:v>
                      </c:pt>
                      <c:pt idx="1161">
                        <c:v>16</c:v>
                      </c:pt>
                      <c:pt idx="1162">
                        <c:v>16</c:v>
                      </c:pt>
                      <c:pt idx="1163">
                        <c:v>16</c:v>
                      </c:pt>
                      <c:pt idx="1164">
                        <c:v>16</c:v>
                      </c:pt>
                      <c:pt idx="1165">
                        <c:v>16</c:v>
                      </c:pt>
                      <c:pt idx="1166">
                        <c:v>16</c:v>
                      </c:pt>
                      <c:pt idx="1191">
                        <c:v>17</c:v>
                      </c:pt>
                      <c:pt idx="1192">
                        <c:v>17</c:v>
                      </c:pt>
                      <c:pt idx="1193">
                        <c:v>17</c:v>
                      </c:pt>
                      <c:pt idx="1194">
                        <c:v>17</c:v>
                      </c:pt>
                      <c:pt idx="1195">
                        <c:v>17</c:v>
                      </c:pt>
                      <c:pt idx="1196">
                        <c:v>17</c:v>
                      </c:pt>
                      <c:pt idx="1197">
                        <c:v>17</c:v>
                      </c:pt>
                      <c:pt idx="1198">
                        <c:v>17</c:v>
                      </c:pt>
                      <c:pt idx="1199">
                        <c:v>17</c:v>
                      </c:pt>
                      <c:pt idx="1211">
                        <c:v>18</c:v>
                      </c:pt>
                      <c:pt idx="1212">
                        <c:v>18</c:v>
                      </c:pt>
                      <c:pt idx="1213">
                        <c:v>18</c:v>
                      </c:pt>
                      <c:pt idx="1214">
                        <c:v>18</c:v>
                      </c:pt>
                      <c:pt idx="1215">
                        <c:v>18</c:v>
                      </c:pt>
                      <c:pt idx="1216">
                        <c:v>18</c:v>
                      </c:pt>
                      <c:pt idx="1217">
                        <c:v>18</c:v>
                      </c:pt>
                      <c:pt idx="1218">
                        <c:v>18</c:v>
                      </c:pt>
                      <c:pt idx="1219">
                        <c:v>18</c:v>
                      </c:pt>
                      <c:pt idx="1220">
                        <c:v>18</c:v>
                      </c:pt>
                      <c:pt idx="1221">
                        <c:v>18</c:v>
                      </c:pt>
                      <c:pt idx="1222">
                        <c:v>18</c:v>
                      </c:pt>
                      <c:pt idx="1223">
                        <c:v>18</c:v>
                      </c:pt>
                      <c:pt idx="1224">
                        <c:v>18</c:v>
                      </c:pt>
                      <c:pt idx="1225">
                        <c:v>18</c:v>
                      </c:pt>
                      <c:pt idx="1356">
                        <c:v>19</c:v>
                      </c:pt>
                      <c:pt idx="1357">
                        <c:v>19</c:v>
                      </c:pt>
                      <c:pt idx="1358">
                        <c:v>19</c:v>
                      </c:pt>
                      <c:pt idx="1359">
                        <c:v>19</c:v>
                      </c:pt>
                      <c:pt idx="1360">
                        <c:v>19</c:v>
                      </c:pt>
                      <c:pt idx="1361">
                        <c:v>19</c:v>
                      </c:pt>
                      <c:pt idx="1362">
                        <c:v>19</c:v>
                      </c:pt>
                      <c:pt idx="1363">
                        <c:v>19</c:v>
                      </c:pt>
                      <c:pt idx="1364">
                        <c:v>19</c:v>
                      </c:pt>
                      <c:pt idx="1365">
                        <c:v>19</c:v>
                      </c:pt>
                      <c:pt idx="1366">
                        <c:v>19</c:v>
                      </c:pt>
                      <c:pt idx="1367">
                        <c:v>19</c:v>
                      </c:pt>
                      <c:pt idx="1368">
                        <c:v>19</c:v>
                      </c:pt>
                      <c:pt idx="1369">
                        <c:v>19</c:v>
                      </c:pt>
                      <c:pt idx="1370">
                        <c:v>19</c:v>
                      </c:pt>
                      <c:pt idx="1371">
                        <c:v>19</c:v>
                      </c:pt>
                      <c:pt idx="1372">
                        <c:v>19</c:v>
                      </c:pt>
                      <c:pt idx="1373">
                        <c:v>19</c:v>
                      </c:pt>
                      <c:pt idx="1374">
                        <c:v>19</c:v>
                      </c:pt>
                      <c:pt idx="1375">
                        <c:v>19</c:v>
                      </c:pt>
                      <c:pt idx="1376">
                        <c:v>19</c:v>
                      </c:pt>
                      <c:pt idx="1377">
                        <c:v>19</c:v>
                      </c:pt>
                      <c:pt idx="1378">
                        <c:v>19</c:v>
                      </c:pt>
                      <c:pt idx="1379">
                        <c:v>19</c:v>
                      </c:pt>
                      <c:pt idx="1380">
                        <c:v>19</c:v>
                      </c:pt>
                      <c:pt idx="1381">
                        <c:v>19</c:v>
                      </c:pt>
                      <c:pt idx="1382">
                        <c:v>19</c:v>
                      </c:pt>
                      <c:pt idx="1383">
                        <c:v>19</c:v>
                      </c:pt>
                      <c:pt idx="1384">
                        <c:v>19</c:v>
                      </c:pt>
                      <c:pt idx="1385">
                        <c:v>19</c:v>
                      </c:pt>
                      <c:pt idx="1386">
                        <c:v>19</c:v>
                      </c:pt>
                      <c:pt idx="1387">
                        <c:v>19</c:v>
                      </c:pt>
                      <c:pt idx="1388">
                        <c:v>19</c:v>
                      </c:pt>
                      <c:pt idx="1389">
                        <c:v>19</c:v>
                      </c:pt>
                      <c:pt idx="1390">
                        <c:v>19</c:v>
                      </c:pt>
                      <c:pt idx="1391">
                        <c:v>19</c:v>
                      </c:pt>
                      <c:pt idx="1392">
                        <c:v>19</c:v>
                      </c:pt>
                      <c:pt idx="1393">
                        <c:v>19</c:v>
                      </c:pt>
                      <c:pt idx="1394">
                        <c:v>19</c:v>
                      </c:pt>
                      <c:pt idx="1417">
                        <c:v>20</c:v>
                      </c:pt>
                      <c:pt idx="1418">
                        <c:v>20</c:v>
                      </c:pt>
                      <c:pt idx="1419">
                        <c:v>20</c:v>
                      </c:pt>
                      <c:pt idx="1420">
                        <c:v>20</c:v>
                      </c:pt>
                      <c:pt idx="1421">
                        <c:v>20</c:v>
                      </c:pt>
                      <c:pt idx="1422">
                        <c:v>20</c:v>
                      </c:pt>
                      <c:pt idx="1423">
                        <c:v>20</c:v>
                      </c:pt>
                      <c:pt idx="1424">
                        <c:v>20</c:v>
                      </c:pt>
                      <c:pt idx="1425">
                        <c:v>20</c:v>
                      </c:pt>
                      <c:pt idx="1426">
                        <c:v>20</c:v>
                      </c:pt>
                      <c:pt idx="1427">
                        <c:v>20</c:v>
                      </c:pt>
                      <c:pt idx="1428">
                        <c:v>20</c:v>
                      </c:pt>
                      <c:pt idx="1429">
                        <c:v>20</c:v>
                      </c:pt>
                      <c:pt idx="1430">
                        <c:v>20</c:v>
                      </c:pt>
                      <c:pt idx="1431">
                        <c:v>20</c:v>
                      </c:pt>
                      <c:pt idx="1432">
                        <c:v>20</c:v>
                      </c:pt>
                      <c:pt idx="1433">
                        <c:v>20</c:v>
                      </c:pt>
                      <c:pt idx="1434">
                        <c:v>20</c:v>
                      </c:pt>
                      <c:pt idx="1435">
                        <c:v>20</c:v>
                      </c:pt>
                      <c:pt idx="1436">
                        <c:v>20</c:v>
                      </c:pt>
                      <c:pt idx="1443">
                        <c:v>21</c:v>
                      </c:pt>
                      <c:pt idx="1444">
                        <c:v>21</c:v>
                      </c:pt>
                      <c:pt idx="1445">
                        <c:v>21</c:v>
                      </c:pt>
                      <c:pt idx="1446">
                        <c:v>21</c:v>
                      </c:pt>
                      <c:pt idx="1447">
                        <c:v>21</c:v>
                      </c:pt>
                      <c:pt idx="1448">
                        <c:v>21</c:v>
                      </c:pt>
                      <c:pt idx="1449">
                        <c:v>21</c:v>
                      </c:pt>
                      <c:pt idx="1450">
                        <c:v>21</c:v>
                      </c:pt>
                      <c:pt idx="1451">
                        <c:v>21</c:v>
                      </c:pt>
                      <c:pt idx="1452">
                        <c:v>21</c:v>
                      </c:pt>
                      <c:pt idx="1453">
                        <c:v>21</c:v>
                      </c:pt>
                      <c:pt idx="1454">
                        <c:v>21</c:v>
                      </c:pt>
                      <c:pt idx="1455">
                        <c:v>21</c:v>
                      </c:pt>
                      <c:pt idx="1456">
                        <c:v>21</c:v>
                      </c:pt>
                      <c:pt idx="1457">
                        <c:v>21</c:v>
                      </c:pt>
                      <c:pt idx="1458">
                        <c:v>21</c:v>
                      </c:pt>
                      <c:pt idx="1459">
                        <c:v>21</c:v>
                      </c:pt>
                      <c:pt idx="1460">
                        <c:v>21</c:v>
                      </c:pt>
                      <c:pt idx="1461">
                        <c:v>21</c:v>
                      </c:pt>
                      <c:pt idx="1462">
                        <c:v>21</c:v>
                      </c:pt>
                      <c:pt idx="1463">
                        <c:v>21</c:v>
                      </c:pt>
                      <c:pt idx="1464">
                        <c:v>21</c:v>
                      </c:pt>
                      <c:pt idx="1465">
                        <c:v>21</c:v>
                      </c:pt>
                      <c:pt idx="1466">
                        <c:v>21</c:v>
                      </c:pt>
                      <c:pt idx="1467">
                        <c:v>21</c:v>
                      </c:pt>
                      <c:pt idx="1468">
                        <c:v>21</c:v>
                      </c:pt>
                      <c:pt idx="1469">
                        <c:v>21</c:v>
                      </c:pt>
                      <c:pt idx="1470">
                        <c:v>21</c:v>
                      </c:pt>
                      <c:pt idx="1471">
                        <c:v>21</c:v>
                      </c:pt>
                      <c:pt idx="1530">
                        <c:v>22</c:v>
                      </c:pt>
                      <c:pt idx="1531">
                        <c:v>22</c:v>
                      </c:pt>
                      <c:pt idx="1532">
                        <c:v>22</c:v>
                      </c:pt>
                      <c:pt idx="1533">
                        <c:v>22</c:v>
                      </c:pt>
                      <c:pt idx="1534">
                        <c:v>22</c:v>
                      </c:pt>
                      <c:pt idx="1535">
                        <c:v>22</c:v>
                      </c:pt>
                      <c:pt idx="1536">
                        <c:v>22</c:v>
                      </c:pt>
                      <c:pt idx="1537">
                        <c:v>22</c:v>
                      </c:pt>
                      <c:pt idx="1538">
                        <c:v>22</c:v>
                      </c:pt>
                      <c:pt idx="1539">
                        <c:v>22</c:v>
                      </c:pt>
                      <c:pt idx="1540">
                        <c:v>22</c:v>
                      </c:pt>
                      <c:pt idx="1541">
                        <c:v>22</c:v>
                      </c:pt>
                      <c:pt idx="1542">
                        <c:v>22</c:v>
                      </c:pt>
                      <c:pt idx="1543">
                        <c:v>22</c:v>
                      </c:pt>
                      <c:pt idx="1544">
                        <c:v>22</c:v>
                      </c:pt>
                      <c:pt idx="1545">
                        <c:v>22</c:v>
                      </c:pt>
                      <c:pt idx="1546">
                        <c:v>22</c:v>
                      </c:pt>
                      <c:pt idx="1547">
                        <c:v>22</c:v>
                      </c:pt>
                      <c:pt idx="1548">
                        <c:v>22</c:v>
                      </c:pt>
                      <c:pt idx="1549">
                        <c:v>22</c:v>
                      </c:pt>
                      <c:pt idx="1550">
                        <c:v>22</c:v>
                      </c:pt>
                      <c:pt idx="1551">
                        <c:v>22</c:v>
                      </c:pt>
                      <c:pt idx="1552">
                        <c:v>22</c:v>
                      </c:pt>
                      <c:pt idx="1553">
                        <c:v>22</c:v>
                      </c:pt>
                      <c:pt idx="1554">
                        <c:v>22</c:v>
                      </c:pt>
                      <c:pt idx="1555">
                        <c:v>22</c:v>
                      </c:pt>
                      <c:pt idx="1556">
                        <c:v>22</c:v>
                      </c:pt>
                      <c:pt idx="1557">
                        <c:v>22</c:v>
                      </c:pt>
                      <c:pt idx="1558">
                        <c:v>22</c:v>
                      </c:pt>
                      <c:pt idx="1559">
                        <c:v>22</c:v>
                      </c:pt>
                      <c:pt idx="1560">
                        <c:v>22</c:v>
                      </c:pt>
                      <c:pt idx="1561">
                        <c:v>22</c:v>
                      </c:pt>
                      <c:pt idx="1562">
                        <c:v>22</c:v>
                      </c:pt>
                      <c:pt idx="1563">
                        <c:v>22</c:v>
                      </c:pt>
                      <c:pt idx="1564">
                        <c:v>22</c:v>
                      </c:pt>
                      <c:pt idx="1565">
                        <c:v>22</c:v>
                      </c:pt>
                      <c:pt idx="1566">
                        <c:v>22</c:v>
                      </c:pt>
                      <c:pt idx="1567">
                        <c:v>22</c:v>
                      </c:pt>
                      <c:pt idx="1568">
                        <c:v>22</c:v>
                      </c:pt>
                      <c:pt idx="1569">
                        <c:v>22</c:v>
                      </c:pt>
                      <c:pt idx="1570">
                        <c:v>22</c:v>
                      </c:pt>
                      <c:pt idx="1571">
                        <c:v>22</c:v>
                      </c:pt>
                      <c:pt idx="1572">
                        <c:v>22</c:v>
                      </c:pt>
                      <c:pt idx="1573">
                        <c:v>22</c:v>
                      </c:pt>
                      <c:pt idx="1574">
                        <c:v>22</c:v>
                      </c:pt>
                      <c:pt idx="1575">
                        <c:v>22</c:v>
                      </c:pt>
                      <c:pt idx="1576">
                        <c:v>22</c:v>
                      </c:pt>
                      <c:pt idx="1577">
                        <c:v>22</c:v>
                      </c:pt>
                      <c:pt idx="1578">
                        <c:v>22</c:v>
                      </c:pt>
                      <c:pt idx="1579">
                        <c:v>22</c:v>
                      </c:pt>
                      <c:pt idx="1580">
                        <c:v>22</c:v>
                      </c:pt>
                      <c:pt idx="1581">
                        <c:v>22</c:v>
                      </c:pt>
                      <c:pt idx="1582">
                        <c:v>22</c:v>
                      </c:pt>
                      <c:pt idx="1583">
                        <c:v>22</c:v>
                      </c:pt>
                      <c:pt idx="1584">
                        <c:v>22</c:v>
                      </c:pt>
                      <c:pt idx="1585">
                        <c:v>22</c:v>
                      </c:pt>
                      <c:pt idx="1586">
                        <c:v>22</c:v>
                      </c:pt>
                      <c:pt idx="1587">
                        <c:v>22</c:v>
                      </c:pt>
                      <c:pt idx="1588">
                        <c:v>22</c:v>
                      </c:pt>
                      <c:pt idx="1589">
                        <c:v>22</c:v>
                      </c:pt>
                      <c:pt idx="1590">
                        <c:v>22</c:v>
                      </c:pt>
                      <c:pt idx="1591">
                        <c:v>22</c:v>
                      </c:pt>
                      <c:pt idx="1592">
                        <c:v>22</c:v>
                      </c:pt>
                      <c:pt idx="1593">
                        <c:v>22</c:v>
                      </c:pt>
                      <c:pt idx="1594">
                        <c:v>22</c:v>
                      </c:pt>
                      <c:pt idx="1595">
                        <c:v>22</c:v>
                      </c:pt>
                      <c:pt idx="1596">
                        <c:v>22</c:v>
                      </c:pt>
                      <c:pt idx="1597">
                        <c:v>22</c:v>
                      </c:pt>
                      <c:pt idx="1598">
                        <c:v>22</c:v>
                      </c:pt>
                      <c:pt idx="1599">
                        <c:v>22</c:v>
                      </c:pt>
                      <c:pt idx="1600">
                        <c:v>22</c:v>
                      </c:pt>
                      <c:pt idx="1601">
                        <c:v>22</c:v>
                      </c:pt>
                      <c:pt idx="1602">
                        <c:v>22</c:v>
                      </c:pt>
                      <c:pt idx="1603">
                        <c:v>22</c:v>
                      </c:pt>
                      <c:pt idx="1604">
                        <c:v>22</c:v>
                      </c:pt>
                      <c:pt idx="1605">
                        <c:v>22</c:v>
                      </c:pt>
                      <c:pt idx="1606">
                        <c:v>22</c:v>
                      </c:pt>
                      <c:pt idx="1607">
                        <c:v>22</c:v>
                      </c:pt>
                      <c:pt idx="1608">
                        <c:v>22</c:v>
                      </c:pt>
                      <c:pt idx="1609">
                        <c:v>22</c:v>
                      </c:pt>
                      <c:pt idx="1610">
                        <c:v>22</c:v>
                      </c:pt>
                      <c:pt idx="1611">
                        <c:v>22</c:v>
                      </c:pt>
                      <c:pt idx="1612">
                        <c:v>22</c:v>
                      </c:pt>
                      <c:pt idx="1613">
                        <c:v>22</c:v>
                      </c:pt>
                      <c:pt idx="1614">
                        <c:v>22</c:v>
                      </c:pt>
                      <c:pt idx="1615">
                        <c:v>22</c:v>
                      </c:pt>
                      <c:pt idx="1616">
                        <c:v>22</c:v>
                      </c:pt>
                      <c:pt idx="1617">
                        <c:v>22</c:v>
                      </c:pt>
                      <c:pt idx="1618">
                        <c:v>22</c:v>
                      </c:pt>
                      <c:pt idx="1619">
                        <c:v>22</c:v>
                      </c:pt>
                      <c:pt idx="1620">
                        <c:v>22</c:v>
                      </c:pt>
                      <c:pt idx="1621">
                        <c:v>22</c:v>
                      </c:pt>
                      <c:pt idx="1622">
                        <c:v>22</c:v>
                      </c:pt>
                      <c:pt idx="1623">
                        <c:v>22</c:v>
                      </c:pt>
                      <c:pt idx="1624">
                        <c:v>22</c:v>
                      </c:pt>
                      <c:pt idx="1625">
                        <c:v>22</c:v>
                      </c:pt>
                      <c:pt idx="1626">
                        <c:v>22</c:v>
                      </c:pt>
                      <c:pt idx="1627">
                        <c:v>22</c:v>
                      </c:pt>
                      <c:pt idx="1628">
                        <c:v>22</c:v>
                      </c:pt>
                      <c:pt idx="1629">
                        <c:v>22</c:v>
                      </c:pt>
                      <c:pt idx="1630">
                        <c:v>22</c:v>
                      </c:pt>
                      <c:pt idx="1631">
                        <c:v>22</c:v>
                      </c:pt>
                      <c:pt idx="1699">
                        <c:v>23</c:v>
                      </c:pt>
                      <c:pt idx="1700">
                        <c:v>23</c:v>
                      </c:pt>
                      <c:pt idx="1701">
                        <c:v>23</c:v>
                      </c:pt>
                      <c:pt idx="1702">
                        <c:v>23</c:v>
                      </c:pt>
                      <c:pt idx="1703">
                        <c:v>23</c:v>
                      </c:pt>
                      <c:pt idx="1704">
                        <c:v>23</c:v>
                      </c:pt>
                      <c:pt idx="1705">
                        <c:v>23</c:v>
                      </c:pt>
                      <c:pt idx="1706">
                        <c:v>23</c:v>
                      </c:pt>
                      <c:pt idx="1707">
                        <c:v>23</c:v>
                      </c:pt>
                      <c:pt idx="1708">
                        <c:v>23</c:v>
                      </c:pt>
                      <c:pt idx="1709">
                        <c:v>23</c:v>
                      </c:pt>
                      <c:pt idx="1710">
                        <c:v>23</c:v>
                      </c:pt>
                      <c:pt idx="1711">
                        <c:v>23</c:v>
                      </c:pt>
                      <c:pt idx="1712">
                        <c:v>23</c:v>
                      </c:pt>
                      <c:pt idx="1713">
                        <c:v>23</c:v>
                      </c:pt>
                      <c:pt idx="1714">
                        <c:v>23</c:v>
                      </c:pt>
                      <c:pt idx="1715">
                        <c:v>23</c:v>
                      </c:pt>
                      <c:pt idx="1716">
                        <c:v>23</c:v>
                      </c:pt>
                      <c:pt idx="1717">
                        <c:v>23</c:v>
                      </c:pt>
                      <c:pt idx="1718">
                        <c:v>23</c:v>
                      </c:pt>
                      <c:pt idx="1719">
                        <c:v>23</c:v>
                      </c:pt>
                      <c:pt idx="1720">
                        <c:v>23</c:v>
                      </c:pt>
                      <c:pt idx="1721">
                        <c:v>23</c:v>
                      </c:pt>
                      <c:pt idx="1722">
                        <c:v>23</c:v>
                      </c:pt>
                      <c:pt idx="1723">
                        <c:v>23</c:v>
                      </c:pt>
                      <c:pt idx="1724">
                        <c:v>23</c:v>
                      </c:pt>
                      <c:pt idx="1725">
                        <c:v>23</c:v>
                      </c:pt>
                      <c:pt idx="1726">
                        <c:v>23</c:v>
                      </c:pt>
                      <c:pt idx="1727">
                        <c:v>23</c:v>
                      </c:pt>
                      <c:pt idx="1728">
                        <c:v>23</c:v>
                      </c:pt>
                      <c:pt idx="1729">
                        <c:v>23</c:v>
                      </c:pt>
                      <c:pt idx="1730">
                        <c:v>23</c:v>
                      </c:pt>
                      <c:pt idx="1731">
                        <c:v>23</c:v>
                      </c:pt>
                      <c:pt idx="1732">
                        <c:v>23</c:v>
                      </c:pt>
                      <c:pt idx="1733">
                        <c:v>23</c:v>
                      </c:pt>
                      <c:pt idx="1734">
                        <c:v>23</c:v>
                      </c:pt>
                      <c:pt idx="1735">
                        <c:v>23</c:v>
                      </c:pt>
                      <c:pt idx="1736">
                        <c:v>23</c:v>
                      </c:pt>
                      <c:pt idx="1737">
                        <c:v>23</c:v>
                      </c:pt>
                      <c:pt idx="1738">
                        <c:v>23</c:v>
                      </c:pt>
                      <c:pt idx="1739">
                        <c:v>23</c:v>
                      </c:pt>
                      <c:pt idx="1740">
                        <c:v>23</c:v>
                      </c:pt>
                      <c:pt idx="1741">
                        <c:v>23</c:v>
                      </c:pt>
                      <c:pt idx="1742">
                        <c:v>23</c:v>
                      </c:pt>
                      <c:pt idx="1743">
                        <c:v>23</c:v>
                      </c:pt>
                      <c:pt idx="1744">
                        <c:v>23</c:v>
                      </c:pt>
                      <c:pt idx="1745">
                        <c:v>23</c:v>
                      </c:pt>
                      <c:pt idx="1746">
                        <c:v>23</c:v>
                      </c:pt>
                      <c:pt idx="1747">
                        <c:v>23</c:v>
                      </c:pt>
                      <c:pt idx="1748">
                        <c:v>23</c:v>
                      </c:pt>
                      <c:pt idx="1749">
                        <c:v>23</c:v>
                      </c:pt>
                      <c:pt idx="1750">
                        <c:v>23</c:v>
                      </c:pt>
                      <c:pt idx="1751">
                        <c:v>23</c:v>
                      </c:pt>
                      <c:pt idx="1752">
                        <c:v>23</c:v>
                      </c:pt>
                      <c:pt idx="1753">
                        <c:v>23</c:v>
                      </c:pt>
                      <c:pt idx="1754">
                        <c:v>23</c:v>
                      </c:pt>
                      <c:pt idx="1755">
                        <c:v>23</c:v>
                      </c:pt>
                      <c:pt idx="1869">
                        <c:v>24</c:v>
                      </c:pt>
                      <c:pt idx="1870">
                        <c:v>24</c:v>
                      </c:pt>
                      <c:pt idx="1871">
                        <c:v>24</c:v>
                      </c:pt>
                      <c:pt idx="1872">
                        <c:v>24</c:v>
                      </c:pt>
                      <c:pt idx="1873">
                        <c:v>24</c:v>
                      </c:pt>
                      <c:pt idx="1874">
                        <c:v>24</c:v>
                      </c:pt>
                      <c:pt idx="1875">
                        <c:v>24</c:v>
                      </c:pt>
                      <c:pt idx="1876">
                        <c:v>24</c:v>
                      </c:pt>
                      <c:pt idx="1877">
                        <c:v>24</c:v>
                      </c:pt>
                      <c:pt idx="1878">
                        <c:v>24</c:v>
                      </c:pt>
                      <c:pt idx="1879">
                        <c:v>24</c:v>
                      </c:pt>
                      <c:pt idx="1880">
                        <c:v>24</c:v>
                      </c:pt>
                      <c:pt idx="1881">
                        <c:v>24</c:v>
                      </c:pt>
                      <c:pt idx="1882">
                        <c:v>24</c:v>
                      </c:pt>
                      <c:pt idx="1883">
                        <c:v>24</c:v>
                      </c:pt>
                      <c:pt idx="1884">
                        <c:v>24</c:v>
                      </c:pt>
                      <c:pt idx="1885">
                        <c:v>24</c:v>
                      </c:pt>
                      <c:pt idx="1886">
                        <c:v>24</c:v>
                      </c:pt>
                      <c:pt idx="1887">
                        <c:v>24</c:v>
                      </c:pt>
                      <c:pt idx="1888">
                        <c:v>24</c:v>
                      </c:pt>
                      <c:pt idx="1889">
                        <c:v>24</c:v>
                      </c:pt>
                      <c:pt idx="1890">
                        <c:v>24</c:v>
                      </c:pt>
                      <c:pt idx="1891">
                        <c:v>24</c:v>
                      </c:pt>
                      <c:pt idx="1892">
                        <c:v>24</c:v>
                      </c:pt>
                      <c:pt idx="1893">
                        <c:v>24</c:v>
                      </c:pt>
                      <c:pt idx="1894">
                        <c:v>24</c:v>
                      </c:pt>
                      <c:pt idx="1895">
                        <c:v>24</c:v>
                      </c:pt>
                      <c:pt idx="1896">
                        <c:v>24</c:v>
                      </c:pt>
                      <c:pt idx="1897">
                        <c:v>24</c:v>
                      </c:pt>
                      <c:pt idx="1898">
                        <c:v>24</c:v>
                      </c:pt>
                      <c:pt idx="1899">
                        <c:v>24</c:v>
                      </c:pt>
                      <c:pt idx="1900">
                        <c:v>24</c:v>
                      </c:pt>
                      <c:pt idx="1901">
                        <c:v>24</c:v>
                      </c:pt>
                      <c:pt idx="1902">
                        <c:v>24</c:v>
                      </c:pt>
                      <c:pt idx="1903">
                        <c:v>24</c:v>
                      </c:pt>
                      <c:pt idx="1904">
                        <c:v>24</c:v>
                      </c:pt>
                      <c:pt idx="1905">
                        <c:v>24</c:v>
                      </c:pt>
                      <c:pt idx="1906">
                        <c:v>24</c:v>
                      </c:pt>
                      <c:pt idx="1907">
                        <c:v>24</c:v>
                      </c:pt>
                      <c:pt idx="1908">
                        <c:v>24</c:v>
                      </c:pt>
                      <c:pt idx="1909">
                        <c:v>24</c:v>
                      </c:pt>
                      <c:pt idx="1910">
                        <c:v>24</c:v>
                      </c:pt>
                      <c:pt idx="1911">
                        <c:v>24</c:v>
                      </c:pt>
                      <c:pt idx="1912">
                        <c:v>24</c:v>
                      </c:pt>
                      <c:pt idx="1913">
                        <c:v>24</c:v>
                      </c:pt>
                      <c:pt idx="1914">
                        <c:v>24</c:v>
                      </c:pt>
                      <c:pt idx="1915">
                        <c:v>24</c:v>
                      </c:pt>
                      <c:pt idx="1916">
                        <c:v>24</c:v>
                      </c:pt>
                      <c:pt idx="1917">
                        <c:v>24</c:v>
                      </c:pt>
                      <c:pt idx="1918">
                        <c:v>24</c:v>
                      </c:pt>
                      <c:pt idx="1919">
                        <c:v>24</c:v>
                      </c:pt>
                      <c:pt idx="1920">
                        <c:v>24</c:v>
                      </c:pt>
                      <c:pt idx="1921">
                        <c:v>24</c:v>
                      </c:pt>
                      <c:pt idx="1922">
                        <c:v>24</c:v>
                      </c:pt>
                      <c:pt idx="1923">
                        <c:v>24</c:v>
                      </c:pt>
                      <c:pt idx="1924">
                        <c:v>24</c:v>
                      </c:pt>
                      <c:pt idx="1925">
                        <c:v>24</c:v>
                      </c:pt>
                      <c:pt idx="1963">
                        <c:v>25</c:v>
                      </c:pt>
                      <c:pt idx="1964">
                        <c:v>25</c:v>
                      </c:pt>
                      <c:pt idx="1965">
                        <c:v>25</c:v>
                      </c:pt>
                      <c:pt idx="1966">
                        <c:v>25</c:v>
                      </c:pt>
                      <c:pt idx="1967">
                        <c:v>25</c:v>
                      </c:pt>
                      <c:pt idx="1968">
                        <c:v>25</c:v>
                      </c:pt>
                      <c:pt idx="1969">
                        <c:v>25</c:v>
                      </c:pt>
                      <c:pt idx="1970">
                        <c:v>25</c:v>
                      </c:pt>
                      <c:pt idx="1971">
                        <c:v>25</c:v>
                      </c:pt>
                      <c:pt idx="1972">
                        <c:v>25</c:v>
                      </c:pt>
                      <c:pt idx="1973">
                        <c:v>25</c:v>
                      </c:pt>
                      <c:pt idx="1974">
                        <c:v>25</c:v>
                      </c:pt>
                      <c:pt idx="1975">
                        <c:v>25</c:v>
                      </c:pt>
                      <c:pt idx="1976">
                        <c:v>25</c:v>
                      </c:pt>
                      <c:pt idx="1977">
                        <c:v>25</c:v>
                      </c:pt>
                      <c:pt idx="1978">
                        <c:v>25</c:v>
                      </c:pt>
                      <c:pt idx="1979">
                        <c:v>25</c:v>
                      </c:pt>
                      <c:pt idx="1980">
                        <c:v>25</c:v>
                      </c:pt>
                      <c:pt idx="1981">
                        <c:v>25</c:v>
                      </c:pt>
                      <c:pt idx="1982">
                        <c:v>25</c:v>
                      </c:pt>
                      <c:pt idx="1983">
                        <c:v>25</c:v>
                      </c:pt>
                      <c:pt idx="1984">
                        <c:v>25</c:v>
                      </c:pt>
                      <c:pt idx="1985">
                        <c:v>25</c:v>
                      </c:pt>
                      <c:pt idx="1986">
                        <c:v>25</c:v>
                      </c:pt>
                      <c:pt idx="1987">
                        <c:v>25</c:v>
                      </c:pt>
                      <c:pt idx="1988">
                        <c:v>25</c:v>
                      </c:pt>
                      <c:pt idx="1989">
                        <c:v>25</c:v>
                      </c:pt>
                      <c:pt idx="1990">
                        <c:v>25</c:v>
                      </c:pt>
                      <c:pt idx="1991">
                        <c:v>25</c:v>
                      </c:pt>
                      <c:pt idx="1992">
                        <c:v>25</c:v>
                      </c:pt>
                      <c:pt idx="1993">
                        <c:v>25</c:v>
                      </c:pt>
                      <c:pt idx="1994">
                        <c:v>25</c:v>
                      </c:pt>
                      <c:pt idx="1995">
                        <c:v>25</c:v>
                      </c:pt>
                      <c:pt idx="1996">
                        <c:v>25</c:v>
                      </c:pt>
                      <c:pt idx="1997">
                        <c:v>25</c:v>
                      </c:pt>
                      <c:pt idx="1998">
                        <c:v>25</c:v>
                      </c:pt>
                      <c:pt idx="1999">
                        <c:v>25</c:v>
                      </c:pt>
                      <c:pt idx="2000">
                        <c:v>25</c:v>
                      </c:pt>
                      <c:pt idx="2001">
                        <c:v>25</c:v>
                      </c:pt>
                      <c:pt idx="2002">
                        <c:v>25</c:v>
                      </c:pt>
                      <c:pt idx="2003">
                        <c:v>25</c:v>
                      </c:pt>
                      <c:pt idx="2004">
                        <c:v>25</c:v>
                      </c:pt>
                      <c:pt idx="2005">
                        <c:v>25</c:v>
                      </c:pt>
                      <c:pt idx="2006">
                        <c:v>25</c:v>
                      </c:pt>
                      <c:pt idx="2007">
                        <c:v>25</c:v>
                      </c:pt>
                      <c:pt idx="2008">
                        <c:v>25</c:v>
                      </c:pt>
                      <c:pt idx="2009">
                        <c:v>25</c:v>
                      </c:pt>
                      <c:pt idx="2010">
                        <c:v>25</c:v>
                      </c:pt>
                      <c:pt idx="2011">
                        <c:v>25</c:v>
                      </c:pt>
                      <c:pt idx="2012">
                        <c:v>25</c:v>
                      </c:pt>
                      <c:pt idx="2013">
                        <c:v>25</c:v>
                      </c:pt>
                      <c:pt idx="2014">
                        <c:v>25</c:v>
                      </c:pt>
                      <c:pt idx="2015">
                        <c:v>25</c:v>
                      </c:pt>
                      <c:pt idx="2016">
                        <c:v>25</c:v>
                      </c:pt>
                      <c:pt idx="2017">
                        <c:v>25</c:v>
                      </c:pt>
                      <c:pt idx="2018">
                        <c:v>25</c:v>
                      </c:pt>
                      <c:pt idx="2019">
                        <c:v>25</c:v>
                      </c:pt>
                      <c:pt idx="2020">
                        <c:v>25</c:v>
                      </c:pt>
                      <c:pt idx="2098">
                        <c:v>26</c:v>
                      </c:pt>
                      <c:pt idx="2099">
                        <c:v>26</c:v>
                      </c:pt>
                      <c:pt idx="2100">
                        <c:v>26</c:v>
                      </c:pt>
                      <c:pt idx="2101">
                        <c:v>26</c:v>
                      </c:pt>
                      <c:pt idx="2102">
                        <c:v>26</c:v>
                      </c:pt>
                      <c:pt idx="2103">
                        <c:v>26</c:v>
                      </c:pt>
                      <c:pt idx="2104">
                        <c:v>26</c:v>
                      </c:pt>
                      <c:pt idx="2105">
                        <c:v>26</c:v>
                      </c:pt>
                      <c:pt idx="2106">
                        <c:v>26</c:v>
                      </c:pt>
                      <c:pt idx="2107">
                        <c:v>26</c:v>
                      </c:pt>
                      <c:pt idx="2108">
                        <c:v>26</c:v>
                      </c:pt>
                      <c:pt idx="2109">
                        <c:v>26</c:v>
                      </c:pt>
                      <c:pt idx="2110">
                        <c:v>26</c:v>
                      </c:pt>
                      <c:pt idx="2111">
                        <c:v>26</c:v>
                      </c:pt>
                      <c:pt idx="2112">
                        <c:v>26</c:v>
                      </c:pt>
                      <c:pt idx="2113">
                        <c:v>26</c:v>
                      </c:pt>
                      <c:pt idx="2114">
                        <c:v>26</c:v>
                      </c:pt>
                      <c:pt idx="2115">
                        <c:v>26</c:v>
                      </c:pt>
                      <c:pt idx="2116">
                        <c:v>26</c:v>
                      </c:pt>
                      <c:pt idx="2117">
                        <c:v>26</c:v>
                      </c:pt>
                      <c:pt idx="2118">
                        <c:v>26</c:v>
                      </c:pt>
                      <c:pt idx="2119">
                        <c:v>26</c:v>
                      </c:pt>
                      <c:pt idx="2120">
                        <c:v>26</c:v>
                      </c:pt>
                      <c:pt idx="2121">
                        <c:v>26</c:v>
                      </c:pt>
                      <c:pt idx="2122">
                        <c:v>26</c:v>
                      </c:pt>
                      <c:pt idx="2123">
                        <c:v>26</c:v>
                      </c:pt>
                      <c:pt idx="2124">
                        <c:v>26</c:v>
                      </c:pt>
                      <c:pt idx="2125">
                        <c:v>26</c:v>
                      </c:pt>
                      <c:pt idx="2126">
                        <c:v>26</c:v>
                      </c:pt>
                      <c:pt idx="2127">
                        <c:v>26</c:v>
                      </c:pt>
                      <c:pt idx="2128">
                        <c:v>26</c:v>
                      </c:pt>
                      <c:pt idx="2170">
                        <c:v>27</c:v>
                      </c:pt>
                      <c:pt idx="2171">
                        <c:v>27</c:v>
                      </c:pt>
                      <c:pt idx="2172">
                        <c:v>27</c:v>
                      </c:pt>
                      <c:pt idx="2173">
                        <c:v>27</c:v>
                      </c:pt>
                      <c:pt idx="2174">
                        <c:v>27</c:v>
                      </c:pt>
                      <c:pt idx="2175">
                        <c:v>27</c:v>
                      </c:pt>
                      <c:pt idx="2176">
                        <c:v>27</c:v>
                      </c:pt>
                      <c:pt idx="2177">
                        <c:v>27</c:v>
                      </c:pt>
                      <c:pt idx="2178">
                        <c:v>27</c:v>
                      </c:pt>
                      <c:pt idx="2179">
                        <c:v>27</c:v>
                      </c:pt>
                      <c:pt idx="2180">
                        <c:v>27</c:v>
                      </c:pt>
                      <c:pt idx="2181">
                        <c:v>27</c:v>
                      </c:pt>
                      <c:pt idx="2182">
                        <c:v>27</c:v>
                      </c:pt>
                      <c:pt idx="2183">
                        <c:v>27</c:v>
                      </c:pt>
                      <c:pt idx="2184">
                        <c:v>27</c:v>
                      </c:pt>
                      <c:pt idx="2185">
                        <c:v>27</c:v>
                      </c:pt>
                      <c:pt idx="2186">
                        <c:v>27</c:v>
                      </c:pt>
                      <c:pt idx="2187">
                        <c:v>27</c:v>
                      </c:pt>
                      <c:pt idx="2188">
                        <c:v>27</c:v>
                      </c:pt>
                      <c:pt idx="2189">
                        <c:v>27</c:v>
                      </c:pt>
                      <c:pt idx="2190">
                        <c:v>27</c:v>
                      </c:pt>
                      <c:pt idx="2191">
                        <c:v>27</c:v>
                      </c:pt>
                      <c:pt idx="2192">
                        <c:v>27</c:v>
                      </c:pt>
                      <c:pt idx="2193">
                        <c:v>27</c:v>
                      </c:pt>
                      <c:pt idx="2194">
                        <c:v>27</c:v>
                      </c:pt>
                      <c:pt idx="2195">
                        <c:v>27</c:v>
                      </c:pt>
                      <c:pt idx="2196">
                        <c:v>27</c:v>
                      </c:pt>
                      <c:pt idx="2197">
                        <c:v>27</c:v>
                      </c:pt>
                      <c:pt idx="2198">
                        <c:v>27</c:v>
                      </c:pt>
                      <c:pt idx="2199">
                        <c:v>27</c:v>
                      </c:pt>
                      <c:pt idx="2200">
                        <c:v>27</c:v>
                      </c:pt>
                      <c:pt idx="2201">
                        <c:v>27</c:v>
                      </c:pt>
                      <c:pt idx="2202">
                        <c:v>27</c:v>
                      </c:pt>
                      <c:pt idx="2203">
                        <c:v>27</c:v>
                      </c:pt>
                      <c:pt idx="2204">
                        <c:v>27</c:v>
                      </c:pt>
                      <c:pt idx="2205">
                        <c:v>27</c:v>
                      </c:pt>
                      <c:pt idx="2206">
                        <c:v>27</c:v>
                      </c:pt>
                      <c:pt idx="2207">
                        <c:v>27</c:v>
                      </c:pt>
                      <c:pt idx="2208">
                        <c:v>27</c:v>
                      </c:pt>
                      <c:pt idx="2209">
                        <c:v>27</c:v>
                      </c:pt>
                      <c:pt idx="2210">
                        <c:v>27</c:v>
                      </c:pt>
                      <c:pt idx="2211">
                        <c:v>27</c:v>
                      </c:pt>
                      <c:pt idx="2212">
                        <c:v>27</c:v>
                      </c:pt>
                      <c:pt idx="2213">
                        <c:v>27</c:v>
                      </c:pt>
                      <c:pt idx="2214">
                        <c:v>27</c:v>
                      </c:pt>
                      <c:pt idx="2215">
                        <c:v>27</c:v>
                      </c:pt>
                      <c:pt idx="2216">
                        <c:v>27</c:v>
                      </c:pt>
                      <c:pt idx="2217">
                        <c:v>27</c:v>
                      </c:pt>
                      <c:pt idx="2218">
                        <c:v>27</c:v>
                      </c:pt>
                      <c:pt idx="2219">
                        <c:v>27</c:v>
                      </c:pt>
                      <c:pt idx="2232">
                        <c:v>28</c:v>
                      </c:pt>
                      <c:pt idx="2233">
                        <c:v>28</c:v>
                      </c:pt>
                      <c:pt idx="2234">
                        <c:v>28</c:v>
                      </c:pt>
                      <c:pt idx="2235">
                        <c:v>28</c:v>
                      </c:pt>
                      <c:pt idx="2236">
                        <c:v>28</c:v>
                      </c:pt>
                      <c:pt idx="2237">
                        <c:v>28</c:v>
                      </c:pt>
                      <c:pt idx="2238">
                        <c:v>28</c:v>
                      </c:pt>
                      <c:pt idx="2239">
                        <c:v>28</c:v>
                      </c:pt>
                      <c:pt idx="2240">
                        <c:v>28</c:v>
                      </c:pt>
                      <c:pt idx="2241">
                        <c:v>28</c:v>
                      </c:pt>
                      <c:pt idx="2242">
                        <c:v>28</c:v>
                      </c:pt>
                      <c:pt idx="2243">
                        <c:v>28</c:v>
                      </c:pt>
                      <c:pt idx="2244">
                        <c:v>28</c:v>
                      </c:pt>
                      <c:pt idx="2245">
                        <c:v>28</c:v>
                      </c:pt>
                      <c:pt idx="2246">
                        <c:v>28</c:v>
                      </c:pt>
                      <c:pt idx="2247">
                        <c:v>28</c:v>
                      </c:pt>
                      <c:pt idx="2248">
                        <c:v>28</c:v>
                      </c:pt>
                      <c:pt idx="2249">
                        <c:v>28</c:v>
                      </c:pt>
                      <c:pt idx="2250">
                        <c:v>28</c:v>
                      </c:pt>
                      <c:pt idx="2251">
                        <c:v>28</c:v>
                      </c:pt>
                      <c:pt idx="2252">
                        <c:v>28</c:v>
                      </c:pt>
                      <c:pt idx="2253">
                        <c:v>28</c:v>
                      </c:pt>
                      <c:pt idx="2297">
                        <c:v>29</c:v>
                      </c:pt>
                      <c:pt idx="2298">
                        <c:v>29</c:v>
                      </c:pt>
                      <c:pt idx="2299">
                        <c:v>29</c:v>
                      </c:pt>
                      <c:pt idx="2300">
                        <c:v>29</c:v>
                      </c:pt>
                      <c:pt idx="2301">
                        <c:v>29</c:v>
                      </c:pt>
                      <c:pt idx="2302">
                        <c:v>29</c:v>
                      </c:pt>
                      <c:pt idx="2303">
                        <c:v>29</c:v>
                      </c:pt>
                      <c:pt idx="2304">
                        <c:v>29</c:v>
                      </c:pt>
                      <c:pt idx="2305">
                        <c:v>29</c:v>
                      </c:pt>
                      <c:pt idx="2306">
                        <c:v>29</c:v>
                      </c:pt>
                      <c:pt idx="2307">
                        <c:v>29</c:v>
                      </c:pt>
                      <c:pt idx="2308">
                        <c:v>29</c:v>
                      </c:pt>
                      <c:pt idx="2309">
                        <c:v>29</c:v>
                      </c:pt>
                      <c:pt idx="2310">
                        <c:v>29</c:v>
                      </c:pt>
                      <c:pt idx="2311">
                        <c:v>29</c:v>
                      </c:pt>
                      <c:pt idx="2312">
                        <c:v>29</c:v>
                      </c:pt>
                      <c:pt idx="2313">
                        <c:v>29</c:v>
                      </c:pt>
                      <c:pt idx="2314">
                        <c:v>29</c:v>
                      </c:pt>
                      <c:pt idx="2315">
                        <c:v>29</c:v>
                      </c:pt>
                      <c:pt idx="2316">
                        <c:v>29</c:v>
                      </c:pt>
                      <c:pt idx="2317">
                        <c:v>29</c:v>
                      </c:pt>
                      <c:pt idx="2318">
                        <c:v>29</c:v>
                      </c:pt>
                      <c:pt idx="2319">
                        <c:v>29</c:v>
                      </c:pt>
                      <c:pt idx="2320">
                        <c:v>29</c:v>
                      </c:pt>
                      <c:pt idx="2321">
                        <c:v>29</c:v>
                      </c:pt>
                      <c:pt idx="2322">
                        <c:v>29</c:v>
                      </c:pt>
                      <c:pt idx="2323">
                        <c:v>29</c:v>
                      </c:pt>
                      <c:pt idx="2324">
                        <c:v>29</c:v>
                      </c:pt>
                      <c:pt idx="2325">
                        <c:v>29</c:v>
                      </c:pt>
                      <c:pt idx="2326">
                        <c:v>29</c:v>
                      </c:pt>
                      <c:pt idx="2327">
                        <c:v>29</c:v>
                      </c:pt>
                      <c:pt idx="2328">
                        <c:v>29</c:v>
                      </c:pt>
                      <c:pt idx="2329">
                        <c:v>29</c:v>
                      </c:pt>
                      <c:pt idx="2330">
                        <c:v>29</c:v>
                      </c:pt>
                      <c:pt idx="2331">
                        <c:v>29</c:v>
                      </c:pt>
                      <c:pt idx="2332">
                        <c:v>29</c:v>
                      </c:pt>
                      <c:pt idx="2333">
                        <c:v>29</c:v>
                      </c:pt>
                      <c:pt idx="2334">
                        <c:v>29</c:v>
                      </c:pt>
                      <c:pt idx="2335">
                        <c:v>29</c:v>
                      </c:pt>
                      <c:pt idx="2336">
                        <c:v>29</c:v>
                      </c:pt>
                      <c:pt idx="2337">
                        <c:v>29</c:v>
                      </c:pt>
                      <c:pt idx="2338">
                        <c:v>29</c:v>
                      </c:pt>
                      <c:pt idx="2339">
                        <c:v>29</c:v>
                      </c:pt>
                      <c:pt idx="2340">
                        <c:v>29</c:v>
                      </c:pt>
                      <c:pt idx="2341">
                        <c:v>29</c:v>
                      </c:pt>
                      <c:pt idx="2342">
                        <c:v>29</c:v>
                      </c:pt>
                      <c:pt idx="2343">
                        <c:v>29</c:v>
                      </c:pt>
                      <c:pt idx="2344">
                        <c:v>29</c:v>
                      </c:pt>
                      <c:pt idx="2345">
                        <c:v>29</c:v>
                      </c:pt>
                      <c:pt idx="2346">
                        <c:v>29</c:v>
                      </c:pt>
                      <c:pt idx="2347">
                        <c:v>29</c:v>
                      </c:pt>
                      <c:pt idx="2348">
                        <c:v>29</c:v>
                      </c:pt>
                      <c:pt idx="2349">
                        <c:v>29</c:v>
                      </c:pt>
                      <c:pt idx="2350">
                        <c:v>29</c:v>
                      </c:pt>
                      <c:pt idx="2351">
                        <c:v>29</c:v>
                      </c:pt>
                      <c:pt idx="2352">
                        <c:v>29</c:v>
                      </c:pt>
                      <c:pt idx="2353">
                        <c:v>29</c:v>
                      </c:pt>
                      <c:pt idx="2354">
                        <c:v>29</c:v>
                      </c:pt>
                      <c:pt idx="2355">
                        <c:v>29</c:v>
                      </c:pt>
                      <c:pt idx="2356">
                        <c:v>29</c:v>
                      </c:pt>
                      <c:pt idx="2357">
                        <c:v>29</c:v>
                      </c:pt>
                      <c:pt idx="2358">
                        <c:v>29</c:v>
                      </c:pt>
                      <c:pt idx="2359">
                        <c:v>29</c:v>
                      </c:pt>
                      <c:pt idx="2360">
                        <c:v>29</c:v>
                      </c:pt>
                      <c:pt idx="2361">
                        <c:v>29</c:v>
                      </c:pt>
                      <c:pt idx="2362">
                        <c:v>29</c:v>
                      </c:pt>
                      <c:pt idx="2363">
                        <c:v>29</c:v>
                      </c:pt>
                      <c:pt idx="2364">
                        <c:v>29</c:v>
                      </c:pt>
                      <c:pt idx="2365">
                        <c:v>29</c:v>
                      </c:pt>
                      <c:pt idx="2366">
                        <c:v>29</c:v>
                      </c:pt>
                      <c:pt idx="2367">
                        <c:v>29</c:v>
                      </c:pt>
                      <c:pt idx="2368">
                        <c:v>29</c:v>
                      </c:pt>
                      <c:pt idx="2369">
                        <c:v>29</c:v>
                      </c:pt>
                      <c:pt idx="2370">
                        <c:v>29</c:v>
                      </c:pt>
                      <c:pt idx="2371">
                        <c:v>29</c:v>
                      </c:pt>
                      <c:pt idx="2372">
                        <c:v>29</c:v>
                      </c:pt>
                      <c:pt idx="2373">
                        <c:v>29</c:v>
                      </c:pt>
                      <c:pt idx="2374">
                        <c:v>29</c:v>
                      </c:pt>
                      <c:pt idx="2375">
                        <c:v>29</c:v>
                      </c:pt>
                      <c:pt idx="2376">
                        <c:v>29</c:v>
                      </c:pt>
                      <c:pt idx="2377">
                        <c:v>29</c:v>
                      </c:pt>
                      <c:pt idx="2378">
                        <c:v>29</c:v>
                      </c:pt>
                      <c:pt idx="2379">
                        <c:v>29</c:v>
                      </c:pt>
                      <c:pt idx="2380">
                        <c:v>29</c:v>
                      </c:pt>
                      <c:pt idx="2381">
                        <c:v>29</c:v>
                      </c:pt>
                      <c:pt idx="2382">
                        <c:v>29</c:v>
                      </c:pt>
                      <c:pt idx="2383">
                        <c:v>29</c:v>
                      </c:pt>
                      <c:pt idx="2384">
                        <c:v>29</c:v>
                      </c:pt>
                      <c:pt idx="2385">
                        <c:v>29</c:v>
                      </c:pt>
                      <c:pt idx="2386">
                        <c:v>29</c:v>
                      </c:pt>
                      <c:pt idx="2387">
                        <c:v>29</c:v>
                      </c:pt>
                      <c:pt idx="2388">
                        <c:v>29</c:v>
                      </c:pt>
                      <c:pt idx="2389">
                        <c:v>29</c:v>
                      </c:pt>
                      <c:pt idx="2390">
                        <c:v>29</c:v>
                      </c:pt>
                      <c:pt idx="2391">
                        <c:v>29</c:v>
                      </c:pt>
                      <c:pt idx="2392">
                        <c:v>29</c:v>
                      </c:pt>
                      <c:pt idx="2393">
                        <c:v>29</c:v>
                      </c:pt>
                      <c:pt idx="2394">
                        <c:v>29</c:v>
                      </c:pt>
                      <c:pt idx="2395">
                        <c:v>29</c:v>
                      </c:pt>
                      <c:pt idx="2396">
                        <c:v>29</c:v>
                      </c:pt>
                      <c:pt idx="2397">
                        <c:v>29</c:v>
                      </c:pt>
                      <c:pt idx="2398">
                        <c:v>29</c:v>
                      </c:pt>
                      <c:pt idx="2399">
                        <c:v>29</c:v>
                      </c:pt>
                      <c:pt idx="2400">
                        <c:v>29</c:v>
                      </c:pt>
                      <c:pt idx="2401">
                        <c:v>29</c:v>
                      </c:pt>
                      <c:pt idx="2402">
                        <c:v>29</c:v>
                      </c:pt>
                      <c:pt idx="2403">
                        <c:v>29</c:v>
                      </c:pt>
                      <c:pt idx="2404">
                        <c:v>29</c:v>
                      </c:pt>
                      <c:pt idx="2405">
                        <c:v>29</c:v>
                      </c:pt>
                      <c:pt idx="2406">
                        <c:v>29</c:v>
                      </c:pt>
                      <c:pt idx="2407">
                        <c:v>29</c:v>
                      </c:pt>
                      <c:pt idx="2408">
                        <c:v>29</c:v>
                      </c:pt>
                      <c:pt idx="2409">
                        <c:v>29</c:v>
                      </c:pt>
                      <c:pt idx="2410">
                        <c:v>29</c:v>
                      </c:pt>
                      <c:pt idx="2411">
                        <c:v>29</c:v>
                      </c:pt>
                      <c:pt idx="2412">
                        <c:v>29</c:v>
                      </c:pt>
                      <c:pt idx="2413">
                        <c:v>29</c:v>
                      </c:pt>
                      <c:pt idx="2414">
                        <c:v>29</c:v>
                      </c:pt>
                      <c:pt idx="2415">
                        <c:v>29</c:v>
                      </c:pt>
                      <c:pt idx="2416">
                        <c:v>29</c:v>
                      </c:pt>
                      <c:pt idx="2417">
                        <c:v>29</c:v>
                      </c:pt>
                      <c:pt idx="2418">
                        <c:v>29</c:v>
                      </c:pt>
                      <c:pt idx="2419">
                        <c:v>29</c:v>
                      </c:pt>
                      <c:pt idx="2420">
                        <c:v>29</c:v>
                      </c:pt>
                      <c:pt idx="2421">
                        <c:v>29</c:v>
                      </c:pt>
                      <c:pt idx="2422">
                        <c:v>29</c:v>
                      </c:pt>
                      <c:pt idx="2423">
                        <c:v>29</c:v>
                      </c:pt>
                      <c:pt idx="2424">
                        <c:v>29</c:v>
                      </c:pt>
                      <c:pt idx="2425">
                        <c:v>29</c:v>
                      </c:pt>
                      <c:pt idx="2426">
                        <c:v>29</c:v>
                      </c:pt>
                      <c:pt idx="2427">
                        <c:v>29</c:v>
                      </c:pt>
                      <c:pt idx="2428">
                        <c:v>29</c:v>
                      </c:pt>
                      <c:pt idx="2429">
                        <c:v>29</c:v>
                      </c:pt>
                      <c:pt idx="2430">
                        <c:v>29</c:v>
                      </c:pt>
                      <c:pt idx="2431">
                        <c:v>29</c:v>
                      </c:pt>
                      <c:pt idx="2432">
                        <c:v>29</c:v>
                      </c:pt>
                      <c:pt idx="2433">
                        <c:v>29</c:v>
                      </c:pt>
                      <c:pt idx="2434">
                        <c:v>29</c:v>
                      </c:pt>
                      <c:pt idx="2435">
                        <c:v>29</c:v>
                      </c:pt>
                      <c:pt idx="2436">
                        <c:v>29</c:v>
                      </c:pt>
                      <c:pt idx="2437">
                        <c:v>29</c:v>
                      </c:pt>
                      <c:pt idx="2438">
                        <c:v>29</c:v>
                      </c:pt>
                      <c:pt idx="2439">
                        <c:v>29</c:v>
                      </c:pt>
                      <c:pt idx="2440">
                        <c:v>29</c:v>
                      </c:pt>
                      <c:pt idx="2441">
                        <c:v>29</c:v>
                      </c:pt>
                      <c:pt idx="2442">
                        <c:v>29</c:v>
                      </c:pt>
                      <c:pt idx="2443">
                        <c:v>29</c:v>
                      </c:pt>
                      <c:pt idx="2444">
                        <c:v>29</c:v>
                      </c:pt>
                      <c:pt idx="2445">
                        <c:v>29</c:v>
                      </c:pt>
                      <c:pt idx="2468">
                        <c:v>30</c:v>
                      </c:pt>
                      <c:pt idx="2469">
                        <c:v>30</c:v>
                      </c:pt>
                      <c:pt idx="2470">
                        <c:v>30</c:v>
                      </c:pt>
                      <c:pt idx="2471">
                        <c:v>30</c:v>
                      </c:pt>
                      <c:pt idx="2472">
                        <c:v>30</c:v>
                      </c:pt>
                      <c:pt idx="2473">
                        <c:v>30</c:v>
                      </c:pt>
                      <c:pt idx="2474">
                        <c:v>30</c:v>
                      </c:pt>
                      <c:pt idx="2475">
                        <c:v>30</c:v>
                      </c:pt>
                      <c:pt idx="2476">
                        <c:v>30</c:v>
                      </c:pt>
                      <c:pt idx="2477">
                        <c:v>30</c:v>
                      </c:pt>
                      <c:pt idx="2478">
                        <c:v>30</c:v>
                      </c:pt>
                      <c:pt idx="2479">
                        <c:v>30</c:v>
                      </c:pt>
                      <c:pt idx="2480">
                        <c:v>30</c:v>
                      </c:pt>
                      <c:pt idx="2481">
                        <c:v>30</c:v>
                      </c:pt>
                      <c:pt idx="2482">
                        <c:v>30</c:v>
                      </c:pt>
                      <c:pt idx="2483">
                        <c:v>30</c:v>
                      </c:pt>
                      <c:pt idx="2484">
                        <c:v>30</c:v>
                      </c:pt>
                      <c:pt idx="2485">
                        <c:v>30</c:v>
                      </c:pt>
                      <c:pt idx="2486">
                        <c:v>30</c:v>
                      </c:pt>
                      <c:pt idx="2487">
                        <c:v>30</c:v>
                      </c:pt>
                      <c:pt idx="2488">
                        <c:v>30</c:v>
                      </c:pt>
                      <c:pt idx="2489">
                        <c:v>30</c:v>
                      </c:pt>
                      <c:pt idx="2490">
                        <c:v>30</c:v>
                      </c:pt>
                      <c:pt idx="2491">
                        <c:v>30</c:v>
                      </c:pt>
                      <c:pt idx="2586">
                        <c:v>31</c:v>
                      </c:pt>
                      <c:pt idx="2587">
                        <c:v>31</c:v>
                      </c:pt>
                      <c:pt idx="2588">
                        <c:v>31</c:v>
                      </c:pt>
                      <c:pt idx="2589">
                        <c:v>31</c:v>
                      </c:pt>
                      <c:pt idx="2590">
                        <c:v>31</c:v>
                      </c:pt>
                      <c:pt idx="2591">
                        <c:v>31</c:v>
                      </c:pt>
                      <c:pt idx="2592">
                        <c:v>31</c:v>
                      </c:pt>
                      <c:pt idx="2593">
                        <c:v>31</c:v>
                      </c:pt>
                      <c:pt idx="2594">
                        <c:v>31</c:v>
                      </c:pt>
                      <c:pt idx="2595">
                        <c:v>31</c:v>
                      </c:pt>
                      <c:pt idx="2596">
                        <c:v>31</c:v>
                      </c:pt>
                      <c:pt idx="2597">
                        <c:v>31</c:v>
                      </c:pt>
                      <c:pt idx="2638">
                        <c:v>32</c:v>
                      </c:pt>
                      <c:pt idx="2639">
                        <c:v>32</c:v>
                      </c:pt>
                      <c:pt idx="2640">
                        <c:v>32</c:v>
                      </c:pt>
                      <c:pt idx="2641">
                        <c:v>32</c:v>
                      </c:pt>
                      <c:pt idx="2642">
                        <c:v>32</c:v>
                      </c:pt>
                      <c:pt idx="2643">
                        <c:v>32</c:v>
                      </c:pt>
                      <c:pt idx="2644">
                        <c:v>32</c:v>
                      </c:pt>
                      <c:pt idx="2645">
                        <c:v>32</c:v>
                      </c:pt>
                      <c:pt idx="2646">
                        <c:v>32</c:v>
                      </c:pt>
                      <c:pt idx="2647">
                        <c:v>32</c:v>
                      </c:pt>
                      <c:pt idx="2648">
                        <c:v>32</c:v>
                      </c:pt>
                      <c:pt idx="2649">
                        <c:v>32</c:v>
                      </c:pt>
                      <c:pt idx="2650">
                        <c:v>32</c:v>
                      </c:pt>
                      <c:pt idx="2651">
                        <c:v>32</c:v>
                      </c:pt>
                      <c:pt idx="2652">
                        <c:v>32</c:v>
                      </c:pt>
                      <c:pt idx="2653">
                        <c:v>32</c:v>
                      </c:pt>
                      <c:pt idx="2654">
                        <c:v>32</c:v>
                      </c:pt>
                      <c:pt idx="2655">
                        <c:v>32</c:v>
                      </c:pt>
                      <c:pt idx="2656">
                        <c:v>32</c:v>
                      </c:pt>
                      <c:pt idx="2657">
                        <c:v>32</c:v>
                      </c:pt>
                      <c:pt idx="2658">
                        <c:v>32</c:v>
                      </c:pt>
                      <c:pt idx="2659">
                        <c:v>32</c:v>
                      </c:pt>
                      <c:pt idx="2660">
                        <c:v>32</c:v>
                      </c:pt>
                      <c:pt idx="2661">
                        <c:v>32</c:v>
                      </c:pt>
                      <c:pt idx="2662">
                        <c:v>32</c:v>
                      </c:pt>
                      <c:pt idx="2663">
                        <c:v>32</c:v>
                      </c:pt>
                      <c:pt idx="2664">
                        <c:v>32</c:v>
                      </c:pt>
                      <c:pt idx="2665">
                        <c:v>32</c:v>
                      </c:pt>
                      <c:pt idx="2666">
                        <c:v>32</c:v>
                      </c:pt>
                      <c:pt idx="2667">
                        <c:v>32</c:v>
                      </c:pt>
                      <c:pt idx="2668">
                        <c:v>32</c:v>
                      </c:pt>
                      <c:pt idx="2669">
                        <c:v>32</c:v>
                      </c:pt>
                      <c:pt idx="2670">
                        <c:v>32</c:v>
                      </c:pt>
                      <c:pt idx="2671">
                        <c:v>32</c:v>
                      </c:pt>
                      <c:pt idx="2672">
                        <c:v>32</c:v>
                      </c:pt>
                      <c:pt idx="2673">
                        <c:v>32</c:v>
                      </c:pt>
                      <c:pt idx="2674">
                        <c:v>32</c:v>
                      </c:pt>
                      <c:pt idx="2675">
                        <c:v>32</c:v>
                      </c:pt>
                      <c:pt idx="2676">
                        <c:v>32</c:v>
                      </c:pt>
                      <c:pt idx="2677">
                        <c:v>32</c:v>
                      </c:pt>
                      <c:pt idx="2678">
                        <c:v>32</c:v>
                      </c:pt>
                      <c:pt idx="2679">
                        <c:v>32</c:v>
                      </c:pt>
                      <c:pt idx="2680">
                        <c:v>32</c:v>
                      </c:pt>
                      <c:pt idx="2681">
                        <c:v>32</c:v>
                      </c:pt>
                      <c:pt idx="2682">
                        <c:v>32</c:v>
                      </c:pt>
                      <c:pt idx="2683">
                        <c:v>32</c:v>
                      </c:pt>
                      <c:pt idx="2684">
                        <c:v>32</c:v>
                      </c:pt>
                      <c:pt idx="2685">
                        <c:v>32</c:v>
                      </c:pt>
                      <c:pt idx="2686">
                        <c:v>32</c:v>
                      </c:pt>
                      <c:pt idx="2687">
                        <c:v>32</c:v>
                      </c:pt>
                      <c:pt idx="2688">
                        <c:v>32</c:v>
                      </c:pt>
                      <c:pt idx="2689">
                        <c:v>32</c:v>
                      </c:pt>
                      <c:pt idx="2690">
                        <c:v>32</c:v>
                      </c:pt>
                      <c:pt idx="2691">
                        <c:v>32</c:v>
                      </c:pt>
                      <c:pt idx="2692">
                        <c:v>32</c:v>
                      </c:pt>
                      <c:pt idx="2693">
                        <c:v>32</c:v>
                      </c:pt>
                      <c:pt idx="2694">
                        <c:v>32</c:v>
                      </c:pt>
                      <c:pt idx="2695">
                        <c:v>32</c:v>
                      </c:pt>
                      <c:pt idx="2696">
                        <c:v>32</c:v>
                      </c:pt>
                      <c:pt idx="2697">
                        <c:v>32</c:v>
                      </c:pt>
                      <c:pt idx="2698">
                        <c:v>32</c:v>
                      </c:pt>
                      <c:pt idx="2699">
                        <c:v>32</c:v>
                      </c:pt>
                      <c:pt idx="2716">
                        <c:v>33</c:v>
                      </c:pt>
                      <c:pt idx="2717">
                        <c:v>33</c:v>
                      </c:pt>
                      <c:pt idx="2718">
                        <c:v>33</c:v>
                      </c:pt>
                      <c:pt idx="2719">
                        <c:v>33</c:v>
                      </c:pt>
                      <c:pt idx="2720">
                        <c:v>33</c:v>
                      </c:pt>
                      <c:pt idx="2721">
                        <c:v>33</c:v>
                      </c:pt>
                      <c:pt idx="2722">
                        <c:v>33</c:v>
                      </c:pt>
                      <c:pt idx="2723">
                        <c:v>33</c:v>
                      </c:pt>
                      <c:pt idx="2724">
                        <c:v>33</c:v>
                      </c:pt>
                      <c:pt idx="2785">
                        <c:v>34</c:v>
                      </c:pt>
                      <c:pt idx="2786">
                        <c:v>34</c:v>
                      </c:pt>
                      <c:pt idx="2787">
                        <c:v>34</c:v>
                      </c:pt>
                      <c:pt idx="2788">
                        <c:v>34</c:v>
                      </c:pt>
                      <c:pt idx="2789">
                        <c:v>34</c:v>
                      </c:pt>
                      <c:pt idx="2790">
                        <c:v>34</c:v>
                      </c:pt>
                      <c:pt idx="2791">
                        <c:v>34</c:v>
                      </c:pt>
                      <c:pt idx="2792">
                        <c:v>34</c:v>
                      </c:pt>
                      <c:pt idx="2793">
                        <c:v>34</c:v>
                      </c:pt>
                      <c:pt idx="2794">
                        <c:v>34</c:v>
                      </c:pt>
                      <c:pt idx="2795">
                        <c:v>34</c:v>
                      </c:pt>
                      <c:pt idx="2796">
                        <c:v>34</c:v>
                      </c:pt>
                      <c:pt idx="2797">
                        <c:v>34</c:v>
                      </c:pt>
                      <c:pt idx="2798">
                        <c:v>34</c:v>
                      </c:pt>
                      <c:pt idx="2799">
                        <c:v>34</c:v>
                      </c:pt>
                      <c:pt idx="2800">
                        <c:v>34</c:v>
                      </c:pt>
                      <c:pt idx="2801">
                        <c:v>34</c:v>
                      </c:pt>
                      <c:pt idx="2802">
                        <c:v>34</c:v>
                      </c:pt>
                      <c:pt idx="2819">
                        <c:v>35</c:v>
                      </c:pt>
                      <c:pt idx="2820">
                        <c:v>35</c:v>
                      </c:pt>
                      <c:pt idx="2821">
                        <c:v>35</c:v>
                      </c:pt>
                      <c:pt idx="2822">
                        <c:v>35</c:v>
                      </c:pt>
                      <c:pt idx="2823">
                        <c:v>35</c:v>
                      </c:pt>
                      <c:pt idx="2824">
                        <c:v>35</c:v>
                      </c:pt>
                      <c:pt idx="2825">
                        <c:v>35</c:v>
                      </c:pt>
                      <c:pt idx="2826">
                        <c:v>35</c:v>
                      </c:pt>
                      <c:pt idx="2827">
                        <c:v>35</c:v>
                      </c:pt>
                      <c:pt idx="2828">
                        <c:v>35</c:v>
                      </c:pt>
                      <c:pt idx="2829">
                        <c:v>35</c:v>
                      </c:pt>
                      <c:pt idx="2830">
                        <c:v>35</c:v>
                      </c:pt>
                      <c:pt idx="2831">
                        <c:v>35</c:v>
                      </c:pt>
                      <c:pt idx="2832">
                        <c:v>35</c:v>
                      </c:pt>
                      <c:pt idx="2833">
                        <c:v>35</c:v>
                      </c:pt>
                      <c:pt idx="2834">
                        <c:v>35</c:v>
                      </c:pt>
                      <c:pt idx="2835">
                        <c:v>35</c:v>
                      </c:pt>
                      <c:pt idx="2836">
                        <c:v>35</c:v>
                      </c:pt>
                      <c:pt idx="2837">
                        <c:v>35</c:v>
                      </c:pt>
                      <c:pt idx="2838">
                        <c:v>35</c:v>
                      </c:pt>
                      <c:pt idx="2839">
                        <c:v>35</c:v>
                      </c:pt>
                      <c:pt idx="2840">
                        <c:v>35</c:v>
                      </c:pt>
                      <c:pt idx="2841">
                        <c:v>35</c:v>
                      </c:pt>
                      <c:pt idx="2842">
                        <c:v>35</c:v>
                      </c:pt>
                      <c:pt idx="2843">
                        <c:v>35</c:v>
                      </c:pt>
                      <c:pt idx="2844">
                        <c:v>35</c:v>
                      </c:pt>
                      <c:pt idx="2845">
                        <c:v>35</c:v>
                      </c:pt>
                      <c:pt idx="2846">
                        <c:v>35</c:v>
                      </c:pt>
                      <c:pt idx="2847">
                        <c:v>35</c:v>
                      </c:pt>
                      <c:pt idx="2848">
                        <c:v>35</c:v>
                      </c:pt>
                      <c:pt idx="2849">
                        <c:v>35</c:v>
                      </c:pt>
                      <c:pt idx="2850">
                        <c:v>35</c:v>
                      </c:pt>
                      <c:pt idx="2851">
                        <c:v>35</c:v>
                      </c:pt>
                      <c:pt idx="2852">
                        <c:v>35</c:v>
                      </c:pt>
                      <c:pt idx="2853">
                        <c:v>35</c:v>
                      </c:pt>
                      <c:pt idx="2854">
                        <c:v>35</c:v>
                      </c:pt>
                      <c:pt idx="2855">
                        <c:v>35</c:v>
                      </c:pt>
                      <c:pt idx="2856">
                        <c:v>35</c:v>
                      </c:pt>
                      <c:pt idx="2857">
                        <c:v>35</c:v>
                      </c:pt>
                      <c:pt idx="2858">
                        <c:v>35</c:v>
                      </c:pt>
                      <c:pt idx="2859">
                        <c:v>35</c:v>
                      </c:pt>
                      <c:pt idx="2860">
                        <c:v>35</c:v>
                      </c:pt>
                      <c:pt idx="2893">
                        <c:v>36</c:v>
                      </c:pt>
                      <c:pt idx="2894">
                        <c:v>36</c:v>
                      </c:pt>
                      <c:pt idx="2895">
                        <c:v>36</c:v>
                      </c:pt>
                      <c:pt idx="2896">
                        <c:v>36</c:v>
                      </c:pt>
                      <c:pt idx="2897">
                        <c:v>36</c:v>
                      </c:pt>
                      <c:pt idx="2898">
                        <c:v>36</c:v>
                      </c:pt>
                      <c:pt idx="2899">
                        <c:v>36</c:v>
                      </c:pt>
                      <c:pt idx="2900">
                        <c:v>36</c:v>
                      </c:pt>
                      <c:pt idx="2901">
                        <c:v>36</c:v>
                      </c:pt>
                      <c:pt idx="2902">
                        <c:v>36</c:v>
                      </c:pt>
                      <c:pt idx="2903">
                        <c:v>36</c:v>
                      </c:pt>
                      <c:pt idx="2904">
                        <c:v>36</c:v>
                      </c:pt>
                      <c:pt idx="2905">
                        <c:v>36</c:v>
                      </c:pt>
                      <c:pt idx="2906">
                        <c:v>36</c:v>
                      </c:pt>
                      <c:pt idx="2907">
                        <c:v>36</c:v>
                      </c:pt>
                      <c:pt idx="2908">
                        <c:v>36</c:v>
                      </c:pt>
                      <c:pt idx="2926">
                        <c:v>37</c:v>
                      </c:pt>
                      <c:pt idx="2927">
                        <c:v>37</c:v>
                      </c:pt>
                      <c:pt idx="2928">
                        <c:v>37</c:v>
                      </c:pt>
                      <c:pt idx="2929">
                        <c:v>37</c:v>
                      </c:pt>
                      <c:pt idx="2930">
                        <c:v>37</c:v>
                      </c:pt>
                      <c:pt idx="2931">
                        <c:v>37</c:v>
                      </c:pt>
                      <c:pt idx="2932">
                        <c:v>37</c:v>
                      </c:pt>
                      <c:pt idx="2933">
                        <c:v>37</c:v>
                      </c:pt>
                      <c:pt idx="2934">
                        <c:v>37</c:v>
                      </c:pt>
                      <c:pt idx="2935">
                        <c:v>37</c:v>
                      </c:pt>
                      <c:pt idx="2936">
                        <c:v>37</c:v>
                      </c:pt>
                      <c:pt idx="2937">
                        <c:v>37</c:v>
                      </c:pt>
                      <c:pt idx="2938">
                        <c:v>37</c:v>
                      </c:pt>
                      <c:pt idx="2939">
                        <c:v>37</c:v>
                      </c:pt>
                      <c:pt idx="2940">
                        <c:v>37</c:v>
                      </c:pt>
                      <c:pt idx="2941">
                        <c:v>37</c:v>
                      </c:pt>
                      <c:pt idx="2942">
                        <c:v>37</c:v>
                      </c:pt>
                      <c:pt idx="2943">
                        <c:v>37</c:v>
                      </c:pt>
                      <c:pt idx="2944">
                        <c:v>37</c:v>
                      </c:pt>
                      <c:pt idx="2945">
                        <c:v>37</c:v>
                      </c:pt>
                      <c:pt idx="2946">
                        <c:v>37</c:v>
                      </c:pt>
                      <c:pt idx="2947">
                        <c:v>37</c:v>
                      </c:pt>
                      <c:pt idx="2948">
                        <c:v>37</c:v>
                      </c:pt>
                      <c:pt idx="2999">
                        <c:v>38</c:v>
                      </c:pt>
                      <c:pt idx="3000">
                        <c:v>38</c:v>
                      </c:pt>
                      <c:pt idx="3001">
                        <c:v>38</c:v>
                      </c:pt>
                      <c:pt idx="3002">
                        <c:v>38</c:v>
                      </c:pt>
                      <c:pt idx="3003">
                        <c:v>38</c:v>
                      </c:pt>
                      <c:pt idx="3004">
                        <c:v>38</c:v>
                      </c:pt>
                      <c:pt idx="3005">
                        <c:v>38</c:v>
                      </c:pt>
                      <c:pt idx="3006">
                        <c:v>38</c:v>
                      </c:pt>
                      <c:pt idx="3007">
                        <c:v>38</c:v>
                      </c:pt>
                      <c:pt idx="3008">
                        <c:v>38</c:v>
                      </c:pt>
                      <c:pt idx="3009">
                        <c:v>38</c:v>
                      </c:pt>
                      <c:pt idx="3010">
                        <c:v>38</c:v>
                      </c:pt>
                      <c:pt idx="3011">
                        <c:v>38</c:v>
                      </c:pt>
                      <c:pt idx="3012">
                        <c:v>38</c:v>
                      </c:pt>
                      <c:pt idx="3013">
                        <c:v>38</c:v>
                      </c:pt>
                      <c:pt idx="3014">
                        <c:v>38</c:v>
                      </c:pt>
                      <c:pt idx="3015">
                        <c:v>38</c:v>
                      </c:pt>
                      <c:pt idx="3016">
                        <c:v>38</c:v>
                      </c:pt>
                      <c:pt idx="3017">
                        <c:v>38</c:v>
                      </c:pt>
                      <c:pt idx="3018">
                        <c:v>38</c:v>
                      </c:pt>
                      <c:pt idx="3019">
                        <c:v>38</c:v>
                      </c:pt>
                      <c:pt idx="3020">
                        <c:v>38</c:v>
                      </c:pt>
                      <c:pt idx="3021">
                        <c:v>38</c:v>
                      </c:pt>
                      <c:pt idx="3022">
                        <c:v>38</c:v>
                      </c:pt>
                      <c:pt idx="3023">
                        <c:v>38</c:v>
                      </c:pt>
                      <c:pt idx="3024">
                        <c:v>38</c:v>
                      </c:pt>
                      <c:pt idx="3025">
                        <c:v>38</c:v>
                      </c:pt>
                      <c:pt idx="3026">
                        <c:v>38</c:v>
                      </c:pt>
                      <c:pt idx="3027">
                        <c:v>38</c:v>
                      </c:pt>
                      <c:pt idx="3028">
                        <c:v>38</c:v>
                      </c:pt>
                      <c:pt idx="3029">
                        <c:v>38</c:v>
                      </c:pt>
                      <c:pt idx="3030">
                        <c:v>38</c:v>
                      </c:pt>
                      <c:pt idx="3031">
                        <c:v>38</c:v>
                      </c:pt>
                      <c:pt idx="3032">
                        <c:v>38</c:v>
                      </c:pt>
                      <c:pt idx="3033">
                        <c:v>38</c:v>
                      </c:pt>
                      <c:pt idx="3034">
                        <c:v>38</c:v>
                      </c:pt>
                      <c:pt idx="3035">
                        <c:v>38</c:v>
                      </c:pt>
                      <c:pt idx="3036">
                        <c:v>38</c:v>
                      </c:pt>
                      <c:pt idx="3037">
                        <c:v>38</c:v>
                      </c:pt>
                      <c:pt idx="3038">
                        <c:v>38</c:v>
                      </c:pt>
                      <c:pt idx="3039">
                        <c:v>38</c:v>
                      </c:pt>
                      <c:pt idx="3040">
                        <c:v>38</c:v>
                      </c:pt>
                      <c:pt idx="3041">
                        <c:v>38</c:v>
                      </c:pt>
                      <c:pt idx="3042">
                        <c:v>38</c:v>
                      </c:pt>
                      <c:pt idx="3043">
                        <c:v>38</c:v>
                      </c:pt>
                      <c:pt idx="3044">
                        <c:v>38</c:v>
                      </c:pt>
                      <c:pt idx="3045">
                        <c:v>38</c:v>
                      </c:pt>
                      <c:pt idx="3046">
                        <c:v>38</c:v>
                      </c:pt>
                      <c:pt idx="3047">
                        <c:v>38</c:v>
                      </c:pt>
                      <c:pt idx="3048">
                        <c:v>38</c:v>
                      </c:pt>
                      <c:pt idx="3049">
                        <c:v>38</c:v>
                      </c:pt>
                      <c:pt idx="3050">
                        <c:v>38</c:v>
                      </c:pt>
                      <c:pt idx="3051">
                        <c:v>38</c:v>
                      </c:pt>
                      <c:pt idx="3052">
                        <c:v>38</c:v>
                      </c:pt>
                      <c:pt idx="3053">
                        <c:v>38</c:v>
                      </c:pt>
                      <c:pt idx="3054">
                        <c:v>38</c:v>
                      </c:pt>
                      <c:pt idx="3055">
                        <c:v>38</c:v>
                      </c:pt>
                      <c:pt idx="3056">
                        <c:v>38</c:v>
                      </c:pt>
                      <c:pt idx="3073">
                        <c:v>39</c:v>
                      </c:pt>
                      <c:pt idx="3074">
                        <c:v>39</c:v>
                      </c:pt>
                      <c:pt idx="3075">
                        <c:v>39</c:v>
                      </c:pt>
                      <c:pt idx="3076">
                        <c:v>39</c:v>
                      </c:pt>
                      <c:pt idx="3077">
                        <c:v>39</c:v>
                      </c:pt>
                      <c:pt idx="3078">
                        <c:v>39</c:v>
                      </c:pt>
                      <c:pt idx="3079">
                        <c:v>39</c:v>
                      </c:pt>
                      <c:pt idx="3080">
                        <c:v>39</c:v>
                      </c:pt>
                      <c:pt idx="3081">
                        <c:v>39</c:v>
                      </c:pt>
                      <c:pt idx="3082">
                        <c:v>39</c:v>
                      </c:pt>
                      <c:pt idx="3083">
                        <c:v>39</c:v>
                      </c:pt>
                      <c:pt idx="3084">
                        <c:v>39</c:v>
                      </c:pt>
                      <c:pt idx="3085">
                        <c:v>39</c:v>
                      </c:pt>
                      <c:pt idx="3086">
                        <c:v>39</c:v>
                      </c:pt>
                      <c:pt idx="3087">
                        <c:v>39</c:v>
                      </c:pt>
                      <c:pt idx="3088">
                        <c:v>39</c:v>
                      </c:pt>
                      <c:pt idx="3151">
                        <c:v>40</c:v>
                      </c:pt>
                      <c:pt idx="3152">
                        <c:v>40</c:v>
                      </c:pt>
                      <c:pt idx="3153">
                        <c:v>40</c:v>
                      </c:pt>
                      <c:pt idx="3154">
                        <c:v>40</c:v>
                      </c:pt>
                      <c:pt idx="3155">
                        <c:v>40</c:v>
                      </c:pt>
                      <c:pt idx="3167">
                        <c:v>41</c:v>
                      </c:pt>
                      <c:pt idx="3168">
                        <c:v>41</c:v>
                      </c:pt>
                      <c:pt idx="3169">
                        <c:v>41</c:v>
                      </c:pt>
                      <c:pt idx="3170">
                        <c:v>41</c:v>
                      </c:pt>
                      <c:pt idx="3171">
                        <c:v>41</c:v>
                      </c:pt>
                      <c:pt idx="3172">
                        <c:v>41</c:v>
                      </c:pt>
                      <c:pt idx="3173">
                        <c:v>41</c:v>
                      </c:pt>
                      <c:pt idx="3174">
                        <c:v>41</c:v>
                      </c:pt>
                      <c:pt idx="3175">
                        <c:v>41</c:v>
                      </c:pt>
                      <c:pt idx="3176">
                        <c:v>41</c:v>
                      </c:pt>
                      <c:pt idx="3177">
                        <c:v>41</c:v>
                      </c:pt>
                      <c:pt idx="3178">
                        <c:v>41</c:v>
                      </c:pt>
                      <c:pt idx="3179">
                        <c:v>41</c:v>
                      </c:pt>
                      <c:pt idx="3180">
                        <c:v>41</c:v>
                      </c:pt>
                      <c:pt idx="3181">
                        <c:v>41</c:v>
                      </c:pt>
                      <c:pt idx="3182">
                        <c:v>41</c:v>
                      </c:pt>
                      <c:pt idx="3183">
                        <c:v>41</c:v>
                      </c:pt>
                      <c:pt idx="3184">
                        <c:v>41</c:v>
                      </c:pt>
                      <c:pt idx="3198">
                        <c:v>42</c:v>
                      </c:pt>
                      <c:pt idx="3199">
                        <c:v>42</c:v>
                      </c:pt>
                      <c:pt idx="3200">
                        <c:v>42</c:v>
                      </c:pt>
                      <c:pt idx="3201">
                        <c:v>42</c:v>
                      </c:pt>
                      <c:pt idx="3202">
                        <c:v>42</c:v>
                      </c:pt>
                      <c:pt idx="3203">
                        <c:v>42</c:v>
                      </c:pt>
                      <c:pt idx="3204">
                        <c:v>42</c:v>
                      </c:pt>
                      <c:pt idx="3205">
                        <c:v>42</c:v>
                      </c:pt>
                      <c:pt idx="3206">
                        <c:v>42</c:v>
                      </c:pt>
                      <c:pt idx="3207">
                        <c:v>42</c:v>
                      </c:pt>
                      <c:pt idx="3208">
                        <c:v>42</c:v>
                      </c:pt>
                      <c:pt idx="3209">
                        <c:v>42</c:v>
                      </c:pt>
                      <c:pt idx="3210">
                        <c:v>42</c:v>
                      </c:pt>
                      <c:pt idx="3211">
                        <c:v>42</c:v>
                      </c:pt>
                      <c:pt idx="3212">
                        <c:v>42</c:v>
                      </c:pt>
                      <c:pt idx="3213">
                        <c:v>42</c:v>
                      </c:pt>
                      <c:pt idx="3214">
                        <c:v>42</c:v>
                      </c:pt>
                      <c:pt idx="3215">
                        <c:v>42</c:v>
                      </c:pt>
                      <c:pt idx="3216">
                        <c:v>42</c:v>
                      </c:pt>
                      <c:pt idx="3217">
                        <c:v>42</c:v>
                      </c:pt>
                      <c:pt idx="3218">
                        <c:v>42</c:v>
                      </c:pt>
                      <c:pt idx="3219">
                        <c:v>42</c:v>
                      </c:pt>
                      <c:pt idx="3220">
                        <c:v>42</c:v>
                      </c:pt>
                      <c:pt idx="3221">
                        <c:v>42</c:v>
                      </c:pt>
                      <c:pt idx="3222">
                        <c:v>42</c:v>
                      </c:pt>
                      <c:pt idx="3223">
                        <c:v>42</c:v>
                      </c:pt>
                      <c:pt idx="3224">
                        <c:v>42</c:v>
                      </c:pt>
                      <c:pt idx="3225">
                        <c:v>42</c:v>
                      </c:pt>
                      <c:pt idx="3226">
                        <c:v>42</c:v>
                      </c:pt>
                      <c:pt idx="3227">
                        <c:v>42</c:v>
                      </c:pt>
                      <c:pt idx="3228">
                        <c:v>42</c:v>
                      </c:pt>
                      <c:pt idx="3229">
                        <c:v>42</c:v>
                      </c:pt>
                      <c:pt idx="3230">
                        <c:v>42</c:v>
                      </c:pt>
                      <c:pt idx="3231">
                        <c:v>42</c:v>
                      </c:pt>
                      <c:pt idx="3232">
                        <c:v>42</c:v>
                      </c:pt>
                      <c:pt idx="3233">
                        <c:v>42</c:v>
                      </c:pt>
                      <c:pt idx="3234">
                        <c:v>42</c:v>
                      </c:pt>
                      <c:pt idx="3235">
                        <c:v>42</c:v>
                      </c:pt>
                      <c:pt idx="3236">
                        <c:v>42</c:v>
                      </c:pt>
                      <c:pt idx="3237">
                        <c:v>42</c:v>
                      </c:pt>
                      <c:pt idx="3238">
                        <c:v>42</c:v>
                      </c:pt>
                      <c:pt idx="3239">
                        <c:v>42</c:v>
                      </c:pt>
                      <c:pt idx="3240">
                        <c:v>42</c:v>
                      </c:pt>
                      <c:pt idx="3241">
                        <c:v>42</c:v>
                      </c:pt>
                      <c:pt idx="3242">
                        <c:v>42</c:v>
                      </c:pt>
                      <c:pt idx="3243">
                        <c:v>42</c:v>
                      </c:pt>
                      <c:pt idx="3244">
                        <c:v>42</c:v>
                      </c:pt>
                      <c:pt idx="3245">
                        <c:v>42</c:v>
                      </c:pt>
                      <c:pt idx="3246">
                        <c:v>42</c:v>
                      </c:pt>
                      <c:pt idx="3247">
                        <c:v>42</c:v>
                      </c:pt>
                      <c:pt idx="3248">
                        <c:v>42</c:v>
                      </c:pt>
                      <c:pt idx="3249">
                        <c:v>42</c:v>
                      </c:pt>
                      <c:pt idx="3250">
                        <c:v>42</c:v>
                      </c:pt>
                      <c:pt idx="3251">
                        <c:v>42</c:v>
                      </c:pt>
                      <c:pt idx="3252">
                        <c:v>42</c:v>
                      </c:pt>
                      <c:pt idx="3253">
                        <c:v>42</c:v>
                      </c:pt>
                      <c:pt idx="3254">
                        <c:v>42</c:v>
                      </c:pt>
                      <c:pt idx="3255">
                        <c:v>42</c:v>
                      </c:pt>
                      <c:pt idx="3256">
                        <c:v>42</c:v>
                      </c:pt>
                      <c:pt idx="3257">
                        <c:v>42</c:v>
                      </c:pt>
                      <c:pt idx="3284">
                        <c:v>43</c:v>
                      </c:pt>
                      <c:pt idx="3285">
                        <c:v>43</c:v>
                      </c:pt>
                      <c:pt idx="3286">
                        <c:v>43</c:v>
                      </c:pt>
                      <c:pt idx="3287">
                        <c:v>43</c:v>
                      </c:pt>
                      <c:pt idx="3288">
                        <c:v>43</c:v>
                      </c:pt>
                      <c:pt idx="3289">
                        <c:v>43</c:v>
                      </c:pt>
                      <c:pt idx="3290">
                        <c:v>43</c:v>
                      </c:pt>
                      <c:pt idx="3291">
                        <c:v>43</c:v>
                      </c:pt>
                      <c:pt idx="3292">
                        <c:v>43</c:v>
                      </c:pt>
                      <c:pt idx="3293">
                        <c:v>43</c:v>
                      </c:pt>
                      <c:pt idx="3294">
                        <c:v>43</c:v>
                      </c:pt>
                      <c:pt idx="3295">
                        <c:v>43</c:v>
                      </c:pt>
                      <c:pt idx="3296">
                        <c:v>43</c:v>
                      </c:pt>
                      <c:pt idx="3297">
                        <c:v>43</c:v>
                      </c:pt>
                      <c:pt idx="3298">
                        <c:v>43</c:v>
                      </c:pt>
                      <c:pt idx="3299">
                        <c:v>43</c:v>
                      </c:pt>
                      <c:pt idx="3300">
                        <c:v>43</c:v>
                      </c:pt>
                      <c:pt idx="3301">
                        <c:v>43</c:v>
                      </c:pt>
                      <c:pt idx="3302">
                        <c:v>43</c:v>
                      </c:pt>
                      <c:pt idx="3303">
                        <c:v>43</c:v>
                      </c:pt>
                      <c:pt idx="3304">
                        <c:v>43</c:v>
                      </c:pt>
                      <c:pt idx="3305">
                        <c:v>43</c:v>
                      </c:pt>
                      <c:pt idx="3306">
                        <c:v>43</c:v>
                      </c:pt>
                      <c:pt idx="3307">
                        <c:v>43</c:v>
                      </c:pt>
                      <c:pt idx="3308">
                        <c:v>43</c:v>
                      </c:pt>
                      <c:pt idx="3309">
                        <c:v>43</c:v>
                      </c:pt>
                      <c:pt idx="3310">
                        <c:v>43</c:v>
                      </c:pt>
                      <c:pt idx="3311">
                        <c:v>43</c:v>
                      </c:pt>
                      <c:pt idx="3312">
                        <c:v>43</c:v>
                      </c:pt>
                      <c:pt idx="3313">
                        <c:v>43</c:v>
                      </c:pt>
                      <c:pt idx="3314">
                        <c:v>43</c:v>
                      </c:pt>
                      <c:pt idx="3315">
                        <c:v>43</c:v>
                      </c:pt>
                      <c:pt idx="3363">
                        <c:v>44</c:v>
                      </c:pt>
                      <c:pt idx="3364">
                        <c:v>44</c:v>
                      </c:pt>
                      <c:pt idx="3365">
                        <c:v>44</c:v>
                      </c:pt>
                      <c:pt idx="3366">
                        <c:v>44</c:v>
                      </c:pt>
                      <c:pt idx="3367">
                        <c:v>44</c:v>
                      </c:pt>
                      <c:pt idx="3368">
                        <c:v>44</c:v>
                      </c:pt>
                      <c:pt idx="3369">
                        <c:v>44</c:v>
                      </c:pt>
                      <c:pt idx="3370">
                        <c:v>44</c:v>
                      </c:pt>
                      <c:pt idx="3371">
                        <c:v>44</c:v>
                      </c:pt>
                      <c:pt idx="3372">
                        <c:v>44</c:v>
                      </c:pt>
                      <c:pt idx="3373">
                        <c:v>44</c:v>
                      </c:pt>
                      <c:pt idx="3374">
                        <c:v>44</c:v>
                      </c:pt>
                      <c:pt idx="3375">
                        <c:v>44</c:v>
                      </c:pt>
                      <c:pt idx="3376">
                        <c:v>44</c:v>
                      </c:pt>
                      <c:pt idx="3377">
                        <c:v>44</c:v>
                      </c:pt>
                      <c:pt idx="3378">
                        <c:v>44</c:v>
                      </c:pt>
                      <c:pt idx="3379">
                        <c:v>44</c:v>
                      </c:pt>
                      <c:pt idx="3380">
                        <c:v>44</c:v>
                      </c:pt>
                      <c:pt idx="3381">
                        <c:v>44</c:v>
                      </c:pt>
                      <c:pt idx="3382">
                        <c:v>44</c:v>
                      </c:pt>
                      <c:pt idx="3383">
                        <c:v>44</c:v>
                      </c:pt>
                      <c:pt idx="3384">
                        <c:v>44</c:v>
                      </c:pt>
                      <c:pt idx="3385">
                        <c:v>44</c:v>
                      </c:pt>
                      <c:pt idx="3386">
                        <c:v>44</c:v>
                      </c:pt>
                      <c:pt idx="3387">
                        <c:v>44</c:v>
                      </c:pt>
                      <c:pt idx="3388">
                        <c:v>44</c:v>
                      </c:pt>
                      <c:pt idx="3389">
                        <c:v>44</c:v>
                      </c:pt>
                      <c:pt idx="3390">
                        <c:v>44</c:v>
                      </c:pt>
                      <c:pt idx="3391">
                        <c:v>44</c:v>
                      </c:pt>
                      <c:pt idx="3392">
                        <c:v>44</c:v>
                      </c:pt>
                      <c:pt idx="3393">
                        <c:v>44</c:v>
                      </c:pt>
                      <c:pt idx="3394">
                        <c:v>44</c:v>
                      </c:pt>
                      <c:pt idx="3395">
                        <c:v>44</c:v>
                      </c:pt>
                      <c:pt idx="3396">
                        <c:v>44</c:v>
                      </c:pt>
                      <c:pt idx="3397">
                        <c:v>44</c:v>
                      </c:pt>
                      <c:pt idx="3398">
                        <c:v>44</c:v>
                      </c:pt>
                      <c:pt idx="3399">
                        <c:v>44</c:v>
                      </c:pt>
                      <c:pt idx="3400">
                        <c:v>44</c:v>
                      </c:pt>
                      <c:pt idx="3401">
                        <c:v>44</c:v>
                      </c:pt>
                      <c:pt idx="3402">
                        <c:v>44</c:v>
                      </c:pt>
                      <c:pt idx="3403">
                        <c:v>44</c:v>
                      </c:pt>
                      <c:pt idx="3404">
                        <c:v>44</c:v>
                      </c:pt>
                      <c:pt idx="3405">
                        <c:v>44</c:v>
                      </c:pt>
                      <c:pt idx="3406">
                        <c:v>44</c:v>
                      </c:pt>
                      <c:pt idx="3407">
                        <c:v>44</c:v>
                      </c:pt>
                      <c:pt idx="3408">
                        <c:v>44</c:v>
                      </c:pt>
                      <c:pt idx="3409">
                        <c:v>44</c:v>
                      </c:pt>
                      <c:pt idx="3410">
                        <c:v>44</c:v>
                      </c:pt>
                      <c:pt idx="3411">
                        <c:v>44</c:v>
                      </c:pt>
                      <c:pt idx="3412">
                        <c:v>44</c:v>
                      </c:pt>
                      <c:pt idx="3425">
                        <c:v>45</c:v>
                      </c:pt>
                      <c:pt idx="3426">
                        <c:v>45</c:v>
                      </c:pt>
                      <c:pt idx="3427">
                        <c:v>45</c:v>
                      </c:pt>
                      <c:pt idx="3428">
                        <c:v>45</c:v>
                      </c:pt>
                      <c:pt idx="3429">
                        <c:v>45</c:v>
                      </c:pt>
                      <c:pt idx="3430">
                        <c:v>45</c:v>
                      </c:pt>
                      <c:pt idx="3431">
                        <c:v>45</c:v>
                      </c:pt>
                      <c:pt idx="3432">
                        <c:v>45</c:v>
                      </c:pt>
                      <c:pt idx="3433">
                        <c:v>45</c:v>
                      </c:pt>
                      <c:pt idx="3434">
                        <c:v>45</c:v>
                      </c:pt>
                      <c:pt idx="3435">
                        <c:v>45</c:v>
                      </c:pt>
                      <c:pt idx="3436">
                        <c:v>45</c:v>
                      </c:pt>
                      <c:pt idx="3437">
                        <c:v>45</c:v>
                      </c:pt>
                      <c:pt idx="3438">
                        <c:v>45</c:v>
                      </c:pt>
                      <c:pt idx="3439">
                        <c:v>45</c:v>
                      </c:pt>
                      <c:pt idx="3440">
                        <c:v>45</c:v>
                      </c:pt>
                      <c:pt idx="3441">
                        <c:v>45</c:v>
                      </c:pt>
                      <c:pt idx="3442">
                        <c:v>45</c:v>
                      </c:pt>
                      <c:pt idx="3443">
                        <c:v>45</c:v>
                      </c:pt>
                      <c:pt idx="3444">
                        <c:v>45</c:v>
                      </c:pt>
                      <c:pt idx="3445">
                        <c:v>45</c:v>
                      </c:pt>
                      <c:pt idx="3446">
                        <c:v>45</c:v>
                      </c:pt>
                      <c:pt idx="3447">
                        <c:v>45</c:v>
                      </c:pt>
                      <c:pt idx="3448">
                        <c:v>45</c:v>
                      </c:pt>
                      <c:pt idx="3449">
                        <c:v>45</c:v>
                      </c:pt>
                      <c:pt idx="3450">
                        <c:v>45</c:v>
                      </c:pt>
                      <c:pt idx="3451">
                        <c:v>45</c:v>
                      </c:pt>
                      <c:pt idx="3452">
                        <c:v>45</c:v>
                      </c:pt>
                      <c:pt idx="3453">
                        <c:v>45</c:v>
                      </c:pt>
                      <c:pt idx="3454">
                        <c:v>45</c:v>
                      </c:pt>
                      <c:pt idx="3455">
                        <c:v>45</c:v>
                      </c:pt>
                      <c:pt idx="3456">
                        <c:v>45</c:v>
                      </c:pt>
                      <c:pt idx="3457">
                        <c:v>45</c:v>
                      </c:pt>
                      <c:pt idx="3458">
                        <c:v>45</c:v>
                      </c:pt>
                      <c:pt idx="3459">
                        <c:v>45</c:v>
                      </c:pt>
                      <c:pt idx="3460">
                        <c:v>45</c:v>
                      </c:pt>
                      <c:pt idx="3461">
                        <c:v>45</c:v>
                      </c:pt>
                      <c:pt idx="3462">
                        <c:v>45</c:v>
                      </c:pt>
                      <c:pt idx="3463">
                        <c:v>45</c:v>
                      </c:pt>
                      <c:pt idx="3464">
                        <c:v>45</c:v>
                      </c:pt>
                      <c:pt idx="3465">
                        <c:v>45</c:v>
                      </c:pt>
                      <c:pt idx="3466">
                        <c:v>45</c:v>
                      </c:pt>
                      <c:pt idx="3467">
                        <c:v>45</c:v>
                      </c:pt>
                      <c:pt idx="3468">
                        <c:v>45</c:v>
                      </c:pt>
                      <c:pt idx="3469">
                        <c:v>45</c:v>
                      </c:pt>
                      <c:pt idx="3475">
                        <c:v>46</c:v>
                      </c:pt>
                      <c:pt idx="3476">
                        <c:v>46</c:v>
                      </c:pt>
                      <c:pt idx="3477">
                        <c:v>46</c:v>
                      </c:pt>
                      <c:pt idx="3478">
                        <c:v>46</c:v>
                      </c:pt>
                      <c:pt idx="3479">
                        <c:v>46</c:v>
                      </c:pt>
                      <c:pt idx="3480">
                        <c:v>46</c:v>
                      </c:pt>
                      <c:pt idx="3481">
                        <c:v>46</c:v>
                      </c:pt>
                      <c:pt idx="3482">
                        <c:v>46</c:v>
                      </c:pt>
                      <c:pt idx="3483">
                        <c:v>46</c:v>
                      </c:pt>
                      <c:pt idx="3484">
                        <c:v>46</c:v>
                      </c:pt>
                      <c:pt idx="3485">
                        <c:v>46</c:v>
                      </c:pt>
                      <c:pt idx="3486">
                        <c:v>46</c:v>
                      </c:pt>
                      <c:pt idx="3487">
                        <c:v>46</c:v>
                      </c:pt>
                      <c:pt idx="3488">
                        <c:v>46</c:v>
                      </c:pt>
                      <c:pt idx="3489">
                        <c:v>46</c:v>
                      </c:pt>
                      <c:pt idx="3490">
                        <c:v>46</c:v>
                      </c:pt>
                      <c:pt idx="3491">
                        <c:v>46</c:v>
                      </c:pt>
                      <c:pt idx="3492">
                        <c:v>46</c:v>
                      </c:pt>
                      <c:pt idx="3493">
                        <c:v>46</c:v>
                      </c:pt>
                      <c:pt idx="3494">
                        <c:v>46</c:v>
                      </c:pt>
                      <c:pt idx="3495">
                        <c:v>46</c:v>
                      </c:pt>
                      <c:pt idx="3496">
                        <c:v>46</c:v>
                      </c:pt>
                      <c:pt idx="3497">
                        <c:v>46</c:v>
                      </c:pt>
                      <c:pt idx="3498">
                        <c:v>46</c:v>
                      </c:pt>
                      <c:pt idx="3499">
                        <c:v>46</c:v>
                      </c:pt>
                      <c:pt idx="3500">
                        <c:v>46</c:v>
                      </c:pt>
                      <c:pt idx="3501">
                        <c:v>46</c:v>
                      </c:pt>
                      <c:pt idx="3502">
                        <c:v>46</c:v>
                      </c:pt>
                      <c:pt idx="3503">
                        <c:v>46</c:v>
                      </c:pt>
                      <c:pt idx="3504">
                        <c:v>46</c:v>
                      </c:pt>
                      <c:pt idx="3505">
                        <c:v>46</c:v>
                      </c:pt>
                      <c:pt idx="3506">
                        <c:v>46</c:v>
                      </c:pt>
                      <c:pt idx="3507">
                        <c:v>46</c:v>
                      </c:pt>
                      <c:pt idx="3508">
                        <c:v>46</c:v>
                      </c:pt>
                      <c:pt idx="3509">
                        <c:v>46</c:v>
                      </c:pt>
                      <c:pt idx="3510">
                        <c:v>46</c:v>
                      </c:pt>
                      <c:pt idx="3511">
                        <c:v>46</c:v>
                      </c:pt>
                      <c:pt idx="3527">
                        <c:v>47</c:v>
                      </c:pt>
                      <c:pt idx="3528">
                        <c:v>47</c:v>
                      </c:pt>
                      <c:pt idx="3529">
                        <c:v>47</c:v>
                      </c:pt>
                      <c:pt idx="3530">
                        <c:v>47</c:v>
                      </c:pt>
                      <c:pt idx="3531">
                        <c:v>47</c:v>
                      </c:pt>
                      <c:pt idx="3532">
                        <c:v>47</c:v>
                      </c:pt>
                      <c:pt idx="3533">
                        <c:v>47</c:v>
                      </c:pt>
                      <c:pt idx="3534">
                        <c:v>47</c:v>
                      </c:pt>
                      <c:pt idx="3535">
                        <c:v>47</c:v>
                      </c:pt>
                      <c:pt idx="3536">
                        <c:v>47</c:v>
                      </c:pt>
                      <c:pt idx="3537">
                        <c:v>47</c:v>
                      </c:pt>
                      <c:pt idx="3538">
                        <c:v>47</c:v>
                      </c:pt>
                      <c:pt idx="3539">
                        <c:v>47</c:v>
                      </c:pt>
                      <c:pt idx="3540">
                        <c:v>47</c:v>
                      </c:pt>
                      <c:pt idx="3541">
                        <c:v>47</c:v>
                      </c:pt>
                      <c:pt idx="3542">
                        <c:v>47</c:v>
                      </c:pt>
                      <c:pt idx="3543">
                        <c:v>47</c:v>
                      </c:pt>
                      <c:pt idx="3544">
                        <c:v>47</c:v>
                      </c:pt>
                      <c:pt idx="3545">
                        <c:v>47</c:v>
                      </c:pt>
                      <c:pt idx="3546">
                        <c:v>47</c:v>
                      </c:pt>
                      <c:pt idx="3547">
                        <c:v>47</c:v>
                      </c:pt>
                      <c:pt idx="3548">
                        <c:v>47</c:v>
                      </c:pt>
                      <c:pt idx="3549">
                        <c:v>47</c:v>
                      </c:pt>
                      <c:pt idx="3550">
                        <c:v>47</c:v>
                      </c:pt>
                      <c:pt idx="3551">
                        <c:v>47</c:v>
                      </c:pt>
                      <c:pt idx="3552">
                        <c:v>47</c:v>
                      </c:pt>
                      <c:pt idx="3553">
                        <c:v>47</c:v>
                      </c:pt>
                      <c:pt idx="3554">
                        <c:v>47</c:v>
                      </c:pt>
                      <c:pt idx="3555">
                        <c:v>47</c:v>
                      </c:pt>
                      <c:pt idx="3556">
                        <c:v>47</c:v>
                      </c:pt>
                      <c:pt idx="3557">
                        <c:v>47</c:v>
                      </c:pt>
                      <c:pt idx="3558">
                        <c:v>47</c:v>
                      </c:pt>
                      <c:pt idx="3559">
                        <c:v>47</c:v>
                      </c:pt>
                      <c:pt idx="3560">
                        <c:v>47</c:v>
                      </c:pt>
                      <c:pt idx="3561">
                        <c:v>47</c:v>
                      </c:pt>
                      <c:pt idx="3562">
                        <c:v>47</c:v>
                      </c:pt>
                      <c:pt idx="3563">
                        <c:v>47</c:v>
                      </c:pt>
                      <c:pt idx="3564">
                        <c:v>47</c:v>
                      </c:pt>
                      <c:pt idx="3565">
                        <c:v>47</c:v>
                      </c:pt>
                      <c:pt idx="3566">
                        <c:v>47</c:v>
                      </c:pt>
                      <c:pt idx="3567">
                        <c:v>47</c:v>
                      </c:pt>
                      <c:pt idx="3568">
                        <c:v>47</c:v>
                      </c:pt>
                      <c:pt idx="3569">
                        <c:v>47</c:v>
                      </c:pt>
                      <c:pt idx="3570">
                        <c:v>47</c:v>
                      </c:pt>
                      <c:pt idx="3571">
                        <c:v>47</c:v>
                      </c:pt>
                      <c:pt idx="3572">
                        <c:v>47</c:v>
                      </c:pt>
                      <c:pt idx="3573">
                        <c:v>47</c:v>
                      </c:pt>
                      <c:pt idx="3574">
                        <c:v>47</c:v>
                      </c:pt>
                      <c:pt idx="3608">
                        <c:v>48</c:v>
                      </c:pt>
                      <c:pt idx="3609">
                        <c:v>48</c:v>
                      </c:pt>
                      <c:pt idx="3610">
                        <c:v>48</c:v>
                      </c:pt>
                      <c:pt idx="3611">
                        <c:v>48</c:v>
                      </c:pt>
                      <c:pt idx="3612">
                        <c:v>48</c:v>
                      </c:pt>
                      <c:pt idx="3613">
                        <c:v>48</c:v>
                      </c:pt>
                      <c:pt idx="3614">
                        <c:v>48</c:v>
                      </c:pt>
                      <c:pt idx="3615">
                        <c:v>48</c:v>
                      </c:pt>
                      <c:pt idx="3616">
                        <c:v>48</c:v>
                      </c:pt>
                      <c:pt idx="3617">
                        <c:v>48</c:v>
                      </c:pt>
                      <c:pt idx="3618">
                        <c:v>48</c:v>
                      </c:pt>
                      <c:pt idx="3619">
                        <c:v>48</c:v>
                      </c:pt>
                      <c:pt idx="3620">
                        <c:v>48</c:v>
                      </c:pt>
                      <c:pt idx="3621">
                        <c:v>48</c:v>
                      </c:pt>
                      <c:pt idx="3622">
                        <c:v>48</c:v>
                      </c:pt>
                      <c:pt idx="3623">
                        <c:v>48</c:v>
                      </c:pt>
                      <c:pt idx="3624">
                        <c:v>48</c:v>
                      </c:pt>
                      <c:pt idx="3625">
                        <c:v>48</c:v>
                      </c:pt>
                      <c:pt idx="3626">
                        <c:v>48</c:v>
                      </c:pt>
                      <c:pt idx="3627">
                        <c:v>48</c:v>
                      </c:pt>
                      <c:pt idx="3628">
                        <c:v>48</c:v>
                      </c:pt>
                      <c:pt idx="3629">
                        <c:v>48</c:v>
                      </c:pt>
                      <c:pt idx="3630">
                        <c:v>48</c:v>
                      </c:pt>
                      <c:pt idx="3631">
                        <c:v>48</c:v>
                      </c:pt>
                      <c:pt idx="3632">
                        <c:v>48</c:v>
                      </c:pt>
                      <c:pt idx="3639">
                        <c:v>49</c:v>
                      </c:pt>
                      <c:pt idx="3640">
                        <c:v>49</c:v>
                      </c:pt>
                      <c:pt idx="3641">
                        <c:v>49</c:v>
                      </c:pt>
                      <c:pt idx="3642">
                        <c:v>49</c:v>
                      </c:pt>
                      <c:pt idx="3643">
                        <c:v>49</c:v>
                      </c:pt>
                      <c:pt idx="3644">
                        <c:v>49</c:v>
                      </c:pt>
                      <c:pt idx="3645">
                        <c:v>49</c:v>
                      </c:pt>
                      <c:pt idx="3646">
                        <c:v>49</c:v>
                      </c:pt>
                      <c:pt idx="3647">
                        <c:v>49</c:v>
                      </c:pt>
                      <c:pt idx="3648">
                        <c:v>49</c:v>
                      </c:pt>
                      <c:pt idx="3649">
                        <c:v>49</c:v>
                      </c:pt>
                      <c:pt idx="3650">
                        <c:v>49</c:v>
                      </c:pt>
                      <c:pt idx="3651">
                        <c:v>49</c:v>
                      </c:pt>
                      <c:pt idx="3652">
                        <c:v>49</c:v>
                      </c:pt>
                      <c:pt idx="3653">
                        <c:v>49</c:v>
                      </c:pt>
                      <c:pt idx="3654">
                        <c:v>49</c:v>
                      </c:pt>
                      <c:pt idx="3655">
                        <c:v>49</c:v>
                      </c:pt>
                      <c:pt idx="3656">
                        <c:v>49</c:v>
                      </c:pt>
                      <c:pt idx="3657">
                        <c:v>49</c:v>
                      </c:pt>
                      <c:pt idx="3658">
                        <c:v>49</c:v>
                      </c:pt>
                      <c:pt idx="3694">
                        <c:v>50</c:v>
                      </c:pt>
                      <c:pt idx="3695">
                        <c:v>50</c:v>
                      </c:pt>
                      <c:pt idx="3696">
                        <c:v>50</c:v>
                      </c:pt>
                      <c:pt idx="3697">
                        <c:v>50</c:v>
                      </c:pt>
                      <c:pt idx="3698">
                        <c:v>50</c:v>
                      </c:pt>
                      <c:pt idx="3699">
                        <c:v>50</c:v>
                      </c:pt>
                      <c:pt idx="3700">
                        <c:v>50</c:v>
                      </c:pt>
                      <c:pt idx="3701">
                        <c:v>50</c:v>
                      </c:pt>
                      <c:pt idx="3702">
                        <c:v>50</c:v>
                      </c:pt>
                      <c:pt idx="3703">
                        <c:v>50</c:v>
                      </c:pt>
                      <c:pt idx="3704">
                        <c:v>50</c:v>
                      </c:pt>
                      <c:pt idx="3705">
                        <c:v>50</c:v>
                      </c:pt>
                      <c:pt idx="3706">
                        <c:v>50</c:v>
                      </c:pt>
                      <c:pt idx="3707">
                        <c:v>50</c:v>
                      </c:pt>
                      <c:pt idx="3708">
                        <c:v>50</c:v>
                      </c:pt>
                      <c:pt idx="3709">
                        <c:v>50</c:v>
                      </c:pt>
                      <c:pt idx="3710">
                        <c:v>50</c:v>
                      </c:pt>
                      <c:pt idx="3711">
                        <c:v>50</c:v>
                      </c:pt>
                      <c:pt idx="3712">
                        <c:v>50</c:v>
                      </c:pt>
                      <c:pt idx="3713">
                        <c:v>50</c:v>
                      </c:pt>
                      <c:pt idx="3729">
                        <c:v>51</c:v>
                      </c:pt>
                      <c:pt idx="3730">
                        <c:v>51</c:v>
                      </c:pt>
                      <c:pt idx="3731">
                        <c:v>51</c:v>
                      </c:pt>
                      <c:pt idx="3732">
                        <c:v>51</c:v>
                      </c:pt>
                      <c:pt idx="3733">
                        <c:v>51</c:v>
                      </c:pt>
                      <c:pt idx="3734">
                        <c:v>51</c:v>
                      </c:pt>
                      <c:pt idx="3735">
                        <c:v>51</c:v>
                      </c:pt>
                      <c:pt idx="3736">
                        <c:v>51</c:v>
                      </c:pt>
                      <c:pt idx="3737">
                        <c:v>51</c:v>
                      </c:pt>
                      <c:pt idx="3738">
                        <c:v>51</c:v>
                      </c:pt>
                      <c:pt idx="3739">
                        <c:v>51</c:v>
                      </c:pt>
                      <c:pt idx="3740">
                        <c:v>51</c:v>
                      </c:pt>
                      <c:pt idx="3741">
                        <c:v>51</c:v>
                      </c:pt>
                      <c:pt idx="3742">
                        <c:v>51</c:v>
                      </c:pt>
                      <c:pt idx="3814">
                        <c:v>52</c:v>
                      </c:pt>
                      <c:pt idx="3815">
                        <c:v>52</c:v>
                      </c:pt>
                      <c:pt idx="3816">
                        <c:v>52</c:v>
                      </c:pt>
                      <c:pt idx="3817">
                        <c:v>52</c:v>
                      </c:pt>
                      <c:pt idx="3818">
                        <c:v>52</c:v>
                      </c:pt>
                      <c:pt idx="3819">
                        <c:v>52</c:v>
                      </c:pt>
                      <c:pt idx="3820">
                        <c:v>52</c:v>
                      </c:pt>
                      <c:pt idx="3821">
                        <c:v>52</c:v>
                      </c:pt>
                      <c:pt idx="3822">
                        <c:v>52</c:v>
                      </c:pt>
                      <c:pt idx="3823">
                        <c:v>52</c:v>
                      </c:pt>
                      <c:pt idx="3824">
                        <c:v>52</c:v>
                      </c:pt>
                      <c:pt idx="3825">
                        <c:v>52</c:v>
                      </c:pt>
                      <c:pt idx="3826">
                        <c:v>52</c:v>
                      </c:pt>
                      <c:pt idx="3827">
                        <c:v>52</c:v>
                      </c:pt>
                      <c:pt idx="3828">
                        <c:v>52</c:v>
                      </c:pt>
                      <c:pt idx="3829">
                        <c:v>52</c:v>
                      </c:pt>
                      <c:pt idx="3830">
                        <c:v>52</c:v>
                      </c:pt>
                      <c:pt idx="3831">
                        <c:v>52</c:v>
                      </c:pt>
                      <c:pt idx="3832">
                        <c:v>52</c:v>
                      </c:pt>
                      <c:pt idx="3833">
                        <c:v>52</c:v>
                      </c:pt>
                      <c:pt idx="3834">
                        <c:v>52</c:v>
                      </c:pt>
                      <c:pt idx="3835">
                        <c:v>52</c:v>
                      </c:pt>
                      <c:pt idx="3836">
                        <c:v>52</c:v>
                      </c:pt>
                      <c:pt idx="3837">
                        <c:v>52</c:v>
                      </c:pt>
                      <c:pt idx="3838">
                        <c:v>52</c:v>
                      </c:pt>
                      <c:pt idx="3839">
                        <c:v>52</c:v>
                      </c:pt>
                      <c:pt idx="3840">
                        <c:v>52</c:v>
                      </c:pt>
                      <c:pt idx="3841">
                        <c:v>52</c:v>
                      </c:pt>
                      <c:pt idx="3891">
                        <c:v>53</c:v>
                      </c:pt>
                      <c:pt idx="3892">
                        <c:v>53</c:v>
                      </c:pt>
                      <c:pt idx="3893">
                        <c:v>53</c:v>
                      </c:pt>
                      <c:pt idx="3894">
                        <c:v>53</c:v>
                      </c:pt>
                      <c:pt idx="3895">
                        <c:v>53</c:v>
                      </c:pt>
                      <c:pt idx="3896">
                        <c:v>53</c:v>
                      </c:pt>
                      <c:pt idx="3897">
                        <c:v>53</c:v>
                      </c:pt>
                      <c:pt idx="3898">
                        <c:v>53</c:v>
                      </c:pt>
                      <c:pt idx="3899">
                        <c:v>53</c:v>
                      </c:pt>
                      <c:pt idx="3900">
                        <c:v>53</c:v>
                      </c:pt>
                      <c:pt idx="3901">
                        <c:v>53</c:v>
                      </c:pt>
                      <c:pt idx="3902">
                        <c:v>53</c:v>
                      </c:pt>
                      <c:pt idx="3903">
                        <c:v>53</c:v>
                      </c:pt>
                      <c:pt idx="3904">
                        <c:v>53</c:v>
                      </c:pt>
                      <c:pt idx="3905">
                        <c:v>53</c:v>
                      </c:pt>
                      <c:pt idx="3906">
                        <c:v>53</c:v>
                      </c:pt>
                      <c:pt idx="3907">
                        <c:v>53</c:v>
                      </c:pt>
                      <c:pt idx="3908">
                        <c:v>53</c:v>
                      </c:pt>
                      <c:pt idx="3909">
                        <c:v>53</c:v>
                      </c:pt>
                      <c:pt idx="3910">
                        <c:v>53</c:v>
                      </c:pt>
                      <c:pt idx="3911">
                        <c:v>53</c:v>
                      </c:pt>
                      <c:pt idx="3912">
                        <c:v>53</c:v>
                      </c:pt>
                      <c:pt idx="3913">
                        <c:v>53</c:v>
                      </c:pt>
                      <c:pt idx="3914">
                        <c:v>53</c:v>
                      </c:pt>
                      <c:pt idx="3915">
                        <c:v>53</c:v>
                      </c:pt>
                      <c:pt idx="3916">
                        <c:v>53</c:v>
                      </c:pt>
                      <c:pt idx="3917">
                        <c:v>53</c:v>
                      </c:pt>
                      <c:pt idx="3918">
                        <c:v>53</c:v>
                      </c:pt>
                      <c:pt idx="3919">
                        <c:v>53</c:v>
                      </c:pt>
                      <c:pt idx="3920">
                        <c:v>53</c:v>
                      </c:pt>
                      <c:pt idx="3921">
                        <c:v>53</c:v>
                      </c:pt>
                      <c:pt idx="3922">
                        <c:v>53</c:v>
                      </c:pt>
                      <c:pt idx="3923">
                        <c:v>53</c:v>
                      </c:pt>
                      <c:pt idx="3924">
                        <c:v>53</c:v>
                      </c:pt>
                      <c:pt idx="3925">
                        <c:v>53</c:v>
                      </c:pt>
                      <c:pt idx="3926">
                        <c:v>53</c:v>
                      </c:pt>
                      <c:pt idx="3927">
                        <c:v>53</c:v>
                      </c:pt>
                      <c:pt idx="3928">
                        <c:v>53</c:v>
                      </c:pt>
                      <c:pt idx="3929">
                        <c:v>53</c:v>
                      </c:pt>
                      <c:pt idx="3930">
                        <c:v>53</c:v>
                      </c:pt>
                      <c:pt idx="3931">
                        <c:v>53</c:v>
                      </c:pt>
                      <c:pt idx="3932">
                        <c:v>53</c:v>
                      </c:pt>
                      <c:pt idx="3933">
                        <c:v>53</c:v>
                      </c:pt>
                      <c:pt idx="3934">
                        <c:v>53</c:v>
                      </c:pt>
                      <c:pt idx="3935">
                        <c:v>53</c:v>
                      </c:pt>
                      <c:pt idx="3936">
                        <c:v>53</c:v>
                      </c:pt>
                      <c:pt idx="3937">
                        <c:v>53</c:v>
                      </c:pt>
                      <c:pt idx="3938">
                        <c:v>53</c:v>
                      </c:pt>
                      <c:pt idx="3939">
                        <c:v>53</c:v>
                      </c:pt>
                      <c:pt idx="3940">
                        <c:v>53</c:v>
                      </c:pt>
                      <c:pt idx="3941">
                        <c:v>53</c:v>
                      </c:pt>
                      <c:pt idx="3942">
                        <c:v>53</c:v>
                      </c:pt>
                      <c:pt idx="3943">
                        <c:v>53</c:v>
                      </c:pt>
                      <c:pt idx="3944">
                        <c:v>53</c:v>
                      </c:pt>
                      <c:pt idx="3945">
                        <c:v>53</c:v>
                      </c:pt>
                      <c:pt idx="3946">
                        <c:v>53</c:v>
                      </c:pt>
                      <c:pt idx="3947">
                        <c:v>53</c:v>
                      </c:pt>
                      <c:pt idx="3948">
                        <c:v>53</c:v>
                      </c:pt>
                      <c:pt idx="3949">
                        <c:v>53</c:v>
                      </c:pt>
                      <c:pt idx="3950">
                        <c:v>53</c:v>
                      </c:pt>
                      <c:pt idx="3951">
                        <c:v>53</c:v>
                      </c:pt>
                      <c:pt idx="3952">
                        <c:v>53</c:v>
                      </c:pt>
                      <c:pt idx="3953">
                        <c:v>53</c:v>
                      </c:pt>
                      <c:pt idx="3954">
                        <c:v>53</c:v>
                      </c:pt>
                      <c:pt idx="3955">
                        <c:v>53</c:v>
                      </c:pt>
                      <c:pt idx="4060">
                        <c:v>54</c:v>
                      </c:pt>
                      <c:pt idx="4061">
                        <c:v>54</c:v>
                      </c:pt>
                      <c:pt idx="4062">
                        <c:v>54</c:v>
                      </c:pt>
                      <c:pt idx="4063">
                        <c:v>54</c:v>
                      </c:pt>
                      <c:pt idx="4064">
                        <c:v>54</c:v>
                      </c:pt>
                      <c:pt idx="4065">
                        <c:v>54</c:v>
                      </c:pt>
                      <c:pt idx="4066">
                        <c:v>54</c:v>
                      </c:pt>
                      <c:pt idx="4067">
                        <c:v>54</c:v>
                      </c:pt>
                      <c:pt idx="4068">
                        <c:v>54</c:v>
                      </c:pt>
                      <c:pt idx="4069">
                        <c:v>54</c:v>
                      </c:pt>
                      <c:pt idx="4070">
                        <c:v>54</c:v>
                      </c:pt>
                      <c:pt idx="4071">
                        <c:v>54</c:v>
                      </c:pt>
                      <c:pt idx="4072">
                        <c:v>54</c:v>
                      </c:pt>
                      <c:pt idx="4073">
                        <c:v>54</c:v>
                      </c:pt>
                      <c:pt idx="4074">
                        <c:v>54</c:v>
                      </c:pt>
                      <c:pt idx="4075">
                        <c:v>54</c:v>
                      </c:pt>
                      <c:pt idx="4076">
                        <c:v>54</c:v>
                      </c:pt>
                      <c:pt idx="4077">
                        <c:v>54</c:v>
                      </c:pt>
                      <c:pt idx="4078">
                        <c:v>54</c:v>
                      </c:pt>
                      <c:pt idx="4079">
                        <c:v>54</c:v>
                      </c:pt>
                      <c:pt idx="4080">
                        <c:v>54</c:v>
                      </c:pt>
                      <c:pt idx="4081">
                        <c:v>54</c:v>
                      </c:pt>
                      <c:pt idx="4082">
                        <c:v>54</c:v>
                      </c:pt>
                      <c:pt idx="4083">
                        <c:v>54</c:v>
                      </c:pt>
                      <c:pt idx="4084">
                        <c:v>54</c:v>
                      </c:pt>
                      <c:pt idx="4085">
                        <c:v>54</c:v>
                      </c:pt>
                      <c:pt idx="4086">
                        <c:v>54</c:v>
                      </c:pt>
                      <c:pt idx="4087">
                        <c:v>54</c:v>
                      </c:pt>
                      <c:pt idx="4088">
                        <c:v>54</c:v>
                      </c:pt>
                      <c:pt idx="4089">
                        <c:v>54</c:v>
                      </c:pt>
                      <c:pt idx="4090">
                        <c:v>54</c:v>
                      </c:pt>
                      <c:pt idx="4091">
                        <c:v>54</c:v>
                      </c:pt>
                      <c:pt idx="4092">
                        <c:v>54</c:v>
                      </c:pt>
                      <c:pt idx="4093">
                        <c:v>54</c:v>
                      </c:pt>
                      <c:pt idx="4094">
                        <c:v>54</c:v>
                      </c:pt>
                      <c:pt idx="4095">
                        <c:v>54</c:v>
                      </c:pt>
                      <c:pt idx="4096">
                        <c:v>54</c:v>
                      </c:pt>
                      <c:pt idx="4097">
                        <c:v>54</c:v>
                      </c:pt>
                      <c:pt idx="4098">
                        <c:v>54</c:v>
                      </c:pt>
                      <c:pt idx="4099">
                        <c:v>54</c:v>
                      </c:pt>
                      <c:pt idx="4100">
                        <c:v>54</c:v>
                      </c:pt>
                      <c:pt idx="4101">
                        <c:v>54</c:v>
                      </c:pt>
                      <c:pt idx="4102">
                        <c:v>54</c:v>
                      </c:pt>
                      <c:pt idx="4103">
                        <c:v>54</c:v>
                      </c:pt>
                      <c:pt idx="4104">
                        <c:v>54</c:v>
                      </c:pt>
                      <c:pt idx="4105">
                        <c:v>54</c:v>
                      </c:pt>
                      <c:pt idx="4106">
                        <c:v>54</c:v>
                      </c:pt>
                      <c:pt idx="4107">
                        <c:v>54</c:v>
                      </c:pt>
                      <c:pt idx="4108">
                        <c:v>54</c:v>
                      </c:pt>
                      <c:pt idx="4109">
                        <c:v>54</c:v>
                      </c:pt>
                      <c:pt idx="4110">
                        <c:v>54</c:v>
                      </c:pt>
                      <c:pt idx="4111">
                        <c:v>54</c:v>
                      </c:pt>
                      <c:pt idx="4112">
                        <c:v>54</c:v>
                      </c:pt>
                      <c:pt idx="4113">
                        <c:v>54</c:v>
                      </c:pt>
                      <c:pt idx="4114">
                        <c:v>54</c:v>
                      </c:pt>
                      <c:pt idx="4115">
                        <c:v>54</c:v>
                      </c:pt>
                      <c:pt idx="4116">
                        <c:v>54</c:v>
                      </c:pt>
                      <c:pt idx="4117">
                        <c:v>54</c:v>
                      </c:pt>
                      <c:pt idx="4118">
                        <c:v>54</c:v>
                      </c:pt>
                      <c:pt idx="4119">
                        <c:v>54</c:v>
                      </c:pt>
                      <c:pt idx="4120">
                        <c:v>54</c:v>
                      </c:pt>
                      <c:pt idx="4121">
                        <c:v>54</c:v>
                      </c:pt>
                      <c:pt idx="4122">
                        <c:v>54</c:v>
                      </c:pt>
                      <c:pt idx="4123">
                        <c:v>54</c:v>
                      </c:pt>
                      <c:pt idx="4124">
                        <c:v>54</c:v>
                      </c:pt>
                      <c:pt idx="4125">
                        <c:v>54</c:v>
                      </c:pt>
                      <c:pt idx="4126">
                        <c:v>54</c:v>
                      </c:pt>
                      <c:pt idx="4127">
                        <c:v>54</c:v>
                      </c:pt>
                      <c:pt idx="4128">
                        <c:v>54</c:v>
                      </c:pt>
                      <c:pt idx="4129">
                        <c:v>54</c:v>
                      </c:pt>
                      <c:pt idx="4130">
                        <c:v>54</c:v>
                      </c:pt>
                      <c:pt idx="4530">
                        <c:v>55</c:v>
                      </c:pt>
                      <c:pt idx="4531">
                        <c:v>55</c:v>
                      </c:pt>
                      <c:pt idx="4532">
                        <c:v>55</c:v>
                      </c:pt>
                      <c:pt idx="4533">
                        <c:v>55</c:v>
                      </c:pt>
                      <c:pt idx="4534">
                        <c:v>55</c:v>
                      </c:pt>
                      <c:pt idx="4535">
                        <c:v>55</c:v>
                      </c:pt>
                      <c:pt idx="4536">
                        <c:v>55</c:v>
                      </c:pt>
                      <c:pt idx="4537">
                        <c:v>55</c:v>
                      </c:pt>
                      <c:pt idx="4538">
                        <c:v>55</c:v>
                      </c:pt>
                      <c:pt idx="4539">
                        <c:v>55</c:v>
                      </c:pt>
                      <c:pt idx="4540">
                        <c:v>55</c:v>
                      </c:pt>
                      <c:pt idx="4541">
                        <c:v>55</c:v>
                      </c:pt>
                      <c:pt idx="4542">
                        <c:v>55</c:v>
                      </c:pt>
                      <c:pt idx="4543">
                        <c:v>55</c:v>
                      </c:pt>
                      <c:pt idx="4544">
                        <c:v>55</c:v>
                      </c:pt>
                      <c:pt idx="4545">
                        <c:v>55</c:v>
                      </c:pt>
                      <c:pt idx="4546">
                        <c:v>55</c:v>
                      </c:pt>
                      <c:pt idx="4547">
                        <c:v>55</c:v>
                      </c:pt>
                      <c:pt idx="4548">
                        <c:v>55</c:v>
                      </c:pt>
                      <c:pt idx="4549">
                        <c:v>55</c:v>
                      </c:pt>
                      <c:pt idx="4550">
                        <c:v>55</c:v>
                      </c:pt>
                      <c:pt idx="4551">
                        <c:v>55</c:v>
                      </c:pt>
                      <c:pt idx="4552">
                        <c:v>55</c:v>
                      </c:pt>
                      <c:pt idx="4553">
                        <c:v>55</c:v>
                      </c:pt>
                      <c:pt idx="4554">
                        <c:v>55</c:v>
                      </c:pt>
                      <c:pt idx="4555">
                        <c:v>55</c:v>
                      </c:pt>
                      <c:pt idx="4556">
                        <c:v>55</c:v>
                      </c:pt>
                      <c:pt idx="4557">
                        <c:v>55</c:v>
                      </c:pt>
                      <c:pt idx="4558">
                        <c:v>55</c:v>
                      </c:pt>
                      <c:pt idx="4559">
                        <c:v>55</c:v>
                      </c:pt>
                      <c:pt idx="4560">
                        <c:v>55</c:v>
                      </c:pt>
                      <c:pt idx="4561">
                        <c:v>55</c:v>
                      </c:pt>
                      <c:pt idx="4562">
                        <c:v>55</c:v>
                      </c:pt>
                      <c:pt idx="4563">
                        <c:v>55</c:v>
                      </c:pt>
                      <c:pt idx="4564">
                        <c:v>55</c:v>
                      </c:pt>
                      <c:pt idx="4565">
                        <c:v>55</c:v>
                      </c:pt>
                      <c:pt idx="4566">
                        <c:v>55</c:v>
                      </c:pt>
                      <c:pt idx="4567">
                        <c:v>55</c:v>
                      </c:pt>
                      <c:pt idx="4568">
                        <c:v>55</c:v>
                      </c:pt>
                      <c:pt idx="4569">
                        <c:v>55</c:v>
                      </c:pt>
                      <c:pt idx="4570">
                        <c:v>55</c:v>
                      </c:pt>
                      <c:pt idx="4571">
                        <c:v>55</c:v>
                      </c:pt>
                      <c:pt idx="4572">
                        <c:v>55</c:v>
                      </c:pt>
                      <c:pt idx="4573">
                        <c:v>55</c:v>
                      </c:pt>
                      <c:pt idx="4574">
                        <c:v>55</c:v>
                      </c:pt>
                      <c:pt idx="4575">
                        <c:v>55</c:v>
                      </c:pt>
                      <c:pt idx="4576">
                        <c:v>55</c:v>
                      </c:pt>
                      <c:pt idx="4577">
                        <c:v>55</c:v>
                      </c:pt>
                      <c:pt idx="4578">
                        <c:v>55</c:v>
                      </c:pt>
                      <c:pt idx="4579">
                        <c:v>55</c:v>
                      </c:pt>
                      <c:pt idx="4580">
                        <c:v>55</c:v>
                      </c:pt>
                      <c:pt idx="4581">
                        <c:v>55</c:v>
                      </c:pt>
                      <c:pt idx="4582">
                        <c:v>55</c:v>
                      </c:pt>
                      <c:pt idx="4583">
                        <c:v>55</c:v>
                      </c:pt>
                      <c:pt idx="4584">
                        <c:v>55</c:v>
                      </c:pt>
                      <c:pt idx="4585">
                        <c:v>55</c:v>
                      </c:pt>
                      <c:pt idx="4586">
                        <c:v>55</c:v>
                      </c:pt>
                      <c:pt idx="4587">
                        <c:v>55</c:v>
                      </c:pt>
                      <c:pt idx="4588">
                        <c:v>55</c:v>
                      </c:pt>
                      <c:pt idx="4589">
                        <c:v>55</c:v>
                      </c:pt>
                      <c:pt idx="4590">
                        <c:v>55</c:v>
                      </c:pt>
                      <c:pt idx="4591">
                        <c:v>55</c:v>
                      </c:pt>
                      <c:pt idx="4592">
                        <c:v>55</c:v>
                      </c:pt>
                      <c:pt idx="4593">
                        <c:v>55</c:v>
                      </c:pt>
                      <c:pt idx="4594">
                        <c:v>55</c:v>
                      </c:pt>
                      <c:pt idx="4595">
                        <c:v>55</c:v>
                      </c:pt>
                      <c:pt idx="4596">
                        <c:v>55</c:v>
                      </c:pt>
                      <c:pt idx="4597">
                        <c:v>55</c:v>
                      </c:pt>
                      <c:pt idx="4762">
                        <c:v>56</c:v>
                      </c:pt>
                      <c:pt idx="4763">
                        <c:v>56</c:v>
                      </c:pt>
                      <c:pt idx="4764">
                        <c:v>56</c:v>
                      </c:pt>
                      <c:pt idx="4765">
                        <c:v>56</c:v>
                      </c:pt>
                      <c:pt idx="4766">
                        <c:v>56</c:v>
                      </c:pt>
                      <c:pt idx="4767">
                        <c:v>56</c:v>
                      </c:pt>
                      <c:pt idx="4768">
                        <c:v>56</c:v>
                      </c:pt>
                      <c:pt idx="4769">
                        <c:v>56</c:v>
                      </c:pt>
                      <c:pt idx="4770">
                        <c:v>56</c:v>
                      </c:pt>
                      <c:pt idx="4771">
                        <c:v>56</c:v>
                      </c:pt>
                      <c:pt idx="4772">
                        <c:v>56</c:v>
                      </c:pt>
                      <c:pt idx="4773">
                        <c:v>56</c:v>
                      </c:pt>
                      <c:pt idx="4774">
                        <c:v>56</c:v>
                      </c:pt>
                      <c:pt idx="4775">
                        <c:v>56</c:v>
                      </c:pt>
                      <c:pt idx="4776">
                        <c:v>56</c:v>
                      </c:pt>
                      <c:pt idx="4777">
                        <c:v>56</c:v>
                      </c:pt>
                      <c:pt idx="4778">
                        <c:v>56</c:v>
                      </c:pt>
                      <c:pt idx="4779">
                        <c:v>56</c:v>
                      </c:pt>
                      <c:pt idx="4780">
                        <c:v>56</c:v>
                      </c:pt>
                      <c:pt idx="4781">
                        <c:v>56</c:v>
                      </c:pt>
                      <c:pt idx="4782">
                        <c:v>56</c:v>
                      </c:pt>
                      <c:pt idx="4783">
                        <c:v>56</c:v>
                      </c:pt>
                      <c:pt idx="4784">
                        <c:v>56</c:v>
                      </c:pt>
                      <c:pt idx="4785">
                        <c:v>56</c:v>
                      </c:pt>
                      <c:pt idx="4786">
                        <c:v>56</c:v>
                      </c:pt>
                      <c:pt idx="4787">
                        <c:v>56</c:v>
                      </c:pt>
                      <c:pt idx="4788">
                        <c:v>56</c:v>
                      </c:pt>
                      <c:pt idx="4789">
                        <c:v>56</c:v>
                      </c:pt>
                      <c:pt idx="4790">
                        <c:v>56</c:v>
                      </c:pt>
                      <c:pt idx="4791">
                        <c:v>56</c:v>
                      </c:pt>
                      <c:pt idx="4792">
                        <c:v>56</c:v>
                      </c:pt>
                      <c:pt idx="4793">
                        <c:v>56</c:v>
                      </c:pt>
                      <c:pt idx="4794">
                        <c:v>56</c:v>
                      </c:pt>
                      <c:pt idx="4795">
                        <c:v>56</c:v>
                      </c:pt>
                      <c:pt idx="4796">
                        <c:v>56</c:v>
                      </c:pt>
                      <c:pt idx="4797">
                        <c:v>56</c:v>
                      </c:pt>
                      <c:pt idx="4798">
                        <c:v>56</c:v>
                      </c:pt>
                      <c:pt idx="4799">
                        <c:v>56</c:v>
                      </c:pt>
                      <c:pt idx="4800">
                        <c:v>56</c:v>
                      </c:pt>
                      <c:pt idx="4801">
                        <c:v>56</c:v>
                      </c:pt>
                      <c:pt idx="4802">
                        <c:v>56</c:v>
                      </c:pt>
                      <c:pt idx="4803">
                        <c:v>56</c:v>
                      </c:pt>
                      <c:pt idx="4804">
                        <c:v>56</c:v>
                      </c:pt>
                      <c:pt idx="4805">
                        <c:v>56</c:v>
                      </c:pt>
                      <c:pt idx="4806">
                        <c:v>56</c:v>
                      </c:pt>
                      <c:pt idx="4807">
                        <c:v>56</c:v>
                      </c:pt>
                      <c:pt idx="4808">
                        <c:v>56</c:v>
                      </c:pt>
                      <c:pt idx="4809">
                        <c:v>56</c:v>
                      </c:pt>
                      <c:pt idx="4810">
                        <c:v>56</c:v>
                      </c:pt>
                      <c:pt idx="4811">
                        <c:v>56</c:v>
                      </c:pt>
                      <c:pt idx="4812">
                        <c:v>56</c:v>
                      </c:pt>
                      <c:pt idx="4813">
                        <c:v>56</c:v>
                      </c:pt>
                      <c:pt idx="4814">
                        <c:v>56</c:v>
                      </c:pt>
                      <c:pt idx="4815">
                        <c:v>56</c:v>
                      </c:pt>
                      <c:pt idx="4816">
                        <c:v>56</c:v>
                      </c:pt>
                      <c:pt idx="4817">
                        <c:v>56</c:v>
                      </c:pt>
                      <c:pt idx="4818">
                        <c:v>56</c:v>
                      </c:pt>
                      <c:pt idx="4819">
                        <c:v>56</c:v>
                      </c:pt>
                      <c:pt idx="4820">
                        <c:v>56</c:v>
                      </c:pt>
                      <c:pt idx="4821">
                        <c:v>56</c:v>
                      </c:pt>
                      <c:pt idx="4822">
                        <c:v>56</c:v>
                      </c:pt>
                      <c:pt idx="4823">
                        <c:v>56</c:v>
                      </c:pt>
                      <c:pt idx="4824">
                        <c:v>56</c:v>
                      </c:pt>
                      <c:pt idx="4825">
                        <c:v>56</c:v>
                      </c:pt>
                      <c:pt idx="4826">
                        <c:v>56</c:v>
                      </c:pt>
                      <c:pt idx="4827">
                        <c:v>56</c:v>
                      </c:pt>
                      <c:pt idx="4828">
                        <c:v>56</c:v>
                      </c:pt>
                      <c:pt idx="4829">
                        <c:v>56</c:v>
                      </c:pt>
                      <c:pt idx="4830">
                        <c:v>56</c:v>
                      </c:pt>
                      <c:pt idx="4831">
                        <c:v>56</c:v>
                      </c:pt>
                      <c:pt idx="4832">
                        <c:v>56</c:v>
                      </c:pt>
                      <c:pt idx="4833">
                        <c:v>56</c:v>
                      </c:pt>
                      <c:pt idx="4834">
                        <c:v>56</c:v>
                      </c:pt>
                      <c:pt idx="4835">
                        <c:v>56</c:v>
                      </c:pt>
                      <c:pt idx="4836">
                        <c:v>56</c:v>
                      </c:pt>
                      <c:pt idx="4837">
                        <c:v>56</c:v>
                      </c:pt>
                      <c:pt idx="4838">
                        <c:v>56</c:v>
                      </c:pt>
                      <c:pt idx="4839">
                        <c:v>56</c:v>
                      </c:pt>
                      <c:pt idx="4840">
                        <c:v>56</c:v>
                      </c:pt>
                      <c:pt idx="4841">
                        <c:v>56</c:v>
                      </c:pt>
                      <c:pt idx="4842">
                        <c:v>56</c:v>
                      </c:pt>
                      <c:pt idx="4843">
                        <c:v>56</c:v>
                      </c:pt>
                      <c:pt idx="4844">
                        <c:v>56</c:v>
                      </c:pt>
                      <c:pt idx="4845">
                        <c:v>56</c:v>
                      </c:pt>
                      <c:pt idx="4846">
                        <c:v>56</c:v>
                      </c:pt>
                      <c:pt idx="4847">
                        <c:v>56</c:v>
                      </c:pt>
                      <c:pt idx="4848">
                        <c:v>56</c:v>
                      </c:pt>
                      <c:pt idx="4849">
                        <c:v>56</c:v>
                      </c:pt>
                      <c:pt idx="4850">
                        <c:v>56</c:v>
                      </c:pt>
                      <c:pt idx="4851">
                        <c:v>56</c:v>
                      </c:pt>
                      <c:pt idx="4852">
                        <c:v>56</c:v>
                      </c:pt>
                      <c:pt idx="4853">
                        <c:v>56</c:v>
                      </c:pt>
                      <c:pt idx="4854">
                        <c:v>56</c:v>
                      </c:pt>
                      <c:pt idx="4855">
                        <c:v>56</c:v>
                      </c:pt>
                      <c:pt idx="4856">
                        <c:v>56</c:v>
                      </c:pt>
                      <c:pt idx="4857">
                        <c:v>56</c:v>
                      </c:pt>
                      <c:pt idx="4858">
                        <c:v>56</c:v>
                      </c:pt>
                      <c:pt idx="4859">
                        <c:v>56</c:v>
                      </c:pt>
                      <c:pt idx="4860">
                        <c:v>56</c:v>
                      </c:pt>
                      <c:pt idx="4861">
                        <c:v>56</c:v>
                      </c:pt>
                      <c:pt idx="4862">
                        <c:v>56</c:v>
                      </c:pt>
                      <c:pt idx="4863">
                        <c:v>56</c:v>
                      </c:pt>
                      <c:pt idx="5102">
                        <c:v>57</c:v>
                      </c:pt>
                      <c:pt idx="5103">
                        <c:v>57</c:v>
                      </c:pt>
                      <c:pt idx="5104">
                        <c:v>57</c:v>
                      </c:pt>
                      <c:pt idx="5105">
                        <c:v>57</c:v>
                      </c:pt>
                      <c:pt idx="5106">
                        <c:v>57</c:v>
                      </c:pt>
                      <c:pt idx="5107">
                        <c:v>57</c:v>
                      </c:pt>
                      <c:pt idx="5108">
                        <c:v>57</c:v>
                      </c:pt>
                      <c:pt idx="5109">
                        <c:v>57</c:v>
                      </c:pt>
                      <c:pt idx="5110">
                        <c:v>57</c:v>
                      </c:pt>
                      <c:pt idx="5111">
                        <c:v>57</c:v>
                      </c:pt>
                      <c:pt idx="5112">
                        <c:v>57</c:v>
                      </c:pt>
                      <c:pt idx="5113">
                        <c:v>57</c:v>
                      </c:pt>
                      <c:pt idx="5114">
                        <c:v>57</c:v>
                      </c:pt>
                      <c:pt idx="5115">
                        <c:v>57</c:v>
                      </c:pt>
                      <c:pt idx="5116">
                        <c:v>57</c:v>
                      </c:pt>
                      <c:pt idx="5117">
                        <c:v>57</c:v>
                      </c:pt>
                      <c:pt idx="5286">
                        <c:v>58</c:v>
                      </c:pt>
                      <c:pt idx="5287">
                        <c:v>58</c:v>
                      </c:pt>
                      <c:pt idx="5288">
                        <c:v>58</c:v>
                      </c:pt>
                      <c:pt idx="5289">
                        <c:v>58</c:v>
                      </c:pt>
                      <c:pt idx="5290">
                        <c:v>58</c:v>
                      </c:pt>
                      <c:pt idx="5291">
                        <c:v>58</c:v>
                      </c:pt>
                      <c:pt idx="5292">
                        <c:v>58</c:v>
                      </c:pt>
                      <c:pt idx="5293">
                        <c:v>58</c:v>
                      </c:pt>
                      <c:pt idx="5294">
                        <c:v>58</c:v>
                      </c:pt>
                      <c:pt idx="5295">
                        <c:v>58</c:v>
                      </c:pt>
                      <c:pt idx="5296">
                        <c:v>58</c:v>
                      </c:pt>
                      <c:pt idx="5297">
                        <c:v>58</c:v>
                      </c:pt>
                      <c:pt idx="5298">
                        <c:v>58</c:v>
                      </c:pt>
                      <c:pt idx="5299">
                        <c:v>58</c:v>
                      </c:pt>
                      <c:pt idx="5300">
                        <c:v>58</c:v>
                      </c:pt>
                      <c:pt idx="5301">
                        <c:v>58</c:v>
                      </c:pt>
                      <c:pt idx="5302">
                        <c:v>58</c:v>
                      </c:pt>
                      <c:pt idx="5303">
                        <c:v>58</c:v>
                      </c:pt>
                      <c:pt idx="5304">
                        <c:v>58</c:v>
                      </c:pt>
                      <c:pt idx="5305">
                        <c:v>58</c:v>
                      </c:pt>
                      <c:pt idx="5306">
                        <c:v>58</c:v>
                      </c:pt>
                      <c:pt idx="5307">
                        <c:v>58</c:v>
                      </c:pt>
                      <c:pt idx="5308">
                        <c:v>58</c:v>
                      </c:pt>
                      <c:pt idx="5309">
                        <c:v>58</c:v>
                      </c:pt>
                      <c:pt idx="5310">
                        <c:v>58</c:v>
                      </c:pt>
                      <c:pt idx="5311">
                        <c:v>58</c:v>
                      </c:pt>
                      <c:pt idx="5312">
                        <c:v>58</c:v>
                      </c:pt>
                      <c:pt idx="5313">
                        <c:v>58</c:v>
                      </c:pt>
                      <c:pt idx="5314">
                        <c:v>58</c:v>
                      </c:pt>
                      <c:pt idx="5315">
                        <c:v>58</c:v>
                      </c:pt>
                      <c:pt idx="5316">
                        <c:v>58</c:v>
                      </c:pt>
                      <c:pt idx="5317">
                        <c:v>58</c:v>
                      </c:pt>
                      <c:pt idx="5343">
                        <c:v>59</c:v>
                      </c:pt>
                      <c:pt idx="5344">
                        <c:v>59</c:v>
                      </c:pt>
                      <c:pt idx="5345">
                        <c:v>59</c:v>
                      </c:pt>
                      <c:pt idx="5346">
                        <c:v>59</c:v>
                      </c:pt>
                      <c:pt idx="5347">
                        <c:v>59</c:v>
                      </c:pt>
                      <c:pt idx="5348">
                        <c:v>59</c:v>
                      </c:pt>
                      <c:pt idx="5349">
                        <c:v>59</c:v>
                      </c:pt>
                      <c:pt idx="5350">
                        <c:v>59</c:v>
                      </c:pt>
                      <c:pt idx="5351">
                        <c:v>59</c:v>
                      </c:pt>
                      <c:pt idx="5352">
                        <c:v>59</c:v>
                      </c:pt>
                      <c:pt idx="5353">
                        <c:v>59</c:v>
                      </c:pt>
                      <c:pt idx="5354">
                        <c:v>59</c:v>
                      </c:pt>
                      <c:pt idx="5355">
                        <c:v>59</c:v>
                      </c:pt>
                      <c:pt idx="5356">
                        <c:v>59</c:v>
                      </c:pt>
                      <c:pt idx="5357">
                        <c:v>59</c:v>
                      </c:pt>
                      <c:pt idx="5358">
                        <c:v>59</c:v>
                      </c:pt>
                      <c:pt idx="5359">
                        <c:v>59</c:v>
                      </c:pt>
                      <c:pt idx="5360">
                        <c:v>59</c:v>
                      </c:pt>
                      <c:pt idx="5361">
                        <c:v>59</c:v>
                      </c:pt>
                      <c:pt idx="5362">
                        <c:v>59</c:v>
                      </c:pt>
                      <c:pt idx="5363">
                        <c:v>59</c:v>
                      </c:pt>
                      <c:pt idx="5364">
                        <c:v>59</c:v>
                      </c:pt>
                      <c:pt idx="5365">
                        <c:v>59</c:v>
                      </c:pt>
                      <c:pt idx="5366">
                        <c:v>59</c:v>
                      </c:pt>
                      <c:pt idx="5367">
                        <c:v>59</c:v>
                      </c:pt>
                      <c:pt idx="5368">
                        <c:v>59</c:v>
                      </c:pt>
                      <c:pt idx="5369">
                        <c:v>59</c:v>
                      </c:pt>
                      <c:pt idx="5602">
                        <c:v>60</c:v>
                      </c:pt>
                      <c:pt idx="5603">
                        <c:v>60</c:v>
                      </c:pt>
                      <c:pt idx="5604">
                        <c:v>60</c:v>
                      </c:pt>
                      <c:pt idx="5605">
                        <c:v>60</c:v>
                      </c:pt>
                      <c:pt idx="5606">
                        <c:v>60</c:v>
                      </c:pt>
                      <c:pt idx="5607">
                        <c:v>60</c:v>
                      </c:pt>
                      <c:pt idx="5608">
                        <c:v>60</c:v>
                      </c:pt>
                      <c:pt idx="5609">
                        <c:v>60</c:v>
                      </c:pt>
                      <c:pt idx="5610">
                        <c:v>60</c:v>
                      </c:pt>
                      <c:pt idx="5611">
                        <c:v>60</c:v>
                      </c:pt>
                      <c:pt idx="5612">
                        <c:v>60</c:v>
                      </c:pt>
                      <c:pt idx="5613">
                        <c:v>60</c:v>
                      </c:pt>
                      <c:pt idx="5614">
                        <c:v>60</c:v>
                      </c:pt>
                      <c:pt idx="5615">
                        <c:v>60</c:v>
                      </c:pt>
                      <c:pt idx="5616">
                        <c:v>60</c:v>
                      </c:pt>
                      <c:pt idx="5617">
                        <c:v>60</c:v>
                      </c:pt>
                      <c:pt idx="5618">
                        <c:v>60</c:v>
                      </c:pt>
                      <c:pt idx="5619">
                        <c:v>60</c:v>
                      </c:pt>
                      <c:pt idx="5620">
                        <c:v>60</c:v>
                      </c:pt>
                      <c:pt idx="5621">
                        <c:v>60</c:v>
                      </c:pt>
                      <c:pt idx="5622">
                        <c:v>60</c:v>
                      </c:pt>
                      <c:pt idx="5623">
                        <c:v>60</c:v>
                      </c:pt>
                      <c:pt idx="5624">
                        <c:v>60</c:v>
                      </c:pt>
                      <c:pt idx="5625">
                        <c:v>60</c:v>
                      </c:pt>
                      <c:pt idx="5626">
                        <c:v>60</c:v>
                      </c:pt>
                      <c:pt idx="5627">
                        <c:v>60</c:v>
                      </c:pt>
                      <c:pt idx="5628">
                        <c:v>60</c:v>
                      </c:pt>
                      <c:pt idx="5629">
                        <c:v>60</c:v>
                      </c:pt>
                      <c:pt idx="5630">
                        <c:v>60</c:v>
                      </c:pt>
                      <c:pt idx="5631">
                        <c:v>60</c:v>
                      </c:pt>
                      <c:pt idx="5632">
                        <c:v>60</c:v>
                      </c:pt>
                      <c:pt idx="5633">
                        <c:v>60</c:v>
                      </c:pt>
                      <c:pt idx="5634">
                        <c:v>60</c:v>
                      </c:pt>
                      <c:pt idx="5635">
                        <c:v>60</c:v>
                      </c:pt>
                      <c:pt idx="5636">
                        <c:v>60</c:v>
                      </c:pt>
                      <c:pt idx="5637">
                        <c:v>60</c:v>
                      </c:pt>
                      <c:pt idx="5638">
                        <c:v>60</c:v>
                      </c:pt>
                      <c:pt idx="5639">
                        <c:v>60</c:v>
                      </c:pt>
                      <c:pt idx="5640">
                        <c:v>60</c:v>
                      </c:pt>
                      <c:pt idx="5641">
                        <c:v>60</c:v>
                      </c:pt>
                      <c:pt idx="5642">
                        <c:v>60</c:v>
                      </c:pt>
                      <c:pt idx="5643">
                        <c:v>60</c:v>
                      </c:pt>
                      <c:pt idx="5644">
                        <c:v>60</c:v>
                      </c:pt>
                      <c:pt idx="5645">
                        <c:v>60</c:v>
                      </c:pt>
                      <c:pt idx="5646">
                        <c:v>60</c:v>
                      </c:pt>
                      <c:pt idx="5647">
                        <c:v>60</c:v>
                      </c:pt>
                      <c:pt idx="5648">
                        <c:v>60</c:v>
                      </c:pt>
                      <c:pt idx="5649">
                        <c:v>60</c:v>
                      </c:pt>
                      <c:pt idx="5650">
                        <c:v>60</c:v>
                      </c:pt>
                      <c:pt idx="5651">
                        <c:v>60</c:v>
                      </c:pt>
                      <c:pt idx="5652">
                        <c:v>60</c:v>
                      </c:pt>
                      <c:pt idx="5653">
                        <c:v>60</c:v>
                      </c:pt>
                      <c:pt idx="5654">
                        <c:v>60</c:v>
                      </c:pt>
                      <c:pt idx="5655">
                        <c:v>60</c:v>
                      </c:pt>
                      <c:pt idx="5656">
                        <c:v>60</c:v>
                      </c:pt>
                      <c:pt idx="5657">
                        <c:v>60</c:v>
                      </c:pt>
                      <c:pt idx="5658">
                        <c:v>60</c:v>
                      </c:pt>
                      <c:pt idx="5659">
                        <c:v>60</c:v>
                      </c:pt>
                      <c:pt idx="5660">
                        <c:v>60</c:v>
                      </c:pt>
                      <c:pt idx="5661">
                        <c:v>60</c:v>
                      </c:pt>
                      <c:pt idx="5662">
                        <c:v>60</c:v>
                      </c:pt>
                      <c:pt idx="5663">
                        <c:v>60</c:v>
                      </c:pt>
                      <c:pt idx="5664">
                        <c:v>60</c:v>
                      </c:pt>
                      <c:pt idx="5665">
                        <c:v>60</c:v>
                      </c:pt>
                      <c:pt idx="5666">
                        <c:v>60</c:v>
                      </c:pt>
                      <c:pt idx="5667">
                        <c:v>60</c:v>
                      </c:pt>
                      <c:pt idx="5668">
                        <c:v>60</c:v>
                      </c:pt>
                      <c:pt idx="5669">
                        <c:v>60</c:v>
                      </c:pt>
                      <c:pt idx="5670">
                        <c:v>60</c:v>
                      </c:pt>
                      <c:pt idx="5671">
                        <c:v>60</c:v>
                      </c:pt>
                      <c:pt idx="5672">
                        <c:v>60</c:v>
                      </c:pt>
                      <c:pt idx="5673">
                        <c:v>60</c:v>
                      </c:pt>
                      <c:pt idx="5674">
                        <c:v>60</c:v>
                      </c:pt>
                      <c:pt idx="5675">
                        <c:v>60</c:v>
                      </c:pt>
                      <c:pt idx="5676">
                        <c:v>60</c:v>
                      </c:pt>
                      <c:pt idx="5677">
                        <c:v>60</c:v>
                      </c:pt>
                      <c:pt idx="5678">
                        <c:v>60</c:v>
                      </c:pt>
                      <c:pt idx="5679">
                        <c:v>60</c:v>
                      </c:pt>
                      <c:pt idx="5680">
                        <c:v>60</c:v>
                      </c:pt>
                      <c:pt idx="5681">
                        <c:v>60</c:v>
                      </c:pt>
                      <c:pt idx="5682">
                        <c:v>60</c:v>
                      </c:pt>
                      <c:pt idx="5683">
                        <c:v>60</c:v>
                      </c:pt>
                      <c:pt idx="5684">
                        <c:v>60</c:v>
                      </c:pt>
                      <c:pt idx="5685">
                        <c:v>60</c:v>
                      </c:pt>
                      <c:pt idx="5686">
                        <c:v>60</c:v>
                      </c:pt>
                      <c:pt idx="5687">
                        <c:v>60</c:v>
                      </c:pt>
                      <c:pt idx="5688">
                        <c:v>60</c:v>
                      </c:pt>
                      <c:pt idx="5689">
                        <c:v>60</c:v>
                      </c:pt>
                      <c:pt idx="5690">
                        <c:v>60</c:v>
                      </c:pt>
                      <c:pt idx="5691">
                        <c:v>60</c:v>
                      </c:pt>
                      <c:pt idx="5692">
                        <c:v>60</c:v>
                      </c:pt>
                      <c:pt idx="5693">
                        <c:v>60</c:v>
                      </c:pt>
                      <c:pt idx="5694">
                        <c:v>60</c:v>
                      </c:pt>
                      <c:pt idx="5695">
                        <c:v>60</c:v>
                      </c:pt>
                      <c:pt idx="5696">
                        <c:v>60</c:v>
                      </c:pt>
                      <c:pt idx="5697">
                        <c:v>60</c:v>
                      </c:pt>
                      <c:pt idx="5698">
                        <c:v>60</c:v>
                      </c:pt>
                      <c:pt idx="5699">
                        <c:v>60</c:v>
                      </c:pt>
                      <c:pt idx="5700">
                        <c:v>60</c:v>
                      </c:pt>
                      <c:pt idx="5701">
                        <c:v>60</c:v>
                      </c:pt>
                      <c:pt idx="5702">
                        <c:v>60</c:v>
                      </c:pt>
                      <c:pt idx="5703">
                        <c:v>60</c:v>
                      </c:pt>
                      <c:pt idx="5704">
                        <c:v>60</c:v>
                      </c:pt>
                      <c:pt idx="5705">
                        <c:v>60</c:v>
                      </c:pt>
                      <c:pt idx="5706">
                        <c:v>60</c:v>
                      </c:pt>
                      <c:pt idx="5707">
                        <c:v>60</c:v>
                      </c:pt>
                      <c:pt idx="5708">
                        <c:v>60</c:v>
                      </c:pt>
                      <c:pt idx="5709">
                        <c:v>60</c:v>
                      </c:pt>
                      <c:pt idx="5722">
                        <c:v>61</c:v>
                      </c:pt>
                      <c:pt idx="5723">
                        <c:v>61</c:v>
                      </c:pt>
                      <c:pt idx="5724">
                        <c:v>61</c:v>
                      </c:pt>
                      <c:pt idx="5725">
                        <c:v>61</c:v>
                      </c:pt>
                      <c:pt idx="5726">
                        <c:v>61</c:v>
                      </c:pt>
                      <c:pt idx="5727">
                        <c:v>61</c:v>
                      </c:pt>
                      <c:pt idx="5728">
                        <c:v>61</c:v>
                      </c:pt>
                      <c:pt idx="5729">
                        <c:v>61</c:v>
                      </c:pt>
                      <c:pt idx="5730">
                        <c:v>61</c:v>
                      </c:pt>
                      <c:pt idx="5731">
                        <c:v>61</c:v>
                      </c:pt>
                      <c:pt idx="5732">
                        <c:v>61</c:v>
                      </c:pt>
                      <c:pt idx="5733">
                        <c:v>61</c:v>
                      </c:pt>
                      <c:pt idx="5734">
                        <c:v>61</c:v>
                      </c:pt>
                      <c:pt idx="5735">
                        <c:v>61</c:v>
                      </c:pt>
                      <c:pt idx="5736">
                        <c:v>61</c:v>
                      </c:pt>
                      <c:pt idx="5737">
                        <c:v>61</c:v>
                      </c:pt>
                      <c:pt idx="5738">
                        <c:v>61</c:v>
                      </c:pt>
                      <c:pt idx="5739">
                        <c:v>61</c:v>
                      </c:pt>
                      <c:pt idx="5740">
                        <c:v>61</c:v>
                      </c:pt>
                      <c:pt idx="5741">
                        <c:v>61</c:v>
                      </c:pt>
                      <c:pt idx="5742">
                        <c:v>61</c:v>
                      </c:pt>
                      <c:pt idx="5743">
                        <c:v>61</c:v>
                      </c:pt>
                      <c:pt idx="5744">
                        <c:v>61</c:v>
                      </c:pt>
                      <c:pt idx="5745">
                        <c:v>61</c:v>
                      </c:pt>
                      <c:pt idx="5746">
                        <c:v>61</c:v>
                      </c:pt>
                      <c:pt idx="5747">
                        <c:v>61</c:v>
                      </c:pt>
                      <c:pt idx="5748">
                        <c:v>61</c:v>
                      </c:pt>
                      <c:pt idx="5749">
                        <c:v>61</c:v>
                      </c:pt>
                      <c:pt idx="5750">
                        <c:v>61</c:v>
                      </c:pt>
                      <c:pt idx="5751">
                        <c:v>61</c:v>
                      </c:pt>
                      <c:pt idx="5752">
                        <c:v>61</c:v>
                      </c:pt>
                      <c:pt idx="5753">
                        <c:v>61</c:v>
                      </c:pt>
                      <c:pt idx="5754">
                        <c:v>61</c:v>
                      </c:pt>
                      <c:pt idx="5755">
                        <c:v>61</c:v>
                      </c:pt>
                      <c:pt idx="5756">
                        <c:v>61</c:v>
                      </c:pt>
                      <c:pt idx="5757">
                        <c:v>61</c:v>
                      </c:pt>
                      <c:pt idx="5758">
                        <c:v>61</c:v>
                      </c:pt>
                      <c:pt idx="5759">
                        <c:v>61</c:v>
                      </c:pt>
                      <c:pt idx="5760">
                        <c:v>61</c:v>
                      </c:pt>
                      <c:pt idx="5761">
                        <c:v>61</c:v>
                      </c:pt>
                      <c:pt idx="5762">
                        <c:v>61</c:v>
                      </c:pt>
                      <c:pt idx="5763">
                        <c:v>61</c:v>
                      </c:pt>
                      <c:pt idx="5764">
                        <c:v>61</c:v>
                      </c:pt>
                      <c:pt idx="5765">
                        <c:v>61</c:v>
                      </c:pt>
                      <c:pt idx="5766">
                        <c:v>61</c:v>
                      </c:pt>
                      <c:pt idx="5767">
                        <c:v>61</c:v>
                      </c:pt>
                      <c:pt idx="5768">
                        <c:v>61</c:v>
                      </c:pt>
                      <c:pt idx="5769">
                        <c:v>61</c:v>
                      </c:pt>
                      <c:pt idx="5770">
                        <c:v>61</c:v>
                      </c:pt>
                      <c:pt idx="5771">
                        <c:v>61</c:v>
                      </c:pt>
                      <c:pt idx="5772">
                        <c:v>61</c:v>
                      </c:pt>
                      <c:pt idx="5773">
                        <c:v>61</c:v>
                      </c:pt>
                      <c:pt idx="5774">
                        <c:v>61</c:v>
                      </c:pt>
                      <c:pt idx="5829">
                        <c:v>62</c:v>
                      </c:pt>
                      <c:pt idx="5830">
                        <c:v>62</c:v>
                      </c:pt>
                      <c:pt idx="5831">
                        <c:v>62</c:v>
                      </c:pt>
                      <c:pt idx="5832">
                        <c:v>62</c:v>
                      </c:pt>
                      <c:pt idx="5833">
                        <c:v>62</c:v>
                      </c:pt>
                      <c:pt idx="5834">
                        <c:v>62</c:v>
                      </c:pt>
                      <c:pt idx="5835">
                        <c:v>62</c:v>
                      </c:pt>
                      <c:pt idx="5836">
                        <c:v>62</c:v>
                      </c:pt>
                      <c:pt idx="5837">
                        <c:v>62</c:v>
                      </c:pt>
                      <c:pt idx="5838">
                        <c:v>62</c:v>
                      </c:pt>
                      <c:pt idx="5839">
                        <c:v>62</c:v>
                      </c:pt>
                      <c:pt idx="5840">
                        <c:v>62</c:v>
                      </c:pt>
                      <c:pt idx="5841">
                        <c:v>62</c:v>
                      </c:pt>
                      <c:pt idx="5842">
                        <c:v>62</c:v>
                      </c:pt>
                      <c:pt idx="5843">
                        <c:v>62</c:v>
                      </c:pt>
                      <c:pt idx="5844">
                        <c:v>62</c:v>
                      </c:pt>
                      <c:pt idx="5845">
                        <c:v>62</c:v>
                      </c:pt>
                      <c:pt idx="5846">
                        <c:v>62</c:v>
                      </c:pt>
                      <c:pt idx="5847">
                        <c:v>62</c:v>
                      </c:pt>
                      <c:pt idx="5848">
                        <c:v>62</c:v>
                      </c:pt>
                      <c:pt idx="5849">
                        <c:v>62</c:v>
                      </c:pt>
                      <c:pt idx="5850">
                        <c:v>62</c:v>
                      </c:pt>
                      <c:pt idx="5851">
                        <c:v>62</c:v>
                      </c:pt>
                      <c:pt idx="5852">
                        <c:v>62</c:v>
                      </c:pt>
                      <c:pt idx="5853">
                        <c:v>62</c:v>
                      </c:pt>
                      <c:pt idx="5854">
                        <c:v>62</c:v>
                      </c:pt>
                      <c:pt idx="5855">
                        <c:v>62</c:v>
                      </c:pt>
                      <c:pt idx="5856">
                        <c:v>62</c:v>
                      </c:pt>
                      <c:pt idx="5857">
                        <c:v>62</c:v>
                      </c:pt>
                      <c:pt idx="5858">
                        <c:v>62</c:v>
                      </c:pt>
                      <c:pt idx="5859">
                        <c:v>62</c:v>
                      </c:pt>
                      <c:pt idx="5860">
                        <c:v>62</c:v>
                      </c:pt>
                      <c:pt idx="5861">
                        <c:v>62</c:v>
                      </c:pt>
                      <c:pt idx="5862">
                        <c:v>62</c:v>
                      </c:pt>
                      <c:pt idx="5863">
                        <c:v>62</c:v>
                      </c:pt>
                      <c:pt idx="5864">
                        <c:v>62</c:v>
                      </c:pt>
                      <c:pt idx="5865">
                        <c:v>62</c:v>
                      </c:pt>
                      <c:pt idx="5866">
                        <c:v>62</c:v>
                      </c:pt>
                      <c:pt idx="5867">
                        <c:v>62</c:v>
                      </c:pt>
                      <c:pt idx="5868">
                        <c:v>62</c:v>
                      </c:pt>
                      <c:pt idx="5869">
                        <c:v>62</c:v>
                      </c:pt>
                      <c:pt idx="5870">
                        <c:v>62</c:v>
                      </c:pt>
                      <c:pt idx="5871">
                        <c:v>62</c:v>
                      </c:pt>
                      <c:pt idx="5872">
                        <c:v>62</c:v>
                      </c:pt>
                      <c:pt idx="5873">
                        <c:v>62</c:v>
                      </c:pt>
                      <c:pt idx="5874">
                        <c:v>62</c:v>
                      </c:pt>
                      <c:pt idx="5875">
                        <c:v>62</c:v>
                      </c:pt>
                      <c:pt idx="5876">
                        <c:v>62</c:v>
                      </c:pt>
                      <c:pt idx="5877">
                        <c:v>62</c:v>
                      </c:pt>
                      <c:pt idx="5878">
                        <c:v>62</c:v>
                      </c:pt>
                      <c:pt idx="5879">
                        <c:v>62</c:v>
                      </c:pt>
                      <c:pt idx="5880">
                        <c:v>62</c:v>
                      </c:pt>
                      <c:pt idx="5881">
                        <c:v>62</c:v>
                      </c:pt>
                      <c:pt idx="5882">
                        <c:v>62</c:v>
                      </c:pt>
                      <c:pt idx="5883">
                        <c:v>62</c:v>
                      </c:pt>
                      <c:pt idx="5884">
                        <c:v>62</c:v>
                      </c:pt>
                      <c:pt idx="5885">
                        <c:v>62</c:v>
                      </c:pt>
                      <c:pt idx="5886">
                        <c:v>62</c:v>
                      </c:pt>
                      <c:pt idx="5887">
                        <c:v>62</c:v>
                      </c:pt>
                      <c:pt idx="5888">
                        <c:v>62</c:v>
                      </c:pt>
                      <c:pt idx="5889">
                        <c:v>62</c:v>
                      </c:pt>
                      <c:pt idx="5890">
                        <c:v>62</c:v>
                      </c:pt>
                      <c:pt idx="5891">
                        <c:v>62</c:v>
                      </c:pt>
                      <c:pt idx="5892">
                        <c:v>62</c:v>
                      </c:pt>
                      <c:pt idx="5893">
                        <c:v>62</c:v>
                      </c:pt>
                      <c:pt idx="5894">
                        <c:v>62</c:v>
                      </c:pt>
                      <c:pt idx="5895">
                        <c:v>62</c:v>
                      </c:pt>
                      <c:pt idx="5896">
                        <c:v>62</c:v>
                      </c:pt>
                      <c:pt idx="5897">
                        <c:v>62</c:v>
                      </c:pt>
                      <c:pt idx="5898">
                        <c:v>62</c:v>
                      </c:pt>
                      <c:pt idx="5899">
                        <c:v>62</c:v>
                      </c:pt>
                      <c:pt idx="5900">
                        <c:v>62</c:v>
                      </c:pt>
                      <c:pt idx="5901">
                        <c:v>62</c:v>
                      </c:pt>
                      <c:pt idx="5902">
                        <c:v>62</c:v>
                      </c:pt>
                      <c:pt idx="5903">
                        <c:v>62</c:v>
                      </c:pt>
                      <c:pt idx="5904">
                        <c:v>62</c:v>
                      </c:pt>
                      <c:pt idx="5905">
                        <c:v>62</c:v>
                      </c:pt>
                      <c:pt idx="5906">
                        <c:v>62</c:v>
                      </c:pt>
                      <c:pt idx="5907">
                        <c:v>62</c:v>
                      </c:pt>
                      <c:pt idx="5908">
                        <c:v>62</c:v>
                      </c:pt>
                      <c:pt idx="5946">
                        <c:v>63</c:v>
                      </c:pt>
                      <c:pt idx="5947">
                        <c:v>63</c:v>
                      </c:pt>
                      <c:pt idx="5948">
                        <c:v>63</c:v>
                      </c:pt>
                      <c:pt idx="5949">
                        <c:v>63</c:v>
                      </c:pt>
                      <c:pt idx="5950">
                        <c:v>63</c:v>
                      </c:pt>
                      <c:pt idx="5951">
                        <c:v>63</c:v>
                      </c:pt>
                      <c:pt idx="5952">
                        <c:v>63</c:v>
                      </c:pt>
                      <c:pt idx="5953">
                        <c:v>63</c:v>
                      </c:pt>
                      <c:pt idx="5954">
                        <c:v>63</c:v>
                      </c:pt>
                      <c:pt idx="5955">
                        <c:v>63</c:v>
                      </c:pt>
                      <c:pt idx="5956">
                        <c:v>63</c:v>
                      </c:pt>
                      <c:pt idx="5957">
                        <c:v>63</c:v>
                      </c:pt>
                      <c:pt idx="5958">
                        <c:v>63</c:v>
                      </c:pt>
                      <c:pt idx="5959">
                        <c:v>63</c:v>
                      </c:pt>
                      <c:pt idx="5960">
                        <c:v>63</c:v>
                      </c:pt>
                      <c:pt idx="5961">
                        <c:v>63</c:v>
                      </c:pt>
                      <c:pt idx="5962">
                        <c:v>63</c:v>
                      </c:pt>
                      <c:pt idx="5963">
                        <c:v>63</c:v>
                      </c:pt>
                      <c:pt idx="6011">
                        <c:v>64</c:v>
                      </c:pt>
                      <c:pt idx="6012">
                        <c:v>64</c:v>
                      </c:pt>
                      <c:pt idx="6013">
                        <c:v>64</c:v>
                      </c:pt>
                      <c:pt idx="6014">
                        <c:v>64</c:v>
                      </c:pt>
                      <c:pt idx="6015">
                        <c:v>64</c:v>
                      </c:pt>
                      <c:pt idx="6016">
                        <c:v>64</c:v>
                      </c:pt>
                      <c:pt idx="6017">
                        <c:v>64</c:v>
                      </c:pt>
                      <c:pt idx="6018">
                        <c:v>64</c:v>
                      </c:pt>
                      <c:pt idx="6019">
                        <c:v>64</c:v>
                      </c:pt>
                      <c:pt idx="6020">
                        <c:v>64</c:v>
                      </c:pt>
                      <c:pt idx="6021">
                        <c:v>64</c:v>
                      </c:pt>
                      <c:pt idx="6022">
                        <c:v>64</c:v>
                      </c:pt>
                      <c:pt idx="6023">
                        <c:v>64</c:v>
                      </c:pt>
                      <c:pt idx="6024">
                        <c:v>64</c:v>
                      </c:pt>
                      <c:pt idx="6025">
                        <c:v>64</c:v>
                      </c:pt>
                      <c:pt idx="6026">
                        <c:v>64</c:v>
                      </c:pt>
                      <c:pt idx="6027">
                        <c:v>64</c:v>
                      </c:pt>
                      <c:pt idx="6028">
                        <c:v>64</c:v>
                      </c:pt>
                      <c:pt idx="6029">
                        <c:v>64</c:v>
                      </c:pt>
                      <c:pt idx="6030">
                        <c:v>64</c:v>
                      </c:pt>
                      <c:pt idx="6031">
                        <c:v>64</c:v>
                      </c:pt>
                      <c:pt idx="6032">
                        <c:v>64</c:v>
                      </c:pt>
                      <c:pt idx="6033">
                        <c:v>64</c:v>
                      </c:pt>
                      <c:pt idx="6034">
                        <c:v>64</c:v>
                      </c:pt>
                      <c:pt idx="6035">
                        <c:v>64</c:v>
                      </c:pt>
                      <c:pt idx="6036">
                        <c:v>64</c:v>
                      </c:pt>
                      <c:pt idx="6037">
                        <c:v>64</c:v>
                      </c:pt>
                      <c:pt idx="6063">
                        <c:v>65</c:v>
                      </c:pt>
                      <c:pt idx="6064">
                        <c:v>65</c:v>
                      </c:pt>
                      <c:pt idx="6065">
                        <c:v>65</c:v>
                      </c:pt>
                      <c:pt idx="6066">
                        <c:v>65</c:v>
                      </c:pt>
                      <c:pt idx="6067">
                        <c:v>65</c:v>
                      </c:pt>
                      <c:pt idx="6068">
                        <c:v>65</c:v>
                      </c:pt>
                      <c:pt idx="6069">
                        <c:v>65</c:v>
                      </c:pt>
                      <c:pt idx="6070">
                        <c:v>65</c:v>
                      </c:pt>
                      <c:pt idx="6071">
                        <c:v>65</c:v>
                      </c:pt>
                      <c:pt idx="6072">
                        <c:v>65</c:v>
                      </c:pt>
                      <c:pt idx="6073">
                        <c:v>65</c:v>
                      </c:pt>
                      <c:pt idx="6074">
                        <c:v>65</c:v>
                      </c:pt>
                      <c:pt idx="6075">
                        <c:v>65</c:v>
                      </c:pt>
                      <c:pt idx="6076">
                        <c:v>65</c:v>
                      </c:pt>
                      <c:pt idx="6077">
                        <c:v>65</c:v>
                      </c:pt>
                      <c:pt idx="6078">
                        <c:v>65</c:v>
                      </c:pt>
                      <c:pt idx="6079">
                        <c:v>65</c:v>
                      </c:pt>
                      <c:pt idx="6080">
                        <c:v>65</c:v>
                      </c:pt>
                      <c:pt idx="6081">
                        <c:v>65</c:v>
                      </c:pt>
                      <c:pt idx="6082">
                        <c:v>65</c:v>
                      </c:pt>
                      <c:pt idx="6083">
                        <c:v>65</c:v>
                      </c:pt>
                      <c:pt idx="6084">
                        <c:v>65</c:v>
                      </c:pt>
                      <c:pt idx="6085">
                        <c:v>65</c:v>
                      </c:pt>
                      <c:pt idx="6086">
                        <c:v>65</c:v>
                      </c:pt>
                      <c:pt idx="6087">
                        <c:v>65</c:v>
                      </c:pt>
                      <c:pt idx="6088">
                        <c:v>65</c:v>
                      </c:pt>
                      <c:pt idx="6089">
                        <c:v>65</c:v>
                      </c:pt>
                      <c:pt idx="6090">
                        <c:v>65</c:v>
                      </c:pt>
                      <c:pt idx="6091">
                        <c:v>65</c:v>
                      </c:pt>
                      <c:pt idx="6092">
                        <c:v>65</c:v>
                      </c:pt>
                      <c:pt idx="6093">
                        <c:v>65</c:v>
                      </c:pt>
                      <c:pt idx="6094">
                        <c:v>65</c:v>
                      </c:pt>
                      <c:pt idx="6095">
                        <c:v>65</c:v>
                      </c:pt>
                      <c:pt idx="6096">
                        <c:v>65</c:v>
                      </c:pt>
                      <c:pt idx="6097">
                        <c:v>65</c:v>
                      </c:pt>
                      <c:pt idx="6098">
                        <c:v>65</c:v>
                      </c:pt>
                      <c:pt idx="6099">
                        <c:v>65</c:v>
                      </c:pt>
                      <c:pt idx="6100">
                        <c:v>65</c:v>
                      </c:pt>
                      <c:pt idx="6146">
                        <c:v>66</c:v>
                      </c:pt>
                      <c:pt idx="6147">
                        <c:v>66</c:v>
                      </c:pt>
                      <c:pt idx="6148">
                        <c:v>66</c:v>
                      </c:pt>
                      <c:pt idx="6149">
                        <c:v>66</c:v>
                      </c:pt>
                      <c:pt idx="6150">
                        <c:v>66</c:v>
                      </c:pt>
                      <c:pt idx="6151">
                        <c:v>66</c:v>
                      </c:pt>
                      <c:pt idx="6152">
                        <c:v>66</c:v>
                      </c:pt>
                      <c:pt idx="6153">
                        <c:v>66</c:v>
                      </c:pt>
                      <c:pt idx="6154">
                        <c:v>66</c:v>
                      </c:pt>
                      <c:pt idx="6324">
                        <c:v>67</c:v>
                      </c:pt>
                      <c:pt idx="6325">
                        <c:v>67</c:v>
                      </c:pt>
                      <c:pt idx="6326">
                        <c:v>67</c:v>
                      </c:pt>
                      <c:pt idx="6327">
                        <c:v>67</c:v>
                      </c:pt>
                      <c:pt idx="6328">
                        <c:v>67</c:v>
                      </c:pt>
                      <c:pt idx="6329">
                        <c:v>67</c:v>
                      </c:pt>
                      <c:pt idx="6330">
                        <c:v>67</c:v>
                      </c:pt>
                      <c:pt idx="6331">
                        <c:v>67</c:v>
                      </c:pt>
                      <c:pt idx="6332">
                        <c:v>67</c:v>
                      </c:pt>
                      <c:pt idx="6333">
                        <c:v>67</c:v>
                      </c:pt>
                      <c:pt idx="6334">
                        <c:v>67</c:v>
                      </c:pt>
                      <c:pt idx="6335">
                        <c:v>67</c:v>
                      </c:pt>
                      <c:pt idx="6336">
                        <c:v>67</c:v>
                      </c:pt>
                      <c:pt idx="6337">
                        <c:v>67</c:v>
                      </c:pt>
                      <c:pt idx="6338">
                        <c:v>67</c:v>
                      </c:pt>
                      <c:pt idx="6339">
                        <c:v>67</c:v>
                      </c:pt>
                      <c:pt idx="6340">
                        <c:v>67</c:v>
                      </c:pt>
                      <c:pt idx="6341">
                        <c:v>67</c:v>
                      </c:pt>
                      <c:pt idx="6342">
                        <c:v>67</c:v>
                      </c:pt>
                      <c:pt idx="6343">
                        <c:v>67</c:v>
                      </c:pt>
                      <c:pt idx="6344">
                        <c:v>67</c:v>
                      </c:pt>
                      <c:pt idx="6345">
                        <c:v>67</c:v>
                      </c:pt>
                      <c:pt idx="6346">
                        <c:v>67</c:v>
                      </c:pt>
                      <c:pt idx="6347">
                        <c:v>67</c:v>
                      </c:pt>
                      <c:pt idx="6348">
                        <c:v>67</c:v>
                      </c:pt>
                      <c:pt idx="6349">
                        <c:v>67</c:v>
                      </c:pt>
                      <c:pt idx="6350">
                        <c:v>67</c:v>
                      </c:pt>
                      <c:pt idx="6351">
                        <c:v>67</c:v>
                      </c:pt>
                      <c:pt idx="6352">
                        <c:v>67</c:v>
                      </c:pt>
                      <c:pt idx="6353">
                        <c:v>67</c:v>
                      </c:pt>
                      <c:pt idx="6354">
                        <c:v>67</c:v>
                      </c:pt>
                      <c:pt idx="6355">
                        <c:v>67</c:v>
                      </c:pt>
                      <c:pt idx="6356">
                        <c:v>67</c:v>
                      </c:pt>
                      <c:pt idx="6357">
                        <c:v>67</c:v>
                      </c:pt>
                      <c:pt idx="6358">
                        <c:v>67</c:v>
                      </c:pt>
                      <c:pt idx="6359">
                        <c:v>67</c:v>
                      </c:pt>
                      <c:pt idx="6360">
                        <c:v>67</c:v>
                      </c:pt>
                      <c:pt idx="6361">
                        <c:v>67</c:v>
                      </c:pt>
                      <c:pt idx="6362">
                        <c:v>67</c:v>
                      </c:pt>
                      <c:pt idx="6406">
                        <c:v>68</c:v>
                      </c:pt>
                      <c:pt idx="6407">
                        <c:v>68</c:v>
                      </c:pt>
                      <c:pt idx="6408">
                        <c:v>68</c:v>
                      </c:pt>
                      <c:pt idx="6409">
                        <c:v>68</c:v>
                      </c:pt>
                      <c:pt idx="6410">
                        <c:v>68</c:v>
                      </c:pt>
                      <c:pt idx="6411">
                        <c:v>68</c:v>
                      </c:pt>
                      <c:pt idx="6412">
                        <c:v>68</c:v>
                      </c:pt>
                      <c:pt idx="6413">
                        <c:v>68</c:v>
                      </c:pt>
                      <c:pt idx="6414">
                        <c:v>68</c:v>
                      </c:pt>
                      <c:pt idx="6415">
                        <c:v>68</c:v>
                      </c:pt>
                      <c:pt idx="6416">
                        <c:v>68</c:v>
                      </c:pt>
                      <c:pt idx="6466">
                        <c:v>69</c:v>
                      </c:pt>
                      <c:pt idx="6467">
                        <c:v>69</c:v>
                      </c:pt>
                      <c:pt idx="6468">
                        <c:v>69</c:v>
                      </c:pt>
                      <c:pt idx="6469">
                        <c:v>69</c:v>
                      </c:pt>
                      <c:pt idx="6470">
                        <c:v>69</c:v>
                      </c:pt>
                      <c:pt idx="6471">
                        <c:v>69</c:v>
                      </c:pt>
                      <c:pt idx="6472">
                        <c:v>69</c:v>
                      </c:pt>
                      <c:pt idx="6473">
                        <c:v>69</c:v>
                      </c:pt>
                      <c:pt idx="6474">
                        <c:v>69</c:v>
                      </c:pt>
                      <c:pt idx="6475">
                        <c:v>69</c:v>
                      </c:pt>
                      <c:pt idx="6476">
                        <c:v>69</c:v>
                      </c:pt>
                      <c:pt idx="6477">
                        <c:v>69</c:v>
                      </c:pt>
                      <c:pt idx="6478">
                        <c:v>69</c:v>
                      </c:pt>
                      <c:pt idx="6479">
                        <c:v>69</c:v>
                      </c:pt>
                      <c:pt idx="6480">
                        <c:v>69</c:v>
                      </c:pt>
                      <c:pt idx="6481">
                        <c:v>69</c:v>
                      </c:pt>
                      <c:pt idx="6482">
                        <c:v>69</c:v>
                      </c:pt>
                      <c:pt idx="6483">
                        <c:v>69</c:v>
                      </c:pt>
                      <c:pt idx="6484">
                        <c:v>69</c:v>
                      </c:pt>
                      <c:pt idx="6485">
                        <c:v>69</c:v>
                      </c:pt>
                      <c:pt idx="6486">
                        <c:v>69</c:v>
                      </c:pt>
                      <c:pt idx="6487">
                        <c:v>69</c:v>
                      </c:pt>
                      <c:pt idx="6762">
                        <c:v>70</c:v>
                      </c:pt>
                      <c:pt idx="6763">
                        <c:v>70</c:v>
                      </c:pt>
                      <c:pt idx="6764">
                        <c:v>70</c:v>
                      </c:pt>
                      <c:pt idx="6765">
                        <c:v>70</c:v>
                      </c:pt>
                      <c:pt idx="6766">
                        <c:v>70</c:v>
                      </c:pt>
                      <c:pt idx="6767">
                        <c:v>70</c:v>
                      </c:pt>
                      <c:pt idx="6768">
                        <c:v>70</c:v>
                      </c:pt>
                      <c:pt idx="6769">
                        <c:v>70</c:v>
                      </c:pt>
                      <c:pt idx="6770">
                        <c:v>70</c:v>
                      </c:pt>
                      <c:pt idx="6771">
                        <c:v>70</c:v>
                      </c:pt>
                      <c:pt idx="6772">
                        <c:v>70</c:v>
                      </c:pt>
                      <c:pt idx="6773">
                        <c:v>70</c:v>
                      </c:pt>
                      <c:pt idx="6774">
                        <c:v>70</c:v>
                      </c:pt>
                      <c:pt idx="6775">
                        <c:v>70</c:v>
                      </c:pt>
                      <c:pt idx="6776">
                        <c:v>70</c:v>
                      </c:pt>
                      <c:pt idx="6777">
                        <c:v>70</c:v>
                      </c:pt>
                      <c:pt idx="6778">
                        <c:v>70</c:v>
                      </c:pt>
                      <c:pt idx="6779">
                        <c:v>70</c:v>
                      </c:pt>
                      <c:pt idx="6780">
                        <c:v>70</c:v>
                      </c:pt>
                      <c:pt idx="6781">
                        <c:v>70</c:v>
                      </c:pt>
                      <c:pt idx="6782">
                        <c:v>70</c:v>
                      </c:pt>
                      <c:pt idx="6783">
                        <c:v>70</c:v>
                      </c:pt>
                      <c:pt idx="6784">
                        <c:v>70</c:v>
                      </c:pt>
                      <c:pt idx="6785">
                        <c:v>70</c:v>
                      </c:pt>
                      <c:pt idx="6786">
                        <c:v>70</c:v>
                      </c:pt>
                      <c:pt idx="6787">
                        <c:v>70</c:v>
                      </c:pt>
                      <c:pt idx="6788">
                        <c:v>70</c:v>
                      </c:pt>
                      <c:pt idx="6789">
                        <c:v>70</c:v>
                      </c:pt>
                      <c:pt idx="6790">
                        <c:v>70</c:v>
                      </c:pt>
                      <c:pt idx="6791">
                        <c:v>70</c:v>
                      </c:pt>
                      <c:pt idx="6792">
                        <c:v>70</c:v>
                      </c:pt>
                      <c:pt idx="6793">
                        <c:v>70</c:v>
                      </c:pt>
                      <c:pt idx="6794">
                        <c:v>70</c:v>
                      </c:pt>
                      <c:pt idx="6795">
                        <c:v>70</c:v>
                      </c:pt>
                      <c:pt idx="6858">
                        <c:v>71</c:v>
                      </c:pt>
                      <c:pt idx="6859">
                        <c:v>71</c:v>
                      </c:pt>
                      <c:pt idx="6860">
                        <c:v>71</c:v>
                      </c:pt>
                      <c:pt idx="6861">
                        <c:v>71</c:v>
                      </c:pt>
                      <c:pt idx="6862">
                        <c:v>71</c:v>
                      </c:pt>
                      <c:pt idx="6863">
                        <c:v>71</c:v>
                      </c:pt>
                      <c:pt idx="6864">
                        <c:v>71</c:v>
                      </c:pt>
                      <c:pt idx="6865">
                        <c:v>71</c:v>
                      </c:pt>
                      <c:pt idx="6866">
                        <c:v>71</c:v>
                      </c:pt>
                      <c:pt idx="6867">
                        <c:v>71</c:v>
                      </c:pt>
                      <c:pt idx="6868">
                        <c:v>71</c:v>
                      </c:pt>
                      <c:pt idx="6869">
                        <c:v>71</c:v>
                      </c:pt>
                      <c:pt idx="6870">
                        <c:v>71</c:v>
                      </c:pt>
                      <c:pt idx="6871">
                        <c:v>71</c:v>
                      </c:pt>
                      <c:pt idx="6872">
                        <c:v>71</c:v>
                      </c:pt>
                      <c:pt idx="6873">
                        <c:v>71</c:v>
                      </c:pt>
                      <c:pt idx="6874">
                        <c:v>71</c:v>
                      </c:pt>
                      <c:pt idx="6875">
                        <c:v>71</c:v>
                      </c:pt>
                      <c:pt idx="6876">
                        <c:v>71</c:v>
                      </c:pt>
                      <c:pt idx="6877">
                        <c:v>71</c:v>
                      </c:pt>
                      <c:pt idx="6878">
                        <c:v>71</c:v>
                      </c:pt>
                      <c:pt idx="6879">
                        <c:v>71</c:v>
                      </c:pt>
                      <c:pt idx="6880">
                        <c:v>71</c:v>
                      </c:pt>
                      <c:pt idx="6881">
                        <c:v>71</c:v>
                      </c:pt>
                      <c:pt idx="6882">
                        <c:v>71</c:v>
                      </c:pt>
                      <c:pt idx="6883">
                        <c:v>71</c:v>
                      </c:pt>
                      <c:pt idx="6884">
                        <c:v>71</c:v>
                      </c:pt>
                      <c:pt idx="6885">
                        <c:v>71</c:v>
                      </c:pt>
                      <c:pt idx="6886">
                        <c:v>71</c:v>
                      </c:pt>
                      <c:pt idx="6887">
                        <c:v>71</c:v>
                      </c:pt>
                      <c:pt idx="6888">
                        <c:v>71</c:v>
                      </c:pt>
                      <c:pt idx="6889">
                        <c:v>71</c:v>
                      </c:pt>
                      <c:pt idx="6890">
                        <c:v>71</c:v>
                      </c:pt>
                      <c:pt idx="6891">
                        <c:v>71</c:v>
                      </c:pt>
                      <c:pt idx="7089">
                        <c:v>72</c:v>
                      </c:pt>
                      <c:pt idx="7090">
                        <c:v>72</c:v>
                      </c:pt>
                      <c:pt idx="7091">
                        <c:v>72</c:v>
                      </c:pt>
                      <c:pt idx="7092">
                        <c:v>72</c:v>
                      </c:pt>
                      <c:pt idx="7093">
                        <c:v>72</c:v>
                      </c:pt>
                      <c:pt idx="7094">
                        <c:v>72</c:v>
                      </c:pt>
                      <c:pt idx="7095">
                        <c:v>72</c:v>
                      </c:pt>
                      <c:pt idx="7132">
                        <c:v>73</c:v>
                      </c:pt>
                      <c:pt idx="7133">
                        <c:v>73</c:v>
                      </c:pt>
                      <c:pt idx="7134">
                        <c:v>73</c:v>
                      </c:pt>
                      <c:pt idx="7135">
                        <c:v>73</c:v>
                      </c:pt>
                      <c:pt idx="7136">
                        <c:v>73</c:v>
                      </c:pt>
                      <c:pt idx="7137">
                        <c:v>73</c:v>
                      </c:pt>
                      <c:pt idx="7138">
                        <c:v>73</c:v>
                      </c:pt>
                      <c:pt idx="7139">
                        <c:v>73</c:v>
                      </c:pt>
                      <c:pt idx="7140">
                        <c:v>73</c:v>
                      </c:pt>
                      <c:pt idx="7141">
                        <c:v>73</c:v>
                      </c:pt>
                      <c:pt idx="7142">
                        <c:v>73</c:v>
                      </c:pt>
                      <c:pt idx="7143">
                        <c:v>73</c:v>
                      </c:pt>
                      <c:pt idx="7144">
                        <c:v>73</c:v>
                      </c:pt>
                      <c:pt idx="7145">
                        <c:v>73</c:v>
                      </c:pt>
                      <c:pt idx="7146">
                        <c:v>73</c:v>
                      </c:pt>
                      <c:pt idx="7147">
                        <c:v>73</c:v>
                      </c:pt>
                      <c:pt idx="7148">
                        <c:v>73</c:v>
                      </c:pt>
                      <c:pt idx="7149">
                        <c:v>73</c:v>
                      </c:pt>
                      <c:pt idx="7150">
                        <c:v>73</c:v>
                      </c:pt>
                      <c:pt idx="7151">
                        <c:v>73</c:v>
                      </c:pt>
                      <c:pt idx="7152">
                        <c:v>73</c:v>
                      </c:pt>
                      <c:pt idx="7153">
                        <c:v>73</c:v>
                      </c:pt>
                      <c:pt idx="7154">
                        <c:v>73</c:v>
                      </c:pt>
                      <c:pt idx="7155">
                        <c:v>73</c:v>
                      </c:pt>
                      <c:pt idx="7156">
                        <c:v>73</c:v>
                      </c:pt>
                      <c:pt idx="7157">
                        <c:v>73</c:v>
                      </c:pt>
                      <c:pt idx="7158">
                        <c:v>73</c:v>
                      </c:pt>
                      <c:pt idx="7159">
                        <c:v>73</c:v>
                      </c:pt>
                      <c:pt idx="7160">
                        <c:v>73</c:v>
                      </c:pt>
                      <c:pt idx="7161">
                        <c:v>73</c:v>
                      </c:pt>
                      <c:pt idx="7162">
                        <c:v>73</c:v>
                      </c:pt>
                      <c:pt idx="7163">
                        <c:v>73</c:v>
                      </c:pt>
                      <c:pt idx="7164">
                        <c:v>73</c:v>
                      </c:pt>
                      <c:pt idx="7165">
                        <c:v>73</c:v>
                      </c:pt>
                      <c:pt idx="7166">
                        <c:v>73</c:v>
                      </c:pt>
                      <c:pt idx="7167">
                        <c:v>73</c:v>
                      </c:pt>
                      <c:pt idx="7168">
                        <c:v>73</c:v>
                      </c:pt>
                      <c:pt idx="7169">
                        <c:v>73</c:v>
                      </c:pt>
                      <c:pt idx="7170">
                        <c:v>73</c:v>
                      </c:pt>
                      <c:pt idx="7171">
                        <c:v>73</c:v>
                      </c:pt>
                      <c:pt idx="7172">
                        <c:v>73</c:v>
                      </c:pt>
                      <c:pt idx="7173">
                        <c:v>73</c:v>
                      </c:pt>
                      <c:pt idx="7174">
                        <c:v>73</c:v>
                      </c:pt>
                      <c:pt idx="7175">
                        <c:v>73</c:v>
                      </c:pt>
                      <c:pt idx="7176">
                        <c:v>73</c:v>
                      </c:pt>
                      <c:pt idx="7177">
                        <c:v>73</c:v>
                      </c:pt>
                      <c:pt idx="7178">
                        <c:v>73</c:v>
                      </c:pt>
                      <c:pt idx="7204">
                        <c:v>74</c:v>
                      </c:pt>
                      <c:pt idx="7205">
                        <c:v>74</c:v>
                      </c:pt>
                      <c:pt idx="7206">
                        <c:v>74</c:v>
                      </c:pt>
                      <c:pt idx="7207">
                        <c:v>74</c:v>
                      </c:pt>
                      <c:pt idx="7208">
                        <c:v>74</c:v>
                      </c:pt>
                      <c:pt idx="7209">
                        <c:v>74</c:v>
                      </c:pt>
                      <c:pt idx="7210">
                        <c:v>74</c:v>
                      </c:pt>
                      <c:pt idx="7211">
                        <c:v>74</c:v>
                      </c:pt>
                      <c:pt idx="7212">
                        <c:v>74</c:v>
                      </c:pt>
                      <c:pt idx="7213">
                        <c:v>74</c:v>
                      </c:pt>
                      <c:pt idx="7214">
                        <c:v>74</c:v>
                      </c:pt>
                      <c:pt idx="7338">
                        <c:v>75</c:v>
                      </c:pt>
                      <c:pt idx="7339">
                        <c:v>75</c:v>
                      </c:pt>
                      <c:pt idx="7340">
                        <c:v>75</c:v>
                      </c:pt>
                      <c:pt idx="7341">
                        <c:v>75</c:v>
                      </c:pt>
                      <c:pt idx="7342">
                        <c:v>75</c:v>
                      </c:pt>
                      <c:pt idx="7343">
                        <c:v>75</c:v>
                      </c:pt>
                      <c:pt idx="7344">
                        <c:v>75</c:v>
                      </c:pt>
                      <c:pt idx="7345">
                        <c:v>75</c:v>
                      </c:pt>
                      <c:pt idx="7346">
                        <c:v>75</c:v>
                      </c:pt>
                      <c:pt idx="7347">
                        <c:v>75</c:v>
                      </c:pt>
                      <c:pt idx="7348">
                        <c:v>75</c:v>
                      </c:pt>
                      <c:pt idx="7349">
                        <c:v>75</c:v>
                      </c:pt>
                      <c:pt idx="7350">
                        <c:v>75</c:v>
                      </c:pt>
                      <c:pt idx="7351">
                        <c:v>75</c:v>
                      </c:pt>
                      <c:pt idx="7352">
                        <c:v>75</c:v>
                      </c:pt>
                      <c:pt idx="7353">
                        <c:v>75</c:v>
                      </c:pt>
                      <c:pt idx="7354">
                        <c:v>75</c:v>
                      </c:pt>
                      <c:pt idx="7355">
                        <c:v>75</c:v>
                      </c:pt>
                      <c:pt idx="7356">
                        <c:v>75</c:v>
                      </c:pt>
                      <c:pt idx="7357">
                        <c:v>75</c:v>
                      </c:pt>
                      <c:pt idx="7365">
                        <c:v>76</c:v>
                      </c:pt>
                      <c:pt idx="7366">
                        <c:v>76</c:v>
                      </c:pt>
                      <c:pt idx="7367">
                        <c:v>76</c:v>
                      </c:pt>
                      <c:pt idx="7368">
                        <c:v>76</c:v>
                      </c:pt>
                      <c:pt idx="7369">
                        <c:v>76</c:v>
                      </c:pt>
                      <c:pt idx="7370">
                        <c:v>76</c:v>
                      </c:pt>
                      <c:pt idx="7371">
                        <c:v>76</c:v>
                      </c:pt>
                      <c:pt idx="7372">
                        <c:v>76</c:v>
                      </c:pt>
                      <c:pt idx="7373">
                        <c:v>76</c:v>
                      </c:pt>
                      <c:pt idx="7374">
                        <c:v>76</c:v>
                      </c:pt>
                      <c:pt idx="7375">
                        <c:v>76</c:v>
                      </c:pt>
                      <c:pt idx="7376">
                        <c:v>76</c:v>
                      </c:pt>
                      <c:pt idx="7377">
                        <c:v>76</c:v>
                      </c:pt>
                      <c:pt idx="7378">
                        <c:v>76</c:v>
                      </c:pt>
                      <c:pt idx="7379">
                        <c:v>76</c:v>
                      </c:pt>
                      <c:pt idx="7380">
                        <c:v>76</c:v>
                      </c:pt>
                      <c:pt idx="7381">
                        <c:v>76</c:v>
                      </c:pt>
                      <c:pt idx="7382">
                        <c:v>76</c:v>
                      </c:pt>
                      <c:pt idx="7383">
                        <c:v>76</c:v>
                      </c:pt>
                      <c:pt idx="7384">
                        <c:v>76</c:v>
                      </c:pt>
                      <c:pt idx="7385">
                        <c:v>76</c:v>
                      </c:pt>
                      <c:pt idx="7386">
                        <c:v>76</c:v>
                      </c:pt>
                      <c:pt idx="7387">
                        <c:v>76</c:v>
                      </c:pt>
                      <c:pt idx="7388">
                        <c:v>76</c:v>
                      </c:pt>
                      <c:pt idx="7389">
                        <c:v>76</c:v>
                      </c:pt>
                      <c:pt idx="7390">
                        <c:v>76</c:v>
                      </c:pt>
                      <c:pt idx="7391">
                        <c:v>76</c:v>
                      </c:pt>
                      <c:pt idx="7392">
                        <c:v>76</c:v>
                      </c:pt>
                      <c:pt idx="7393">
                        <c:v>76</c:v>
                      </c:pt>
                      <c:pt idx="7394">
                        <c:v>76</c:v>
                      </c:pt>
                      <c:pt idx="7395">
                        <c:v>76</c:v>
                      </c:pt>
                      <c:pt idx="7396">
                        <c:v>76</c:v>
                      </c:pt>
                      <c:pt idx="7397">
                        <c:v>76</c:v>
                      </c:pt>
                      <c:pt idx="7398">
                        <c:v>76</c:v>
                      </c:pt>
                      <c:pt idx="7399">
                        <c:v>76</c:v>
                      </c:pt>
                      <c:pt idx="7400">
                        <c:v>76</c:v>
                      </c:pt>
                      <c:pt idx="7401">
                        <c:v>76</c:v>
                      </c:pt>
                      <c:pt idx="7402">
                        <c:v>76</c:v>
                      </c:pt>
                      <c:pt idx="7403">
                        <c:v>76</c:v>
                      </c:pt>
                      <c:pt idx="7404">
                        <c:v>76</c:v>
                      </c:pt>
                      <c:pt idx="7405">
                        <c:v>76</c:v>
                      </c:pt>
                      <c:pt idx="7406">
                        <c:v>76</c:v>
                      </c:pt>
                      <c:pt idx="7407">
                        <c:v>76</c:v>
                      </c:pt>
                      <c:pt idx="7408">
                        <c:v>76</c:v>
                      </c:pt>
                      <c:pt idx="7409">
                        <c:v>76</c:v>
                      </c:pt>
                      <c:pt idx="7410">
                        <c:v>76</c:v>
                      </c:pt>
                      <c:pt idx="7411">
                        <c:v>76</c:v>
                      </c:pt>
                      <c:pt idx="7412">
                        <c:v>76</c:v>
                      </c:pt>
                      <c:pt idx="7413">
                        <c:v>76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8146-4C75-BFBE-F132244D9FDF}"/>
                  </c:ext>
                </c:extLst>
              </c15:ser>
            </c15:filteredScatterSeries>
          </c:ext>
        </c:extLst>
      </c:scatterChart>
      <c:valAx>
        <c:axId val="971638927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41839"/>
        <c:crosses val="autoZero"/>
        <c:crossBetween val="midCat"/>
      </c:valAx>
      <c:valAx>
        <c:axId val="971641839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3892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020737949940357E-2"/>
          <c:y val="0.80764551894699788"/>
          <c:w val="0.9647964917200611"/>
          <c:h val="0.16049954558641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1904449170906"/>
          <c:y val="0.1776349028736505"/>
          <c:w val="0.83859462405739316"/>
          <c:h val="0.23246743082440385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transpose!$O$1</c:f>
              <c:strCache>
                <c:ptCount val="1"/>
                <c:pt idx="0">
                  <c:v>B_Eszik1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transpose!$O$2:$O$7686</c:f>
              <c:numCache>
                <c:formatCode>General</c:formatCode>
                <c:ptCount val="7685"/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7-4DCC-8B83-C2E980DF1D8E}"/>
            </c:ext>
          </c:extLst>
        </c:ser>
        <c:ser>
          <c:idx val="1"/>
          <c:order val="1"/>
          <c:tx>
            <c:strRef>
              <c:f>transpose!$Q$1</c:f>
              <c:strCache>
                <c:ptCount val="1"/>
                <c:pt idx="0">
                  <c:v>B_Eszik2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transpose!$Q$2:$Q$7686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7-4DCC-8B83-C2E980DF1D8E}"/>
            </c:ext>
          </c:extLst>
        </c:ser>
        <c:ser>
          <c:idx val="2"/>
          <c:order val="2"/>
          <c:tx>
            <c:strRef>
              <c:f>transpose!$S$1</c:f>
              <c:strCache>
                <c:ptCount val="1"/>
                <c:pt idx="0">
                  <c:v>B_Eszik3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transpose!$S$2:$S$7686</c:f>
              <c:numCache>
                <c:formatCode>General</c:formatCode>
                <c:ptCount val="7685"/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97-4DCC-8B83-C2E980DF1D8E}"/>
            </c:ext>
          </c:extLst>
        </c:ser>
        <c:ser>
          <c:idx val="3"/>
          <c:order val="3"/>
          <c:tx>
            <c:strRef>
              <c:f>transpose!$U$1</c:f>
              <c:strCache>
                <c:ptCount val="1"/>
                <c:pt idx="0">
                  <c:v>B_Eszik4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transpose!$U$2:$U$7686</c:f>
              <c:numCache>
                <c:formatCode>General</c:formatCode>
                <c:ptCount val="7685"/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97-4DCC-8B83-C2E980DF1D8E}"/>
            </c:ext>
          </c:extLst>
        </c:ser>
        <c:ser>
          <c:idx val="4"/>
          <c:order val="4"/>
          <c:tx>
            <c:strRef>
              <c:f>transpose!$W$1</c:f>
              <c:strCache>
                <c:ptCount val="1"/>
                <c:pt idx="0">
                  <c:v>B_Eszik5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transpose!$W$2:$W$7686</c:f>
              <c:numCache>
                <c:formatCode>General</c:formatCode>
                <c:ptCount val="7685"/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97-4DCC-8B83-C2E980DF1D8E}"/>
            </c:ext>
          </c:extLst>
        </c:ser>
        <c:ser>
          <c:idx val="5"/>
          <c:order val="5"/>
          <c:tx>
            <c:strRef>
              <c:f>transpose!$Y$1</c:f>
              <c:strCache>
                <c:ptCount val="1"/>
                <c:pt idx="0">
                  <c:v>B_Eszik6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transpose!$Y$2:$Y$7686</c:f>
              <c:numCache>
                <c:formatCode>General</c:formatCode>
                <c:ptCount val="7685"/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97-4DCC-8B83-C2E980DF1D8E}"/>
            </c:ext>
          </c:extLst>
        </c:ser>
        <c:ser>
          <c:idx val="6"/>
          <c:order val="6"/>
          <c:tx>
            <c:strRef>
              <c:f>transpose!$AA$1</c:f>
              <c:strCache>
                <c:ptCount val="1"/>
                <c:pt idx="0">
                  <c:v>B_Eszik7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transpose!$AA$2:$AA$7686</c:f>
              <c:numCache>
                <c:formatCode>General</c:formatCode>
                <c:ptCount val="7685"/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97-4DCC-8B83-C2E980DF1D8E}"/>
            </c:ext>
          </c:extLst>
        </c:ser>
        <c:ser>
          <c:idx val="7"/>
          <c:order val="7"/>
          <c:tx>
            <c:strRef>
              <c:f>transpose!$AC$1</c:f>
              <c:strCache>
                <c:ptCount val="1"/>
                <c:pt idx="0">
                  <c:v>B_Eszik8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transpose!$AC$2:$AC$7686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97-4DCC-8B83-C2E980DF1D8E}"/>
            </c:ext>
          </c:extLst>
        </c:ser>
        <c:ser>
          <c:idx val="8"/>
          <c:order val="8"/>
          <c:tx>
            <c:strRef>
              <c:f>transpose!$AE$1</c:f>
              <c:strCache>
                <c:ptCount val="1"/>
                <c:pt idx="0">
                  <c:v>B_Eszik9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transpose!$AE$2:$AE$7686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97-4DCC-8B83-C2E980DF1D8E}"/>
            </c:ext>
          </c:extLst>
        </c:ser>
        <c:ser>
          <c:idx val="9"/>
          <c:order val="9"/>
          <c:tx>
            <c:strRef>
              <c:f>transpose!$AG$1</c:f>
              <c:strCache>
                <c:ptCount val="1"/>
                <c:pt idx="0">
                  <c:v>B_Eszik10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transpose!$AG$2:$AG$7686</c:f>
              <c:numCache>
                <c:formatCode>General</c:formatCode>
                <c:ptCount val="7685"/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97-4DCC-8B83-C2E980DF1D8E}"/>
            </c:ext>
          </c:extLst>
        </c:ser>
        <c:ser>
          <c:idx val="10"/>
          <c:order val="10"/>
          <c:tx>
            <c:strRef>
              <c:f>transpose!$AI$1</c:f>
              <c:strCache>
                <c:ptCount val="1"/>
                <c:pt idx="0">
                  <c:v>B_Eszik11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transpose!$AI$2:$AI$7686</c:f>
              <c:numCache>
                <c:formatCode>General</c:formatCode>
                <c:ptCount val="7685"/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C97-4DCC-8B83-C2E980DF1D8E}"/>
            </c:ext>
          </c:extLst>
        </c:ser>
        <c:ser>
          <c:idx val="11"/>
          <c:order val="11"/>
          <c:tx>
            <c:strRef>
              <c:f>transpose!$AK$1</c:f>
              <c:strCache>
                <c:ptCount val="1"/>
                <c:pt idx="0">
                  <c:v>B_Eszik12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transpose!$AK$2:$AK$7686</c:f>
              <c:numCache>
                <c:formatCode>General</c:formatCode>
                <c:ptCount val="7685"/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C97-4DCC-8B83-C2E980DF1D8E}"/>
            </c:ext>
          </c:extLst>
        </c:ser>
        <c:ser>
          <c:idx val="12"/>
          <c:order val="12"/>
          <c:tx>
            <c:strRef>
              <c:f>transpose!$AM$1</c:f>
              <c:strCache>
                <c:ptCount val="1"/>
                <c:pt idx="0">
                  <c:v>B_Eszik13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transpose!$AM$2:$AM$7686</c:f>
              <c:numCache>
                <c:formatCode>General</c:formatCode>
                <c:ptCount val="7685"/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C97-4DCC-8B83-C2E980DF1D8E}"/>
            </c:ext>
          </c:extLst>
        </c:ser>
        <c:ser>
          <c:idx val="13"/>
          <c:order val="13"/>
          <c:tx>
            <c:strRef>
              <c:f>transpose!$AO$1</c:f>
              <c:strCache>
                <c:ptCount val="1"/>
                <c:pt idx="0">
                  <c:v>B_Eszik14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transpose!$AO$2:$AO$7686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C97-4DCC-8B83-C2E980DF1D8E}"/>
            </c:ext>
          </c:extLst>
        </c:ser>
        <c:ser>
          <c:idx val="14"/>
          <c:order val="14"/>
          <c:tx>
            <c:strRef>
              <c:f>transpose!$AQ$1</c:f>
              <c:strCache>
                <c:ptCount val="1"/>
                <c:pt idx="0">
                  <c:v>B_Eszik15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transpose!$AQ$2:$AQ$7686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C97-4DCC-8B83-C2E980DF1D8E}"/>
            </c:ext>
          </c:extLst>
        </c:ser>
        <c:ser>
          <c:idx val="15"/>
          <c:order val="15"/>
          <c:tx>
            <c:strRef>
              <c:f>transpose!$AS$1</c:f>
              <c:strCache>
                <c:ptCount val="1"/>
                <c:pt idx="0">
                  <c:v>B_Eszik16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transpose!$AS$2:$AS$7686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C97-4DCC-8B83-C2E980DF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89759"/>
        <c:crosses val="autoZero"/>
        <c:crossBetween val="midCat"/>
      </c:valAx>
      <c:valAx>
        <c:axId val="8131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961982358000593E-3"/>
          <c:y val="0.59844833411340237"/>
          <c:w val="0.96464557649866989"/>
          <c:h val="0.371922085047160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transpose!$O$1</c:f>
              <c:strCache>
                <c:ptCount val="1"/>
                <c:pt idx="0">
                  <c:v>B_Eszik1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transpose!$O$2:$O$7686</c:f>
              <c:numCache>
                <c:formatCode>General</c:formatCode>
                <c:ptCount val="7685"/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C-49D5-AEA0-3878CE16E1AE}"/>
            </c:ext>
          </c:extLst>
        </c:ser>
        <c:ser>
          <c:idx val="2"/>
          <c:order val="2"/>
          <c:tx>
            <c:strRef>
              <c:f>transpose!$S$1</c:f>
              <c:strCache>
                <c:ptCount val="1"/>
                <c:pt idx="0">
                  <c:v>B_Eszik3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transpose!$S$2:$S$7686</c:f>
              <c:numCache>
                <c:formatCode>General</c:formatCode>
                <c:ptCount val="7685"/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C-49D5-AEA0-3878CE16E1AE}"/>
            </c:ext>
          </c:extLst>
        </c:ser>
        <c:ser>
          <c:idx val="4"/>
          <c:order val="4"/>
          <c:tx>
            <c:strRef>
              <c:f>transpose!$W$1</c:f>
              <c:strCache>
                <c:ptCount val="1"/>
                <c:pt idx="0">
                  <c:v>B_Eszik5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transpose!$W$2:$W$7686</c:f>
              <c:numCache>
                <c:formatCode>General</c:formatCode>
                <c:ptCount val="7685"/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C-49D5-AEA0-3878CE16E1AE}"/>
            </c:ext>
          </c:extLst>
        </c:ser>
        <c:ser>
          <c:idx val="6"/>
          <c:order val="6"/>
          <c:tx>
            <c:strRef>
              <c:f>transpose!$AA$1</c:f>
              <c:strCache>
                <c:ptCount val="1"/>
                <c:pt idx="0">
                  <c:v>B_Eszik7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transpose!$AA$2:$AA$7686</c:f>
              <c:numCache>
                <c:formatCode>General</c:formatCode>
                <c:ptCount val="7685"/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7C-49D5-AEA0-3878CE16E1AE}"/>
            </c:ext>
          </c:extLst>
        </c:ser>
        <c:ser>
          <c:idx val="8"/>
          <c:order val="8"/>
          <c:tx>
            <c:strRef>
              <c:f>transpose!$AE$1</c:f>
              <c:strCache>
                <c:ptCount val="1"/>
                <c:pt idx="0">
                  <c:v>B_Eszik9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transpose!$AE$2:$AE$7686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7C-49D5-AEA0-3878CE16E1AE}"/>
            </c:ext>
          </c:extLst>
        </c:ser>
        <c:ser>
          <c:idx val="10"/>
          <c:order val="10"/>
          <c:tx>
            <c:strRef>
              <c:f>transpose!$AI$1</c:f>
              <c:strCache>
                <c:ptCount val="1"/>
                <c:pt idx="0">
                  <c:v>B_Eszik11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transpose!$AI$2:$AI$7686</c:f>
              <c:numCache>
                <c:formatCode>General</c:formatCode>
                <c:ptCount val="7685"/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7C-49D5-AEA0-3878CE16E1AE}"/>
            </c:ext>
          </c:extLst>
        </c:ser>
        <c:ser>
          <c:idx val="12"/>
          <c:order val="12"/>
          <c:tx>
            <c:strRef>
              <c:f>transpose!$AM$1</c:f>
              <c:strCache>
                <c:ptCount val="1"/>
                <c:pt idx="0">
                  <c:v>B_Eszik13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transpose!$AM$2:$AM$7686</c:f>
              <c:numCache>
                <c:formatCode>General</c:formatCode>
                <c:ptCount val="7685"/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7C-49D5-AEA0-3878CE16E1AE}"/>
            </c:ext>
          </c:extLst>
        </c:ser>
        <c:ser>
          <c:idx val="14"/>
          <c:order val="14"/>
          <c:tx>
            <c:strRef>
              <c:f>transpose!$AQ$1</c:f>
              <c:strCache>
                <c:ptCount val="1"/>
                <c:pt idx="0">
                  <c:v>B_Eszik15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transpose!$AQ$2:$AQ$7686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7C-49D5-AEA0-3878CE16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transpose!$Q$1</c15:sqref>
                        </c15:formulaRef>
                      </c:ext>
                    </c:extLst>
                    <c:strCache>
                      <c:ptCount val="1"/>
                      <c:pt idx="0">
                        <c:v>B_Eszik2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transpose!$Q$2:$Q$7686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777C-49D5-AEA0-3878CE16E1A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transpose!$U$1</c15:sqref>
                        </c15:formulaRef>
                      </c:ext>
                    </c:extLst>
                    <c:strCache>
                      <c:ptCount val="1"/>
                      <c:pt idx="0">
                        <c:v>B_Eszik4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transpose!$U$2:$U$7686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5370">
                        <c:v>1</c:v>
                      </c:pt>
                      <c:pt idx="5371">
                        <c:v>1</c:v>
                      </c:pt>
                      <c:pt idx="5372">
                        <c:v>1</c:v>
                      </c:pt>
                      <c:pt idx="5373">
                        <c:v>1</c:v>
                      </c:pt>
                      <c:pt idx="5374">
                        <c:v>1</c:v>
                      </c:pt>
                      <c:pt idx="5375">
                        <c:v>1</c:v>
                      </c:pt>
                      <c:pt idx="5376">
                        <c:v>1</c:v>
                      </c:pt>
                      <c:pt idx="5377">
                        <c:v>1</c:v>
                      </c:pt>
                      <c:pt idx="5378">
                        <c:v>1</c:v>
                      </c:pt>
                      <c:pt idx="5379">
                        <c:v>1</c:v>
                      </c:pt>
                      <c:pt idx="5380">
                        <c:v>1</c:v>
                      </c:pt>
                      <c:pt idx="5381">
                        <c:v>1</c:v>
                      </c:pt>
                      <c:pt idx="5382">
                        <c:v>1</c:v>
                      </c:pt>
                      <c:pt idx="5383">
                        <c:v>1</c:v>
                      </c:pt>
                      <c:pt idx="5384">
                        <c:v>1</c:v>
                      </c:pt>
                      <c:pt idx="5385">
                        <c:v>1</c:v>
                      </c:pt>
                      <c:pt idx="5386">
                        <c:v>1</c:v>
                      </c:pt>
                      <c:pt idx="5387">
                        <c:v>1</c:v>
                      </c:pt>
                      <c:pt idx="5388">
                        <c:v>1</c:v>
                      </c:pt>
                      <c:pt idx="5389">
                        <c:v>1</c:v>
                      </c:pt>
                      <c:pt idx="5390">
                        <c:v>1</c:v>
                      </c:pt>
                      <c:pt idx="5391">
                        <c:v>1</c:v>
                      </c:pt>
                      <c:pt idx="5392">
                        <c:v>1</c:v>
                      </c:pt>
                      <c:pt idx="5393">
                        <c:v>1</c:v>
                      </c:pt>
                      <c:pt idx="5394">
                        <c:v>1</c:v>
                      </c:pt>
                      <c:pt idx="5395">
                        <c:v>1</c:v>
                      </c:pt>
                      <c:pt idx="5396">
                        <c:v>1</c:v>
                      </c:pt>
                      <c:pt idx="5397">
                        <c:v>1</c:v>
                      </c:pt>
                      <c:pt idx="5398">
                        <c:v>1</c:v>
                      </c:pt>
                      <c:pt idx="5399">
                        <c:v>1</c:v>
                      </c:pt>
                      <c:pt idx="5400">
                        <c:v>1</c:v>
                      </c:pt>
                      <c:pt idx="5401">
                        <c:v>1</c:v>
                      </c:pt>
                      <c:pt idx="5402">
                        <c:v>1</c:v>
                      </c:pt>
                      <c:pt idx="5403">
                        <c:v>1</c:v>
                      </c:pt>
                      <c:pt idx="5404">
                        <c:v>1</c:v>
                      </c:pt>
                      <c:pt idx="5405">
                        <c:v>1</c:v>
                      </c:pt>
                      <c:pt idx="5406">
                        <c:v>1</c:v>
                      </c:pt>
                      <c:pt idx="5407">
                        <c:v>1</c:v>
                      </c:pt>
                      <c:pt idx="5408">
                        <c:v>1</c:v>
                      </c:pt>
                      <c:pt idx="5409">
                        <c:v>1</c:v>
                      </c:pt>
                      <c:pt idx="5410">
                        <c:v>1</c:v>
                      </c:pt>
                      <c:pt idx="5411">
                        <c:v>1</c:v>
                      </c:pt>
                      <c:pt idx="5412">
                        <c:v>1</c:v>
                      </c:pt>
                      <c:pt idx="5413">
                        <c:v>1</c:v>
                      </c:pt>
                      <c:pt idx="5414">
                        <c:v>1</c:v>
                      </c:pt>
                      <c:pt idx="5415">
                        <c:v>1</c:v>
                      </c:pt>
                      <c:pt idx="5416">
                        <c:v>1</c:v>
                      </c:pt>
                      <c:pt idx="5417">
                        <c:v>1</c:v>
                      </c:pt>
                      <c:pt idx="5418">
                        <c:v>1</c:v>
                      </c:pt>
                      <c:pt idx="5419">
                        <c:v>1</c:v>
                      </c:pt>
                      <c:pt idx="5420">
                        <c:v>1</c:v>
                      </c:pt>
                      <c:pt idx="5421">
                        <c:v>1</c:v>
                      </c:pt>
                      <c:pt idx="5422">
                        <c:v>1</c:v>
                      </c:pt>
                      <c:pt idx="5423">
                        <c:v>1</c:v>
                      </c:pt>
                      <c:pt idx="5424">
                        <c:v>1</c:v>
                      </c:pt>
                      <c:pt idx="5425">
                        <c:v>1</c:v>
                      </c:pt>
                      <c:pt idx="5426">
                        <c:v>1</c:v>
                      </c:pt>
                      <c:pt idx="5427">
                        <c:v>1</c:v>
                      </c:pt>
                      <c:pt idx="5428">
                        <c:v>1</c:v>
                      </c:pt>
                      <c:pt idx="5429">
                        <c:v>1</c:v>
                      </c:pt>
                      <c:pt idx="5430">
                        <c:v>1</c:v>
                      </c:pt>
                      <c:pt idx="5431">
                        <c:v>1</c:v>
                      </c:pt>
                      <c:pt idx="5432">
                        <c:v>1</c:v>
                      </c:pt>
                      <c:pt idx="5433">
                        <c:v>1</c:v>
                      </c:pt>
                      <c:pt idx="5434">
                        <c:v>1</c:v>
                      </c:pt>
                      <c:pt idx="5435">
                        <c:v>1</c:v>
                      </c:pt>
                      <c:pt idx="5436">
                        <c:v>1</c:v>
                      </c:pt>
                      <c:pt idx="5437">
                        <c:v>1</c:v>
                      </c:pt>
                      <c:pt idx="5438">
                        <c:v>1</c:v>
                      </c:pt>
                      <c:pt idx="5439">
                        <c:v>1</c:v>
                      </c:pt>
                      <c:pt idx="5440">
                        <c:v>1</c:v>
                      </c:pt>
                      <c:pt idx="5441">
                        <c:v>1</c:v>
                      </c:pt>
                      <c:pt idx="5442">
                        <c:v>1</c:v>
                      </c:pt>
                      <c:pt idx="5443">
                        <c:v>1</c:v>
                      </c:pt>
                      <c:pt idx="5444">
                        <c:v>1</c:v>
                      </c:pt>
                      <c:pt idx="5445">
                        <c:v>1</c:v>
                      </c:pt>
                      <c:pt idx="5446">
                        <c:v>1</c:v>
                      </c:pt>
                      <c:pt idx="5447">
                        <c:v>1</c:v>
                      </c:pt>
                      <c:pt idx="5448">
                        <c:v>1</c:v>
                      </c:pt>
                      <c:pt idx="5449">
                        <c:v>1</c:v>
                      </c:pt>
                      <c:pt idx="5450">
                        <c:v>1</c:v>
                      </c:pt>
                      <c:pt idx="5451">
                        <c:v>1</c:v>
                      </c:pt>
                      <c:pt idx="5452">
                        <c:v>1</c:v>
                      </c:pt>
                      <c:pt idx="5453">
                        <c:v>1</c:v>
                      </c:pt>
                      <c:pt idx="5454">
                        <c:v>1</c:v>
                      </c:pt>
                      <c:pt idx="5455">
                        <c:v>1</c:v>
                      </c:pt>
                      <c:pt idx="5456">
                        <c:v>1</c:v>
                      </c:pt>
                      <c:pt idx="5457">
                        <c:v>1</c:v>
                      </c:pt>
                      <c:pt idx="5458">
                        <c:v>1</c:v>
                      </c:pt>
                      <c:pt idx="5459">
                        <c:v>1</c:v>
                      </c:pt>
                      <c:pt idx="5460">
                        <c:v>1</c:v>
                      </c:pt>
                      <c:pt idx="5461">
                        <c:v>1</c:v>
                      </c:pt>
                      <c:pt idx="5462">
                        <c:v>1</c:v>
                      </c:pt>
                      <c:pt idx="5463">
                        <c:v>1</c:v>
                      </c:pt>
                      <c:pt idx="5464">
                        <c:v>1</c:v>
                      </c:pt>
                      <c:pt idx="5465">
                        <c:v>1</c:v>
                      </c:pt>
                      <c:pt idx="5466">
                        <c:v>1</c:v>
                      </c:pt>
                      <c:pt idx="5467">
                        <c:v>1</c:v>
                      </c:pt>
                      <c:pt idx="5468">
                        <c:v>1</c:v>
                      </c:pt>
                      <c:pt idx="5469">
                        <c:v>1</c:v>
                      </c:pt>
                      <c:pt idx="5470">
                        <c:v>1</c:v>
                      </c:pt>
                      <c:pt idx="5471">
                        <c:v>1</c:v>
                      </c:pt>
                      <c:pt idx="5472">
                        <c:v>1</c:v>
                      </c:pt>
                      <c:pt idx="5473">
                        <c:v>1</c:v>
                      </c:pt>
                      <c:pt idx="5474">
                        <c:v>1</c:v>
                      </c:pt>
                      <c:pt idx="5475">
                        <c:v>1</c:v>
                      </c:pt>
                      <c:pt idx="5476">
                        <c:v>1</c:v>
                      </c:pt>
                      <c:pt idx="5477">
                        <c:v>1</c:v>
                      </c:pt>
                      <c:pt idx="5478">
                        <c:v>1</c:v>
                      </c:pt>
                      <c:pt idx="5479">
                        <c:v>1</c:v>
                      </c:pt>
                      <c:pt idx="5480">
                        <c:v>1</c:v>
                      </c:pt>
                      <c:pt idx="5481">
                        <c:v>1</c:v>
                      </c:pt>
                      <c:pt idx="5482">
                        <c:v>1</c:v>
                      </c:pt>
                      <c:pt idx="5483">
                        <c:v>1</c:v>
                      </c:pt>
                      <c:pt idx="5484">
                        <c:v>1</c:v>
                      </c:pt>
                      <c:pt idx="5485">
                        <c:v>1</c:v>
                      </c:pt>
                      <c:pt idx="5486">
                        <c:v>1</c:v>
                      </c:pt>
                      <c:pt idx="5487">
                        <c:v>1</c:v>
                      </c:pt>
                      <c:pt idx="5488">
                        <c:v>1</c:v>
                      </c:pt>
                      <c:pt idx="5489">
                        <c:v>1</c:v>
                      </c:pt>
                      <c:pt idx="5490">
                        <c:v>1</c:v>
                      </c:pt>
                      <c:pt idx="5491">
                        <c:v>1</c:v>
                      </c:pt>
                      <c:pt idx="5492">
                        <c:v>1</c:v>
                      </c:pt>
                      <c:pt idx="5493">
                        <c:v>1</c:v>
                      </c:pt>
                      <c:pt idx="5494">
                        <c:v>1</c:v>
                      </c:pt>
                      <c:pt idx="5495">
                        <c:v>1</c:v>
                      </c:pt>
                      <c:pt idx="5496">
                        <c:v>1</c:v>
                      </c:pt>
                      <c:pt idx="5497">
                        <c:v>1</c:v>
                      </c:pt>
                      <c:pt idx="5498">
                        <c:v>1</c:v>
                      </c:pt>
                      <c:pt idx="5499">
                        <c:v>1</c:v>
                      </c:pt>
                      <c:pt idx="5500">
                        <c:v>1</c:v>
                      </c:pt>
                      <c:pt idx="5501">
                        <c:v>1</c:v>
                      </c:pt>
                      <c:pt idx="5502">
                        <c:v>1</c:v>
                      </c:pt>
                      <c:pt idx="5503">
                        <c:v>1</c:v>
                      </c:pt>
                      <c:pt idx="5504">
                        <c:v>1</c:v>
                      </c:pt>
                      <c:pt idx="5505">
                        <c:v>1</c:v>
                      </c:pt>
                      <c:pt idx="5506">
                        <c:v>1</c:v>
                      </c:pt>
                      <c:pt idx="5507">
                        <c:v>1</c:v>
                      </c:pt>
                      <c:pt idx="5508">
                        <c:v>1</c:v>
                      </c:pt>
                      <c:pt idx="5509">
                        <c:v>1</c:v>
                      </c:pt>
                      <c:pt idx="5510">
                        <c:v>1</c:v>
                      </c:pt>
                      <c:pt idx="5511">
                        <c:v>1</c:v>
                      </c:pt>
                      <c:pt idx="5512">
                        <c:v>1</c:v>
                      </c:pt>
                      <c:pt idx="5513">
                        <c:v>1</c:v>
                      </c:pt>
                      <c:pt idx="5514">
                        <c:v>1</c:v>
                      </c:pt>
                      <c:pt idx="5515">
                        <c:v>1</c:v>
                      </c:pt>
                      <c:pt idx="5516">
                        <c:v>1</c:v>
                      </c:pt>
                      <c:pt idx="5517">
                        <c:v>1</c:v>
                      </c:pt>
                      <c:pt idx="5518">
                        <c:v>1</c:v>
                      </c:pt>
                      <c:pt idx="5519">
                        <c:v>1</c:v>
                      </c:pt>
                      <c:pt idx="5520">
                        <c:v>1</c:v>
                      </c:pt>
                      <c:pt idx="5521">
                        <c:v>1</c:v>
                      </c:pt>
                      <c:pt idx="5522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77C-49D5-AEA0-3878CE16E1A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transpose!$Y$1</c15:sqref>
                        </c15:formulaRef>
                      </c:ext>
                    </c:extLst>
                    <c:strCache>
                      <c:ptCount val="1"/>
                      <c:pt idx="0">
                        <c:v>B_Eszik6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transpose!$Y$2:$Y$7686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4881">
                        <c:v>1</c:v>
                      </c:pt>
                      <c:pt idx="4882">
                        <c:v>1</c:v>
                      </c:pt>
                      <c:pt idx="4883">
                        <c:v>1</c:v>
                      </c:pt>
                      <c:pt idx="4884">
                        <c:v>1</c:v>
                      </c:pt>
                      <c:pt idx="4885">
                        <c:v>1</c:v>
                      </c:pt>
                      <c:pt idx="4886">
                        <c:v>1</c:v>
                      </c:pt>
                      <c:pt idx="4887">
                        <c:v>1</c:v>
                      </c:pt>
                      <c:pt idx="4888">
                        <c:v>1</c:v>
                      </c:pt>
                      <c:pt idx="4889">
                        <c:v>1</c:v>
                      </c:pt>
                      <c:pt idx="4890">
                        <c:v>1</c:v>
                      </c:pt>
                      <c:pt idx="4891">
                        <c:v>1</c:v>
                      </c:pt>
                      <c:pt idx="4892">
                        <c:v>1</c:v>
                      </c:pt>
                      <c:pt idx="4893">
                        <c:v>1</c:v>
                      </c:pt>
                      <c:pt idx="4894">
                        <c:v>1</c:v>
                      </c:pt>
                      <c:pt idx="4895">
                        <c:v>1</c:v>
                      </c:pt>
                      <c:pt idx="4896">
                        <c:v>1</c:v>
                      </c:pt>
                      <c:pt idx="4897">
                        <c:v>1</c:v>
                      </c:pt>
                      <c:pt idx="4898">
                        <c:v>1</c:v>
                      </c:pt>
                      <c:pt idx="4899">
                        <c:v>1</c:v>
                      </c:pt>
                      <c:pt idx="4900">
                        <c:v>1</c:v>
                      </c:pt>
                      <c:pt idx="4901">
                        <c:v>1</c:v>
                      </c:pt>
                      <c:pt idx="4902">
                        <c:v>1</c:v>
                      </c:pt>
                      <c:pt idx="4903">
                        <c:v>1</c:v>
                      </c:pt>
                      <c:pt idx="4904">
                        <c:v>1</c:v>
                      </c:pt>
                      <c:pt idx="4905">
                        <c:v>1</c:v>
                      </c:pt>
                      <c:pt idx="4906">
                        <c:v>1</c:v>
                      </c:pt>
                      <c:pt idx="4907">
                        <c:v>1</c:v>
                      </c:pt>
                      <c:pt idx="4908">
                        <c:v>1</c:v>
                      </c:pt>
                      <c:pt idx="4909">
                        <c:v>1</c:v>
                      </c:pt>
                      <c:pt idx="4910">
                        <c:v>1</c:v>
                      </c:pt>
                      <c:pt idx="4911">
                        <c:v>1</c:v>
                      </c:pt>
                      <c:pt idx="4912">
                        <c:v>1</c:v>
                      </c:pt>
                      <c:pt idx="4913">
                        <c:v>1</c:v>
                      </c:pt>
                      <c:pt idx="4914">
                        <c:v>1</c:v>
                      </c:pt>
                      <c:pt idx="4915">
                        <c:v>1</c:v>
                      </c:pt>
                      <c:pt idx="4916">
                        <c:v>1</c:v>
                      </c:pt>
                      <c:pt idx="4917">
                        <c:v>1</c:v>
                      </c:pt>
                      <c:pt idx="4918">
                        <c:v>1</c:v>
                      </c:pt>
                      <c:pt idx="4919">
                        <c:v>1</c:v>
                      </c:pt>
                      <c:pt idx="4920">
                        <c:v>1</c:v>
                      </c:pt>
                      <c:pt idx="4921">
                        <c:v>1</c:v>
                      </c:pt>
                      <c:pt idx="4922">
                        <c:v>1</c:v>
                      </c:pt>
                      <c:pt idx="4923">
                        <c:v>1</c:v>
                      </c:pt>
                      <c:pt idx="4924">
                        <c:v>1</c:v>
                      </c:pt>
                      <c:pt idx="4925">
                        <c:v>1</c:v>
                      </c:pt>
                      <c:pt idx="4926">
                        <c:v>1</c:v>
                      </c:pt>
                      <c:pt idx="4927">
                        <c:v>1</c:v>
                      </c:pt>
                      <c:pt idx="4928">
                        <c:v>1</c:v>
                      </c:pt>
                      <c:pt idx="4929">
                        <c:v>1</c:v>
                      </c:pt>
                      <c:pt idx="4930">
                        <c:v>1</c:v>
                      </c:pt>
                      <c:pt idx="4931">
                        <c:v>1</c:v>
                      </c:pt>
                      <c:pt idx="4932">
                        <c:v>1</c:v>
                      </c:pt>
                      <c:pt idx="4933">
                        <c:v>1</c:v>
                      </c:pt>
                      <c:pt idx="4934">
                        <c:v>1</c:v>
                      </c:pt>
                      <c:pt idx="4935">
                        <c:v>1</c:v>
                      </c:pt>
                      <c:pt idx="4936">
                        <c:v>1</c:v>
                      </c:pt>
                      <c:pt idx="4937">
                        <c:v>1</c:v>
                      </c:pt>
                      <c:pt idx="4938">
                        <c:v>1</c:v>
                      </c:pt>
                      <c:pt idx="4939">
                        <c:v>1</c:v>
                      </c:pt>
                      <c:pt idx="4940">
                        <c:v>1</c:v>
                      </c:pt>
                      <c:pt idx="4941">
                        <c:v>1</c:v>
                      </c:pt>
                      <c:pt idx="4942">
                        <c:v>1</c:v>
                      </c:pt>
                      <c:pt idx="4943">
                        <c:v>1</c:v>
                      </c:pt>
                      <c:pt idx="4944">
                        <c:v>1</c:v>
                      </c:pt>
                      <c:pt idx="4945">
                        <c:v>1</c:v>
                      </c:pt>
                      <c:pt idx="4946">
                        <c:v>1</c:v>
                      </c:pt>
                      <c:pt idx="4947">
                        <c:v>1</c:v>
                      </c:pt>
                      <c:pt idx="4948">
                        <c:v>1</c:v>
                      </c:pt>
                      <c:pt idx="4949">
                        <c:v>1</c:v>
                      </c:pt>
                      <c:pt idx="4950">
                        <c:v>1</c:v>
                      </c:pt>
                      <c:pt idx="4951">
                        <c:v>1</c:v>
                      </c:pt>
                      <c:pt idx="4952">
                        <c:v>1</c:v>
                      </c:pt>
                      <c:pt idx="4953">
                        <c:v>1</c:v>
                      </c:pt>
                      <c:pt idx="4954">
                        <c:v>1</c:v>
                      </c:pt>
                      <c:pt idx="4955">
                        <c:v>1</c:v>
                      </c:pt>
                      <c:pt idx="4956">
                        <c:v>1</c:v>
                      </c:pt>
                      <c:pt idx="4957">
                        <c:v>1</c:v>
                      </c:pt>
                      <c:pt idx="4958">
                        <c:v>1</c:v>
                      </c:pt>
                      <c:pt idx="4959">
                        <c:v>1</c:v>
                      </c:pt>
                      <c:pt idx="4960">
                        <c:v>1</c:v>
                      </c:pt>
                      <c:pt idx="4961">
                        <c:v>1</c:v>
                      </c:pt>
                      <c:pt idx="4962">
                        <c:v>1</c:v>
                      </c:pt>
                      <c:pt idx="4963">
                        <c:v>1</c:v>
                      </c:pt>
                      <c:pt idx="4964">
                        <c:v>1</c:v>
                      </c:pt>
                      <c:pt idx="4965">
                        <c:v>1</c:v>
                      </c:pt>
                      <c:pt idx="4966">
                        <c:v>1</c:v>
                      </c:pt>
                      <c:pt idx="4967">
                        <c:v>1</c:v>
                      </c:pt>
                      <c:pt idx="4968">
                        <c:v>1</c:v>
                      </c:pt>
                      <c:pt idx="4969">
                        <c:v>1</c:v>
                      </c:pt>
                      <c:pt idx="4970">
                        <c:v>1</c:v>
                      </c:pt>
                      <c:pt idx="4971">
                        <c:v>1</c:v>
                      </c:pt>
                      <c:pt idx="4972">
                        <c:v>1</c:v>
                      </c:pt>
                      <c:pt idx="4973">
                        <c:v>1</c:v>
                      </c:pt>
                      <c:pt idx="4974">
                        <c:v>1</c:v>
                      </c:pt>
                      <c:pt idx="4975">
                        <c:v>1</c:v>
                      </c:pt>
                      <c:pt idx="4976">
                        <c:v>1</c:v>
                      </c:pt>
                      <c:pt idx="4977">
                        <c:v>1</c:v>
                      </c:pt>
                      <c:pt idx="4978">
                        <c:v>1</c:v>
                      </c:pt>
                      <c:pt idx="4979">
                        <c:v>1</c:v>
                      </c:pt>
                      <c:pt idx="4980">
                        <c:v>1</c:v>
                      </c:pt>
                      <c:pt idx="4981">
                        <c:v>1</c:v>
                      </c:pt>
                      <c:pt idx="4982">
                        <c:v>1</c:v>
                      </c:pt>
                      <c:pt idx="4983">
                        <c:v>1</c:v>
                      </c:pt>
                      <c:pt idx="4984">
                        <c:v>1</c:v>
                      </c:pt>
                      <c:pt idx="4985">
                        <c:v>1</c:v>
                      </c:pt>
                      <c:pt idx="4986">
                        <c:v>1</c:v>
                      </c:pt>
                      <c:pt idx="4987">
                        <c:v>1</c:v>
                      </c:pt>
                      <c:pt idx="4988">
                        <c:v>1</c:v>
                      </c:pt>
                      <c:pt idx="4989">
                        <c:v>1</c:v>
                      </c:pt>
                      <c:pt idx="4990">
                        <c:v>1</c:v>
                      </c:pt>
                      <c:pt idx="4991">
                        <c:v>1</c:v>
                      </c:pt>
                      <c:pt idx="4992">
                        <c:v>1</c:v>
                      </c:pt>
                      <c:pt idx="4993">
                        <c:v>1</c:v>
                      </c:pt>
                      <c:pt idx="4994">
                        <c:v>1</c:v>
                      </c:pt>
                      <c:pt idx="4995">
                        <c:v>1</c:v>
                      </c:pt>
                      <c:pt idx="4996">
                        <c:v>1</c:v>
                      </c:pt>
                      <c:pt idx="4997">
                        <c:v>1</c:v>
                      </c:pt>
                      <c:pt idx="4998">
                        <c:v>1</c:v>
                      </c:pt>
                      <c:pt idx="4999">
                        <c:v>1</c:v>
                      </c:pt>
                      <c:pt idx="5000">
                        <c:v>1</c:v>
                      </c:pt>
                      <c:pt idx="5001">
                        <c:v>1</c:v>
                      </c:pt>
                      <c:pt idx="5002">
                        <c:v>1</c:v>
                      </c:pt>
                      <c:pt idx="5003">
                        <c:v>1</c:v>
                      </c:pt>
                      <c:pt idx="5004">
                        <c:v>1</c:v>
                      </c:pt>
                      <c:pt idx="5005">
                        <c:v>1</c:v>
                      </c:pt>
                      <c:pt idx="5006">
                        <c:v>1</c:v>
                      </c:pt>
                      <c:pt idx="5007">
                        <c:v>1</c:v>
                      </c:pt>
                      <c:pt idx="5008">
                        <c:v>1</c:v>
                      </c:pt>
                      <c:pt idx="5009">
                        <c:v>1</c:v>
                      </c:pt>
                      <c:pt idx="5010">
                        <c:v>1</c:v>
                      </c:pt>
                      <c:pt idx="5011">
                        <c:v>1</c:v>
                      </c:pt>
                      <c:pt idx="5012">
                        <c:v>1</c:v>
                      </c:pt>
                      <c:pt idx="5013">
                        <c:v>1</c:v>
                      </c:pt>
                      <c:pt idx="5014">
                        <c:v>1</c:v>
                      </c:pt>
                      <c:pt idx="5015">
                        <c:v>1</c:v>
                      </c:pt>
                      <c:pt idx="5016">
                        <c:v>1</c:v>
                      </c:pt>
                      <c:pt idx="5017">
                        <c:v>1</c:v>
                      </c:pt>
                      <c:pt idx="5018">
                        <c:v>1</c:v>
                      </c:pt>
                      <c:pt idx="5019">
                        <c:v>1</c:v>
                      </c:pt>
                      <c:pt idx="5020">
                        <c:v>1</c:v>
                      </c:pt>
                      <c:pt idx="5021">
                        <c:v>1</c:v>
                      </c:pt>
                      <c:pt idx="5022">
                        <c:v>1</c:v>
                      </c:pt>
                      <c:pt idx="5023">
                        <c:v>1</c:v>
                      </c:pt>
                      <c:pt idx="5024">
                        <c:v>1</c:v>
                      </c:pt>
                      <c:pt idx="5025">
                        <c:v>1</c:v>
                      </c:pt>
                      <c:pt idx="5026">
                        <c:v>1</c:v>
                      </c:pt>
                      <c:pt idx="5027">
                        <c:v>1</c:v>
                      </c:pt>
                      <c:pt idx="5028">
                        <c:v>1</c:v>
                      </c:pt>
                      <c:pt idx="5029">
                        <c:v>1</c:v>
                      </c:pt>
                      <c:pt idx="5030">
                        <c:v>1</c:v>
                      </c:pt>
                      <c:pt idx="5031">
                        <c:v>1</c:v>
                      </c:pt>
                      <c:pt idx="5032">
                        <c:v>1</c:v>
                      </c:pt>
                      <c:pt idx="5033">
                        <c:v>1</c:v>
                      </c:pt>
                      <c:pt idx="5034">
                        <c:v>1</c:v>
                      </c:pt>
                      <c:pt idx="5035">
                        <c:v>1</c:v>
                      </c:pt>
                      <c:pt idx="5036">
                        <c:v>1</c:v>
                      </c:pt>
                      <c:pt idx="5037">
                        <c:v>1</c:v>
                      </c:pt>
                      <c:pt idx="5038">
                        <c:v>1</c:v>
                      </c:pt>
                      <c:pt idx="5039">
                        <c:v>1</c:v>
                      </c:pt>
                      <c:pt idx="5040">
                        <c:v>1</c:v>
                      </c:pt>
                      <c:pt idx="5041">
                        <c:v>1</c:v>
                      </c:pt>
                      <c:pt idx="5042">
                        <c:v>1</c:v>
                      </c:pt>
                      <c:pt idx="5043">
                        <c:v>1</c:v>
                      </c:pt>
                      <c:pt idx="5044">
                        <c:v>1</c:v>
                      </c:pt>
                      <c:pt idx="5045">
                        <c:v>1</c:v>
                      </c:pt>
                      <c:pt idx="5046">
                        <c:v>1</c:v>
                      </c:pt>
                      <c:pt idx="5047">
                        <c:v>1</c:v>
                      </c:pt>
                      <c:pt idx="5048">
                        <c:v>1</c:v>
                      </c:pt>
                      <c:pt idx="5049">
                        <c:v>1</c:v>
                      </c:pt>
                      <c:pt idx="5050">
                        <c:v>1</c:v>
                      </c:pt>
                      <c:pt idx="5051">
                        <c:v>1</c:v>
                      </c:pt>
                      <c:pt idx="5052">
                        <c:v>1</c:v>
                      </c:pt>
                      <c:pt idx="5053">
                        <c:v>1</c:v>
                      </c:pt>
                      <c:pt idx="5054">
                        <c:v>1</c:v>
                      </c:pt>
                      <c:pt idx="5055">
                        <c:v>1</c:v>
                      </c:pt>
                      <c:pt idx="5056">
                        <c:v>1</c:v>
                      </c:pt>
                      <c:pt idx="5057">
                        <c:v>1</c:v>
                      </c:pt>
                      <c:pt idx="5058">
                        <c:v>1</c:v>
                      </c:pt>
                      <c:pt idx="5059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7C-49D5-AEA0-3878CE16E1A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transpose!$AC$1</c15:sqref>
                        </c15:formulaRef>
                      </c:ext>
                    </c:extLst>
                    <c:strCache>
                      <c:ptCount val="1"/>
                      <c:pt idx="0">
                        <c:v>B_Eszik8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transpose!$AC$2:$AC$7686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7C-49D5-AEA0-3878CE16E1A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transpose!$AG$1</c15:sqref>
                        </c15:formulaRef>
                      </c:ext>
                    </c:extLst>
                    <c:strCache>
                      <c:ptCount val="1"/>
                      <c:pt idx="0">
                        <c:v>B_Eszik10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transpose!$AG$2:$AG$7686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4619">
                        <c:v>1</c:v>
                      </c:pt>
                      <c:pt idx="4620">
                        <c:v>1</c:v>
                      </c:pt>
                      <c:pt idx="4621">
                        <c:v>1</c:v>
                      </c:pt>
                      <c:pt idx="4622">
                        <c:v>1</c:v>
                      </c:pt>
                      <c:pt idx="4623">
                        <c:v>1</c:v>
                      </c:pt>
                      <c:pt idx="4624">
                        <c:v>1</c:v>
                      </c:pt>
                      <c:pt idx="4625">
                        <c:v>1</c:v>
                      </c:pt>
                      <c:pt idx="4626">
                        <c:v>1</c:v>
                      </c:pt>
                      <c:pt idx="4627">
                        <c:v>1</c:v>
                      </c:pt>
                      <c:pt idx="4628">
                        <c:v>1</c:v>
                      </c:pt>
                      <c:pt idx="4629">
                        <c:v>1</c:v>
                      </c:pt>
                      <c:pt idx="4630">
                        <c:v>1</c:v>
                      </c:pt>
                      <c:pt idx="4631">
                        <c:v>1</c:v>
                      </c:pt>
                      <c:pt idx="4632">
                        <c:v>1</c:v>
                      </c:pt>
                      <c:pt idx="4633">
                        <c:v>1</c:v>
                      </c:pt>
                      <c:pt idx="4634">
                        <c:v>1</c:v>
                      </c:pt>
                      <c:pt idx="4635">
                        <c:v>1</c:v>
                      </c:pt>
                      <c:pt idx="4636">
                        <c:v>1</c:v>
                      </c:pt>
                      <c:pt idx="4637">
                        <c:v>1</c:v>
                      </c:pt>
                      <c:pt idx="4638">
                        <c:v>1</c:v>
                      </c:pt>
                      <c:pt idx="4639">
                        <c:v>1</c:v>
                      </c:pt>
                      <c:pt idx="4640">
                        <c:v>1</c:v>
                      </c:pt>
                      <c:pt idx="4641">
                        <c:v>1</c:v>
                      </c:pt>
                      <c:pt idx="4642">
                        <c:v>1</c:v>
                      </c:pt>
                      <c:pt idx="4643">
                        <c:v>1</c:v>
                      </c:pt>
                      <c:pt idx="4644">
                        <c:v>1</c:v>
                      </c:pt>
                      <c:pt idx="4645">
                        <c:v>1</c:v>
                      </c:pt>
                      <c:pt idx="4646">
                        <c:v>1</c:v>
                      </c:pt>
                      <c:pt idx="4647">
                        <c:v>1</c:v>
                      </c:pt>
                      <c:pt idx="4648">
                        <c:v>1</c:v>
                      </c:pt>
                      <c:pt idx="4649">
                        <c:v>1</c:v>
                      </c:pt>
                      <c:pt idx="4650">
                        <c:v>1</c:v>
                      </c:pt>
                      <c:pt idx="4651">
                        <c:v>1</c:v>
                      </c:pt>
                      <c:pt idx="4652">
                        <c:v>1</c:v>
                      </c:pt>
                      <c:pt idx="4653">
                        <c:v>1</c:v>
                      </c:pt>
                      <c:pt idx="4654">
                        <c:v>1</c:v>
                      </c:pt>
                      <c:pt idx="4655">
                        <c:v>1</c:v>
                      </c:pt>
                      <c:pt idx="4656">
                        <c:v>1</c:v>
                      </c:pt>
                      <c:pt idx="4657">
                        <c:v>1</c:v>
                      </c:pt>
                      <c:pt idx="4658">
                        <c:v>1</c:v>
                      </c:pt>
                      <c:pt idx="4659">
                        <c:v>1</c:v>
                      </c:pt>
                      <c:pt idx="4660">
                        <c:v>1</c:v>
                      </c:pt>
                      <c:pt idx="4661">
                        <c:v>1</c:v>
                      </c:pt>
                      <c:pt idx="4662">
                        <c:v>1</c:v>
                      </c:pt>
                      <c:pt idx="4663">
                        <c:v>1</c:v>
                      </c:pt>
                      <c:pt idx="4664">
                        <c:v>1</c:v>
                      </c:pt>
                      <c:pt idx="4665">
                        <c:v>1</c:v>
                      </c:pt>
                      <c:pt idx="4666">
                        <c:v>1</c:v>
                      </c:pt>
                      <c:pt idx="4667">
                        <c:v>1</c:v>
                      </c:pt>
                      <c:pt idx="4668">
                        <c:v>1</c:v>
                      </c:pt>
                      <c:pt idx="4669">
                        <c:v>1</c:v>
                      </c:pt>
                      <c:pt idx="4670">
                        <c:v>1</c:v>
                      </c:pt>
                      <c:pt idx="4671">
                        <c:v>1</c:v>
                      </c:pt>
                      <c:pt idx="4672">
                        <c:v>1</c:v>
                      </c:pt>
                      <c:pt idx="4673">
                        <c:v>1</c:v>
                      </c:pt>
                      <c:pt idx="4674">
                        <c:v>1</c:v>
                      </c:pt>
                      <c:pt idx="4675">
                        <c:v>1</c:v>
                      </c:pt>
                      <c:pt idx="4676">
                        <c:v>1</c:v>
                      </c:pt>
                      <c:pt idx="4677">
                        <c:v>1</c:v>
                      </c:pt>
                      <c:pt idx="4678">
                        <c:v>1</c:v>
                      </c:pt>
                      <c:pt idx="4679">
                        <c:v>1</c:v>
                      </c:pt>
                      <c:pt idx="4680">
                        <c:v>1</c:v>
                      </c:pt>
                      <c:pt idx="4681">
                        <c:v>1</c:v>
                      </c:pt>
                      <c:pt idx="4682">
                        <c:v>1</c:v>
                      </c:pt>
                      <c:pt idx="4683">
                        <c:v>1</c:v>
                      </c:pt>
                      <c:pt idx="4684">
                        <c:v>1</c:v>
                      </c:pt>
                      <c:pt idx="4685">
                        <c:v>1</c:v>
                      </c:pt>
                      <c:pt idx="4686">
                        <c:v>1</c:v>
                      </c:pt>
                      <c:pt idx="4687">
                        <c:v>1</c:v>
                      </c:pt>
                      <c:pt idx="4688">
                        <c:v>1</c:v>
                      </c:pt>
                      <c:pt idx="4689">
                        <c:v>1</c:v>
                      </c:pt>
                      <c:pt idx="4690">
                        <c:v>1</c:v>
                      </c:pt>
                      <c:pt idx="4691">
                        <c:v>1</c:v>
                      </c:pt>
                      <c:pt idx="4692">
                        <c:v>1</c:v>
                      </c:pt>
                      <c:pt idx="4693">
                        <c:v>1</c:v>
                      </c:pt>
                      <c:pt idx="4694">
                        <c:v>1</c:v>
                      </c:pt>
                      <c:pt idx="4695">
                        <c:v>1</c:v>
                      </c:pt>
                      <c:pt idx="4696">
                        <c:v>1</c:v>
                      </c:pt>
                      <c:pt idx="4697">
                        <c:v>1</c:v>
                      </c:pt>
                      <c:pt idx="4698">
                        <c:v>1</c:v>
                      </c:pt>
                      <c:pt idx="4699">
                        <c:v>1</c:v>
                      </c:pt>
                      <c:pt idx="4700">
                        <c:v>1</c:v>
                      </c:pt>
                      <c:pt idx="4701">
                        <c:v>1</c:v>
                      </c:pt>
                      <c:pt idx="4702">
                        <c:v>1</c:v>
                      </c:pt>
                      <c:pt idx="4703">
                        <c:v>1</c:v>
                      </c:pt>
                      <c:pt idx="4704">
                        <c:v>1</c:v>
                      </c:pt>
                      <c:pt idx="4705">
                        <c:v>1</c:v>
                      </c:pt>
                      <c:pt idx="4706">
                        <c:v>1</c:v>
                      </c:pt>
                      <c:pt idx="4707">
                        <c:v>1</c:v>
                      </c:pt>
                      <c:pt idx="4708">
                        <c:v>1</c:v>
                      </c:pt>
                      <c:pt idx="4709">
                        <c:v>1</c:v>
                      </c:pt>
                      <c:pt idx="4710">
                        <c:v>1</c:v>
                      </c:pt>
                      <c:pt idx="4711">
                        <c:v>1</c:v>
                      </c:pt>
                      <c:pt idx="4712">
                        <c:v>1</c:v>
                      </c:pt>
                      <c:pt idx="4713">
                        <c:v>1</c:v>
                      </c:pt>
                      <c:pt idx="4714">
                        <c:v>1</c:v>
                      </c:pt>
                      <c:pt idx="4715">
                        <c:v>1</c:v>
                      </c:pt>
                      <c:pt idx="4716">
                        <c:v>1</c:v>
                      </c:pt>
                      <c:pt idx="4717">
                        <c:v>1</c:v>
                      </c:pt>
                      <c:pt idx="4718">
                        <c:v>1</c:v>
                      </c:pt>
                      <c:pt idx="4719">
                        <c:v>1</c:v>
                      </c:pt>
                      <c:pt idx="4720">
                        <c:v>1</c:v>
                      </c:pt>
                      <c:pt idx="4721">
                        <c:v>1</c:v>
                      </c:pt>
                      <c:pt idx="4722">
                        <c:v>1</c:v>
                      </c:pt>
                      <c:pt idx="4723">
                        <c:v>1</c:v>
                      </c:pt>
                      <c:pt idx="4724">
                        <c:v>1</c:v>
                      </c:pt>
                      <c:pt idx="4725">
                        <c:v>1</c:v>
                      </c:pt>
                      <c:pt idx="4726">
                        <c:v>1</c:v>
                      </c:pt>
                      <c:pt idx="4727">
                        <c:v>1</c:v>
                      </c:pt>
                      <c:pt idx="4728">
                        <c:v>1</c:v>
                      </c:pt>
                      <c:pt idx="4729">
                        <c:v>1</c:v>
                      </c:pt>
                      <c:pt idx="4730">
                        <c:v>1</c:v>
                      </c:pt>
                      <c:pt idx="4731">
                        <c:v>1</c:v>
                      </c:pt>
                      <c:pt idx="4732">
                        <c:v>1</c:v>
                      </c:pt>
                      <c:pt idx="4733">
                        <c:v>1</c:v>
                      </c:pt>
                      <c:pt idx="4734">
                        <c:v>1</c:v>
                      </c:pt>
                      <c:pt idx="4735">
                        <c:v>1</c:v>
                      </c:pt>
                      <c:pt idx="4736">
                        <c:v>1</c:v>
                      </c:pt>
                      <c:pt idx="4737">
                        <c:v>1</c:v>
                      </c:pt>
                      <c:pt idx="4738">
                        <c:v>1</c:v>
                      </c:pt>
                      <c:pt idx="4739">
                        <c:v>1</c:v>
                      </c:pt>
                      <c:pt idx="4740">
                        <c:v>1</c:v>
                      </c:pt>
                      <c:pt idx="4741">
                        <c:v>1</c:v>
                      </c:pt>
                      <c:pt idx="4742">
                        <c:v>1</c:v>
                      </c:pt>
                      <c:pt idx="4743">
                        <c:v>1</c:v>
                      </c:pt>
                      <c:pt idx="4744">
                        <c:v>1</c:v>
                      </c:pt>
                      <c:pt idx="4745">
                        <c:v>1</c:v>
                      </c:pt>
                      <c:pt idx="4746">
                        <c:v>1</c:v>
                      </c:pt>
                      <c:pt idx="4747">
                        <c:v>1</c:v>
                      </c:pt>
                      <c:pt idx="4748">
                        <c:v>1</c:v>
                      </c:pt>
                      <c:pt idx="4749">
                        <c:v>1</c:v>
                      </c:pt>
                      <c:pt idx="4750">
                        <c:v>1</c:v>
                      </c:pt>
                      <c:pt idx="4751">
                        <c:v>1</c:v>
                      </c:pt>
                      <c:pt idx="4752">
                        <c:v>1</c:v>
                      </c:pt>
                      <c:pt idx="4753">
                        <c:v>1</c:v>
                      </c:pt>
                      <c:pt idx="4754">
                        <c:v>1</c:v>
                      </c:pt>
                      <c:pt idx="4755">
                        <c:v>1</c:v>
                      </c:pt>
                      <c:pt idx="4756">
                        <c:v>1</c:v>
                      </c:pt>
                      <c:pt idx="4757">
                        <c:v>1</c:v>
                      </c:pt>
                      <c:pt idx="4758">
                        <c:v>1</c:v>
                      </c:pt>
                      <c:pt idx="4759">
                        <c:v>1</c:v>
                      </c:pt>
                      <c:pt idx="4760">
                        <c:v>1</c:v>
                      </c:pt>
                      <c:pt idx="476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7C-49D5-AEA0-3878CE16E1A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transpose!$AK$1</c15:sqref>
                        </c15:formulaRef>
                      </c:ext>
                    </c:extLst>
                    <c:strCache>
                      <c:ptCount val="1"/>
                      <c:pt idx="0">
                        <c:v>B_Eszik12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transpose!$AK$2:$AK$7686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4184">
                        <c:v>1</c:v>
                      </c:pt>
                      <c:pt idx="4185">
                        <c:v>1</c:v>
                      </c:pt>
                      <c:pt idx="4186">
                        <c:v>1</c:v>
                      </c:pt>
                      <c:pt idx="4187">
                        <c:v>1</c:v>
                      </c:pt>
                      <c:pt idx="4188">
                        <c:v>1</c:v>
                      </c:pt>
                      <c:pt idx="4189">
                        <c:v>1</c:v>
                      </c:pt>
                      <c:pt idx="4190">
                        <c:v>1</c:v>
                      </c:pt>
                      <c:pt idx="4191">
                        <c:v>1</c:v>
                      </c:pt>
                      <c:pt idx="4192">
                        <c:v>1</c:v>
                      </c:pt>
                      <c:pt idx="4193">
                        <c:v>1</c:v>
                      </c:pt>
                      <c:pt idx="4194">
                        <c:v>1</c:v>
                      </c:pt>
                      <c:pt idx="4195">
                        <c:v>1</c:v>
                      </c:pt>
                      <c:pt idx="4196">
                        <c:v>1</c:v>
                      </c:pt>
                      <c:pt idx="4197">
                        <c:v>1</c:v>
                      </c:pt>
                      <c:pt idx="4198">
                        <c:v>1</c:v>
                      </c:pt>
                      <c:pt idx="4199">
                        <c:v>1</c:v>
                      </c:pt>
                      <c:pt idx="4200">
                        <c:v>1</c:v>
                      </c:pt>
                      <c:pt idx="4201">
                        <c:v>1</c:v>
                      </c:pt>
                      <c:pt idx="4202">
                        <c:v>1</c:v>
                      </c:pt>
                      <c:pt idx="4203">
                        <c:v>1</c:v>
                      </c:pt>
                      <c:pt idx="4204">
                        <c:v>1</c:v>
                      </c:pt>
                      <c:pt idx="4205">
                        <c:v>1</c:v>
                      </c:pt>
                      <c:pt idx="4206">
                        <c:v>1</c:v>
                      </c:pt>
                      <c:pt idx="4207">
                        <c:v>1</c:v>
                      </c:pt>
                      <c:pt idx="4208">
                        <c:v>1</c:v>
                      </c:pt>
                      <c:pt idx="4209">
                        <c:v>1</c:v>
                      </c:pt>
                      <c:pt idx="4210">
                        <c:v>1</c:v>
                      </c:pt>
                      <c:pt idx="4211">
                        <c:v>1</c:v>
                      </c:pt>
                      <c:pt idx="4212">
                        <c:v>1</c:v>
                      </c:pt>
                      <c:pt idx="4213">
                        <c:v>1</c:v>
                      </c:pt>
                      <c:pt idx="4214">
                        <c:v>1</c:v>
                      </c:pt>
                      <c:pt idx="4215">
                        <c:v>1</c:v>
                      </c:pt>
                      <c:pt idx="4216">
                        <c:v>1</c:v>
                      </c:pt>
                      <c:pt idx="4217">
                        <c:v>1</c:v>
                      </c:pt>
                      <c:pt idx="4218">
                        <c:v>1</c:v>
                      </c:pt>
                      <c:pt idx="4219">
                        <c:v>1</c:v>
                      </c:pt>
                      <c:pt idx="4220">
                        <c:v>1</c:v>
                      </c:pt>
                      <c:pt idx="4221">
                        <c:v>1</c:v>
                      </c:pt>
                      <c:pt idx="4222">
                        <c:v>1</c:v>
                      </c:pt>
                      <c:pt idx="4223">
                        <c:v>1</c:v>
                      </c:pt>
                      <c:pt idx="4224">
                        <c:v>1</c:v>
                      </c:pt>
                      <c:pt idx="4225">
                        <c:v>1</c:v>
                      </c:pt>
                      <c:pt idx="4226">
                        <c:v>1</c:v>
                      </c:pt>
                      <c:pt idx="4227">
                        <c:v>1</c:v>
                      </c:pt>
                      <c:pt idx="4228">
                        <c:v>1</c:v>
                      </c:pt>
                      <c:pt idx="4229">
                        <c:v>1</c:v>
                      </c:pt>
                      <c:pt idx="4230">
                        <c:v>1</c:v>
                      </c:pt>
                      <c:pt idx="4231">
                        <c:v>1</c:v>
                      </c:pt>
                      <c:pt idx="4232">
                        <c:v>1</c:v>
                      </c:pt>
                      <c:pt idx="4233">
                        <c:v>1</c:v>
                      </c:pt>
                      <c:pt idx="4234">
                        <c:v>1</c:v>
                      </c:pt>
                      <c:pt idx="4235">
                        <c:v>1</c:v>
                      </c:pt>
                      <c:pt idx="4236">
                        <c:v>1</c:v>
                      </c:pt>
                      <c:pt idx="4237">
                        <c:v>1</c:v>
                      </c:pt>
                      <c:pt idx="4238">
                        <c:v>1</c:v>
                      </c:pt>
                      <c:pt idx="4239">
                        <c:v>1</c:v>
                      </c:pt>
                      <c:pt idx="4240">
                        <c:v>1</c:v>
                      </c:pt>
                      <c:pt idx="4241">
                        <c:v>1</c:v>
                      </c:pt>
                      <c:pt idx="4242">
                        <c:v>1</c:v>
                      </c:pt>
                      <c:pt idx="4243">
                        <c:v>1</c:v>
                      </c:pt>
                      <c:pt idx="4244">
                        <c:v>1</c:v>
                      </c:pt>
                      <c:pt idx="4245">
                        <c:v>1</c:v>
                      </c:pt>
                      <c:pt idx="4246">
                        <c:v>1</c:v>
                      </c:pt>
                      <c:pt idx="4247">
                        <c:v>1</c:v>
                      </c:pt>
                      <c:pt idx="4248">
                        <c:v>1</c:v>
                      </c:pt>
                      <c:pt idx="4249">
                        <c:v>1</c:v>
                      </c:pt>
                      <c:pt idx="4250">
                        <c:v>1</c:v>
                      </c:pt>
                      <c:pt idx="4251">
                        <c:v>1</c:v>
                      </c:pt>
                      <c:pt idx="4252">
                        <c:v>1</c:v>
                      </c:pt>
                      <c:pt idx="4253">
                        <c:v>1</c:v>
                      </c:pt>
                      <c:pt idx="4254">
                        <c:v>1</c:v>
                      </c:pt>
                      <c:pt idx="4255">
                        <c:v>1</c:v>
                      </c:pt>
                      <c:pt idx="4256">
                        <c:v>1</c:v>
                      </c:pt>
                      <c:pt idx="4257">
                        <c:v>1</c:v>
                      </c:pt>
                      <c:pt idx="4258">
                        <c:v>1</c:v>
                      </c:pt>
                      <c:pt idx="4259">
                        <c:v>1</c:v>
                      </c:pt>
                      <c:pt idx="4260">
                        <c:v>1</c:v>
                      </c:pt>
                      <c:pt idx="4261">
                        <c:v>1</c:v>
                      </c:pt>
                      <c:pt idx="4262">
                        <c:v>1</c:v>
                      </c:pt>
                      <c:pt idx="4263">
                        <c:v>1</c:v>
                      </c:pt>
                      <c:pt idx="4264">
                        <c:v>1</c:v>
                      </c:pt>
                      <c:pt idx="4265">
                        <c:v>1</c:v>
                      </c:pt>
                      <c:pt idx="4266">
                        <c:v>1</c:v>
                      </c:pt>
                      <c:pt idx="4267">
                        <c:v>1</c:v>
                      </c:pt>
                      <c:pt idx="4268">
                        <c:v>1</c:v>
                      </c:pt>
                      <c:pt idx="4269">
                        <c:v>1</c:v>
                      </c:pt>
                      <c:pt idx="4270">
                        <c:v>1</c:v>
                      </c:pt>
                      <c:pt idx="4271">
                        <c:v>1</c:v>
                      </c:pt>
                      <c:pt idx="4272">
                        <c:v>1</c:v>
                      </c:pt>
                      <c:pt idx="4273">
                        <c:v>1</c:v>
                      </c:pt>
                      <c:pt idx="4274">
                        <c:v>1</c:v>
                      </c:pt>
                      <c:pt idx="4275">
                        <c:v>1</c:v>
                      </c:pt>
                      <c:pt idx="4276">
                        <c:v>1</c:v>
                      </c:pt>
                      <c:pt idx="4277">
                        <c:v>1</c:v>
                      </c:pt>
                      <c:pt idx="4278">
                        <c:v>1</c:v>
                      </c:pt>
                      <c:pt idx="4279">
                        <c:v>1</c:v>
                      </c:pt>
                      <c:pt idx="4280">
                        <c:v>1</c:v>
                      </c:pt>
                      <c:pt idx="4281">
                        <c:v>1</c:v>
                      </c:pt>
                      <c:pt idx="4282">
                        <c:v>1</c:v>
                      </c:pt>
                      <c:pt idx="4283">
                        <c:v>1</c:v>
                      </c:pt>
                      <c:pt idx="4284">
                        <c:v>1</c:v>
                      </c:pt>
                      <c:pt idx="4285">
                        <c:v>1</c:v>
                      </c:pt>
                      <c:pt idx="4286">
                        <c:v>1</c:v>
                      </c:pt>
                      <c:pt idx="4287">
                        <c:v>1</c:v>
                      </c:pt>
                      <c:pt idx="4288">
                        <c:v>1</c:v>
                      </c:pt>
                      <c:pt idx="4289">
                        <c:v>1</c:v>
                      </c:pt>
                      <c:pt idx="4290">
                        <c:v>1</c:v>
                      </c:pt>
                      <c:pt idx="4291">
                        <c:v>1</c:v>
                      </c:pt>
                      <c:pt idx="4292">
                        <c:v>1</c:v>
                      </c:pt>
                      <c:pt idx="4293">
                        <c:v>1</c:v>
                      </c:pt>
                      <c:pt idx="4294">
                        <c:v>1</c:v>
                      </c:pt>
                      <c:pt idx="4295">
                        <c:v>1</c:v>
                      </c:pt>
                      <c:pt idx="4296">
                        <c:v>1</c:v>
                      </c:pt>
                      <c:pt idx="4297">
                        <c:v>1</c:v>
                      </c:pt>
                      <c:pt idx="4298">
                        <c:v>1</c:v>
                      </c:pt>
                      <c:pt idx="4299">
                        <c:v>1</c:v>
                      </c:pt>
                      <c:pt idx="4300">
                        <c:v>1</c:v>
                      </c:pt>
                      <c:pt idx="4301">
                        <c:v>1</c:v>
                      </c:pt>
                      <c:pt idx="4302">
                        <c:v>1</c:v>
                      </c:pt>
                      <c:pt idx="4303">
                        <c:v>1</c:v>
                      </c:pt>
                      <c:pt idx="4304">
                        <c:v>1</c:v>
                      </c:pt>
                      <c:pt idx="4305">
                        <c:v>1</c:v>
                      </c:pt>
                      <c:pt idx="4306">
                        <c:v>1</c:v>
                      </c:pt>
                      <c:pt idx="4307">
                        <c:v>1</c:v>
                      </c:pt>
                      <c:pt idx="4308">
                        <c:v>1</c:v>
                      </c:pt>
                      <c:pt idx="4309">
                        <c:v>1</c:v>
                      </c:pt>
                      <c:pt idx="4310">
                        <c:v>1</c:v>
                      </c:pt>
                      <c:pt idx="4311">
                        <c:v>1</c:v>
                      </c:pt>
                      <c:pt idx="4312">
                        <c:v>1</c:v>
                      </c:pt>
                      <c:pt idx="4313">
                        <c:v>1</c:v>
                      </c:pt>
                      <c:pt idx="4314">
                        <c:v>1</c:v>
                      </c:pt>
                      <c:pt idx="4315">
                        <c:v>1</c:v>
                      </c:pt>
                      <c:pt idx="4316">
                        <c:v>1</c:v>
                      </c:pt>
                      <c:pt idx="4317">
                        <c:v>1</c:v>
                      </c:pt>
                      <c:pt idx="4318">
                        <c:v>1</c:v>
                      </c:pt>
                      <c:pt idx="4319">
                        <c:v>1</c:v>
                      </c:pt>
                      <c:pt idx="4320">
                        <c:v>1</c:v>
                      </c:pt>
                      <c:pt idx="4321">
                        <c:v>1</c:v>
                      </c:pt>
                      <c:pt idx="4322">
                        <c:v>1</c:v>
                      </c:pt>
                      <c:pt idx="4323">
                        <c:v>1</c:v>
                      </c:pt>
                      <c:pt idx="4324">
                        <c:v>1</c:v>
                      </c:pt>
                      <c:pt idx="4325">
                        <c:v>1</c:v>
                      </c:pt>
                      <c:pt idx="4326">
                        <c:v>1</c:v>
                      </c:pt>
                      <c:pt idx="4327">
                        <c:v>1</c:v>
                      </c:pt>
                      <c:pt idx="4328">
                        <c:v>1</c:v>
                      </c:pt>
                      <c:pt idx="4329">
                        <c:v>1</c:v>
                      </c:pt>
                      <c:pt idx="4330">
                        <c:v>1</c:v>
                      </c:pt>
                      <c:pt idx="4331">
                        <c:v>1</c:v>
                      </c:pt>
                      <c:pt idx="4332">
                        <c:v>1</c:v>
                      </c:pt>
                      <c:pt idx="4333">
                        <c:v>1</c:v>
                      </c:pt>
                      <c:pt idx="4334">
                        <c:v>1</c:v>
                      </c:pt>
                      <c:pt idx="4335">
                        <c:v>1</c:v>
                      </c:pt>
                      <c:pt idx="4336">
                        <c:v>1</c:v>
                      </c:pt>
                      <c:pt idx="4337">
                        <c:v>1</c:v>
                      </c:pt>
                      <c:pt idx="4338">
                        <c:v>1</c:v>
                      </c:pt>
                      <c:pt idx="4339">
                        <c:v>1</c:v>
                      </c:pt>
                      <c:pt idx="4340">
                        <c:v>1</c:v>
                      </c:pt>
                      <c:pt idx="4341">
                        <c:v>1</c:v>
                      </c:pt>
                      <c:pt idx="4342">
                        <c:v>1</c:v>
                      </c:pt>
                      <c:pt idx="4343">
                        <c:v>1</c:v>
                      </c:pt>
                      <c:pt idx="4344">
                        <c:v>1</c:v>
                      </c:pt>
                      <c:pt idx="4345">
                        <c:v>1</c:v>
                      </c:pt>
                      <c:pt idx="4346">
                        <c:v>1</c:v>
                      </c:pt>
                      <c:pt idx="4347">
                        <c:v>1</c:v>
                      </c:pt>
                      <c:pt idx="4348">
                        <c:v>1</c:v>
                      </c:pt>
                      <c:pt idx="4349">
                        <c:v>1</c:v>
                      </c:pt>
                      <c:pt idx="4350">
                        <c:v>1</c:v>
                      </c:pt>
                      <c:pt idx="4351">
                        <c:v>1</c:v>
                      </c:pt>
                      <c:pt idx="4352">
                        <c:v>1</c:v>
                      </c:pt>
                      <c:pt idx="4353">
                        <c:v>1</c:v>
                      </c:pt>
                      <c:pt idx="4354">
                        <c:v>1</c:v>
                      </c:pt>
                      <c:pt idx="4355">
                        <c:v>1</c:v>
                      </c:pt>
                      <c:pt idx="4356">
                        <c:v>1</c:v>
                      </c:pt>
                      <c:pt idx="4357">
                        <c:v>1</c:v>
                      </c:pt>
                      <c:pt idx="4358">
                        <c:v>1</c:v>
                      </c:pt>
                      <c:pt idx="4359">
                        <c:v>1</c:v>
                      </c:pt>
                      <c:pt idx="4360">
                        <c:v>1</c:v>
                      </c:pt>
                      <c:pt idx="4361">
                        <c:v>1</c:v>
                      </c:pt>
                      <c:pt idx="4362">
                        <c:v>1</c:v>
                      </c:pt>
                      <c:pt idx="4363">
                        <c:v>1</c:v>
                      </c:pt>
                      <c:pt idx="4364">
                        <c:v>1</c:v>
                      </c:pt>
                      <c:pt idx="4365">
                        <c:v>1</c:v>
                      </c:pt>
                      <c:pt idx="4366">
                        <c:v>1</c:v>
                      </c:pt>
                      <c:pt idx="4367">
                        <c:v>1</c:v>
                      </c:pt>
                      <c:pt idx="4368">
                        <c:v>1</c:v>
                      </c:pt>
                      <c:pt idx="4369">
                        <c:v>1</c:v>
                      </c:pt>
                      <c:pt idx="4370">
                        <c:v>1</c:v>
                      </c:pt>
                      <c:pt idx="4371">
                        <c:v>1</c:v>
                      </c:pt>
                      <c:pt idx="4372">
                        <c:v>1</c:v>
                      </c:pt>
                      <c:pt idx="4373">
                        <c:v>1</c:v>
                      </c:pt>
                      <c:pt idx="4374">
                        <c:v>1</c:v>
                      </c:pt>
                      <c:pt idx="4375">
                        <c:v>1</c:v>
                      </c:pt>
                      <c:pt idx="4376">
                        <c:v>1</c:v>
                      </c:pt>
                      <c:pt idx="4377">
                        <c:v>1</c:v>
                      </c:pt>
                      <c:pt idx="4378">
                        <c:v>1</c:v>
                      </c:pt>
                      <c:pt idx="4379">
                        <c:v>1</c:v>
                      </c:pt>
                      <c:pt idx="4380">
                        <c:v>1</c:v>
                      </c:pt>
                      <c:pt idx="4381">
                        <c:v>1</c:v>
                      </c:pt>
                      <c:pt idx="4382">
                        <c:v>1</c:v>
                      </c:pt>
                      <c:pt idx="4383">
                        <c:v>1</c:v>
                      </c:pt>
                      <c:pt idx="4384">
                        <c:v>1</c:v>
                      </c:pt>
                      <c:pt idx="4385">
                        <c:v>1</c:v>
                      </c:pt>
                      <c:pt idx="4386">
                        <c:v>1</c:v>
                      </c:pt>
                      <c:pt idx="4387">
                        <c:v>1</c:v>
                      </c:pt>
                      <c:pt idx="4388">
                        <c:v>1</c:v>
                      </c:pt>
                      <c:pt idx="4389">
                        <c:v>1</c:v>
                      </c:pt>
                      <c:pt idx="4390">
                        <c:v>1</c:v>
                      </c:pt>
                      <c:pt idx="4391">
                        <c:v>1</c:v>
                      </c:pt>
                      <c:pt idx="4392">
                        <c:v>1</c:v>
                      </c:pt>
                      <c:pt idx="4393">
                        <c:v>1</c:v>
                      </c:pt>
                      <c:pt idx="4394">
                        <c:v>1</c:v>
                      </c:pt>
                      <c:pt idx="4395">
                        <c:v>1</c:v>
                      </c:pt>
                      <c:pt idx="4396">
                        <c:v>1</c:v>
                      </c:pt>
                      <c:pt idx="4397">
                        <c:v>1</c:v>
                      </c:pt>
                      <c:pt idx="4398">
                        <c:v>1</c:v>
                      </c:pt>
                      <c:pt idx="4399">
                        <c:v>1</c:v>
                      </c:pt>
                      <c:pt idx="4400">
                        <c:v>1</c:v>
                      </c:pt>
                      <c:pt idx="4401">
                        <c:v>1</c:v>
                      </c:pt>
                      <c:pt idx="4402">
                        <c:v>1</c:v>
                      </c:pt>
                      <c:pt idx="4403">
                        <c:v>1</c:v>
                      </c:pt>
                      <c:pt idx="4404">
                        <c:v>1</c:v>
                      </c:pt>
                      <c:pt idx="4405">
                        <c:v>1</c:v>
                      </c:pt>
                      <c:pt idx="4406">
                        <c:v>1</c:v>
                      </c:pt>
                      <c:pt idx="4407">
                        <c:v>1</c:v>
                      </c:pt>
                      <c:pt idx="4408">
                        <c:v>1</c:v>
                      </c:pt>
                      <c:pt idx="4409">
                        <c:v>1</c:v>
                      </c:pt>
                      <c:pt idx="4410">
                        <c:v>1</c:v>
                      </c:pt>
                      <c:pt idx="4411">
                        <c:v>1</c:v>
                      </c:pt>
                      <c:pt idx="4412">
                        <c:v>1</c:v>
                      </c:pt>
                      <c:pt idx="4413">
                        <c:v>1</c:v>
                      </c:pt>
                      <c:pt idx="4414">
                        <c:v>1</c:v>
                      </c:pt>
                      <c:pt idx="4415">
                        <c:v>1</c:v>
                      </c:pt>
                      <c:pt idx="4416">
                        <c:v>1</c:v>
                      </c:pt>
                      <c:pt idx="4417">
                        <c:v>1</c:v>
                      </c:pt>
                      <c:pt idx="4418">
                        <c:v>1</c:v>
                      </c:pt>
                      <c:pt idx="4419">
                        <c:v>1</c:v>
                      </c:pt>
                      <c:pt idx="4420">
                        <c:v>1</c:v>
                      </c:pt>
                      <c:pt idx="4421">
                        <c:v>1</c:v>
                      </c:pt>
                      <c:pt idx="4422">
                        <c:v>1</c:v>
                      </c:pt>
                      <c:pt idx="4423">
                        <c:v>1</c:v>
                      </c:pt>
                      <c:pt idx="4424">
                        <c:v>1</c:v>
                      </c:pt>
                      <c:pt idx="4425">
                        <c:v>1</c:v>
                      </c:pt>
                      <c:pt idx="4426">
                        <c:v>1</c:v>
                      </c:pt>
                      <c:pt idx="4427">
                        <c:v>1</c:v>
                      </c:pt>
                      <c:pt idx="4428">
                        <c:v>1</c:v>
                      </c:pt>
                      <c:pt idx="4429">
                        <c:v>1</c:v>
                      </c:pt>
                      <c:pt idx="4430">
                        <c:v>1</c:v>
                      </c:pt>
                      <c:pt idx="4431">
                        <c:v>1</c:v>
                      </c:pt>
                      <c:pt idx="4432">
                        <c:v>1</c:v>
                      </c:pt>
                      <c:pt idx="4433">
                        <c:v>1</c:v>
                      </c:pt>
                      <c:pt idx="4434">
                        <c:v>1</c:v>
                      </c:pt>
                      <c:pt idx="4435">
                        <c:v>1</c:v>
                      </c:pt>
                      <c:pt idx="4436">
                        <c:v>1</c:v>
                      </c:pt>
                      <c:pt idx="4437">
                        <c:v>1</c:v>
                      </c:pt>
                      <c:pt idx="4438">
                        <c:v>1</c:v>
                      </c:pt>
                      <c:pt idx="4439">
                        <c:v>1</c:v>
                      </c:pt>
                      <c:pt idx="4440">
                        <c:v>1</c:v>
                      </c:pt>
                      <c:pt idx="4441">
                        <c:v>1</c:v>
                      </c:pt>
                      <c:pt idx="4442">
                        <c:v>1</c:v>
                      </c:pt>
                      <c:pt idx="4443">
                        <c:v>1</c:v>
                      </c:pt>
                      <c:pt idx="4444">
                        <c:v>1</c:v>
                      </c:pt>
                      <c:pt idx="4445">
                        <c:v>1</c:v>
                      </c:pt>
                      <c:pt idx="4446">
                        <c:v>1</c:v>
                      </c:pt>
                      <c:pt idx="4447">
                        <c:v>1</c:v>
                      </c:pt>
                      <c:pt idx="4448">
                        <c:v>1</c:v>
                      </c:pt>
                      <c:pt idx="4449">
                        <c:v>1</c:v>
                      </c:pt>
                      <c:pt idx="4450">
                        <c:v>1</c:v>
                      </c:pt>
                      <c:pt idx="4451">
                        <c:v>1</c:v>
                      </c:pt>
                      <c:pt idx="4452">
                        <c:v>1</c:v>
                      </c:pt>
                      <c:pt idx="4453">
                        <c:v>1</c:v>
                      </c:pt>
                      <c:pt idx="4454">
                        <c:v>1</c:v>
                      </c:pt>
                      <c:pt idx="4455">
                        <c:v>1</c:v>
                      </c:pt>
                      <c:pt idx="4456">
                        <c:v>1</c:v>
                      </c:pt>
                      <c:pt idx="4457">
                        <c:v>1</c:v>
                      </c:pt>
                      <c:pt idx="4458">
                        <c:v>1</c:v>
                      </c:pt>
                      <c:pt idx="4459">
                        <c:v>1</c:v>
                      </c:pt>
                      <c:pt idx="4460">
                        <c:v>1</c:v>
                      </c:pt>
                      <c:pt idx="4461">
                        <c:v>1</c:v>
                      </c:pt>
                      <c:pt idx="4462">
                        <c:v>1</c:v>
                      </c:pt>
                      <c:pt idx="4463">
                        <c:v>1</c:v>
                      </c:pt>
                      <c:pt idx="4464">
                        <c:v>1</c:v>
                      </c:pt>
                      <c:pt idx="4465">
                        <c:v>1</c:v>
                      </c:pt>
                      <c:pt idx="4466">
                        <c:v>1</c:v>
                      </c:pt>
                      <c:pt idx="4467">
                        <c:v>1</c:v>
                      </c:pt>
                      <c:pt idx="4468">
                        <c:v>1</c:v>
                      </c:pt>
                      <c:pt idx="4469">
                        <c:v>1</c:v>
                      </c:pt>
                      <c:pt idx="4470">
                        <c:v>1</c:v>
                      </c:pt>
                      <c:pt idx="4471">
                        <c:v>1</c:v>
                      </c:pt>
                      <c:pt idx="4472">
                        <c:v>1</c:v>
                      </c:pt>
                      <c:pt idx="4473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77C-49D5-AEA0-3878CE16E1A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transpose!$AO$1</c15:sqref>
                        </c15:formulaRef>
                      </c:ext>
                    </c:extLst>
                    <c:strCache>
                      <c:ptCount val="1"/>
                      <c:pt idx="0">
                        <c:v>B_Eszik14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transpose!$AO$2:$AO$7686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77C-49D5-AEA0-3878CE16E1A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transpose!$AS$1</c15:sqref>
                        </c15:formulaRef>
                      </c:ext>
                    </c:extLst>
                    <c:strCache>
                      <c:ptCount val="1"/>
                      <c:pt idx="0">
                        <c:v>B_Eszik16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transpose!$AS$2:$AS$7686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77C-49D5-AEA0-3878CE16E1AE}"/>
                  </c:ext>
                </c:extLst>
              </c15:ser>
            </c15:filteredScatterSeries>
          </c:ext>
        </c:extLst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</c:valAx>
      <c:valAx>
        <c:axId val="8131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293775166391002E-2"/>
          <c:y val="0.67950391779115116"/>
          <c:w val="0.96732184711027303"/>
          <c:h val="0.30091226656194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972838643891364E-2"/>
          <c:y val="0.19000078740483797"/>
          <c:w val="0.84266999292779632"/>
          <c:h val="0.27506621804257464"/>
        </c:manualLayout>
      </c:layout>
      <c:scatterChart>
        <c:scatterStyle val="lineMarker"/>
        <c:varyColors val="0"/>
        <c:ser>
          <c:idx val="1"/>
          <c:order val="1"/>
          <c:tx>
            <c:strRef>
              <c:f>transpose!$Q$1</c:f>
              <c:strCache>
                <c:ptCount val="1"/>
                <c:pt idx="0">
                  <c:v>B_Eszik2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transpose!$Q$2:$Q$7686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A-4FF3-AB4E-17FDF76A0ADB}"/>
            </c:ext>
          </c:extLst>
        </c:ser>
        <c:ser>
          <c:idx val="3"/>
          <c:order val="3"/>
          <c:tx>
            <c:strRef>
              <c:f>transpose!$U$1</c:f>
              <c:strCache>
                <c:ptCount val="1"/>
                <c:pt idx="0">
                  <c:v>B_Eszik4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transpose!$U$2:$U$7686</c:f>
              <c:numCache>
                <c:formatCode>General</c:formatCode>
                <c:ptCount val="7685"/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A-4FF3-AB4E-17FDF76A0ADB}"/>
            </c:ext>
          </c:extLst>
        </c:ser>
        <c:ser>
          <c:idx val="5"/>
          <c:order val="5"/>
          <c:tx>
            <c:strRef>
              <c:f>transpose!$Y$1</c:f>
              <c:strCache>
                <c:ptCount val="1"/>
                <c:pt idx="0">
                  <c:v>B_Eszik6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transpose!$Y$2:$Y$7686</c:f>
              <c:numCache>
                <c:formatCode>General</c:formatCode>
                <c:ptCount val="7685"/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6A-4FF3-AB4E-17FDF76A0ADB}"/>
            </c:ext>
          </c:extLst>
        </c:ser>
        <c:ser>
          <c:idx val="7"/>
          <c:order val="7"/>
          <c:tx>
            <c:strRef>
              <c:f>transpose!$AC$1</c:f>
              <c:strCache>
                <c:ptCount val="1"/>
                <c:pt idx="0">
                  <c:v>B_Eszik8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transpose!$AC$2:$AC$7686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6A-4FF3-AB4E-17FDF76A0ADB}"/>
            </c:ext>
          </c:extLst>
        </c:ser>
        <c:ser>
          <c:idx val="9"/>
          <c:order val="9"/>
          <c:tx>
            <c:strRef>
              <c:f>transpose!$AG$1</c:f>
              <c:strCache>
                <c:ptCount val="1"/>
                <c:pt idx="0">
                  <c:v>B_Eszik10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transpose!$AG$2:$AG$7686</c:f>
              <c:numCache>
                <c:formatCode>General</c:formatCode>
                <c:ptCount val="7685"/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6A-4FF3-AB4E-17FDF76A0ADB}"/>
            </c:ext>
          </c:extLst>
        </c:ser>
        <c:ser>
          <c:idx val="11"/>
          <c:order val="11"/>
          <c:tx>
            <c:strRef>
              <c:f>transpose!$AK$1</c:f>
              <c:strCache>
                <c:ptCount val="1"/>
                <c:pt idx="0">
                  <c:v>B_Eszik12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transpose!$AK$2:$AK$7686</c:f>
              <c:numCache>
                <c:formatCode>General</c:formatCode>
                <c:ptCount val="7685"/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6A-4FF3-AB4E-17FDF76A0ADB}"/>
            </c:ext>
          </c:extLst>
        </c:ser>
        <c:ser>
          <c:idx val="13"/>
          <c:order val="13"/>
          <c:tx>
            <c:strRef>
              <c:f>transpose!$AO$1</c:f>
              <c:strCache>
                <c:ptCount val="1"/>
                <c:pt idx="0">
                  <c:v>B_Eszik14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transpose!$AO$2:$AO$7686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6A-4FF3-AB4E-17FDF76A0ADB}"/>
            </c:ext>
          </c:extLst>
        </c:ser>
        <c:ser>
          <c:idx val="15"/>
          <c:order val="15"/>
          <c:tx>
            <c:strRef>
              <c:f>transpose!$AS$1</c:f>
              <c:strCache>
                <c:ptCount val="1"/>
                <c:pt idx="0">
                  <c:v>B_Eszik16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transpose!$AS$2:$AS$7686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6A-4FF3-AB4E-17FDF76A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transpose!$O$1</c15:sqref>
                        </c15:formulaRef>
                      </c:ext>
                    </c:extLst>
                    <c:strCache>
                      <c:ptCount val="1"/>
                      <c:pt idx="0">
                        <c:v>B_Eszik1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transpose!$O$2:$O$7686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6155">
                        <c:v>1</c:v>
                      </c:pt>
                      <c:pt idx="6156">
                        <c:v>1</c:v>
                      </c:pt>
                      <c:pt idx="6157">
                        <c:v>1</c:v>
                      </c:pt>
                      <c:pt idx="6158">
                        <c:v>1</c:v>
                      </c:pt>
                      <c:pt idx="6159">
                        <c:v>1</c:v>
                      </c:pt>
                      <c:pt idx="6160">
                        <c:v>1</c:v>
                      </c:pt>
                      <c:pt idx="6161">
                        <c:v>1</c:v>
                      </c:pt>
                      <c:pt idx="6162">
                        <c:v>1</c:v>
                      </c:pt>
                      <c:pt idx="6163">
                        <c:v>1</c:v>
                      </c:pt>
                      <c:pt idx="6164">
                        <c:v>1</c:v>
                      </c:pt>
                      <c:pt idx="6165">
                        <c:v>1</c:v>
                      </c:pt>
                      <c:pt idx="6166">
                        <c:v>1</c:v>
                      </c:pt>
                      <c:pt idx="6167">
                        <c:v>1</c:v>
                      </c:pt>
                      <c:pt idx="6168">
                        <c:v>1</c:v>
                      </c:pt>
                      <c:pt idx="6169">
                        <c:v>1</c:v>
                      </c:pt>
                      <c:pt idx="6170">
                        <c:v>1</c:v>
                      </c:pt>
                      <c:pt idx="6171">
                        <c:v>1</c:v>
                      </c:pt>
                      <c:pt idx="6172">
                        <c:v>1</c:v>
                      </c:pt>
                      <c:pt idx="6173">
                        <c:v>1</c:v>
                      </c:pt>
                      <c:pt idx="6174">
                        <c:v>1</c:v>
                      </c:pt>
                      <c:pt idx="6175">
                        <c:v>1</c:v>
                      </c:pt>
                      <c:pt idx="6176">
                        <c:v>1</c:v>
                      </c:pt>
                      <c:pt idx="6177">
                        <c:v>1</c:v>
                      </c:pt>
                      <c:pt idx="6178">
                        <c:v>1</c:v>
                      </c:pt>
                      <c:pt idx="6179">
                        <c:v>1</c:v>
                      </c:pt>
                      <c:pt idx="6180">
                        <c:v>1</c:v>
                      </c:pt>
                      <c:pt idx="6181">
                        <c:v>1</c:v>
                      </c:pt>
                      <c:pt idx="6182">
                        <c:v>1</c:v>
                      </c:pt>
                      <c:pt idx="6183">
                        <c:v>1</c:v>
                      </c:pt>
                      <c:pt idx="6184">
                        <c:v>1</c:v>
                      </c:pt>
                      <c:pt idx="6185">
                        <c:v>1</c:v>
                      </c:pt>
                      <c:pt idx="6186">
                        <c:v>1</c:v>
                      </c:pt>
                      <c:pt idx="6187">
                        <c:v>1</c:v>
                      </c:pt>
                      <c:pt idx="6188">
                        <c:v>1</c:v>
                      </c:pt>
                      <c:pt idx="6189">
                        <c:v>1</c:v>
                      </c:pt>
                      <c:pt idx="6190">
                        <c:v>1</c:v>
                      </c:pt>
                      <c:pt idx="6191">
                        <c:v>1</c:v>
                      </c:pt>
                      <c:pt idx="6192">
                        <c:v>1</c:v>
                      </c:pt>
                      <c:pt idx="6193">
                        <c:v>1</c:v>
                      </c:pt>
                      <c:pt idx="6194">
                        <c:v>1</c:v>
                      </c:pt>
                      <c:pt idx="6195">
                        <c:v>1</c:v>
                      </c:pt>
                      <c:pt idx="6196">
                        <c:v>1</c:v>
                      </c:pt>
                      <c:pt idx="6197">
                        <c:v>1</c:v>
                      </c:pt>
                      <c:pt idx="6198">
                        <c:v>1</c:v>
                      </c:pt>
                      <c:pt idx="6199">
                        <c:v>1</c:v>
                      </c:pt>
                      <c:pt idx="6200">
                        <c:v>1</c:v>
                      </c:pt>
                      <c:pt idx="6201">
                        <c:v>1</c:v>
                      </c:pt>
                      <c:pt idx="6202">
                        <c:v>1</c:v>
                      </c:pt>
                      <c:pt idx="6203">
                        <c:v>1</c:v>
                      </c:pt>
                      <c:pt idx="6204">
                        <c:v>1</c:v>
                      </c:pt>
                      <c:pt idx="6205">
                        <c:v>1</c:v>
                      </c:pt>
                      <c:pt idx="6206">
                        <c:v>1</c:v>
                      </c:pt>
                      <c:pt idx="6207">
                        <c:v>1</c:v>
                      </c:pt>
                      <c:pt idx="6208">
                        <c:v>1</c:v>
                      </c:pt>
                      <c:pt idx="6209">
                        <c:v>1</c:v>
                      </c:pt>
                      <c:pt idx="6210">
                        <c:v>1</c:v>
                      </c:pt>
                      <c:pt idx="6211">
                        <c:v>1</c:v>
                      </c:pt>
                      <c:pt idx="6212">
                        <c:v>1</c:v>
                      </c:pt>
                      <c:pt idx="6213">
                        <c:v>1</c:v>
                      </c:pt>
                      <c:pt idx="6214">
                        <c:v>1</c:v>
                      </c:pt>
                      <c:pt idx="6215">
                        <c:v>1</c:v>
                      </c:pt>
                      <c:pt idx="6216">
                        <c:v>1</c:v>
                      </c:pt>
                      <c:pt idx="6217">
                        <c:v>1</c:v>
                      </c:pt>
                      <c:pt idx="6218">
                        <c:v>1</c:v>
                      </c:pt>
                      <c:pt idx="6219">
                        <c:v>1</c:v>
                      </c:pt>
                      <c:pt idx="6220">
                        <c:v>1</c:v>
                      </c:pt>
                      <c:pt idx="6221">
                        <c:v>1</c:v>
                      </c:pt>
                      <c:pt idx="6222">
                        <c:v>1</c:v>
                      </c:pt>
                      <c:pt idx="6223">
                        <c:v>1</c:v>
                      </c:pt>
                      <c:pt idx="6224">
                        <c:v>1</c:v>
                      </c:pt>
                      <c:pt idx="6225">
                        <c:v>1</c:v>
                      </c:pt>
                      <c:pt idx="6226">
                        <c:v>1</c:v>
                      </c:pt>
                      <c:pt idx="6227">
                        <c:v>1</c:v>
                      </c:pt>
                      <c:pt idx="6228">
                        <c:v>1</c:v>
                      </c:pt>
                      <c:pt idx="6229">
                        <c:v>1</c:v>
                      </c:pt>
                      <c:pt idx="6230">
                        <c:v>1</c:v>
                      </c:pt>
                      <c:pt idx="6231">
                        <c:v>1</c:v>
                      </c:pt>
                      <c:pt idx="6232">
                        <c:v>1</c:v>
                      </c:pt>
                      <c:pt idx="6233">
                        <c:v>1</c:v>
                      </c:pt>
                      <c:pt idx="6234">
                        <c:v>1</c:v>
                      </c:pt>
                      <c:pt idx="6235">
                        <c:v>1</c:v>
                      </c:pt>
                      <c:pt idx="6236">
                        <c:v>1</c:v>
                      </c:pt>
                      <c:pt idx="6237">
                        <c:v>1</c:v>
                      </c:pt>
                      <c:pt idx="6238">
                        <c:v>1</c:v>
                      </c:pt>
                      <c:pt idx="6239">
                        <c:v>1</c:v>
                      </c:pt>
                      <c:pt idx="6240">
                        <c:v>1</c:v>
                      </c:pt>
                      <c:pt idx="6241">
                        <c:v>1</c:v>
                      </c:pt>
                      <c:pt idx="6242">
                        <c:v>1</c:v>
                      </c:pt>
                      <c:pt idx="6243">
                        <c:v>1</c:v>
                      </c:pt>
                      <c:pt idx="6244">
                        <c:v>1</c:v>
                      </c:pt>
                      <c:pt idx="6245">
                        <c:v>1</c:v>
                      </c:pt>
                      <c:pt idx="6246">
                        <c:v>1</c:v>
                      </c:pt>
                      <c:pt idx="6247">
                        <c:v>1</c:v>
                      </c:pt>
                      <c:pt idx="6248">
                        <c:v>1</c:v>
                      </c:pt>
                      <c:pt idx="6249">
                        <c:v>1</c:v>
                      </c:pt>
                      <c:pt idx="6250">
                        <c:v>1</c:v>
                      </c:pt>
                      <c:pt idx="6251">
                        <c:v>1</c:v>
                      </c:pt>
                      <c:pt idx="6252">
                        <c:v>1</c:v>
                      </c:pt>
                      <c:pt idx="6253">
                        <c:v>1</c:v>
                      </c:pt>
                      <c:pt idx="6254">
                        <c:v>1</c:v>
                      </c:pt>
                      <c:pt idx="6255">
                        <c:v>1</c:v>
                      </c:pt>
                      <c:pt idx="6256">
                        <c:v>1</c:v>
                      </c:pt>
                      <c:pt idx="6257">
                        <c:v>1</c:v>
                      </c:pt>
                      <c:pt idx="6258">
                        <c:v>1</c:v>
                      </c:pt>
                      <c:pt idx="6259">
                        <c:v>1</c:v>
                      </c:pt>
                      <c:pt idx="6260">
                        <c:v>1</c:v>
                      </c:pt>
                      <c:pt idx="6261">
                        <c:v>1</c:v>
                      </c:pt>
                      <c:pt idx="6262">
                        <c:v>1</c:v>
                      </c:pt>
                      <c:pt idx="6263">
                        <c:v>1</c:v>
                      </c:pt>
                      <c:pt idx="6264">
                        <c:v>1</c:v>
                      </c:pt>
                      <c:pt idx="6265">
                        <c:v>1</c:v>
                      </c:pt>
                      <c:pt idx="6266">
                        <c:v>1</c:v>
                      </c:pt>
                      <c:pt idx="6267">
                        <c:v>1</c:v>
                      </c:pt>
                      <c:pt idx="6268">
                        <c:v>1</c:v>
                      </c:pt>
                      <c:pt idx="6269">
                        <c:v>1</c:v>
                      </c:pt>
                      <c:pt idx="6270">
                        <c:v>1</c:v>
                      </c:pt>
                      <c:pt idx="6271">
                        <c:v>1</c:v>
                      </c:pt>
                      <c:pt idx="6272">
                        <c:v>1</c:v>
                      </c:pt>
                      <c:pt idx="6273">
                        <c:v>1</c:v>
                      </c:pt>
                      <c:pt idx="6274">
                        <c:v>1</c:v>
                      </c:pt>
                      <c:pt idx="6275">
                        <c:v>1</c:v>
                      </c:pt>
                      <c:pt idx="6276">
                        <c:v>1</c:v>
                      </c:pt>
                      <c:pt idx="6277">
                        <c:v>1</c:v>
                      </c:pt>
                      <c:pt idx="6278">
                        <c:v>1</c:v>
                      </c:pt>
                      <c:pt idx="6279">
                        <c:v>1</c:v>
                      </c:pt>
                      <c:pt idx="6280">
                        <c:v>1</c:v>
                      </c:pt>
                      <c:pt idx="6281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1B6A-4FF3-AB4E-17FDF76A0AD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transpose!$S$1</c15:sqref>
                        </c15:formulaRef>
                      </c:ext>
                    </c:extLst>
                    <c:strCache>
                      <c:ptCount val="1"/>
                      <c:pt idx="0">
                        <c:v>B_Eszik3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transpose!$S$2:$S$7686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7518">
                        <c:v>1</c:v>
                      </c:pt>
                      <c:pt idx="7519">
                        <c:v>1</c:v>
                      </c:pt>
                      <c:pt idx="7520">
                        <c:v>1</c:v>
                      </c:pt>
                      <c:pt idx="7521">
                        <c:v>1</c:v>
                      </c:pt>
                      <c:pt idx="7522">
                        <c:v>1</c:v>
                      </c:pt>
                      <c:pt idx="7523">
                        <c:v>1</c:v>
                      </c:pt>
                      <c:pt idx="7524">
                        <c:v>1</c:v>
                      </c:pt>
                      <c:pt idx="7525">
                        <c:v>1</c:v>
                      </c:pt>
                      <c:pt idx="7526">
                        <c:v>1</c:v>
                      </c:pt>
                      <c:pt idx="7527">
                        <c:v>1</c:v>
                      </c:pt>
                      <c:pt idx="7528">
                        <c:v>1</c:v>
                      </c:pt>
                      <c:pt idx="7529">
                        <c:v>1</c:v>
                      </c:pt>
                      <c:pt idx="7530">
                        <c:v>1</c:v>
                      </c:pt>
                      <c:pt idx="7531">
                        <c:v>1</c:v>
                      </c:pt>
                      <c:pt idx="7532">
                        <c:v>1</c:v>
                      </c:pt>
                      <c:pt idx="7533">
                        <c:v>1</c:v>
                      </c:pt>
                      <c:pt idx="7534">
                        <c:v>1</c:v>
                      </c:pt>
                      <c:pt idx="7535">
                        <c:v>1</c:v>
                      </c:pt>
                      <c:pt idx="7536">
                        <c:v>1</c:v>
                      </c:pt>
                      <c:pt idx="7537">
                        <c:v>1</c:v>
                      </c:pt>
                      <c:pt idx="7538">
                        <c:v>1</c:v>
                      </c:pt>
                      <c:pt idx="7539">
                        <c:v>1</c:v>
                      </c:pt>
                      <c:pt idx="7540">
                        <c:v>1</c:v>
                      </c:pt>
                      <c:pt idx="7541">
                        <c:v>1</c:v>
                      </c:pt>
                      <c:pt idx="7542">
                        <c:v>1</c:v>
                      </c:pt>
                      <c:pt idx="7543">
                        <c:v>1</c:v>
                      </c:pt>
                      <c:pt idx="7544">
                        <c:v>1</c:v>
                      </c:pt>
                      <c:pt idx="7545">
                        <c:v>1</c:v>
                      </c:pt>
                      <c:pt idx="7546">
                        <c:v>1</c:v>
                      </c:pt>
                      <c:pt idx="7547">
                        <c:v>1</c:v>
                      </c:pt>
                      <c:pt idx="7548">
                        <c:v>1</c:v>
                      </c:pt>
                      <c:pt idx="7549">
                        <c:v>1</c:v>
                      </c:pt>
                      <c:pt idx="7550">
                        <c:v>1</c:v>
                      </c:pt>
                      <c:pt idx="7551">
                        <c:v>1</c:v>
                      </c:pt>
                      <c:pt idx="7552">
                        <c:v>1</c:v>
                      </c:pt>
                      <c:pt idx="7553">
                        <c:v>1</c:v>
                      </c:pt>
                      <c:pt idx="7554">
                        <c:v>1</c:v>
                      </c:pt>
                      <c:pt idx="7555">
                        <c:v>1</c:v>
                      </c:pt>
                      <c:pt idx="7556">
                        <c:v>1</c:v>
                      </c:pt>
                      <c:pt idx="7557">
                        <c:v>1</c:v>
                      </c:pt>
                      <c:pt idx="7558">
                        <c:v>1</c:v>
                      </c:pt>
                      <c:pt idx="7559">
                        <c:v>1</c:v>
                      </c:pt>
                      <c:pt idx="7560">
                        <c:v>1</c:v>
                      </c:pt>
                      <c:pt idx="7561">
                        <c:v>1</c:v>
                      </c:pt>
                      <c:pt idx="7562">
                        <c:v>1</c:v>
                      </c:pt>
                      <c:pt idx="7563">
                        <c:v>1</c:v>
                      </c:pt>
                      <c:pt idx="7564">
                        <c:v>1</c:v>
                      </c:pt>
                      <c:pt idx="7565">
                        <c:v>1</c:v>
                      </c:pt>
                      <c:pt idx="7566">
                        <c:v>1</c:v>
                      </c:pt>
                      <c:pt idx="7567">
                        <c:v>1</c:v>
                      </c:pt>
                      <c:pt idx="7568">
                        <c:v>1</c:v>
                      </c:pt>
                      <c:pt idx="7569">
                        <c:v>1</c:v>
                      </c:pt>
                      <c:pt idx="7570">
                        <c:v>1</c:v>
                      </c:pt>
                      <c:pt idx="7571">
                        <c:v>1</c:v>
                      </c:pt>
                      <c:pt idx="7572">
                        <c:v>1</c:v>
                      </c:pt>
                      <c:pt idx="7573">
                        <c:v>1</c:v>
                      </c:pt>
                      <c:pt idx="7574">
                        <c:v>1</c:v>
                      </c:pt>
                      <c:pt idx="7575">
                        <c:v>1</c:v>
                      </c:pt>
                      <c:pt idx="7576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B6A-4FF3-AB4E-17FDF76A0AD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transpose!$W$1</c15:sqref>
                        </c15:formulaRef>
                      </c:ext>
                    </c:extLst>
                    <c:strCache>
                      <c:ptCount val="1"/>
                      <c:pt idx="0">
                        <c:v>B_Eszik5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transpose!$W$2:$W$7686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5118">
                        <c:v>1</c:v>
                      </c:pt>
                      <c:pt idx="5119">
                        <c:v>1</c:v>
                      </c:pt>
                      <c:pt idx="5120">
                        <c:v>1</c:v>
                      </c:pt>
                      <c:pt idx="5121">
                        <c:v>1</c:v>
                      </c:pt>
                      <c:pt idx="5122">
                        <c:v>1</c:v>
                      </c:pt>
                      <c:pt idx="5123">
                        <c:v>1</c:v>
                      </c:pt>
                      <c:pt idx="5124">
                        <c:v>1</c:v>
                      </c:pt>
                      <c:pt idx="5125">
                        <c:v>1</c:v>
                      </c:pt>
                      <c:pt idx="5126">
                        <c:v>1</c:v>
                      </c:pt>
                      <c:pt idx="5127">
                        <c:v>1</c:v>
                      </c:pt>
                      <c:pt idx="5128">
                        <c:v>1</c:v>
                      </c:pt>
                      <c:pt idx="5129">
                        <c:v>1</c:v>
                      </c:pt>
                      <c:pt idx="5130">
                        <c:v>1</c:v>
                      </c:pt>
                      <c:pt idx="5131">
                        <c:v>1</c:v>
                      </c:pt>
                      <c:pt idx="5132">
                        <c:v>1</c:v>
                      </c:pt>
                      <c:pt idx="5133">
                        <c:v>1</c:v>
                      </c:pt>
                      <c:pt idx="5134">
                        <c:v>1</c:v>
                      </c:pt>
                      <c:pt idx="5135">
                        <c:v>1</c:v>
                      </c:pt>
                      <c:pt idx="5136">
                        <c:v>1</c:v>
                      </c:pt>
                      <c:pt idx="5137">
                        <c:v>1</c:v>
                      </c:pt>
                      <c:pt idx="5138">
                        <c:v>1</c:v>
                      </c:pt>
                      <c:pt idx="5139">
                        <c:v>1</c:v>
                      </c:pt>
                      <c:pt idx="5140">
                        <c:v>1</c:v>
                      </c:pt>
                      <c:pt idx="5141">
                        <c:v>1</c:v>
                      </c:pt>
                      <c:pt idx="5142">
                        <c:v>1</c:v>
                      </c:pt>
                      <c:pt idx="5143">
                        <c:v>1</c:v>
                      </c:pt>
                      <c:pt idx="5144">
                        <c:v>1</c:v>
                      </c:pt>
                      <c:pt idx="5145">
                        <c:v>1</c:v>
                      </c:pt>
                      <c:pt idx="5146">
                        <c:v>1</c:v>
                      </c:pt>
                      <c:pt idx="5147">
                        <c:v>1</c:v>
                      </c:pt>
                      <c:pt idx="5148">
                        <c:v>1</c:v>
                      </c:pt>
                      <c:pt idx="5149">
                        <c:v>1</c:v>
                      </c:pt>
                      <c:pt idx="5150">
                        <c:v>1</c:v>
                      </c:pt>
                      <c:pt idx="5151">
                        <c:v>1</c:v>
                      </c:pt>
                      <c:pt idx="5152">
                        <c:v>1</c:v>
                      </c:pt>
                      <c:pt idx="5153">
                        <c:v>1</c:v>
                      </c:pt>
                      <c:pt idx="5154">
                        <c:v>1</c:v>
                      </c:pt>
                      <c:pt idx="5155">
                        <c:v>1</c:v>
                      </c:pt>
                      <c:pt idx="5156">
                        <c:v>1</c:v>
                      </c:pt>
                      <c:pt idx="5157">
                        <c:v>1</c:v>
                      </c:pt>
                      <c:pt idx="5158">
                        <c:v>1</c:v>
                      </c:pt>
                      <c:pt idx="5159">
                        <c:v>1</c:v>
                      </c:pt>
                      <c:pt idx="5160">
                        <c:v>1</c:v>
                      </c:pt>
                      <c:pt idx="5161">
                        <c:v>1</c:v>
                      </c:pt>
                      <c:pt idx="5162">
                        <c:v>1</c:v>
                      </c:pt>
                      <c:pt idx="5163">
                        <c:v>1</c:v>
                      </c:pt>
                      <c:pt idx="5164">
                        <c:v>1</c:v>
                      </c:pt>
                      <c:pt idx="5165">
                        <c:v>1</c:v>
                      </c:pt>
                      <c:pt idx="5166">
                        <c:v>1</c:v>
                      </c:pt>
                      <c:pt idx="5167">
                        <c:v>1</c:v>
                      </c:pt>
                      <c:pt idx="5168">
                        <c:v>1</c:v>
                      </c:pt>
                      <c:pt idx="5169">
                        <c:v>1</c:v>
                      </c:pt>
                      <c:pt idx="5170">
                        <c:v>1</c:v>
                      </c:pt>
                      <c:pt idx="5171">
                        <c:v>1</c:v>
                      </c:pt>
                      <c:pt idx="5172">
                        <c:v>1</c:v>
                      </c:pt>
                      <c:pt idx="5173">
                        <c:v>1</c:v>
                      </c:pt>
                      <c:pt idx="5174">
                        <c:v>1</c:v>
                      </c:pt>
                      <c:pt idx="5175">
                        <c:v>1</c:v>
                      </c:pt>
                      <c:pt idx="5176">
                        <c:v>1</c:v>
                      </c:pt>
                      <c:pt idx="5177">
                        <c:v>1</c:v>
                      </c:pt>
                      <c:pt idx="5178">
                        <c:v>1</c:v>
                      </c:pt>
                      <c:pt idx="5179">
                        <c:v>1</c:v>
                      </c:pt>
                      <c:pt idx="5180">
                        <c:v>1</c:v>
                      </c:pt>
                      <c:pt idx="5181">
                        <c:v>1</c:v>
                      </c:pt>
                      <c:pt idx="5182">
                        <c:v>1</c:v>
                      </c:pt>
                      <c:pt idx="5183">
                        <c:v>1</c:v>
                      </c:pt>
                      <c:pt idx="5184">
                        <c:v>1</c:v>
                      </c:pt>
                      <c:pt idx="5185">
                        <c:v>1</c:v>
                      </c:pt>
                      <c:pt idx="5186">
                        <c:v>1</c:v>
                      </c:pt>
                      <c:pt idx="5187">
                        <c:v>1</c:v>
                      </c:pt>
                      <c:pt idx="5188">
                        <c:v>1</c:v>
                      </c:pt>
                      <c:pt idx="5189">
                        <c:v>1</c:v>
                      </c:pt>
                      <c:pt idx="5190">
                        <c:v>1</c:v>
                      </c:pt>
                      <c:pt idx="5191">
                        <c:v>1</c:v>
                      </c:pt>
                      <c:pt idx="5192">
                        <c:v>1</c:v>
                      </c:pt>
                      <c:pt idx="5193">
                        <c:v>1</c:v>
                      </c:pt>
                      <c:pt idx="5194">
                        <c:v>1</c:v>
                      </c:pt>
                      <c:pt idx="5195">
                        <c:v>1</c:v>
                      </c:pt>
                      <c:pt idx="5196">
                        <c:v>1</c:v>
                      </c:pt>
                      <c:pt idx="5197">
                        <c:v>1</c:v>
                      </c:pt>
                      <c:pt idx="5198">
                        <c:v>1</c:v>
                      </c:pt>
                      <c:pt idx="5199">
                        <c:v>1</c:v>
                      </c:pt>
                      <c:pt idx="5200">
                        <c:v>1</c:v>
                      </c:pt>
                      <c:pt idx="5201">
                        <c:v>1</c:v>
                      </c:pt>
                      <c:pt idx="5202">
                        <c:v>1</c:v>
                      </c:pt>
                      <c:pt idx="5203">
                        <c:v>1</c:v>
                      </c:pt>
                      <c:pt idx="5204">
                        <c:v>1</c:v>
                      </c:pt>
                      <c:pt idx="5205">
                        <c:v>1</c:v>
                      </c:pt>
                      <c:pt idx="5206">
                        <c:v>1</c:v>
                      </c:pt>
                      <c:pt idx="5207">
                        <c:v>1</c:v>
                      </c:pt>
                      <c:pt idx="5208">
                        <c:v>1</c:v>
                      </c:pt>
                      <c:pt idx="5209">
                        <c:v>1</c:v>
                      </c:pt>
                      <c:pt idx="5210">
                        <c:v>1</c:v>
                      </c:pt>
                      <c:pt idx="5211">
                        <c:v>1</c:v>
                      </c:pt>
                      <c:pt idx="5212">
                        <c:v>1</c:v>
                      </c:pt>
                      <c:pt idx="5213">
                        <c:v>1</c:v>
                      </c:pt>
                      <c:pt idx="5214">
                        <c:v>1</c:v>
                      </c:pt>
                      <c:pt idx="5215">
                        <c:v>1</c:v>
                      </c:pt>
                      <c:pt idx="5216">
                        <c:v>1</c:v>
                      </c:pt>
                      <c:pt idx="5217">
                        <c:v>1</c:v>
                      </c:pt>
                      <c:pt idx="5218">
                        <c:v>1</c:v>
                      </c:pt>
                      <c:pt idx="5219">
                        <c:v>1</c:v>
                      </c:pt>
                      <c:pt idx="5220">
                        <c:v>1</c:v>
                      </c:pt>
                      <c:pt idx="5221">
                        <c:v>1</c:v>
                      </c:pt>
                      <c:pt idx="5222">
                        <c:v>1</c:v>
                      </c:pt>
                      <c:pt idx="5223">
                        <c:v>1</c:v>
                      </c:pt>
                      <c:pt idx="5224">
                        <c:v>1</c:v>
                      </c:pt>
                      <c:pt idx="5225">
                        <c:v>1</c:v>
                      </c:pt>
                      <c:pt idx="5226">
                        <c:v>1</c:v>
                      </c:pt>
                      <c:pt idx="5227">
                        <c:v>1</c:v>
                      </c:pt>
                      <c:pt idx="5228">
                        <c:v>1</c:v>
                      </c:pt>
                      <c:pt idx="5229">
                        <c:v>1</c:v>
                      </c:pt>
                      <c:pt idx="5230">
                        <c:v>1</c:v>
                      </c:pt>
                      <c:pt idx="5231">
                        <c:v>1</c:v>
                      </c:pt>
                      <c:pt idx="5232">
                        <c:v>1</c:v>
                      </c:pt>
                      <c:pt idx="5233">
                        <c:v>1</c:v>
                      </c:pt>
                      <c:pt idx="5234">
                        <c:v>1</c:v>
                      </c:pt>
                      <c:pt idx="5235">
                        <c:v>1</c:v>
                      </c:pt>
                      <c:pt idx="5236">
                        <c:v>1</c:v>
                      </c:pt>
                      <c:pt idx="5237">
                        <c:v>1</c:v>
                      </c:pt>
                      <c:pt idx="5238">
                        <c:v>1</c:v>
                      </c:pt>
                      <c:pt idx="5239">
                        <c:v>1</c:v>
                      </c:pt>
                      <c:pt idx="5240">
                        <c:v>1</c:v>
                      </c:pt>
                      <c:pt idx="5241">
                        <c:v>1</c:v>
                      </c:pt>
                      <c:pt idx="5242">
                        <c:v>1</c:v>
                      </c:pt>
                      <c:pt idx="5243">
                        <c:v>1</c:v>
                      </c:pt>
                      <c:pt idx="5244">
                        <c:v>1</c:v>
                      </c:pt>
                      <c:pt idx="5245">
                        <c:v>1</c:v>
                      </c:pt>
                      <c:pt idx="5246">
                        <c:v>1</c:v>
                      </c:pt>
                      <c:pt idx="5247">
                        <c:v>1</c:v>
                      </c:pt>
                      <c:pt idx="5248">
                        <c:v>1</c:v>
                      </c:pt>
                      <c:pt idx="5249">
                        <c:v>1</c:v>
                      </c:pt>
                      <c:pt idx="5250">
                        <c:v>1</c:v>
                      </c:pt>
                      <c:pt idx="5251">
                        <c:v>1</c:v>
                      </c:pt>
                      <c:pt idx="5252">
                        <c:v>1</c:v>
                      </c:pt>
                      <c:pt idx="5253">
                        <c:v>1</c:v>
                      </c:pt>
                      <c:pt idx="5254">
                        <c:v>1</c:v>
                      </c:pt>
                      <c:pt idx="5255">
                        <c:v>1</c:v>
                      </c:pt>
                      <c:pt idx="5256">
                        <c:v>1</c:v>
                      </c:pt>
                      <c:pt idx="5257">
                        <c:v>1</c:v>
                      </c:pt>
                      <c:pt idx="5258">
                        <c:v>1</c:v>
                      </c:pt>
                      <c:pt idx="5259">
                        <c:v>1</c:v>
                      </c:pt>
                      <c:pt idx="5260">
                        <c:v>1</c:v>
                      </c:pt>
                      <c:pt idx="5261">
                        <c:v>1</c:v>
                      </c:pt>
                      <c:pt idx="5262">
                        <c:v>1</c:v>
                      </c:pt>
                      <c:pt idx="5263">
                        <c:v>1</c:v>
                      </c:pt>
                      <c:pt idx="5264">
                        <c:v>1</c:v>
                      </c:pt>
                      <c:pt idx="5265">
                        <c:v>1</c:v>
                      </c:pt>
                      <c:pt idx="5266">
                        <c:v>1</c:v>
                      </c:pt>
                      <c:pt idx="5267">
                        <c:v>1</c:v>
                      </c:pt>
                      <c:pt idx="5268">
                        <c:v>1</c:v>
                      </c:pt>
                      <c:pt idx="5269">
                        <c:v>1</c:v>
                      </c:pt>
                      <c:pt idx="5270">
                        <c:v>1</c:v>
                      </c:pt>
                      <c:pt idx="5271">
                        <c:v>1</c:v>
                      </c:pt>
                      <c:pt idx="5272">
                        <c:v>1</c:v>
                      </c:pt>
                      <c:pt idx="5273">
                        <c:v>1</c:v>
                      </c:pt>
                      <c:pt idx="5274">
                        <c:v>1</c:v>
                      </c:pt>
                      <c:pt idx="5275">
                        <c:v>1</c:v>
                      </c:pt>
                      <c:pt idx="5276">
                        <c:v>1</c:v>
                      </c:pt>
                      <c:pt idx="5277">
                        <c:v>1</c:v>
                      </c:pt>
                      <c:pt idx="5278">
                        <c:v>1</c:v>
                      </c:pt>
                      <c:pt idx="5279">
                        <c:v>1</c:v>
                      </c:pt>
                      <c:pt idx="5280">
                        <c:v>1</c:v>
                      </c:pt>
                      <c:pt idx="5281">
                        <c:v>1</c:v>
                      </c:pt>
                      <c:pt idx="5282">
                        <c:v>1</c:v>
                      </c:pt>
                      <c:pt idx="5283">
                        <c:v>1</c:v>
                      </c:pt>
                      <c:pt idx="5284">
                        <c:v>1</c:v>
                      </c:pt>
                      <c:pt idx="5285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B6A-4FF3-AB4E-17FDF76A0AD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transpose!$AA$1</c15:sqref>
                        </c15:formulaRef>
                      </c:ext>
                    </c:extLst>
                    <c:strCache>
                      <c:ptCount val="1"/>
                      <c:pt idx="0">
                        <c:v>B_Eszik7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transpose!$AA$2:$AA$7686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7215">
                        <c:v>1</c:v>
                      </c:pt>
                      <c:pt idx="7216">
                        <c:v>1</c:v>
                      </c:pt>
                      <c:pt idx="7217">
                        <c:v>1</c:v>
                      </c:pt>
                      <c:pt idx="7218">
                        <c:v>1</c:v>
                      </c:pt>
                      <c:pt idx="7219">
                        <c:v>1</c:v>
                      </c:pt>
                      <c:pt idx="7220">
                        <c:v>1</c:v>
                      </c:pt>
                      <c:pt idx="7221">
                        <c:v>1</c:v>
                      </c:pt>
                      <c:pt idx="7222">
                        <c:v>1</c:v>
                      </c:pt>
                      <c:pt idx="7223">
                        <c:v>1</c:v>
                      </c:pt>
                      <c:pt idx="7224">
                        <c:v>1</c:v>
                      </c:pt>
                      <c:pt idx="7225">
                        <c:v>1</c:v>
                      </c:pt>
                      <c:pt idx="7226">
                        <c:v>1</c:v>
                      </c:pt>
                      <c:pt idx="7227">
                        <c:v>1</c:v>
                      </c:pt>
                      <c:pt idx="7228">
                        <c:v>1</c:v>
                      </c:pt>
                      <c:pt idx="7229">
                        <c:v>1</c:v>
                      </c:pt>
                      <c:pt idx="7230">
                        <c:v>1</c:v>
                      </c:pt>
                      <c:pt idx="7231">
                        <c:v>1</c:v>
                      </c:pt>
                      <c:pt idx="7232">
                        <c:v>1</c:v>
                      </c:pt>
                      <c:pt idx="7233">
                        <c:v>1</c:v>
                      </c:pt>
                      <c:pt idx="7234">
                        <c:v>1</c:v>
                      </c:pt>
                      <c:pt idx="7235">
                        <c:v>1</c:v>
                      </c:pt>
                      <c:pt idx="7236">
                        <c:v>1</c:v>
                      </c:pt>
                      <c:pt idx="7237">
                        <c:v>1</c:v>
                      </c:pt>
                      <c:pt idx="7238">
                        <c:v>1</c:v>
                      </c:pt>
                      <c:pt idx="7239">
                        <c:v>1</c:v>
                      </c:pt>
                      <c:pt idx="7240">
                        <c:v>1</c:v>
                      </c:pt>
                      <c:pt idx="7241">
                        <c:v>1</c:v>
                      </c:pt>
                      <c:pt idx="7242">
                        <c:v>1</c:v>
                      </c:pt>
                      <c:pt idx="7243">
                        <c:v>1</c:v>
                      </c:pt>
                      <c:pt idx="7244">
                        <c:v>1</c:v>
                      </c:pt>
                      <c:pt idx="7245">
                        <c:v>1</c:v>
                      </c:pt>
                      <c:pt idx="7246">
                        <c:v>1</c:v>
                      </c:pt>
                      <c:pt idx="7247">
                        <c:v>1</c:v>
                      </c:pt>
                      <c:pt idx="7248">
                        <c:v>1</c:v>
                      </c:pt>
                      <c:pt idx="7249">
                        <c:v>1</c:v>
                      </c:pt>
                      <c:pt idx="7250">
                        <c:v>1</c:v>
                      </c:pt>
                      <c:pt idx="7251">
                        <c:v>1</c:v>
                      </c:pt>
                      <c:pt idx="7252">
                        <c:v>1</c:v>
                      </c:pt>
                      <c:pt idx="7253">
                        <c:v>1</c:v>
                      </c:pt>
                      <c:pt idx="7254">
                        <c:v>1</c:v>
                      </c:pt>
                      <c:pt idx="7255">
                        <c:v>1</c:v>
                      </c:pt>
                      <c:pt idx="7256">
                        <c:v>1</c:v>
                      </c:pt>
                      <c:pt idx="7257">
                        <c:v>1</c:v>
                      </c:pt>
                      <c:pt idx="7258">
                        <c:v>1</c:v>
                      </c:pt>
                      <c:pt idx="7259">
                        <c:v>1</c:v>
                      </c:pt>
                      <c:pt idx="7260">
                        <c:v>1</c:v>
                      </c:pt>
                      <c:pt idx="7261">
                        <c:v>1</c:v>
                      </c:pt>
                      <c:pt idx="7262">
                        <c:v>1</c:v>
                      </c:pt>
                      <c:pt idx="7263">
                        <c:v>1</c:v>
                      </c:pt>
                      <c:pt idx="7264">
                        <c:v>1</c:v>
                      </c:pt>
                      <c:pt idx="7265">
                        <c:v>1</c:v>
                      </c:pt>
                      <c:pt idx="7266">
                        <c:v>1</c:v>
                      </c:pt>
                      <c:pt idx="7267">
                        <c:v>1</c:v>
                      </c:pt>
                      <c:pt idx="7268">
                        <c:v>1</c:v>
                      </c:pt>
                      <c:pt idx="7269">
                        <c:v>1</c:v>
                      </c:pt>
                      <c:pt idx="7270">
                        <c:v>1</c:v>
                      </c:pt>
                      <c:pt idx="7271">
                        <c:v>1</c:v>
                      </c:pt>
                      <c:pt idx="7272">
                        <c:v>1</c:v>
                      </c:pt>
                      <c:pt idx="7273">
                        <c:v>1</c:v>
                      </c:pt>
                      <c:pt idx="7274">
                        <c:v>1</c:v>
                      </c:pt>
                      <c:pt idx="7275">
                        <c:v>1</c:v>
                      </c:pt>
                      <c:pt idx="7276">
                        <c:v>1</c:v>
                      </c:pt>
                      <c:pt idx="7277">
                        <c:v>1</c:v>
                      </c:pt>
                      <c:pt idx="7278">
                        <c:v>1</c:v>
                      </c:pt>
                      <c:pt idx="7279">
                        <c:v>1</c:v>
                      </c:pt>
                      <c:pt idx="7280">
                        <c:v>1</c:v>
                      </c:pt>
                      <c:pt idx="7281">
                        <c:v>1</c:v>
                      </c:pt>
                      <c:pt idx="7282">
                        <c:v>1</c:v>
                      </c:pt>
                      <c:pt idx="7283">
                        <c:v>1</c:v>
                      </c:pt>
                      <c:pt idx="7284">
                        <c:v>1</c:v>
                      </c:pt>
                      <c:pt idx="7285">
                        <c:v>1</c:v>
                      </c:pt>
                      <c:pt idx="7286">
                        <c:v>1</c:v>
                      </c:pt>
                      <c:pt idx="7287">
                        <c:v>1</c:v>
                      </c:pt>
                      <c:pt idx="7288">
                        <c:v>1</c:v>
                      </c:pt>
                      <c:pt idx="7289">
                        <c:v>1</c:v>
                      </c:pt>
                      <c:pt idx="7290">
                        <c:v>1</c:v>
                      </c:pt>
                      <c:pt idx="7291">
                        <c:v>1</c:v>
                      </c:pt>
                      <c:pt idx="7292">
                        <c:v>1</c:v>
                      </c:pt>
                      <c:pt idx="7293">
                        <c:v>1</c:v>
                      </c:pt>
                      <c:pt idx="7294">
                        <c:v>1</c:v>
                      </c:pt>
                      <c:pt idx="7295">
                        <c:v>1</c:v>
                      </c:pt>
                      <c:pt idx="7296">
                        <c:v>1</c:v>
                      </c:pt>
                      <c:pt idx="7297">
                        <c:v>1</c:v>
                      </c:pt>
                      <c:pt idx="7298">
                        <c:v>1</c:v>
                      </c:pt>
                      <c:pt idx="7299">
                        <c:v>1</c:v>
                      </c:pt>
                      <c:pt idx="7300">
                        <c:v>1</c:v>
                      </c:pt>
                      <c:pt idx="7301">
                        <c:v>1</c:v>
                      </c:pt>
                      <c:pt idx="7302">
                        <c:v>1</c:v>
                      </c:pt>
                      <c:pt idx="7303">
                        <c:v>1</c:v>
                      </c:pt>
                      <c:pt idx="7304">
                        <c:v>1</c:v>
                      </c:pt>
                      <c:pt idx="7305">
                        <c:v>1</c:v>
                      </c:pt>
                      <c:pt idx="7306">
                        <c:v>1</c:v>
                      </c:pt>
                      <c:pt idx="7307">
                        <c:v>1</c:v>
                      </c:pt>
                      <c:pt idx="7308">
                        <c:v>1</c:v>
                      </c:pt>
                      <c:pt idx="7309">
                        <c:v>1</c:v>
                      </c:pt>
                      <c:pt idx="7310">
                        <c:v>1</c:v>
                      </c:pt>
                      <c:pt idx="7311">
                        <c:v>1</c:v>
                      </c:pt>
                      <c:pt idx="7312">
                        <c:v>1</c:v>
                      </c:pt>
                      <c:pt idx="7313">
                        <c:v>1</c:v>
                      </c:pt>
                      <c:pt idx="7314">
                        <c:v>1</c:v>
                      </c:pt>
                      <c:pt idx="7315">
                        <c:v>1</c:v>
                      </c:pt>
                      <c:pt idx="7316">
                        <c:v>1</c:v>
                      </c:pt>
                      <c:pt idx="7317">
                        <c:v>1</c:v>
                      </c:pt>
                      <c:pt idx="7318">
                        <c:v>1</c:v>
                      </c:pt>
                      <c:pt idx="7319">
                        <c:v>1</c:v>
                      </c:pt>
                      <c:pt idx="7320">
                        <c:v>1</c:v>
                      </c:pt>
                      <c:pt idx="7321">
                        <c:v>1</c:v>
                      </c:pt>
                      <c:pt idx="7322">
                        <c:v>1</c:v>
                      </c:pt>
                      <c:pt idx="7323">
                        <c:v>1</c:v>
                      </c:pt>
                      <c:pt idx="7324">
                        <c:v>1</c:v>
                      </c:pt>
                      <c:pt idx="7325">
                        <c:v>1</c:v>
                      </c:pt>
                      <c:pt idx="7326">
                        <c:v>1</c:v>
                      </c:pt>
                      <c:pt idx="7327">
                        <c:v>1</c:v>
                      </c:pt>
                      <c:pt idx="7328">
                        <c:v>1</c:v>
                      </c:pt>
                      <c:pt idx="7329">
                        <c:v>1</c:v>
                      </c:pt>
                      <c:pt idx="7330">
                        <c:v>1</c:v>
                      </c:pt>
                      <c:pt idx="7331">
                        <c:v>1</c:v>
                      </c:pt>
                      <c:pt idx="7332">
                        <c:v>1</c:v>
                      </c:pt>
                      <c:pt idx="7333">
                        <c:v>1</c:v>
                      </c:pt>
                      <c:pt idx="7334">
                        <c:v>1</c:v>
                      </c:pt>
                      <c:pt idx="7335">
                        <c:v>1</c:v>
                      </c:pt>
                      <c:pt idx="7336">
                        <c:v>1</c:v>
                      </c:pt>
                      <c:pt idx="7337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B6A-4FF3-AB4E-17FDF76A0AD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transpose!$AE$1</c15:sqref>
                        </c15:formulaRef>
                      </c:ext>
                    </c:extLst>
                    <c:strCache>
                      <c:ptCount val="1"/>
                      <c:pt idx="0">
                        <c:v>B_Eszik9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transpose!$AE$2:$AE$7686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B6A-4FF3-AB4E-17FDF76A0AD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transpose!$AI$1</c15:sqref>
                        </c15:formulaRef>
                      </c:ext>
                    </c:extLst>
                    <c:strCache>
                      <c:ptCount val="1"/>
                      <c:pt idx="0">
                        <c:v>B_Eszik11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transpose!$AI$2:$AI$7686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6892">
                        <c:v>1</c:v>
                      </c:pt>
                      <c:pt idx="6893">
                        <c:v>1</c:v>
                      </c:pt>
                      <c:pt idx="6894">
                        <c:v>1</c:v>
                      </c:pt>
                      <c:pt idx="6895">
                        <c:v>1</c:v>
                      </c:pt>
                      <c:pt idx="6896">
                        <c:v>1</c:v>
                      </c:pt>
                      <c:pt idx="6897">
                        <c:v>1</c:v>
                      </c:pt>
                      <c:pt idx="6898">
                        <c:v>1</c:v>
                      </c:pt>
                      <c:pt idx="6899">
                        <c:v>1</c:v>
                      </c:pt>
                      <c:pt idx="6900">
                        <c:v>1</c:v>
                      </c:pt>
                      <c:pt idx="6901">
                        <c:v>1</c:v>
                      </c:pt>
                      <c:pt idx="6902">
                        <c:v>1</c:v>
                      </c:pt>
                      <c:pt idx="6903">
                        <c:v>1</c:v>
                      </c:pt>
                      <c:pt idx="6904">
                        <c:v>1</c:v>
                      </c:pt>
                      <c:pt idx="6905">
                        <c:v>1</c:v>
                      </c:pt>
                      <c:pt idx="6906">
                        <c:v>1</c:v>
                      </c:pt>
                      <c:pt idx="6907">
                        <c:v>1</c:v>
                      </c:pt>
                      <c:pt idx="6908">
                        <c:v>1</c:v>
                      </c:pt>
                      <c:pt idx="6909">
                        <c:v>1</c:v>
                      </c:pt>
                      <c:pt idx="6910">
                        <c:v>1</c:v>
                      </c:pt>
                      <c:pt idx="6911">
                        <c:v>1</c:v>
                      </c:pt>
                      <c:pt idx="6912">
                        <c:v>1</c:v>
                      </c:pt>
                      <c:pt idx="6913">
                        <c:v>1</c:v>
                      </c:pt>
                      <c:pt idx="6914">
                        <c:v>1</c:v>
                      </c:pt>
                      <c:pt idx="6915">
                        <c:v>1</c:v>
                      </c:pt>
                      <c:pt idx="6916">
                        <c:v>1</c:v>
                      </c:pt>
                      <c:pt idx="6917">
                        <c:v>1</c:v>
                      </c:pt>
                      <c:pt idx="6918">
                        <c:v>1</c:v>
                      </c:pt>
                      <c:pt idx="6919">
                        <c:v>1</c:v>
                      </c:pt>
                      <c:pt idx="6920">
                        <c:v>1</c:v>
                      </c:pt>
                      <c:pt idx="6921">
                        <c:v>1</c:v>
                      </c:pt>
                      <c:pt idx="6922">
                        <c:v>1</c:v>
                      </c:pt>
                      <c:pt idx="6923">
                        <c:v>1</c:v>
                      </c:pt>
                      <c:pt idx="6924">
                        <c:v>1</c:v>
                      </c:pt>
                      <c:pt idx="6925">
                        <c:v>1</c:v>
                      </c:pt>
                      <c:pt idx="6926">
                        <c:v>1</c:v>
                      </c:pt>
                      <c:pt idx="6927">
                        <c:v>1</c:v>
                      </c:pt>
                      <c:pt idx="6928">
                        <c:v>1</c:v>
                      </c:pt>
                      <c:pt idx="6929">
                        <c:v>1</c:v>
                      </c:pt>
                      <c:pt idx="6930">
                        <c:v>1</c:v>
                      </c:pt>
                      <c:pt idx="6931">
                        <c:v>1</c:v>
                      </c:pt>
                      <c:pt idx="6932">
                        <c:v>1</c:v>
                      </c:pt>
                      <c:pt idx="6933">
                        <c:v>1</c:v>
                      </c:pt>
                      <c:pt idx="6934">
                        <c:v>1</c:v>
                      </c:pt>
                      <c:pt idx="6935">
                        <c:v>1</c:v>
                      </c:pt>
                      <c:pt idx="6936">
                        <c:v>1</c:v>
                      </c:pt>
                      <c:pt idx="6937">
                        <c:v>1</c:v>
                      </c:pt>
                      <c:pt idx="6938">
                        <c:v>1</c:v>
                      </c:pt>
                      <c:pt idx="6939">
                        <c:v>1</c:v>
                      </c:pt>
                      <c:pt idx="6940">
                        <c:v>1</c:v>
                      </c:pt>
                      <c:pt idx="6941">
                        <c:v>1</c:v>
                      </c:pt>
                      <c:pt idx="6942">
                        <c:v>1</c:v>
                      </c:pt>
                      <c:pt idx="6943">
                        <c:v>1</c:v>
                      </c:pt>
                      <c:pt idx="6944">
                        <c:v>1</c:v>
                      </c:pt>
                      <c:pt idx="6945">
                        <c:v>1</c:v>
                      </c:pt>
                      <c:pt idx="6946">
                        <c:v>1</c:v>
                      </c:pt>
                      <c:pt idx="6947">
                        <c:v>1</c:v>
                      </c:pt>
                      <c:pt idx="6948">
                        <c:v>1</c:v>
                      </c:pt>
                      <c:pt idx="6949">
                        <c:v>1</c:v>
                      </c:pt>
                      <c:pt idx="6950">
                        <c:v>1</c:v>
                      </c:pt>
                      <c:pt idx="6951">
                        <c:v>1</c:v>
                      </c:pt>
                      <c:pt idx="6952">
                        <c:v>1</c:v>
                      </c:pt>
                      <c:pt idx="6953">
                        <c:v>1</c:v>
                      </c:pt>
                      <c:pt idx="6954">
                        <c:v>1</c:v>
                      </c:pt>
                      <c:pt idx="6955">
                        <c:v>1</c:v>
                      </c:pt>
                      <c:pt idx="6956">
                        <c:v>1</c:v>
                      </c:pt>
                      <c:pt idx="6957">
                        <c:v>1</c:v>
                      </c:pt>
                      <c:pt idx="6958">
                        <c:v>1</c:v>
                      </c:pt>
                      <c:pt idx="6959">
                        <c:v>1</c:v>
                      </c:pt>
                      <c:pt idx="6960">
                        <c:v>1</c:v>
                      </c:pt>
                      <c:pt idx="6961">
                        <c:v>1</c:v>
                      </c:pt>
                      <c:pt idx="6962">
                        <c:v>1</c:v>
                      </c:pt>
                      <c:pt idx="6963">
                        <c:v>1</c:v>
                      </c:pt>
                      <c:pt idx="6964">
                        <c:v>1</c:v>
                      </c:pt>
                      <c:pt idx="6965">
                        <c:v>1</c:v>
                      </c:pt>
                      <c:pt idx="6966">
                        <c:v>1</c:v>
                      </c:pt>
                      <c:pt idx="6967">
                        <c:v>1</c:v>
                      </c:pt>
                      <c:pt idx="6968">
                        <c:v>1</c:v>
                      </c:pt>
                      <c:pt idx="6969">
                        <c:v>1</c:v>
                      </c:pt>
                      <c:pt idx="6970">
                        <c:v>1</c:v>
                      </c:pt>
                      <c:pt idx="6971">
                        <c:v>1</c:v>
                      </c:pt>
                      <c:pt idx="6972">
                        <c:v>1</c:v>
                      </c:pt>
                      <c:pt idx="6973">
                        <c:v>1</c:v>
                      </c:pt>
                      <c:pt idx="6974">
                        <c:v>1</c:v>
                      </c:pt>
                      <c:pt idx="6975">
                        <c:v>1</c:v>
                      </c:pt>
                      <c:pt idx="6976">
                        <c:v>1</c:v>
                      </c:pt>
                      <c:pt idx="6977">
                        <c:v>1</c:v>
                      </c:pt>
                      <c:pt idx="6978">
                        <c:v>1</c:v>
                      </c:pt>
                      <c:pt idx="6979">
                        <c:v>1</c:v>
                      </c:pt>
                      <c:pt idx="6980">
                        <c:v>1</c:v>
                      </c:pt>
                      <c:pt idx="6981">
                        <c:v>1</c:v>
                      </c:pt>
                      <c:pt idx="6982">
                        <c:v>1</c:v>
                      </c:pt>
                      <c:pt idx="6983">
                        <c:v>1</c:v>
                      </c:pt>
                      <c:pt idx="6984">
                        <c:v>1</c:v>
                      </c:pt>
                      <c:pt idx="6985">
                        <c:v>1</c:v>
                      </c:pt>
                      <c:pt idx="6986">
                        <c:v>1</c:v>
                      </c:pt>
                      <c:pt idx="6987">
                        <c:v>1</c:v>
                      </c:pt>
                      <c:pt idx="6988">
                        <c:v>1</c:v>
                      </c:pt>
                      <c:pt idx="6989">
                        <c:v>1</c:v>
                      </c:pt>
                      <c:pt idx="6990">
                        <c:v>1</c:v>
                      </c:pt>
                      <c:pt idx="6991">
                        <c:v>1</c:v>
                      </c:pt>
                      <c:pt idx="6992">
                        <c:v>1</c:v>
                      </c:pt>
                      <c:pt idx="6993">
                        <c:v>1</c:v>
                      </c:pt>
                      <c:pt idx="6994">
                        <c:v>1</c:v>
                      </c:pt>
                      <c:pt idx="6995">
                        <c:v>1</c:v>
                      </c:pt>
                      <c:pt idx="6996">
                        <c:v>1</c:v>
                      </c:pt>
                      <c:pt idx="6997">
                        <c:v>1</c:v>
                      </c:pt>
                      <c:pt idx="6998">
                        <c:v>1</c:v>
                      </c:pt>
                      <c:pt idx="6999">
                        <c:v>1</c:v>
                      </c:pt>
                      <c:pt idx="7000">
                        <c:v>1</c:v>
                      </c:pt>
                      <c:pt idx="7001">
                        <c:v>1</c:v>
                      </c:pt>
                      <c:pt idx="7002">
                        <c:v>1</c:v>
                      </c:pt>
                      <c:pt idx="7003">
                        <c:v>1</c:v>
                      </c:pt>
                      <c:pt idx="7004">
                        <c:v>1</c:v>
                      </c:pt>
                      <c:pt idx="7005">
                        <c:v>1</c:v>
                      </c:pt>
                      <c:pt idx="7006">
                        <c:v>1</c:v>
                      </c:pt>
                      <c:pt idx="7007">
                        <c:v>1</c:v>
                      </c:pt>
                      <c:pt idx="7008">
                        <c:v>1</c:v>
                      </c:pt>
                      <c:pt idx="7009">
                        <c:v>1</c:v>
                      </c:pt>
                      <c:pt idx="7010">
                        <c:v>1</c:v>
                      </c:pt>
                      <c:pt idx="7011">
                        <c:v>1</c:v>
                      </c:pt>
                      <c:pt idx="7012">
                        <c:v>1</c:v>
                      </c:pt>
                      <c:pt idx="7013">
                        <c:v>1</c:v>
                      </c:pt>
                      <c:pt idx="7014">
                        <c:v>1</c:v>
                      </c:pt>
                      <c:pt idx="7015">
                        <c:v>1</c:v>
                      </c:pt>
                      <c:pt idx="7016">
                        <c:v>1</c:v>
                      </c:pt>
                      <c:pt idx="7017">
                        <c:v>1</c:v>
                      </c:pt>
                      <c:pt idx="7018">
                        <c:v>1</c:v>
                      </c:pt>
                      <c:pt idx="7019">
                        <c:v>1</c:v>
                      </c:pt>
                      <c:pt idx="7020">
                        <c:v>1</c:v>
                      </c:pt>
                      <c:pt idx="7021">
                        <c:v>1</c:v>
                      </c:pt>
                      <c:pt idx="7022">
                        <c:v>1</c:v>
                      </c:pt>
                      <c:pt idx="7023">
                        <c:v>1</c:v>
                      </c:pt>
                      <c:pt idx="7024">
                        <c:v>1</c:v>
                      </c:pt>
                      <c:pt idx="7025">
                        <c:v>1</c:v>
                      </c:pt>
                      <c:pt idx="7026">
                        <c:v>1</c:v>
                      </c:pt>
                      <c:pt idx="7027">
                        <c:v>1</c:v>
                      </c:pt>
                      <c:pt idx="7028">
                        <c:v>1</c:v>
                      </c:pt>
                      <c:pt idx="7029">
                        <c:v>1</c:v>
                      </c:pt>
                      <c:pt idx="7030">
                        <c:v>1</c:v>
                      </c:pt>
                      <c:pt idx="7031">
                        <c:v>1</c:v>
                      </c:pt>
                      <c:pt idx="7032">
                        <c:v>1</c:v>
                      </c:pt>
                      <c:pt idx="7033">
                        <c:v>1</c:v>
                      </c:pt>
                      <c:pt idx="7034">
                        <c:v>1</c:v>
                      </c:pt>
                      <c:pt idx="7035">
                        <c:v>1</c:v>
                      </c:pt>
                      <c:pt idx="7036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B6A-4FF3-AB4E-17FDF76A0AD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transpose!$AM$1</c15:sqref>
                        </c15:formulaRef>
                      </c:ext>
                    </c:extLst>
                    <c:strCache>
                      <c:ptCount val="1"/>
                      <c:pt idx="0">
                        <c:v>B_Eszik13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transpose!$AM$2:$AM$7686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  <c:pt idx="6563">
                        <c:v>1</c:v>
                      </c:pt>
                      <c:pt idx="6564">
                        <c:v>1</c:v>
                      </c:pt>
                      <c:pt idx="6565">
                        <c:v>1</c:v>
                      </c:pt>
                      <c:pt idx="6566">
                        <c:v>1</c:v>
                      </c:pt>
                      <c:pt idx="6567">
                        <c:v>1</c:v>
                      </c:pt>
                      <c:pt idx="6568">
                        <c:v>1</c:v>
                      </c:pt>
                      <c:pt idx="6569">
                        <c:v>1</c:v>
                      </c:pt>
                      <c:pt idx="6570">
                        <c:v>1</c:v>
                      </c:pt>
                      <c:pt idx="6571">
                        <c:v>1</c:v>
                      </c:pt>
                      <c:pt idx="6572">
                        <c:v>1</c:v>
                      </c:pt>
                      <c:pt idx="6573">
                        <c:v>1</c:v>
                      </c:pt>
                      <c:pt idx="6574">
                        <c:v>1</c:v>
                      </c:pt>
                      <c:pt idx="6575">
                        <c:v>1</c:v>
                      </c:pt>
                      <c:pt idx="6576">
                        <c:v>1</c:v>
                      </c:pt>
                      <c:pt idx="6577">
                        <c:v>1</c:v>
                      </c:pt>
                      <c:pt idx="6578">
                        <c:v>1</c:v>
                      </c:pt>
                      <c:pt idx="6579">
                        <c:v>1</c:v>
                      </c:pt>
                      <c:pt idx="6580">
                        <c:v>1</c:v>
                      </c:pt>
                      <c:pt idx="6581">
                        <c:v>1</c:v>
                      </c:pt>
                      <c:pt idx="6582">
                        <c:v>1</c:v>
                      </c:pt>
                      <c:pt idx="6583">
                        <c:v>1</c:v>
                      </c:pt>
                      <c:pt idx="6584">
                        <c:v>1</c:v>
                      </c:pt>
                      <c:pt idx="6585">
                        <c:v>1</c:v>
                      </c:pt>
                      <c:pt idx="6586">
                        <c:v>1</c:v>
                      </c:pt>
                      <c:pt idx="6587">
                        <c:v>1</c:v>
                      </c:pt>
                      <c:pt idx="6588">
                        <c:v>1</c:v>
                      </c:pt>
                      <c:pt idx="6589">
                        <c:v>1</c:v>
                      </c:pt>
                      <c:pt idx="6590">
                        <c:v>1</c:v>
                      </c:pt>
                      <c:pt idx="6591">
                        <c:v>1</c:v>
                      </c:pt>
                      <c:pt idx="6592">
                        <c:v>1</c:v>
                      </c:pt>
                      <c:pt idx="6593">
                        <c:v>1</c:v>
                      </c:pt>
                      <c:pt idx="6594">
                        <c:v>1</c:v>
                      </c:pt>
                      <c:pt idx="6595">
                        <c:v>1</c:v>
                      </c:pt>
                      <c:pt idx="6596">
                        <c:v>1</c:v>
                      </c:pt>
                      <c:pt idx="6597">
                        <c:v>1</c:v>
                      </c:pt>
                      <c:pt idx="6598">
                        <c:v>1</c:v>
                      </c:pt>
                      <c:pt idx="6599">
                        <c:v>1</c:v>
                      </c:pt>
                      <c:pt idx="6600">
                        <c:v>1</c:v>
                      </c:pt>
                      <c:pt idx="6601">
                        <c:v>1</c:v>
                      </c:pt>
                      <c:pt idx="6602">
                        <c:v>1</c:v>
                      </c:pt>
                      <c:pt idx="6603">
                        <c:v>1</c:v>
                      </c:pt>
                      <c:pt idx="6604">
                        <c:v>1</c:v>
                      </c:pt>
                      <c:pt idx="6605">
                        <c:v>1</c:v>
                      </c:pt>
                      <c:pt idx="6606">
                        <c:v>1</c:v>
                      </c:pt>
                      <c:pt idx="6607">
                        <c:v>1</c:v>
                      </c:pt>
                      <c:pt idx="6608">
                        <c:v>1</c:v>
                      </c:pt>
                      <c:pt idx="6609">
                        <c:v>1</c:v>
                      </c:pt>
                      <c:pt idx="6610">
                        <c:v>1</c:v>
                      </c:pt>
                      <c:pt idx="6611">
                        <c:v>1</c:v>
                      </c:pt>
                      <c:pt idx="6612">
                        <c:v>1</c:v>
                      </c:pt>
                      <c:pt idx="6613">
                        <c:v>1</c:v>
                      </c:pt>
                      <c:pt idx="6614">
                        <c:v>1</c:v>
                      </c:pt>
                      <c:pt idx="6615">
                        <c:v>1</c:v>
                      </c:pt>
                      <c:pt idx="6616">
                        <c:v>1</c:v>
                      </c:pt>
                      <c:pt idx="6617">
                        <c:v>1</c:v>
                      </c:pt>
                      <c:pt idx="6618">
                        <c:v>1</c:v>
                      </c:pt>
                      <c:pt idx="6619">
                        <c:v>1</c:v>
                      </c:pt>
                      <c:pt idx="6620">
                        <c:v>1</c:v>
                      </c:pt>
                      <c:pt idx="6621">
                        <c:v>1</c:v>
                      </c:pt>
                      <c:pt idx="6622">
                        <c:v>1</c:v>
                      </c:pt>
                      <c:pt idx="6623">
                        <c:v>1</c:v>
                      </c:pt>
                      <c:pt idx="6624">
                        <c:v>1</c:v>
                      </c:pt>
                      <c:pt idx="6625">
                        <c:v>1</c:v>
                      </c:pt>
                      <c:pt idx="6626">
                        <c:v>1</c:v>
                      </c:pt>
                      <c:pt idx="6627">
                        <c:v>1</c:v>
                      </c:pt>
                      <c:pt idx="6628">
                        <c:v>1</c:v>
                      </c:pt>
                      <c:pt idx="6629">
                        <c:v>1</c:v>
                      </c:pt>
                      <c:pt idx="6630">
                        <c:v>1</c:v>
                      </c:pt>
                      <c:pt idx="6631">
                        <c:v>1</c:v>
                      </c:pt>
                      <c:pt idx="6632">
                        <c:v>1</c:v>
                      </c:pt>
                      <c:pt idx="6633">
                        <c:v>1</c:v>
                      </c:pt>
                      <c:pt idx="6634">
                        <c:v>1</c:v>
                      </c:pt>
                      <c:pt idx="6635">
                        <c:v>1</c:v>
                      </c:pt>
                      <c:pt idx="6636">
                        <c:v>1</c:v>
                      </c:pt>
                      <c:pt idx="6637">
                        <c:v>1</c:v>
                      </c:pt>
                      <c:pt idx="6638">
                        <c:v>1</c:v>
                      </c:pt>
                      <c:pt idx="6639">
                        <c:v>1</c:v>
                      </c:pt>
                      <c:pt idx="6640">
                        <c:v>1</c:v>
                      </c:pt>
                      <c:pt idx="6641">
                        <c:v>1</c:v>
                      </c:pt>
                      <c:pt idx="6642">
                        <c:v>1</c:v>
                      </c:pt>
                      <c:pt idx="6643">
                        <c:v>1</c:v>
                      </c:pt>
                      <c:pt idx="6644">
                        <c:v>1</c:v>
                      </c:pt>
                      <c:pt idx="6645">
                        <c:v>1</c:v>
                      </c:pt>
                      <c:pt idx="6646">
                        <c:v>1</c:v>
                      </c:pt>
                      <c:pt idx="6647">
                        <c:v>1</c:v>
                      </c:pt>
                      <c:pt idx="6648">
                        <c:v>1</c:v>
                      </c:pt>
                      <c:pt idx="6649">
                        <c:v>1</c:v>
                      </c:pt>
                      <c:pt idx="6650">
                        <c:v>1</c:v>
                      </c:pt>
                      <c:pt idx="6651">
                        <c:v>1</c:v>
                      </c:pt>
                      <c:pt idx="6652">
                        <c:v>1</c:v>
                      </c:pt>
                      <c:pt idx="6653">
                        <c:v>1</c:v>
                      </c:pt>
                      <c:pt idx="6654">
                        <c:v>1</c:v>
                      </c:pt>
                      <c:pt idx="6655">
                        <c:v>1</c:v>
                      </c:pt>
                      <c:pt idx="6656">
                        <c:v>1</c:v>
                      </c:pt>
                      <c:pt idx="6657">
                        <c:v>1</c:v>
                      </c:pt>
                      <c:pt idx="6658">
                        <c:v>1</c:v>
                      </c:pt>
                      <c:pt idx="6659">
                        <c:v>1</c:v>
                      </c:pt>
                      <c:pt idx="6660">
                        <c:v>1</c:v>
                      </c:pt>
                      <c:pt idx="6661">
                        <c:v>1</c:v>
                      </c:pt>
                      <c:pt idx="6662">
                        <c:v>1</c:v>
                      </c:pt>
                      <c:pt idx="6663">
                        <c:v>1</c:v>
                      </c:pt>
                      <c:pt idx="6664">
                        <c:v>1</c:v>
                      </c:pt>
                      <c:pt idx="6665">
                        <c:v>1</c:v>
                      </c:pt>
                      <c:pt idx="6666">
                        <c:v>1</c:v>
                      </c:pt>
                      <c:pt idx="6667">
                        <c:v>1</c:v>
                      </c:pt>
                      <c:pt idx="6668">
                        <c:v>1</c:v>
                      </c:pt>
                      <c:pt idx="6669">
                        <c:v>1</c:v>
                      </c:pt>
                      <c:pt idx="6670">
                        <c:v>1</c:v>
                      </c:pt>
                      <c:pt idx="6671">
                        <c:v>1</c:v>
                      </c:pt>
                      <c:pt idx="6672">
                        <c:v>1</c:v>
                      </c:pt>
                      <c:pt idx="6673">
                        <c:v>1</c:v>
                      </c:pt>
                      <c:pt idx="6674">
                        <c:v>1</c:v>
                      </c:pt>
                      <c:pt idx="6675">
                        <c:v>1</c:v>
                      </c:pt>
                      <c:pt idx="6676">
                        <c:v>1</c:v>
                      </c:pt>
                      <c:pt idx="6677">
                        <c:v>1</c:v>
                      </c:pt>
                      <c:pt idx="6678">
                        <c:v>1</c:v>
                      </c:pt>
                      <c:pt idx="6679">
                        <c:v>1</c:v>
                      </c:pt>
                      <c:pt idx="6680">
                        <c:v>1</c:v>
                      </c:pt>
                      <c:pt idx="6681">
                        <c:v>1</c:v>
                      </c:pt>
                      <c:pt idx="6682">
                        <c:v>1</c:v>
                      </c:pt>
                      <c:pt idx="6683">
                        <c:v>1</c:v>
                      </c:pt>
                      <c:pt idx="6684">
                        <c:v>1</c:v>
                      </c:pt>
                      <c:pt idx="6685">
                        <c:v>1</c:v>
                      </c:pt>
                      <c:pt idx="6686">
                        <c:v>1</c:v>
                      </c:pt>
                      <c:pt idx="6687">
                        <c:v>1</c:v>
                      </c:pt>
                      <c:pt idx="6688">
                        <c:v>1</c:v>
                      </c:pt>
                      <c:pt idx="6689">
                        <c:v>1</c:v>
                      </c:pt>
                      <c:pt idx="6690">
                        <c:v>1</c:v>
                      </c:pt>
                      <c:pt idx="6691">
                        <c:v>1</c:v>
                      </c:pt>
                      <c:pt idx="6692">
                        <c:v>1</c:v>
                      </c:pt>
                      <c:pt idx="6693">
                        <c:v>1</c:v>
                      </c:pt>
                      <c:pt idx="6694">
                        <c:v>1</c:v>
                      </c:pt>
                      <c:pt idx="6695">
                        <c:v>1</c:v>
                      </c:pt>
                      <c:pt idx="6696">
                        <c:v>1</c:v>
                      </c:pt>
                      <c:pt idx="6697">
                        <c:v>1</c:v>
                      </c:pt>
                      <c:pt idx="6698">
                        <c:v>1</c:v>
                      </c:pt>
                      <c:pt idx="6699">
                        <c:v>1</c:v>
                      </c:pt>
                      <c:pt idx="6700">
                        <c:v>1</c:v>
                      </c:pt>
                      <c:pt idx="6701">
                        <c:v>1</c:v>
                      </c:pt>
                      <c:pt idx="6702">
                        <c:v>1</c:v>
                      </c:pt>
                      <c:pt idx="6703">
                        <c:v>1</c:v>
                      </c:pt>
                      <c:pt idx="6704">
                        <c:v>1</c:v>
                      </c:pt>
                      <c:pt idx="6705">
                        <c:v>1</c:v>
                      </c:pt>
                      <c:pt idx="6706">
                        <c:v>1</c:v>
                      </c:pt>
                      <c:pt idx="6707">
                        <c:v>1</c:v>
                      </c:pt>
                      <c:pt idx="6708">
                        <c:v>1</c:v>
                      </c:pt>
                      <c:pt idx="6709">
                        <c:v>1</c:v>
                      </c:pt>
                      <c:pt idx="6710">
                        <c:v>1</c:v>
                      </c:pt>
                      <c:pt idx="671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B6A-4FF3-AB4E-17FDF76A0ADB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transpose!$AQ$1</c15:sqref>
                        </c15:formulaRef>
                      </c:ext>
                    </c:extLst>
                    <c:strCache>
                      <c:ptCount val="1"/>
                      <c:pt idx="0">
                        <c:v>B_Eszik15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transpose!$AQ$2:$AQ$7686</c15:sqref>
                        </c15:formulaRef>
                      </c:ext>
                    </c:extLst>
                    <c:numCache>
                      <c:formatCode>General</c:formatCode>
                      <c:ptCount val="768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B6A-4FF3-AB4E-17FDF76A0ADB}"/>
                  </c:ext>
                </c:extLst>
              </c15:ser>
            </c15:filteredScatterSeries>
          </c:ext>
        </c:extLst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</c:valAx>
      <c:valAx>
        <c:axId val="813189759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803373102817638E-2"/>
          <c:y val="0.75738813671005689"/>
          <c:w val="0.98119662689718234"/>
          <c:h val="0.23734868358343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transpose!$N$1</c:f>
              <c:strCache>
                <c:ptCount val="1"/>
                <c:pt idx="0">
                  <c:v>B1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transpose!$N$2:$N$7686</c:f>
              <c:numCache>
                <c:formatCode>General</c:formatCode>
                <c:ptCount val="7685"/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E-4DAD-B7A4-910ED02AB0B7}"/>
            </c:ext>
          </c:extLst>
        </c:ser>
        <c:ser>
          <c:idx val="1"/>
          <c:order val="1"/>
          <c:tx>
            <c:strRef>
              <c:f>transpose!$P$1</c:f>
              <c:strCache>
                <c:ptCount val="1"/>
                <c:pt idx="0">
                  <c:v>B2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transpose!$P$2:$P$7686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CE-4DAD-B7A4-910ED02AB0B7}"/>
            </c:ext>
          </c:extLst>
        </c:ser>
        <c:ser>
          <c:idx val="2"/>
          <c:order val="2"/>
          <c:tx>
            <c:strRef>
              <c:f>transpose!$R$1</c:f>
              <c:strCache>
                <c:ptCount val="1"/>
                <c:pt idx="0">
                  <c:v>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transpose!$R$2:$R$7686</c:f>
              <c:numCache>
                <c:formatCode>General</c:formatCode>
                <c:ptCount val="7685"/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CE-4DAD-B7A4-910ED02AB0B7}"/>
            </c:ext>
          </c:extLst>
        </c:ser>
        <c:ser>
          <c:idx val="3"/>
          <c:order val="3"/>
          <c:tx>
            <c:strRef>
              <c:f>transpose!$T$1</c:f>
              <c:strCache>
                <c:ptCount val="1"/>
                <c:pt idx="0">
                  <c:v>B4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transpose!$T$2:$T$7686</c:f>
              <c:numCache>
                <c:formatCode>General</c:formatCode>
                <c:ptCount val="7685"/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CE-4DAD-B7A4-910ED02AB0B7}"/>
            </c:ext>
          </c:extLst>
        </c:ser>
        <c:ser>
          <c:idx val="4"/>
          <c:order val="4"/>
          <c:tx>
            <c:strRef>
              <c:f>transpose!$V$1</c:f>
              <c:strCache>
                <c:ptCount val="1"/>
                <c:pt idx="0">
                  <c:v>B5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transpose!$V$2:$V$7686</c:f>
              <c:numCache>
                <c:formatCode>General</c:formatCode>
                <c:ptCount val="7685"/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CE-4DAD-B7A4-910ED02AB0B7}"/>
            </c:ext>
          </c:extLst>
        </c:ser>
        <c:ser>
          <c:idx val="5"/>
          <c:order val="5"/>
          <c:tx>
            <c:strRef>
              <c:f>transpose!$X$1</c:f>
              <c:strCache>
                <c:ptCount val="1"/>
                <c:pt idx="0">
                  <c:v>B6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transpose!$X$2:$X$7686</c:f>
              <c:numCache>
                <c:formatCode>General</c:formatCode>
                <c:ptCount val="7685"/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CE-4DAD-B7A4-910ED02AB0B7}"/>
            </c:ext>
          </c:extLst>
        </c:ser>
        <c:ser>
          <c:idx val="6"/>
          <c:order val="6"/>
          <c:tx>
            <c:strRef>
              <c:f>transpose!$Z$1</c:f>
              <c:strCache>
                <c:ptCount val="1"/>
                <c:pt idx="0">
                  <c:v>B7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transpose!$Z$2:$Z$7686</c:f>
              <c:numCache>
                <c:formatCode>General</c:formatCode>
                <c:ptCount val="7685"/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CE-4DAD-B7A4-910ED02AB0B7}"/>
            </c:ext>
          </c:extLst>
        </c:ser>
        <c:ser>
          <c:idx val="7"/>
          <c:order val="7"/>
          <c:tx>
            <c:strRef>
              <c:f>transpose!$AB$1</c:f>
              <c:strCache>
                <c:ptCount val="1"/>
                <c:pt idx="0">
                  <c:v>B8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transpose!$AB$2:$AB$7686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CE-4DAD-B7A4-910ED02AB0B7}"/>
            </c:ext>
          </c:extLst>
        </c:ser>
        <c:ser>
          <c:idx val="8"/>
          <c:order val="8"/>
          <c:tx>
            <c:strRef>
              <c:f>transpose!$AD$1</c:f>
              <c:strCache>
                <c:ptCount val="1"/>
                <c:pt idx="0">
                  <c:v>B9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transpose!$AD$2:$AD$7686</c:f>
              <c:numCache>
                <c:formatCode>General</c:formatCode>
                <c:ptCount val="7685"/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CE-4DAD-B7A4-910ED02AB0B7}"/>
            </c:ext>
          </c:extLst>
        </c:ser>
        <c:ser>
          <c:idx val="9"/>
          <c:order val="9"/>
          <c:tx>
            <c:strRef>
              <c:f>transpose!$AF$1</c:f>
              <c:strCache>
                <c:ptCount val="1"/>
                <c:pt idx="0">
                  <c:v>B10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transpose!$AF$2:$AF$7686</c:f>
              <c:numCache>
                <c:formatCode>General</c:formatCode>
                <c:ptCount val="7685"/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ACE-4DAD-B7A4-910ED02AB0B7}"/>
            </c:ext>
          </c:extLst>
        </c:ser>
        <c:ser>
          <c:idx val="10"/>
          <c:order val="10"/>
          <c:tx>
            <c:strRef>
              <c:f>transpose!$AH$1</c:f>
              <c:strCache>
                <c:ptCount val="1"/>
                <c:pt idx="0">
                  <c:v>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transpose!$AH$2:$AH$7686</c:f>
              <c:numCache>
                <c:formatCode>General</c:formatCode>
                <c:ptCount val="7685"/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ACE-4DAD-B7A4-910ED02AB0B7}"/>
            </c:ext>
          </c:extLst>
        </c:ser>
        <c:ser>
          <c:idx val="11"/>
          <c:order val="11"/>
          <c:tx>
            <c:strRef>
              <c:f>transpose!$AJ$1</c:f>
              <c:strCache>
                <c:ptCount val="1"/>
                <c:pt idx="0">
                  <c:v>B12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transpose!$AJ$2:$AJ$7686</c:f>
              <c:numCache>
                <c:formatCode>General</c:formatCode>
                <c:ptCount val="7685"/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5775">
                  <c:v>4</c:v>
                </c:pt>
                <c:pt idx="5776">
                  <c:v>4</c:v>
                </c:pt>
                <c:pt idx="5777">
                  <c:v>4</c:v>
                </c:pt>
                <c:pt idx="5778">
                  <c:v>4</c:v>
                </c:pt>
                <c:pt idx="5779">
                  <c:v>4</c:v>
                </c:pt>
                <c:pt idx="5780">
                  <c:v>4</c:v>
                </c:pt>
                <c:pt idx="5781">
                  <c:v>4</c:v>
                </c:pt>
                <c:pt idx="5782">
                  <c:v>4</c:v>
                </c:pt>
                <c:pt idx="5783">
                  <c:v>4</c:v>
                </c:pt>
                <c:pt idx="5784">
                  <c:v>4</c:v>
                </c:pt>
                <c:pt idx="5785">
                  <c:v>4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4</c:v>
                </c:pt>
                <c:pt idx="5790">
                  <c:v>4</c:v>
                </c:pt>
                <c:pt idx="5791">
                  <c:v>4</c:v>
                </c:pt>
                <c:pt idx="5792">
                  <c:v>4</c:v>
                </c:pt>
                <c:pt idx="5793">
                  <c:v>4</c:v>
                </c:pt>
                <c:pt idx="5794">
                  <c:v>4</c:v>
                </c:pt>
                <c:pt idx="5795">
                  <c:v>4</c:v>
                </c:pt>
                <c:pt idx="5796">
                  <c:v>4</c:v>
                </c:pt>
                <c:pt idx="5797">
                  <c:v>4</c:v>
                </c:pt>
                <c:pt idx="5798">
                  <c:v>4</c:v>
                </c:pt>
                <c:pt idx="5799">
                  <c:v>4</c:v>
                </c:pt>
                <c:pt idx="5800">
                  <c:v>4</c:v>
                </c:pt>
                <c:pt idx="5801">
                  <c:v>4</c:v>
                </c:pt>
                <c:pt idx="5802">
                  <c:v>4</c:v>
                </c:pt>
                <c:pt idx="5803">
                  <c:v>4</c:v>
                </c:pt>
                <c:pt idx="5804">
                  <c:v>4</c:v>
                </c:pt>
                <c:pt idx="5805">
                  <c:v>4</c:v>
                </c:pt>
                <c:pt idx="5806">
                  <c:v>4</c:v>
                </c:pt>
                <c:pt idx="5807">
                  <c:v>4</c:v>
                </c:pt>
                <c:pt idx="5808">
                  <c:v>4</c:v>
                </c:pt>
                <c:pt idx="5809">
                  <c:v>4</c:v>
                </c:pt>
                <c:pt idx="5810">
                  <c:v>4</c:v>
                </c:pt>
                <c:pt idx="5811">
                  <c:v>4</c:v>
                </c:pt>
                <c:pt idx="5812">
                  <c:v>4</c:v>
                </c:pt>
                <c:pt idx="5813">
                  <c:v>4</c:v>
                </c:pt>
                <c:pt idx="5814">
                  <c:v>4</c:v>
                </c:pt>
                <c:pt idx="5815">
                  <c:v>4</c:v>
                </c:pt>
                <c:pt idx="5816">
                  <c:v>4</c:v>
                </c:pt>
                <c:pt idx="5817">
                  <c:v>4</c:v>
                </c:pt>
                <c:pt idx="5818">
                  <c:v>4</c:v>
                </c:pt>
                <c:pt idx="5819">
                  <c:v>4</c:v>
                </c:pt>
                <c:pt idx="5820">
                  <c:v>4</c:v>
                </c:pt>
                <c:pt idx="5821">
                  <c:v>4</c:v>
                </c:pt>
                <c:pt idx="5822">
                  <c:v>4</c:v>
                </c:pt>
                <c:pt idx="5823">
                  <c:v>4</c:v>
                </c:pt>
                <c:pt idx="5824">
                  <c:v>4</c:v>
                </c:pt>
                <c:pt idx="5825">
                  <c:v>4</c:v>
                </c:pt>
                <c:pt idx="5826">
                  <c:v>4</c:v>
                </c:pt>
                <c:pt idx="5827">
                  <c:v>4</c:v>
                </c:pt>
                <c:pt idx="582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ACE-4DAD-B7A4-910ED02AB0B7}"/>
            </c:ext>
          </c:extLst>
        </c:ser>
        <c:ser>
          <c:idx val="12"/>
          <c:order val="12"/>
          <c:tx>
            <c:strRef>
              <c:f>transpose!$AL$1</c:f>
              <c:strCache>
                <c:ptCount val="1"/>
                <c:pt idx="0">
                  <c:v>B13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transpose!$AL$2:$AL$7686</c:f>
              <c:numCache>
                <c:formatCode>General</c:formatCode>
                <c:ptCount val="7685"/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712">
                  <c:v>4</c:v>
                </c:pt>
                <c:pt idx="6713">
                  <c:v>4</c:v>
                </c:pt>
                <c:pt idx="6714">
                  <c:v>4</c:v>
                </c:pt>
                <c:pt idx="6715">
                  <c:v>4</c:v>
                </c:pt>
                <c:pt idx="6716">
                  <c:v>4</c:v>
                </c:pt>
                <c:pt idx="6717">
                  <c:v>4</c:v>
                </c:pt>
                <c:pt idx="6718">
                  <c:v>4</c:v>
                </c:pt>
                <c:pt idx="6719">
                  <c:v>4</c:v>
                </c:pt>
                <c:pt idx="6720">
                  <c:v>4</c:v>
                </c:pt>
                <c:pt idx="6721">
                  <c:v>4</c:v>
                </c:pt>
                <c:pt idx="6722">
                  <c:v>4</c:v>
                </c:pt>
                <c:pt idx="6723">
                  <c:v>4</c:v>
                </c:pt>
                <c:pt idx="6724">
                  <c:v>4</c:v>
                </c:pt>
                <c:pt idx="6725">
                  <c:v>4</c:v>
                </c:pt>
                <c:pt idx="6726">
                  <c:v>4</c:v>
                </c:pt>
                <c:pt idx="6727">
                  <c:v>4</c:v>
                </c:pt>
                <c:pt idx="6728">
                  <c:v>4</c:v>
                </c:pt>
                <c:pt idx="6729">
                  <c:v>4</c:v>
                </c:pt>
                <c:pt idx="6730">
                  <c:v>4</c:v>
                </c:pt>
                <c:pt idx="6731">
                  <c:v>4</c:v>
                </c:pt>
                <c:pt idx="6732">
                  <c:v>4</c:v>
                </c:pt>
                <c:pt idx="6733">
                  <c:v>4</c:v>
                </c:pt>
                <c:pt idx="6734">
                  <c:v>4</c:v>
                </c:pt>
                <c:pt idx="6735">
                  <c:v>4</c:v>
                </c:pt>
                <c:pt idx="6736">
                  <c:v>4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4</c:v>
                </c:pt>
                <c:pt idx="6752">
                  <c:v>4</c:v>
                </c:pt>
                <c:pt idx="6753">
                  <c:v>4</c:v>
                </c:pt>
                <c:pt idx="6754">
                  <c:v>4</c:v>
                </c:pt>
                <c:pt idx="6755">
                  <c:v>4</c:v>
                </c:pt>
                <c:pt idx="6756">
                  <c:v>4</c:v>
                </c:pt>
                <c:pt idx="6757">
                  <c:v>4</c:v>
                </c:pt>
                <c:pt idx="6758">
                  <c:v>4</c:v>
                </c:pt>
                <c:pt idx="6759">
                  <c:v>4</c:v>
                </c:pt>
                <c:pt idx="676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ACE-4DAD-B7A4-910ED02AB0B7}"/>
            </c:ext>
          </c:extLst>
        </c:ser>
        <c:ser>
          <c:idx val="13"/>
          <c:order val="13"/>
          <c:tx>
            <c:strRef>
              <c:f>transpose!$AN$1</c:f>
              <c:strCache>
                <c:ptCount val="1"/>
                <c:pt idx="0">
                  <c:v>B14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transpose!$AN$2:$AN$7686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ACE-4DAD-B7A4-910ED02AB0B7}"/>
            </c:ext>
          </c:extLst>
        </c:ser>
        <c:ser>
          <c:idx val="14"/>
          <c:order val="14"/>
          <c:tx>
            <c:strRef>
              <c:f>transpose!$AP$1</c:f>
              <c:strCache>
                <c:ptCount val="1"/>
                <c:pt idx="0">
                  <c:v>B15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transpose!$AP$2:$AP$7686</c:f>
              <c:numCache>
                <c:formatCode>General</c:formatCode>
                <c:ptCount val="7685"/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ACE-4DAD-B7A4-910ED02AB0B7}"/>
            </c:ext>
          </c:extLst>
        </c:ser>
        <c:ser>
          <c:idx val="15"/>
          <c:order val="15"/>
          <c:tx>
            <c:strRef>
              <c:f>transpose!$AR$1</c:f>
              <c:strCache>
                <c:ptCount val="1"/>
                <c:pt idx="0">
                  <c:v>B16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transpose!$AR$2:$AR$7686</c:f>
              <c:numCache>
                <c:formatCode>General</c:formatCode>
                <c:ptCount val="7685"/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ACE-4DAD-B7A4-910ED02A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  <c:majorUnit val="1000"/>
      </c:valAx>
      <c:valAx>
        <c:axId val="813189759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060987752865895E-2"/>
          <c:y val="0.77809875984514343"/>
          <c:w val="0.9899390122471341"/>
          <c:h val="0.192377433583058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 sz="1400" b="0" i="0" u="none" strike="noStrike" baseline="0">
                <a:effectLst/>
              </a:rPr>
              <a:t>1_45_Lisket_Male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transpose!$F$1</c:f>
              <c:strCache>
                <c:ptCount val="1"/>
                <c:pt idx="0">
                  <c:v>F_fordul1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transpose!$F$2:$F$7686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7-4244-8F41-40AC0B9FE676}"/>
            </c:ext>
          </c:extLst>
        </c:ser>
        <c:ser>
          <c:idx val="1"/>
          <c:order val="1"/>
          <c:tx>
            <c:strRef>
              <c:f>transpose!$G$1</c:f>
              <c:strCache>
                <c:ptCount val="1"/>
                <c:pt idx="0">
                  <c:v>F_fordul2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transpose!$G$2:$G$7686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7-4244-8F41-40AC0B9FE676}"/>
            </c:ext>
          </c:extLst>
        </c:ser>
        <c:ser>
          <c:idx val="2"/>
          <c:order val="2"/>
          <c:tx>
            <c:strRef>
              <c:f>transpose!$H$1</c:f>
              <c:strCache>
                <c:ptCount val="1"/>
                <c:pt idx="0">
                  <c:v>F_fordul3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transpose!$H$2:$H$7686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17-4244-8F41-40AC0B9FE676}"/>
            </c:ext>
          </c:extLst>
        </c:ser>
        <c:ser>
          <c:idx val="3"/>
          <c:order val="3"/>
          <c:tx>
            <c:strRef>
              <c:f>transpose!$I$1</c:f>
              <c:strCache>
                <c:ptCount val="1"/>
                <c:pt idx="0">
                  <c:v>F_fordul4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transpose!$I$2:$I$7686</c:f>
              <c:numCache>
                <c:formatCode>General</c:formatCode>
                <c:ptCount val="768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17-4244-8F41-40AC0B9F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456927"/>
        <c:axId val="770458591"/>
      </c:scatterChart>
      <c:valAx>
        <c:axId val="770456927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458591"/>
        <c:crosses val="autoZero"/>
        <c:crossBetween val="midCat"/>
        <c:majorUnit val="1000"/>
      </c:valAx>
      <c:valAx>
        <c:axId val="77045859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4569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863649750476289E-2"/>
          <c:y val="0.76838957946900699"/>
          <c:w val="0.97199638809432276"/>
          <c:h val="0.19325449058845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11267</xdr:colOff>
      <xdr:row>15</xdr:row>
      <xdr:rowOff>8595</xdr:rowOff>
    </xdr:from>
    <xdr:to>
      <xdr:col>8</xdr:col>
      <xdr:colOff>10440</xdr:colOff>
      <xdr:row>26</xdr:row>
      <xdr:rowOff>73069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9E52688-140D-16BE-6A4B-CDEB2BC06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7477</xdr:colOff>
      <xdr:row>15</xdr:row>
      <xdr:rowOff>15426</xdr:rowOff>
    </xdr:from>
    <xdr:to>
      <xdr:col>12</xdr:col>
      <xdr:colOff>10438</xdr:colOff>
      <xdr:row>26</xdr:row>
      <xdr:rowOff>62631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387</xdr:rowOff>
    </xdr:from>
    <xdr:to>
      <xdr:col>4</xdr:col>
      <xdr:colOff>10439</xdr:colOff>
      <xdr:row>14</xdr:row>
      <xdr:rowOff>158212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18411</xdr:colOff>
      <xdr:row>26</xdr:row>
      <xdr:rowOff>59153</xdr:rowOff>
    </xdr:from>
    <xdr:to>
      <xdr:col>12</xdr:col>
      <xdr:colOff>1</xdr:colOff>
      <xdr:row>40</xdr:row>
      <xdr:rowOff>41754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29750</xdr:colOff>
      <xdr:row>0</xdr:row>
      <xdr:rowOff>0</xdr:rowOff>
    </xdr:from>
    <xdr:to>
      <xdr:col>8</xdr:col>
      <xdr:colOff>20877</xdr:colOff>
      <xdr:row>14</xdr:row>
      <xdr:rowOff>164282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18477</xdr:colOff>
      <xdr:row>26</xdr:row>
      <xdr:rowOff>84997</xdr:rowOff>
    </xdr:from>
    <xdr:to>
      <xdr:col>8</xdr:col>
      <xdr:colOff>20878</xdr:colOff>
      <xdr:row>40</xdr:row>
      <xdr:rowOff>31316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7491</xdr:colOff>
      <xdr:row>0</xdr:row>
      <xdr:rowOff>10438</xdr:rowOff>
    </xdr:from>
    <xdr:to>
      <xdr:col>15</xdr:col>
      <xdr:colOff>563671</xdr:colOff>
      <xdr:row>15</xdr:row>
      <xdr:rowOff>10438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18563</xdr:colOff>
      <xdr:row>15</xdr:row>
      <xdr:rowOff>9856</xdr:rowOff>
    </xdr:from>
    <xdr:to>
      <xdr:col>15</xdr:col>
      <xdr:colOff>569826</xdr:colOff>
      <xdr:row>26</xdr:row>
      <xdr:rowOff>62631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2902</xdr:colOff>
      <xdr:row>26</xdr:row>
      <xdr:rowOff>37668</xdr:rowOff>
    </xdr:from>
    <xdr:to>
      <xdr:col>15</xdr:col>
      <xdr:colOff>553233</xdr:colOff>
      <xdr:row>40</xdr:row>
      <xdr:rowOff>41754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8009</xdr:colOff>
      <xdr:row>0</xdr:row>
      <xdr:rowOff>10438</xdr:rowOff>
    </xdr:from>
    <xdr:to>
      <xdr:col>12</xdr:col>
      <xdr:colOff>10438</xdr:colOff>
      <xdr:row>15</xdr:row>
      <xdr:rowOff>10438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4</xdr:col>
      <xdr:colOff>10438</xdr:colOff>
      <xdr:row>26</xdr:row>
      <xdr:rowOff>93946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KW84"/>
  <sheetViews>
    <sheetView tabSelected="1" zoomScale="47" zoomScaleNormal="47" workbookViewId="0">
      <pane xSplit="2" ySplit="1" topLeftCell="KKQ23" activePane="bottomRight" state="frozen"/>
      <selection pane="topRight" activeCell="C1" sqref="C1"/>
      <selection pane="bottomLeft" activeCell="A3" sqref="A3"/>
      <selection pane="bottomRight" activeCell="B39" sqref="B39"/>
    </sheetView>
  </sheetViews>
  <sheetFormatPr defaultColWidth="4.19921875" defaultRowHeight="13.8"/>
  <cols>
    <col min="1" max="3" width="10.69921875" customWidth="1"/>
    <col min="35" max="35" width="8" customWidth="1"/>
    <col min="60" max="60" width="8" bestFit="1" customWidth="1"/>
    <col min="3792" max="3792" width="8.8984375" customWidth="1"/>
    <col min="7740" max="7740" width="6.19921875" bestFit="1" customWidth="1"/>
    <col min="7741" max="7741" width="7.59765625" bestFit="1" customWidth="1"/>
  </cols>
  <sheetData>
    <row r="1" spans="1:7745" s="2" customFormat="1" ht="55.2">
      <c r="A1" t="s">
        <v>0</v>
      </c>
      <c r="B1" s="3" t="s">
        <v>7615</v>
      </c>
      <c r="C1" s="3">
        <v>1.1574074074074073E-5</v>
      </c>
      <c r="D1" s="3">
        <v>2.3148148148148147E-5</v>
      </c>
      <c r="E1" s="3">
        <v>3.4722222222222202E-5</v>
      </c>
      <c r="F1" s="3">
        <v>4.6296296296296301E-5</v>
      </c>
      <c r="G1" s="3">
        <v>5.78703703703704E-5</v>
      </c>
      <c r="H1" s="3">
        <v>6.9444444444444499E-5</v>
      </c>
      <c r="I1" s="3">
        <v>8.1018518518518503E-5</v>
      </c>
      <c r="J1" s="3">
        <v>9.2592592592592602E-5</v>
      </c>
      <c r="K1" s="3">
        <v>1.04166666666667E-4</v>
      </c>
      <c r="L1" s="3">
        <v>1.15740740740741E-4</v>
      </c>
      <c r="M1" s="3">
        <v>1.2731481481481499E-4</v>
      </c>
      <c r="N1" s="3">
        <v>1.38888888888889E-4</v>
      </c>
      <c r="O1" s="3">
        <v>1.50462962962963E-4</v>
      </c>
      <c r="P1" s="3">
        <v>1.6203703703703701E-4</v>
      </c>
      <c r="Q1" s="3">
        <v>1.7361111111111101E-4</v>
      </c>
      <c r="R1" s="3">
        <v>1.8518518518518501E-4</v>
      </c>
      <c r="S1" s="3">
        <v>1.9675925925925899E-4</v>
      </c>
      <c r="T1" s="3">
        <v>2.0833333333333299E-4</v>
      </c>
      <c r="U1" s="3">
        <v>2.19907407407407E-4</v>
      </c>
      <c r="V1" s="3">
        <v>2.31481481481481E-4</v>
      </c>
      <c r="W1" s="3">
        <v>2.4305555555555501E-4</v>
      </c>
      <c r="X1" s="3">
        <v>2.5462962962962999E-4</v>
      </c>
      <c r="Y1" s="3">
        <v>2.6620370370370399E-4</v>
      </c>
      <c r="Z1" s="3">
        <v>2.7777777777777799E-4</v>
      </c>
      <c r="AA1" s="3">
        <v>2.89351851851852E-4</v>
      </c>
      <c r="AB1" s="3">
        <v>3.00925925925926E-4</v>
      </c>
      <c r="AC1" s="3">
        <v>3.1250000000000001E-4</v>
      </c>
      <c r="AD1" s="3">
        <v>3.2407407407407401E-4</v>
      </c>
      <c r="AE1" s="3">
        <v>3.3564814814814801E-4</v>
      </c>
      <c r="AF1" s="3">
        <v>3.4722222222222202E-4</v>
      </c>
      <c r="AG1" s="3">
        <v>3.5879629629629602E-4</v>
      </c>
      <c r="AH1" s="3">
        <v>3.7037037037037003E-4</v>
      </c>
      <c r="AI1" s="3">
        <v>3.8194444444444398E-4</v>
      </c>
      <c r="AJ1" s="3" t="s">
        <v>7656</v>
      </c>
      <c r="AK1" s="3" t="s">
        <v>7655</v>
      </c>
      <c r="AL1" s="3" t="s">
        <v>7654</v>
      </c>
      <c r="AM1" s="3" t="s">
        <v>7653</v>
      </c>
      <c r="AN1" s="3" t="s">
        <v>7652</v>
      </c>
      <c r="AO1" s="3" t="s">
        <v>7651</v>
      </c>
      <c r="AP1" s="3" t="s">
        <v>7650</v>
      </c>
      <c r="AQ1" s="3" t="s">
        <v>7649</v>
      </c>
      <c r="AR1" s="3" t="s">
        <v>7648</v>
      </c>
      <c r="AS1" s="3" t="s">
        <v>7647</v>
      </c>
      <c r="AT1" s="3" t="s">
        <v>7646</v>
      </c>
      <c r="AU1" s="3" t="s">
        <v>7645</v>
      </c>
      <c r="AV1" s="3" t="s">
        <v>7644</v>
      </c>
      <c r="AW1" s="3" t="s">
        <v>7643</v>
      </c>
      <c r="AX1" s="3" t="s">
        <v>7642</v>
      </c>
      <c r="AY1" s="3" t="s">
        <v>7641</v>
      </c>
      <c r="AZ1" s="3" t="s">
        <v>7640</v>
      </c>
      <c r="BA1" s="3" t="s">
        <v>7639</v>
      </c>
      <c r="BB1" s="3" t="s">
        <v>7638</v>
      </c>
      <c r="BC1" s="3" t="s">
        <v>7637</v>
      </c>
      <c r="BD1" s="3" t="s">
        <v>7636</v>
      </c>
      <c r="BE1" s="3" t="s">
        <v>7635</v>
      </c>
      <c r="BF1" s="3" t="s">
        <v>7634</v>
      </c>
      <c r="BG1" s="3" t="s">
        <v>7633</v>
      </c>
      <c r="BH1" s="5">
        <v>3.9351851851851852E-4</v>
      </c>
      <c r="BI1" s="3" t="s">
        <v>7598</v>
      </c>
      <c r="BJ1" s="3" t="s">
        <v>7599</v>
      </c>
      <c r="BK1" s="3" t="s">
        <v>7600</v>
      </c>
      <c r="BL1" s="3" t="s">
        <v>7601</v>
      </c>
      <c r="BM1" s="3" t="s">
        <v>7602</v>
      </c>
      <c r="BN1" s="3" t="s">
        <v>7603</v>
      </c>
      <c r="BO1" s="3" t="s">
        <v>7604</v>
      </c>
      <c r="BP1" s="3" t="s">
        <v>7605</v>
      </c>
      <c r="BQ1" s="3" t="s">
        <v>7606</v>
      </c>
      <c r="BR1" s="3" t="s">
        <v>7607</v>
      </c>
      <c r="BS1" s="3" t="s">
        <v>7608</v>
      </c>
      <c r="BT1" s="3" t="s">
        <v>7609</v>
      </c>
      <c r="BU1" s="3" t="s">
        <v>7610</v>
      </c>
      <c r="BV1" s="3" t="s">
        <v>7611</v>
      </c>
      <c r="BW1" s="3" t="s">
        <v>7612</v>
      </c>
      <c r="BX1" s="3" t="s">
        <v>7613</v>
      </c>
      <c r="BY1" s="3" t="s">
        <v>7614</v>
      </c>
      <c r="BZ1" s="3" t="s">
        <v>7615</v>
      </c>
      <c r="CA1" s="3" t="s">
        <v>7616</v>
      </c>
      <c r="CB1" s="3" t="s">
        <v>7617</v>
      </c>
      <c r="CC1" s="3" t="s">
        <v>7618</v>
      </c>
      <c r="CD1" s="3" t="s">
        <v>7619</v>
      </c>
      <c r="CE1" s="3" t="s">
        <v>7619</v>
      </c>
      <c r="CF1" s="3" t="s">
        <v>7620</v>
      </c>
      <c r="CG1" s="3" t="s">
        <v>7621</v>
      </c>
      <c r="CH1" s="3" t="s">
        <v>7622</v>
      </c>
      <c r="CI1" s="3" t="s">
        <v>7623</v>
      </c>
      <c r="CJ1" s="3" t="s">
        <v>7624</v>
      </c>
      <c r="CK1" s="3" t="s">
        <v>7625</v>
      </c>
      <c r="CL1" s="3" t="s">
        <v>7626</v>
      </c>
      <c r="CM1" s="3" t="s">
        <v>7627</v>
      </c>
      <c r="CN1" s="3" t="s">
        <v>7628</v>
      </c>
      <c r="CO1" s="3" t="s">
        <v>7629</v>
      </c>
      <c r="CP1" s="3" t="s">
        <v>7630</v>
      </c>
      <c r="CQ1" s="3" t="s">
        <v>7631</v>
      </c>
      <c r="CR1" s="3" t="s">
        <v>47</v>
      </c>
      <c r="CS1" s="3" t="s">
        <v>52</v>
      </c>
      <c r="CT1" s="3" t="s">
        <v>53</v>
      </c>
      <c r="CU1" s="3" t="s">
        <v>54</v>
      </c>
      <c r="CV1" s="3" t="s">
        <v>55</v>
      </c>
      <c r="CW1" s="3" t="s">
        <v>56</v>
      </c>
      <c r="CX1" s="3" t="s">
        <v>57</v>
      </c>
      <c r="CY1" s="3" t="s">
        <v>58</v>
      </c>
      <c r="CZ1" s="3" t="s">
        <v>59</v>
      </c>
      <c r="DA1" s="3" t="s">
        <v>60</v>
      </c>
      <c r="DB1" s="3" t="s">
        <v>61</v>
      </c>
      <c r="DC1" s="3" t="s">
        <v>62</v>
      </c>
      <c r="DD1" s="3" t="s">
        <v>63</v>
      </c>
      <c r="DE1" s="3" t="s">
        <v>64</v>
      </c>
      <c r="DF1" s="3" t="s">
        <v>65</v>
      </c>
      <c r="DG1" s="3" t="s">
        <v>48</v>
      </c>
      <c r="DH1" s="3" t="s">
        <v>66</v>
      </c>
      <c r="DI1" s="3" t="s">
        <v>67</v>
      </c>
      <c r="DJ1" s="3" t="s">
        <v>68</v>
      </c>
      <c r="DK1" s="3" t="s">
        <v>69</v>
      </c>
      <c r="DL1" s="3" t="s">
        <v>70</v>
      </c>
      <c r="DM1" s="3" t="s">
        <v>71</v>
      </c>
      <c r="DN1" s="3" t="s">
        <v>72</v>
      </c>
      <c r="DO1" s="3" t="s">
        <v>73</v>
      </c>
      <c r="DP1" s="3" t="s">
        <v>74</v>
      </c>
      <c r="DQ1" s="3" t="s">
        <v>75</v>
      </c>
      <c r="DR1" s="3" t="s">
        <v>76</v>
      </c>
      <c r="DS1" s="3" t="s">
        <v>49</v>
      </c>
      <c r="DT1" s="3" t="s">
        <v>77</v>
      </c>
      <c r="DU1" s="3" t="s">
        <v>78</v>
      </c>
      <c r="DV1" s="3" t="s">
        <v>79</v>
      </c>
      <c r="DW1" s="3" t="s">
        <v>80</v>
      </c>
      <c r="DX1" s="3" t="s">
        <v>50</v>
      </c>
      <c r="DY1" s="3" t="s">
        <v>81</v>
      </c>
      <c r="DZ1" s="3" t="s">
        <v>82</v>
      </c>
      <c r="EA1" s="3" t="s">
        <v>83</v>
      </c>
      <c r="EB1" s="3" t="s">
        <v>84</v>
      </c>
      <c r="EC1" s="3" t="s">
        <v>85</v>
      </c>
      <c r="ED1" s="3" t="s">
        <v>86</v>
      </c>
      <c r="EE1" s="3" t="s">
        <v>87</v>
      </c>
      <c r="EF1" s="3" t="s">
        <v>88</v>
      </c>
      <c r="EG1" s="3" t="s">
        <v>89</v>
      </c>
      <c r="EH1" s="3" t="s">
        <v>90</v>
      </c>
      <c r="EI1" s="3" t="s">
        <v>91</v>
      </c>
      <c r="EJ1" s="3" t="s">
        <v>92</v>
      </c>
      <c r="EK1" s="3" t="s">
        <v>93</v>
      </c>
      <c r="EL1" s="3" t="s">
        <v>94</v>
      </c>
      <c r="EM1" s="3" t="s">
        <v>95</v>
      </c>
      <c r="EN1" s="3" t="s">
        <v>96</v>
      </c>
      <c r="EO1" s="3" t="s">
        <v>97</v>
      </c>
      <c r="EP1" s="3" t="s">
        <v>98</v>
      </c>
      <c r="EQ1" s="3" t="s">
        <v>99</v>
      </c>
      <c r="ER1" s="3" t="s">
        <v>100</v>
      </c>
      <c r="ES1" s="3" t="s">
        <v>101</v>
      </c>
      <c r="ET1" s="3" t="s">
        <v>102</v>
      </c>
      <c r="EU1" s="3" t="s">
        <v>103</v>
      </c>
      <c r="EV1" s="3" t="s">
        <v>104</v>
      </c>
      <c r="EW1" s="3" t="s">
        <v>105</v>
      </c>
      <c r="EX1" s="3" t="s">
        <v>106</v>
      </c>
      <c r="EY1" s="3" t="s">
        <v>107</v>
      </c>
      <c r="EZ1" s="3" t="s">
        <v>108</v>
      </c>
      <c r="FA1" s="3" t="s">
        <v>109</v>
      </c>
      <c r="FB1" s="3" t="s">
        <v>110</v>
      </c>
      <c r="FC1" s="3" t="s">
        <v>111</v>
      </c>
      <c r="FD1" s="3" t="s">
        <v>112</v>
      </c>
      <c r="FE1" s="3" t="s">
        <v>113</v>
      </c>
      <c r="FF1" s="3" t="s">
        <v>114</v>
      </c>
      <c r="FG1" s="3" t="s">
        <v>115</v>
      </c>
      <c r="FH1" s="3" t="s">
        <v>116</v>
      </c>
      <c r="FI1" s="3" t="s">
        <v>117</v>
      </c>
      <c r="FJ1" s="3" t="s">
        <v>118</v>
      </c>
      <c r="FK1" s="3" t="s">
        <v>119</v>
      </c>
      <c r="FL1" s="3" t="s">
        <v>120</v>
      </c>
      <c r="FM1" s="3" t="s">
        <v>121</v>
      </c>
      <c r="FN1" s="3" t="s">
        <v>122</v>
      </c>
      <c r="FO1" s="3" t="s">
        <v>123</v>
      </c>
      <c r="FP1" s="3" t="s">
        <v>124</v>
      </c>
      <c r="FQ1" s="3" t="s">
        <v>125</v>
      </c>
      <c r="FR1" s="3" t="s">
        <v>126</v>
      </c>
      <c r="FS1" s="3" t="s">
        <v>127</v>
      </c>
      <c r="FT1" s="3" t="s">
        <v>128</v>
      </c>
      <c r="FU1" s="3" t="s">
        <v>129</v>
      </c>
      <c r="FV1" s="3" t="s">
        <v>130</v>
      </c>
      <c r="FW1" s="3" t="s">
        <v>131</v>
      </c>
      <c r="FX1" s="3" t="s">
        <v>132</v>
      </c>
      <c r="FY1" s="3" t="s">
        <v>133</v>
      </c>
      <c r="FZ1" s="3" t="s">
        <v>134</v>
      </c>
      <c r="GA1" s="3" t="s">
        <v>51</v>
      </c>
      <c r="GB1" s="3" t="s">
        <v>135</v>
      </c>
      <c r="GC1" s="3" t="s">
        <v>136</v>
      </c>
      <c r="GD1" s="3" t="s">
        <v>137</v>
      </c>
      <c r="GE1" s="3" t="s">
        <v>138</v>
      </c>
      <c r="GF1" s="3" t="s">
        <v>139</v>
      </c>
      <c r="GG1" s="3" t="s">
        <v>140</v>
      </c>
      <c r="GH1" s="3" t="s">
        <v>141</v>
      </c>
      <c r="GI1" s="3" t="s">
        <v>142</v>
      </c>
      <c r="GJ1" s="3" t="s">
        <v>143</v>
      </c>
      <c r="GK1" s="3" t="s">
        <v>144</v>
      </c>
      <c r="GL1" s="3" t="s">
        <v>145</v>
      </c>
      <c r="GM1" s="3" t="s">
        <v>146</v>
      </c>
      <c r="GN1" s="3" t="s">
        <v>147</v>
      </c>
      <c r="GO1" s="3" t="s">
        <v>148</v>
      </c>
      <c r="GP1" s="3" t="s">
        <v>149</v>
      </c>
      <c r="GQ1" s="3" t="s">
        <v>150</v>
      </c>
      <c r="GR1" s="3" t="s">
        <v>151</v>
      </c>
      <c r="GS1" s="3" t="s">
        <v>152</v>
      </c>
      <c r="GT1" s="3" t="s">
        <v>153</v>
      </c>
      <c r="GU1" s="3" t="s">
        <v>154</v>
      </c>
      <c r="GV1" s="3" t="s">
        <v>155</v>
      </c>
      <c r="GW1" s="3" t="s">
        <v>156</v>
      </c>
      <c r="GX1" s="3" t="s">
        <v>157</v>
      </c>
      <c r="GY1" s="3" t="s">
        <v>158</v>
      </c>
      <c r="GZ1" s="3" t="s">
        <v>159</v>
      </c>
      <c r="HA1" s="3" t="s">
        <v>160</v>
      </c>
      <c r="HB1" s="3" t="s">
        <v>161</v>
      </c>
      <c r="HC1" s="3" t="s">
        <v>162</v>
      </c>
      <c r="HD1" s="3" t="s">
        <v>163</v>
      </c>
      <c r="HE1" s="3" t="s">
        <v>164</v>
      </c>
      <c r="HF1" s="3" t="s">
        <v>165</v>
      </c>
      <c r="HG1" s="3" t="s">
        <v>166</v>
      </c>
      <c r="HH1" s="3" t="s">
        <v>167</v>
      </c>
      <c r="HI1" s="3" t="s">
        <v>168</v>
      </c>
      <c r="HJ1" s="3" t="s">
        <v>169</v>
      </c>
      <c r="HK1" s="3" t="s">
        <v>170</v>
      </c>
      <c r="HL1" s="3" t="s">
        <v>171</v>
      </c>
      <c r="HM1" s="3" t="s">
        <v>172</v>
      </c>
      <c r="HN1" s="3" t="s">
        <v>173</v>
      </c>
      <c r="HO1" s="3" t="s">
        <v>174</v>
      </c>
      <c r="HP1" s="3" t="s">
        <v>175</v>
      </c>
      <c r="HQ1" s="3" t="s">
        <v>176</v>
      </c>
      <c r="HR1" s="3" t="s">
        <v>177</v>
      </c>
      <c r="HS1" s="3" t="s">
        <v>178</v>
      </c>
      <c r="HT1" s="3" t="s">
        <v>179</v>
      </c>
      <c r="HU1" s="3" t="s">
        <v>180</v>
      </c>
      <c r="HV1" s="3" t="s">
        <v>181</v>
      </c>
      <c r="HW1" s="3" t="s">
        <v>182</v>
      </c>
      <c r="HX1" s="3" t="s">
        <v>183</v>
      </c>
      <c r="HY1" s="3" t="s">
        <v>184</v>
      </c>
      <c r="HZ1" s="3" t="s">
        <v>185</v>
      </c>
      <c r="IA1" s="3" t="s">
        <v>186</v>
      </c>
      <c r="IB1" s="3" t="s">
        <v>187</v>
      </c>
      <c r="IC1" s="3" t="s">
        <v>188</v>
      </c>
      <c r="ID1" s="3" t="s">
        <v>189</v>
      </c>
      <c r="IE1" s="3" t="s">
        <v>190</v>
      </c>
      <c r="IF1" s="3" t="s">
        <v>191</v>
      </c>
      <c r="IG1" s="3" t="s">
        <v>192</v>
      </c>
      <c r="IH1" s="3" t="s">
        <v>193</v>
      </c>
      <c r="II1" s="3" t="s">
        <v>194</v>
      </c>
      <c r="IJ1" s="3" t="s">
        <v>195</v>
      </c>
      <c r="IK1" s="3" t="s">
        <v>196</v>
      </c>
      <c r="IL1" s="3" t="s">
        <v>197</v>
      </c>
      <c r="IM1" s="3" t="s">
        <v>198</v>
      </c>
      <c r="IN1" s="3" t="s">
        <v>199</v>
      </c>
      <c r="IO1" s="3" t="s">
        <v>200</v>
      </c>
      <c r="IP1" s="3" t="s">
        <v>201</v>
      </c>
      <c r="IQ1" s="3" t="s">
        <v>202</v>
      </c>
      <c r="IR1" s="3" t="s">
        <v>203</v>
      </c>
      <c r="IS1" s="3" t="s">
        <v>204</v>
      </c>
      <c r="IT1" s="3" t="s">
        <v>205</v>
      </c>
      <c r="IU1" s="3" t="s">
        <v>206</v>
      </c>
      <c r="IV1" s="3" t="s">
        <v>207</v>
      </c>
      <c r="IW1" s="3" t="s">
        <v>208</v>
      </c>
      <c r="IX1" s="3" t="s">
        <v>209</v>
      </c>
      <c r="IY1" s="3" t="s">
        <v>210</v>
      </c>
      <c r="IZ1" s="3" t="s">
        <v>211</v>
      </c>
      <c r="JA1" s="3" t="s">
        <v>212</v>
      </c>
      <c r="JB1" s="3" t="s">
        <v>213</v>
      </c>
      <c r="JC1" s="3" t="s">
        <v>214</v>
      </c>
      <c r="JD1" s="3" t="s">
        <v>215</v>
      </c>
      <c r="JE1" s="3" t="s">
        <v>216</v>
      </c>
      <c r="JF1" s="3" t="s">
        <v>217</v>
      </c>
      <c r="JG1" s="3" t="s">
        <v>218</v>
      </c>
      <c r="JH1" s="3" t="s">
        <v>219</v>
      </c>
      <c r="JI1" s="3" t="s">
        <v>220</v>
      </c>
      <c r="JJ1" s="3" t="s">
        <v>221</v>
      </c>
      <c r="JK1" s="3" t="s">
        <v>222</v>
      </c>
      <c r="JL1" s="3" t="s">
        <v>223</v>
      </c>
      <c r="JM1" s="3" t="s">
        <v>224</v>
      </c>
      <c r="JN1" s="3" t="s">
        <v>225</v>
      </c>
      <c r="JO1" s="3" t="s">
        <v>226</v>
      </c>
      <c r="JP1" s="3" t="s">
        <v>227</v>
      </c>
      <c r="JQ1" s="3" t="s">
        <v>228</v>
      </c>
      <c r="JR1" s="3" t="s">
        <v>229</v>
      </c>
      <c r="JS1" s="3" t="s">
        <v>230</v>
      </c>
      <c r="JT1" s="3" t="s">
        <v>231</v>
      </c>
      <c r="JU1" s="3" t="s">
        <v>232</v>
      </c>
      <c r="JV1" s="3" t="s">
        <v>233</v>
      </c>
      <c r="JW1" s="3" t="s">
        <v>234</v>
      </c>
      <c r="JX1" s="3" t="s">
        <v>235</v>
      </c>
      <c r="JY1" s="3" t="s">
        <v>236</v>
      </c>
      <c r="JZ1" s="3" t="s">
        <v>237</v>
      </c>
      <c r="KA1" s="3" t="s">
        <v>238</v>
      </c>
      <c r="KB1" s="3" t="s">
        <v>239</v>
      </c>
      <c r="KC1" s="3" t="s">
        <v>240</v>
      </c>
      <c r="KD1" s="3" t="s">
        <v>241</v>
      </c>
      <c r="KE1" s="3" t="s">
        <v>242</v>
      </c>
      <c r="KF1" s="3" t="s">
        <v>243</v>
      </c>
      <c r="KG1" s="3" t="s">
        <v>244</v>
      </c>
      <c r="KH1" s="3" t="s">
        <v>245</v>
      </c>
      <c r="KI1" s="3" t="s">
        <v>246</v>
      </c>
      <c r="KJ1" s="3" t="s">
        <v>247</v>
      </c>
      <c r="KK1" s="3" t="s">
        <v>248</v>
      </c>
      <c r="KL1" s="3" t="s">
        <v>249</v>
      </c>
      <c r="KM1" s="3" t="s">
        <v>250</v>
      </c>
      <c r="KN1" s="3" t="s">
        <v>251</v>
      </c>
      <c r="KO1" s="3" t="s">
        <v>252</v>
      </c>
      <c r="KP1" s="3" t="s">
        <v>253</v>
      </c>
      <c r="KQ1" s="3" t="s">
        <v>254</v>
      </c>
      <c r="KR1" s="3" t="s">
        <v>255</v>
      </c>
      <c r="KS1" s="3" t="s">
        <v>256</v>
      </c>
      <c r="KT1" s="3" t="s">
        <v>257</v>
      </c>
      <c r="KU1" s="3" t="s">
        <v>258</v>
      </c>
      <c r="KV1" s="3" t="s">
        <v>259</v>
      </c>
      <c r="KW1" s="3" t="s">
        <v>260</v>
      </c>
      <c r="KX1" s="3" t="s">
        <v>261</v>
      </c>
      <c r="KY1" s="3" t="s">
        <v>262</v>
      </c>
      <c r="KZ1" s="3" t="s">
        <v>263</v>
      </c>
      <c r="LA1" s="3" t="s">
        <v>264</v>
      </c>
      <c r="LB1" s="3" t="s">
        <v>265</v>
      </c>
      <c r="LC1" s="3" t="s">
        <v>266</v>
      </c>
      <c r="LD1" s="3" t="s">
        <v>267</v>
      </c>
      <c r="LE1" s="3" t="s">
        <v>268</v>
      </c>
      <c r="LF1" s="3" t="s">
        <v>269</v>
      </c>
      <c r="LG1" s="3" t="s">
        <v>270</v>
      </c>
      <c r="LH1" s="3" t="s">
        <v>271</v>
      </c>
      <c r="LI1" s="3" t="s">
        <v>272</v>
      </c>
      <c r="LJ1" s="3" t="s">
        <v>273</v>
      </c>
      <c r="LK1" s="3" t="s">
        <v>274</v>
      </c>
      <c r="LL1" s="3" t="s">
        <v>275</v>
      </c>
      <c r="LM1" s="3" t="s">
        <v>276</v>
      </c>
      <c r="LN1" s="3" t="s">
        <v>277</v>
      </c>
      <c r="LO1" s="3" t="s">
        <v>278</v>
      </c>
      <c r="LP1" s="3" t="s">
        <v>279</v>
      </c>
      <c r="LQ1" s="3" t="s">
        <v>280</v>
      </c>
      <c r="LR1" s="3" t="s">
        <v>281</v>
      </c>
      <c r="LS1" s="3" t="s">
        <v>282</v>
      </c>
      <c r="LT1" s="3" t="s">
        <v>283</v>
      </c>
      <c r="LU1" s="3" t="s">
        <v>284</v>
      </c>
      <c r="LV1" s="3" t="s">
        <v>285</v>
      </c>
      <c r="LW1" s="3" t="s">
        <v>286</v>
      </c>
      <c r="LX1" s="3" t="s">
        <v>287</v>
      </c>
      <c r="LY1" s="3" t="s">
        <v>288</v>
      </c>
      <c r="LZ1" s="3" t="s">
        <v>289</v>
      </c>
      <c r="MA1" s="3" t="s">
        <v>290</v>
      </c>
      <c r="MB1" s="3" t="s">
        <v>291</v>
      </c>
      <c r="MC1" s="3" t="s">
        <v>292</v>
      </c>
      <c r="MD1" s="3" t="s">
        <v>293</v>
      </c>
      <c r="ME1" s="3" t="s">
        <v>294</v>
      </c>
      <c r="MF1" s="3" t="s">
        <v>295</v>
      </c>
      <c r="MG1" s="3" t="s">
        <v>296</v>
      </c>
      <c r="MH1" s="3" t="s">
        <v>297</v>
      </c>
      <c r="MI1" s="3" t="s">
        <v>298</v>
      </c>
      <c r="MJ1" s="3" t="s">
        <v>299</v>
      </c>
      <c r="MK1" s="3" t="s">
        <v>300</v>
      </c>
      <c r="ML1" s="3" t="s">
        <v>301</v>
      </c>
      <c r="MM1" s="3" t="s">
        <v>302</v>
      </c>
      <c r="MN1" s="3" t="s">
        <v>303</v>
      </c>
      <c r="MO1" s="3" t="s">
        <v>304</v>
      </c>
      <c r="MP1" s="3" t="s">
        <v>305</v>
      </c>
      <c r="MQ1" s="3" t="s">
        <v>306</v>
      </c>
      <c r="MR1" s="3" t="s">
        <v>307</v>
      </c>
      <c r="MS1" s="3" t="s">
        <v>308</v>
      </c>
      <c r="MT1" s="3" t="s">
        <v>309</v>
      </c>
      <c r="MU1" s="3" t="s">
        <v>310</v>
      </c>
      <c r="MV1" s="3" t="s">
        <v>311</v>
      </c>
      <c r="MW1" s="3" t="s">
        <v>312</v>
      </c>
      <c r="MX1" s="3" t="s">
        <v>313</v>
      </c>
      <c r="MY1" s="3" t="s">
        <v>314</v>
      </c>
      <c r="MZ1" s="3" t="s">
        <v>315</v>
      </c>
      <c r="NA1" s="3" t="s">
        <v>316</v>
      </c>
      <c r="NB1" s="3" t="s">
        <v>317</v>
      </c>
      <c r="NC1" s="3" t="s">
        <v>318</v>
      </c>
      <c r="ND1" s="3" t="s">
        <v>319</v>
      </c>
      <c r="NE1" s="3" t="s">
        <v>320</v>
      </c>
      <c r="NF1" s="3" t="s">
        <v>321</v>
      </c>
      <c r="NG1" s="3" t="s">
        <v>322</v>
      </c>
      <c r="NH1" s="3" t="s">
        <v>323</v>
      </c>
      <c r="NI1" s="3" t="s">
        <v>324</v>
      </c>
      <c r="NJ1" s="3" t="s">
        <v>325</v>
      </c>
      <c r="NK1" s="3" t="s">
        <v>326</v>
      </c>
      <c r="NL1" s="3" t="s">
        <v>327</v>
      </c>
      <c r="NM1" s="3" t="s">
        <v>328</v>
      </c>
      <c r="NN1" s="3" t="s">
        <v>329</v>
      </c>
      <c r="NO1" s="3" t="s">
        <v>330</v>
      </c>
      <c r="NP1" s="3" t="s">
        <v>331</v>
      </c>
      <c r="NQ1" s="3" t="s">
        <v>332</v>
      </c>
      <c r="NR1" s="3" t="s">
        <v>333</v>
      </c>
      <c r="NS1" s="3" t="s">
        <v>334</v>
      </c>
      <c r="NT1" s="3" t="s">
        <v>335</v>
      </c>
      <c r="NU1" s="3" t="s">
        <v>336</v>
      </c>
      <c r="NV1" s="3" t="s">
        <v>337</v>
      </c>
      <c r="NW1" s="3" t="s">
        <v>338</v>
      </c>
      <c r="NX1" s="3" t="s">
        <v>339</v>
      </c>
      <c r="NY1" s="3" t="s">
        <v>340</v>
      </c>
      <c r="NZ1" s="3" t="s">
        <v>341</v>
      </c>
      <c r="OA1" s="3" t="s">
        <v>342</v>
      </c>
      <c r="OB1" s="3" t="s">
        <v>343</v>
      </c>
      <c r="OC1" s="3" t="s">
        <v>344</v>
      </c>
      <c r="OD1" s="3" t="s">
        <v>345</v>
      </c>
      <c r="OE1" s="3" t="s">
        <v>346</v>
      </c>
      <c r="OF1" s="3" t="s">
        <v>347</v>
      </c>
      <c r="OG1" s="3" t="s">
        <v>348</v>
      </c>
      <c r="OH1" s="3" t="s">
        <v>349</v>
      </c>
      <c r="OI1" s="3" t="s">
        <v>350</v>
      </c>
      <c r="OJ1" s="3" t="s">
        <v>351</v>
      </c>
      <c r="OK1" s="3" t="s">
        <v>352</v>
      </c>
      <c r="OL1" s="3" t="s">
        <v>353</v>
      </c>
      <c r="OM1" s="3" t="s">
        <v>354</v>
      </c>
      <c r="ON1" s="3" t="s">
        <v>355</v>
      </c>
      <c r="OO1" s="3" t="s">
        <v>356</v>
      </c>
      <c r="OP1" s="3" t="s">
        <v>357</v>
      </c>
      <c r="OQ1" s="3" t="s">
        <v>358</v>
      </c>
      <c r="OR1" s="3" t="s">
        <v>359</v>
      </c>
      <c r="OS1" s="3" t="s">
        <v>360</v>
      </c>
      <c r="OT1" s="3" t="s">
        <v>361</v>
      </c>
      <c r="OU1" s="3" t="s">
        <v>362</v>
      </c>
      <c r="OV1" s="3" t="s">
        <v>363</v>
      </c>
      <c r="OW1" s="3" t="s">
        <v>364</v>
      </c>
      <c r="OX1" s="3" t="s">
        <v>365</v>
      </c>
      <c r="OY1" s="3" t="s">
        <v>366</v>
      </c>
      <c r="OZ1" s="3" t="s">
        <v>367</v>
      </c>
      <c r="PA1" s="3" t="s">
        <v>368</v>
      </c>
      <c r="PB1" s="3" t="s">
        <v>369</v>
      </c>
      <c r="PC1" s="3" t="s">
        <v>370</v>
      </c>
      <c r="PD1" s="3" t="s">
        <v>371</v>
      </c>
      <c r="PE1" s="3" t="s">
        <v>372</v>
      </c>
      <c r="PF1" s="3" t="s">
        <v>373</v>
      </c>
      <c r="PG1" s="3" t="s">
        <v>374</v>
      </c>
      <c r="PH1" s="3" t="s">
        <v>375</v>
      </c>
      <c r="PI1" s="3" t="s">
        <v>376</v>
      </c>
      <c r="PJ1" s="3" t="s">
        <v>377</v>
      </c>
      <c r="PK1" s="3" t="s">
        <v>378</v>
      </c>
      <c r="PL1" s="3" t="s">
        <v>379</v>
      </c>
      <c r="PM1" s="3" t="s">
        <v>380</v>
      </c>
      <c r="PN1" s="3" t="s">
        <v>381</v>
      </c>
      <c r="PO1" s="3" t="s">
        <v>382</v>
      </c>
      <c r="PP1" s="3" t="s">
        <v>383</v>
      </c>
      <c r="PQ1" s="3" t="s">
        <v>384</v>
      </c>
      <c r="PR1" s="3" t="s">
        <v>385</v>
      </c>
      <c r="PS1" s="3" t="s">
        <v>386</v>
      </c>
      <c r="PT1" s="3" t="s">
        <v>387</v>
      </c>
      <c r="PU1" s="3" t="s">
        <v>388</v>
      </c>
      <c r="PV1" s="3" t="s">
        <v>389</v>
      </c>
      <c r="PW1" s="3" t="s">
        <v>390</v>
      </c>
      <c r="PX1" s="3" t="s">
        <v>391</v>
      </c>
      <c r="PY1" s="3" t="s">
        <v>392</v>
      </c>
      <c r="PZ1" s="3" t="s">
        <v>393</v>
      </c>
      <c r="QA1" s="3" t="s">
        <v>394</v>
      </c>
      <c r="QB1" s="3" t="s">
        <v>395</v>
      </c>
      <c r="QC1" s="3" t="s">
        <v>396</v>
      </c>
      <c r="QD1" s="3" t="s">
        <v>397</v>
      </c>
      <c r="QE1" s="3" t="s">
        <v>398</v>
      </c>
      <c r="QF1" s="3" t="s">
        <v>399</v>
      </c>
      <c r="QG1" s="3" t="s">
        <v>400</v>
      </c>
      <c r="QH1" s="3" t="s">
        <v>401</v>
      </c>
      <c r="QI1" s="3" t="s">
        <v>402</v>
      </c>
      <c r="QJ1" s="3" t="s">
        <v>403</v>
      </c>
      <c r="QK1" s="3" t="s">
        <v>404</v>
      </c>
      <c r="QL1" s="3" t="s">
        <v>405</v>
      </c>
      <c r="QM1" s="3" t="s">
        <v>406</v>
      </c>
      <c r="QN1" s="3" t="s">
        <v>407</v>
      </c>
      <c r="QO1" s="3" t="s">
        <v>408</v>
      </c>
      <c r="QP1" s="3" t="s">
        <v>409</v>
      </c>
      <c r="QQ1" s="3" t="s">
        <v>410</v>
      </c>
      <c r="QR1" s="3" t="s">
        <v>411</v>
      </c>
      <c r="QS1" s="3" t="s">
        <v>412</v>
      </c>
      <c r="QT1" s="3" t="s">
        <v>413</v>
      </c>
      <c r="QU1" s="3" t="s">
        <v>414</v>
      </c>
      <c r="QV1" s="3" t="s">
        <v>415</v>
      </c>
      <c r="QW1" s="3" t="s">
        <v>416</v>
      </c>
      <c r="QX1" s="3" t="s">
        <v>417</v>
      </c>
      <c r="QY1" s="3" t="s">
        <v>418</v>
      </c>
      <c r="QZ1" s="3" t="s">
        <v>419</v>
      </c>
      <c r="RA1" s="3" t="s">
        <v>420</v>
      </c>
      <c r="RB1" s="3" t="s">
        <v>421</v>
      </c>
      <c r="RC1" s="3" t="s">
        <v>422</v>
      </c>
      <c r="RD1" s="3" t="s">
        <v>423</v>
      </c>
      <c r="RE1" s="3" t="s">
        <v>424</v>
      </c>
      <c r="RF1" s="3" t="s">
        <v>425</v>
      </c>
      <c r="RG1" s="3" t="s">
        <v>426</v>
      </c>
      <c r="RH1" s="3" t="s">
        <v>427</v>
      </c>
      <c r="RI1" s="3" t="s">
        <v>428</v>
      </c>
      <c r="RJ1" s="3" t="s">
        <v>429</v>
      </c>
      <c r="RK1" s="3" t="s">
        <v>430</v>
      </c>
      <c r="RL1" s="3" t="s">
        <v>431</v>
      </c>
      <c r="RM1" s="3" t="s">
        <v>432</v>
      </c>
      <c r="RN1" s="3" t="s">
        <v>433</v>
      </c>
      <c r="RO1" s="3" t="s">
        <v>434</v>
      </c>
      <c r="RP1" s="3" t="s">
        <v>435</v>
      </c>
      <c r="RQ1" s="3" t="s">
        <v>436</v>
      </c>
      <c r="RR1" s="3" t="s">
        <v>437</v>
      </c>
      <c r="RS1" s="3" t="s">
        <v>438</v>
      </c>
      <c r="RT1" s="3" t="s">
        <v>439</v>
      </c>
      <c r="RU1" s="3" t="s">
        <v>440</v>
      </c>
      <c r="RV1" s="3" t="s">
        <v>441</v>
      </c>
      <c r="RW1" s="3" t="s">
        <v>442</v>
      </c>
      <c r="RX1" s="3" t="s">
        <v>443</v>
      </c>
      <c r="RY1" s="3" t="s">
        <v>444</v>
      </c>
      <c r="RZ1" s="3" t="s">
        <v>445</v>
      </c>
      <c r="SA1" s="3" t="s">
        <v>446</v>
      </c>
      <c r="SB1" s="3" t="s">
        <v>447</v>
      </c>
      <c r="SC1" s="3" t="s">
        <v>448</v>
      </c>
      <c r="SD1" s="3" t="s">
        <v>449</v>
      </c>
      <c r="SE1" s="3" t="s">
        <v>450</v>
      </c>
      <c r="SF1" s="3" t="s">
        <v>451</v>
      </c>
      <c r="SG1" s="3" t="s">
        <v>452</v>
      </c>
      <c r="SH1" s="3" t="s">
        <v>453</v>
      </c>
      <c r="SI1" s="3" t="s">
        <v>454</v>
      </c>
      <c r="SJ1" s="3" t="s">
        <v>455</v>
      </c>
      <c r="SK1" s="3" t="s">
        <v>456</v>
      </c>
      <c r="SL1" s="3" t="s">
        <v>457</v>
      </c>
      <c r="SM1" s="3" t="s">
        <v>458</v>
      </c>
      <c r="SN1" s="3" t="s">
        <v>459</v>
      </c>
      <c r="SO1" s="3" t="s">
        <v>460</v>
      </c>
      <c r="SP1" s="3" t="s">
        <v>461</v>
      </c>
      <c r="SQ1" s="3" t="s">
        <v>462</v>
      </c>
      <c r="SR1" s="3" t="s">
        <v>463</v>
      </c>
      <c r="SS1" s="3" t="s">
        <v>464</v>
      </c>
      <c r="ST1" s="3" t="s">
        <v>465</v>
      </c>
      <c r="SU1" s="3" t="s">
        <v>466</v>
      </c>
      <c r="SV1" s="3" t="s">
        <v>467</v>
      </c>
      <c r="SW1" s="3" t="s">
        <v>468</v>
      </c>
      <c r="SX1" s="3" t="s">
        <v>469</v>
      </c>
      <c r="SY1" s="3" t="s">
        <v>470</v>
      </c>
      <c r="SZ1" s="3" t="s">
        <v>471</v>
      </c>
      <c r="TA1" s="3" t="s">
        <v>472</v>
      </c>
      <c r="TB1" s="3" t="s">
        <v>473</v>
      </c>
      <c r="TC1" s="3" t="s">
        <v>474</v>
      </c>
      <c r="TD1" s="3" t="s">
        <v>475</v>
      </c>
      <c r="TE1" s="3" t="s">
        <v>476</v>
      </c>
      <c r="TF1" s="3" t="s">
        <v>477</v>
      </c>
      <c r="TG1" s="3" t="s">
        <v>478</v>
      </c>
      <c r="TH1" s="3" t="s">
        <v>479</v>
      </c>
      <c r="TI1" s="3" t="s">
        <v>480</v>
      </c>
      <c r="TJ1" s="3" t="s">
        <v>481</v>
      </c>
      <c r="TK1" s="3" t="s">
        <v>482</v>
      </c>
      <c r="TL1" s="3" t="s">
        <v>483</v>
      </c>
      <c r="TM1" s="3" t="s">
        <v>484</v>
      </c>
      <c r="TN1" s="3" t="s">
        <v>485</v>
      </c>
      <c r="TO1" s="3" t="s">
        <v>486</v>
      </c>
      <c r="TP1" s="3" t="s">
        <v>487</v>
      </c>
      <c r="TQ1" s="3" t="s">
        <v>488</v>
      </c>
      <c r="TR1" s="3" t="s">
        <v>489</v>
      </c>
      <c r="TS1" s="3" t="s">
        <v>490</v>
      </c>
      <c r="TT1" s="3" t="s">
        <v>491</v>
      </c>
      <c r="TU1" s="3" t="s">
        <v>492</v>
      </c>
      <c r="TV1" s="3" t="s">
        <v>493</v>
      </c>
      <c r="TW1" s="3" t="s">
        <v>494</v>
      </c>
      <c r="TX1" s="3" t="s">
        <v>495</v>
      </c>
      <c r="TY1" s="3" t="s">
        <v>496</v>
      </c>
      <c r="TZ1" s="3" t="s">
        <v>497</v>
      </c>
      <c r="UA1" s="3" t="s">
        <v>498</v>
      </c>
      <c r="UB1" s="3" t="s">
        <v>499</v>
      </c>
      <c r="UC1" s="3" t="s">
        <v>500</v>
      </c>
      <c r="UD1" s="3" t="s">
        <v>501</v>
      </c>
      <c r="UE1" s="3" t="s">
        <v>502</v>
      </c>
      <c r="UF1" s="3" t="s">
        <v>503</v>
      </c>
      <c r="UG1" s="3" t="s">
        <v>504</v>
      </c>
      <c r="UH1" s="3" t="s">
        <v>505</v>
      </c>
      <c r="UI1" s="3" t="s">
        <v>506</v>
      </c>
      <c r="UJ1" s="3" t="s">
        <v>507</v>
      </c>
      <c r="UK1" s="3" t="s">
        <v>508</v>
      </c>
      <c r="UL1" s="3" t="s">
        <v>509</v>
      </c>
      <c r="UM1" s="3" t="s">
        <v>510</v>
      </c>
      <c r="UN1" s="3" t="s">
        <v>511</v>
      </c>
      <c r="UO1" s="3" t="s">
        <v>512</v>
      </c>
      <c r="UP1" s="3" t="s">
        <v>513</v>
      </c>
      <c r="UQ1" s="3" t="s">
        <v>514</v>
      </c>
      <c r="UR1" s="3" t="s">
        <v>515</v>
      </c>
      <c r="US1" s="3" t="s">
        <v>516</v>
      </c>
      <c r="UT1" s="3" t="s">
        <v>517</v>
      </c>
      <c r="UU1" s="3" t="s">
        <v>518</v>
      </c>
      <c r="UV1" s="3" t="s">
        <v>519</v>
      </c>
      <c r="UW1" s="3" t="s">
        <v>520</v>
      </c>
      <c r="UX1" s="3" t="s">
        <v>521</v>
      </c>
      <c r="UY1" s="3" t="s">
        <v>522</v>
      </c>
      <c r="UZ1" s="3" t="s">
        <v>523</v>
      </c>
      <c r="VA1" s="3" t="s">
        <v>524</v>
      </c>
      <c r="VB1" s="3" t="s">
        <v>525</v>
      </c>
      <c r="VC1" s="3" t="s">
        <v>526</v>
      </c>
      <c r="VD1" s="3" t="s">
        <v>527</v>
      </c>
      <c r="VE1" s="3" t="s">
        <v>528</v>
      </c>
      <c r="VF1" s="3" t="s">
        <v>529</v>
      </c>
      <c r="VG1" s="3" t="s">
        <v>530</v>
      </c>
      <c r="VH1" s="3" t="s">
        <v>531</v>
      </c>
      <c r="VI1" s="3" t="s">
        <v>532</v>
      </c>
      <c r="VJ1" s="3" t="s">
        <v>533</v>
      </c>
      <c r="VK1" s="3" t="s">
        <v>534</v>
      </c>
      <c r="VL1" s="3" t="s">
        <v>535</v>
      </c>
      <c r="VM1" s="3" t="s">
        <v>536</v>
      </c>
      <c r="VN1" s="3" t="s">
        <v>537</v>
      </c>
      <c r="VO1" s="3" t="s">
        <v>538</v>
      </c>
      <c r="VP1" s="3" t="s">
        <v>539</v>
      </c>
      <c r="VQ1" s="3" t="s">
        <v>540</v>
      </c>
      <c r="VR1" s="3" t="s">
        <v>541</v>
      </c>
      <c r="VS1" s="3" t="s">
        <v>542</v>
      </c>
      <c r="VT1" s="3" t="s">
        <v>543</v>
      </c>
      <c r="VU1" s="3" t="s">
        <v>544</v>
      </c>
      <c r="VV1" s="3" t="s">
        <v>545</v>
      </c>
      <c r="VW1" s="3" t="s">
        <v>546</v>
      </c>
      <c r="VX1" s="3" t="s">
        <v>547</v>
      </c>
      <c r="VY1" s="3" t="s">
        <v>548</v>
      </c>
      <c r="VZ1" s="3" t="s">
        <v>549</v>
      </c>
      <c r="WA1" s="3" t="s">
        <v>550</v>
      </c>
      <c r="WB1" s="3" t="s">
        <v>551</v>
      </c>
      <c r="WC1" s="3" t="s">
        <v>552</v>
      </c>
      <c r="WD1" s="3" t="s">
        <v>553</v>
      </c>
      <c r="WE1" s="3" t="s">
        <v>554</v>
      </c>
      <c r="WF1" s="3" t="s">
        <v>555</v>
      </c>
      <c r="WG1" s="3" t="s">
        <v>556</v>
      </c>
      <c r="WH1" s="3" t="s">
        <v>557</v>
      </c>
      <c r="WI1" s="3" t="s">
        <v>558</v>
      </c>
      <c r="WJ1" s="3" t="s">
        <v>559</v>
      </c>
      <c r="WK1" s="3" t="s">
        <v>560</v>
      </c>
      <c r="WL1" s="3" t="s">
        <v>561</v>
      </c>
      <c r="WM1" s="3" t="s">
        <v>562</v>
      </c>
      <c r="WN1" s="3" t="s">
        <v>563</v>
      </c>
      <c r="WO1" s="3" t="s">
        <v>564</v>
      </c>
      <c r="WP1" s="3" t="s">
        <v>565</v>
      </c>
      <c r="WQ1" s="3" t="s">
        <v>566</v>
      </c>
      <c r="WR1" s="3" t="s">
        <v>567</v>
      </c>
      <c r="WS1" s="3" t="s">
        <v>568</v>
      </c>
      <c r="WT1" s="3" t="s">
        <v>569</v>
      </c>
      <c r="WU1" s="3" t="s">
        <v>570</v>
      </c>
      <c r="WV1" s="3" t="s">
        <v>571</v>
      </c>
      <c r="WW1" s="3" t="s">
        <v>572</v>
      </c>
      <c r="WX1" s="3" t="s">
        <v>573</v>
      </c>
      <c r="WY1" s="3" t="s">
        <v>574</v>
      </c>
      <c r="WZ1" s="3" t="s">
        <v>575</v>
      </c>
      <c r="XA1" s="3" t="s">
        <v>576</v>
      </c>
      <c r="XB1" s="3" t="s">
        <v>577</v>
      </c>
      <c r="XC1" s="3" t="s">
        <v>578</v>
      </c>
      <c r="XD1" s="3" t="s">
        <v>579</v>
      </c>
      <c r="XE1" s="3" t="s">
        <v>580</v>
      </c>
      <c r="XF1" s="3" t="s">
        <v>581</v>
      </c>
      <c r="XG1" s="3" t="s">
        <v>582</v>
      </c>
      <c r="XH1" s="3" t="s">
        <v>583</v>
      </c>
      <c r="XI1" s="3" t="s">
        <v>584</v>
      </c>
      <c r="XJ1" s="3" t="s">
        <v>585</v>
      </c>
      <c r="XK1" s="3" t="s">
        <v>586</v>
      </c>
      <c r="XL1" s="3" t="s">
        <v>587</v>
      </c>
      <c r="XM1" s="3" t="s">
        <v>588</v>
      </c>
      <c r="XN1" s="3" t="s">
        <v>589</v>
      </c>
      <c r="XO1" s="3" t="s">
        <v>590</v>
      </c>
      <c r="XP1" s="3" t="s">
        <v>591</v>
      </c>
      <c r="XQ1" s="3" t="s">
        <v>592</v>
      </c>
      <c r="XR1" s="3" t="s">
        <v>593</v>
      </c>
      <c r="XS1" s="3" t="s">
        <v>594</v>
      </c>
      <c r="XT1" s="3" t="s">
        <v>595</v>
      </c>
      <c r="XU1" s="3" t="s">
        <v>596</v>
      </c>
      <c r="XV1" s="3" t="s">
        <v>597</v>
      </c>
      <c r="XW1" s="3" t="s">
        <v>598</v>
      </c>
      <c r="XX1" s="3" t="s">
        <v>599</v>
      </c>
      <c r="XY1" s="3" t="s">
        <v>600</v>
      </c>
      <c r="XZ1" s="3" t="s">
        <v>601</v>
      </c>
      <c r="YA1" s="3" t="s">
        <v>602</v>
      </c>
      <c r="YB1" s="3" t="s">
        <v>603</v>
      </c>
      <c r="YC1" s="3" t="s">
        <v>604</v>
      </c>
      <c r="YD1" s="3" t="s">
        <v>605</v>
      </c>
      <c r="YE1" s="3" t="s">
        <v>606</v>
      </c>
      <c r="YF1" s="3" t="s">
        <v>607</v>
      </c>
      <c r="YG1" s="3" t="s">
        <v>608</v>
      </c>
      <c r="YH1" s="3" t="s">
        <v>609</v>
      </c>
      <c r="YI1" s="3" t="s">
        <v>610</v>
      </c>
      <c r="YJ1" s="3" t="s">
        <v>611</v>
      </c>
      <c r="YK1" s="3" t="s">
        <v>612</v>
      </c>
      <c r="YL1" s="3" t="s">
        <v>613</v>
      </c>
      <c r="YM1" s="3" t="s">
        <v>614</v>
      </c>
      <c r="YN1" s="3" t="s">
        <v>615</v>
      </c>
      <c r="YO1" s="3" t="s">
        <v>616</v>
      </c>
      <c r="YP1" s="3" t="s">
        <v>617</v>
      </c>
      <c r="YQ1" s="3" t="s">
        <v>618</v>
      </c>
      <c r="YR1" s="3" t="s">
        <v>619</v>
      </c>
      <c r="YS1" s="3" t="s">
        <v>620</v>
      </c>
      <c r="YT1" s="3" t="s">
        <v>621</v>
      </c>
      <c r="YU1" s="3" t="s">
        <v>622</v>
      </c>
      <c r="YV1" s="3" t="s">
        <v>623</v>
      </c>
      <c r="YW1" s="3" t="s">
        <v>624</v>
      </c>
      <c r="YX1" s="3" t="s">
        <v>625</v>
      </c>
      <c r="YY1" s="3" t="s">
        <v>626</v>
      </c>
      <c r="YZ1" s="3" t="s">
        <v>627</v>
      </c>
      <c r="ZA1" s="3" t="s">
        <v>628</v>
      </c>
      <c r="ZB1" s="3" t="s">
        <v>629</v>
      </c>
      <c r="ZC1" s="3" t="s">
        <v>630</v>
      </c>
      <c r="ZD1" s="3" t="s">
        <v>631</v>
      </c>
      <c r="ZE1" s="3" t="s">
        <v>632</v>
      </c>
      <c r="ZF1" s="3" t="s">
        <v>633</v>
      </c>
      <c r="ZG1" s="3" t="s">
        <v>634</v>
      </c>
      <c r="ZH1" s="3" t="s">
        <v>635</v>
      </c>
      <c r="ZI1" s="3" t="s">
        <v>636</v>
      </c>
      <c r="ZJ1" s="3" t="s">
        <v>637</v>
      </c>
      <c r="ZK1" s="3" t="s">
        <v>638</v>
      </c>
      <c r="ZL1" s="3" t="s">
        <v>639</v>
      </c>
      <c r="ZM1" s="3" t="s">
        <v>640</v>
      </c>
      <c r="ZN1" s="3" t="s">
        <v>641</v>
      </c>
      <c r="ZO1" s="3" t="s">
        <v>642</v>
      </c>
      <c r="ZP1" s="3" t="s">
        <v>643</v>
      </c>
      <c r="ZQ1" s="3" t="s">
        <v>644</v>
      </c>
      <c r="ZR1" s="3" t="s">
        <v>645</v>
      </c>
      <c r="ZS1" s="3" t="s">
        <v>646</v>
      </c>
      <c r="ZT1" s="3" t="s">
        <v>647</v>
      </c>
      <c r="ZU1" s="3" t="s">
        <v>648</v>
      </c>
      <c r="ZV1" s="3" t="s">
        <v>649</v>
      </c>
      <c r="ZW1" s="3" t="s">
        <v>650</v>
      </c>
      <c r="ZX1" s="3" t="s">
        <v>651</v>
      </c>
      <c r="ZY1" s="3" t="s">
        <v>652</v>
      </c>
      <c r="ZZ1" s="3" t="s">
        <v>653</v>
      </c>
      <c r="AAA1" s="3" t="s">
        <v>654</v>
      </c>
      <c r="AAB1" s="3" t="s">
        <v>655</v>
      </c>
      <c r="AAC1" s="3" t="s">
        <v>656</v>
      </c>
      <c r="AAD1" s="3" t="s">
        <v>657</v>
      </c>
      <c r="AAE1" s="3" t="s">
        <v>658</v>
      </c>
      <c r="AAF1" s="3" t="s">
        <v>659</v>
      </c>
      <c r="AAG1" s="3" t="s">
        <v>660</v>
      </c>
      <c r="AAH1" s="3" t="s">
        <v>661</v>
      </c>
      <c r="AAI1" s="3" t="s">
        <v>662</v>
      </c>
      <c r="AAJ1" s="3" t="s">
        <v>663</v>
      </c>
      <c r="AAK1" s="3" t="s">
        <v>664</v>
      </c>
      <c r="AAL1" s="3" t="s">
        <v>665</v>
      </c>
      <c r="AAM1" s="3" t="s">
        <v>666</v>
      </c>
      <c r="AAN1" s="3" t="s">
        <v>667</v>
      </c>
      <c r="AAO1" s="3" t="s">
        <v>668</v>
      </c>
      <c r="AAP1" s="3" t="s">
        <v>669</v>
      </c>
      <c r="AAQ1" s="3" t="s">
        <v>670</v>
      </c>
      <c r="AAR1" s="3" t="s">
        <v>671</v>
      </c>
      <c r="AAS1" s="3" t="s">
        <v>672</v>
      </c>
      <c r="AAT1" s="3" t="s">
        <v>673</v>
      </c>
      <c r="AAU1" s="3" t="s">
        <v>674</v>
      </c>
      <c r="AAV1" s="3" t="s">
        <v>675</v>
      </c>
      <c r="AAW1" s="3" t="s">
        <v>676</v>
      </c>
      <c r="AAX1" s="3" t="s">
        <v>677</v>
      </c>
      <c r="AAY1" s="3" t="s">
        <v>678</v>
      </c>
      <c r="AAZ1" s="3" t="s">
        <v>679</v>
      </c>
      <c r="ABA1" s="3" t="s">
        <v>680</v>
      </c>
      <c r="ABB1" s="3" t="s">
        <v>681</v>
      </c>
      <c r="ABC1" s="3" t="s">
        <v>682</v>
      </c>
      <c r="ABD1" s="3" t="s">
        <v>683</v>
      </c>
      <c r="ABE1" s="3" t="s">
        <v>684</v>
      </c>
      <c r="ABF1" s="3" t="s">
        <v>685</v>
      </c>
      <c r="ABG1" s="3" t="s">
        <v>686</v>
      </c>
      <c r="ABH1" s="3" t="s">
        <v>687</v>
      </c>
      <c r="ABI1" s="3" t="s">
        <v>688</v>
      </c>
      <c r="ABJ1" s="3" t="s">
        <v>689</v>
      </c>
      <c r="ABK1" s="3" t="s">
        <v>690</v>
      </c>
      <c r="ABL1" s="3" t="s">
        <v>691</v>
      </c>
      <c r="ABM1" s="3" t="s">
        <v>692</v>
      </c>
      <c r="ABN1" s="3" t="s">
        <v>693</v>
      </c>
      <c r="ABO1" s="3" t="s">
        <v>694</v>
      </c>
      <c r="ABP1" s="3" t="s">
        <v>695</v>
      </c>
      <c r="ABQ1" s="3" t="s">
        <v>696</v>
      </c>
      <c r="ABR1" s="3" t="s">
        <v>697</v>
      </c>
      <c r="ABS1" s="3" t="s">
        <v>698</v>
      </c>
      <c r="ABT1" s="3" t="s">
        <v>699</v>
      </c>
      <c r="ABU1" s="3" t="s">
        <v>700</v>
      </c>
      <c r="ABV1" s="3" t="s">
        <v>701</v>
      </c>
      <c r="ABW1" s="3" t="s">
        <v>702</v>
      </c>
      <c r="ABX1" s="3" t="s">
        <v>703</v>
      </c>
      <c r="ABY1" s="3" t="s">
        <v>704</v>
      </c>
      <c r="ABZ1" s="3" t="s">
        <v>705</v>
      </c>
      <c r="ACA1" s="3" t="s">
        <v>706</v>
      </c>
      <c r="ACB1" s="3" t="s">
        <v>707</v>
      </c>
      <c r="ACC1" s="3" t="s">
        <v>708</v>
      </c>
      <c r="ACD1" s="3" t="s">
        <v>709</v>
      </c>
      <c r="ACE1" s="3" t="s">
        <v>710</v>
      </c>
      <c r="ACF1" s="3" t="s">
        <v>711</v>
      </c>
      <c r="ACG1" s="3" t="s">
        <v>712</v>
      </c>
      <c r="ACH1" s="3" t="s">
        <v>713</v>
      </c>
      <c r="ACI1" s="3" t="s">
        <v>714</v>
      </c>
      <c r="ACJ1" s="3" t="s">
        <v>715</v>
      </c>
      <c r="ACK1" s="3" t="s">
        <v>716</v>
      </c>
      <c r="ACL1" s="3" t="s">
        <v>717</v>
      </c>
      <c r="ACM1" s="3" t="s">
        <v>718</v>
      </c>
      <c r="ACN1" s="3" t="s">
        <v>719</v>
      </c>
      <c r="ACO1" s="3" t="s">
        <v>720</v>
      </c>
      <c r="ACP1" s="3" t="s">
        <v>721</v>
      </c>
      <c r="ACQ1" s="3" t="s">
        <v>722</v>
      </c>
      <c r="ACR1" s="3" t="s">
        <v>723</v>
      </c>
      <c r="ACS1" s="3" t="s">
        <v>724</v>
      </c>
      <c r="ACT1" s="3" t="s">
        <v>725</v>
      </c>
      <c r="ACU1" s="3" t="s">
        <v>726</v>
      </c>
      <c r="ACV1" s="3" t="s">
        <v>727</v>
      </c>
      <c r="ACW1" s="3" t="s">
        <v>728</v>
      </c>
      <c r="ACX1" s="3" t="s">
        <v>729</v>
      </c>
      <c r="ACY1" s="3" t="s">
        <v>730</v>
      </c>
      <c r="ACZ1" s="3" t="s">
        <v>731</v>
      </c>
      <c r="ADA1" s="3" t="s">
        <v>732</v>
      </c>
      <c r="ADB1" s="3" t="s">
        <v>733</v>
      </c>
      <c r="ADC1" s="3" t="s">
        <v>734</v>
      </c>
      <c r="ADD1" s="3" t="s">
        <v>735</v>
      </c>
      <c r="ADE1" s="3" t="s">
        <v>736</v>
      </c>
      <c r="ADF1" s="3" t="s">
        <v>737</v>
      </c>
      <c r="ADG1" s="3" t="s">
        <v>738</v>
      </c>
      <c r="ADH1" s="3" t="s">
        <v>739</v>
      </c>
      <c r="ADI1" s="3" t="s">
        <v>740</v>
      </c>
      <c r="ADJ1" s="3" t="s">
        <v>741</v>
      </c>
      <c r="ADK1" s="3" t="s">
        <v>742</v>
      </c>
      <c r="ADL1" s="3" t="s">
        <v>743</v>
      </c>
      <c r="ADM1" s="3" t="s">
        <v>744</v>
      </c>
      <c r="ADN1" s="3" t="s">
        <v>745</v>
      </c>
      <c r="ADO1" s="3" t="s">
        <v>746</v>
      </c>
      <c r="ADP1" s="3" t="s">
        <v>747</v>
      </c>
      <c r="ADQ1" s="3" t="s">
        <v>748</v>
      </c>
      <c r="ADR1" s="3" t="s">
        <v>749</v>
      </c>
      <c r="ADS1" s="3" t="s">
        <v>750</v>
      </c>
      <c r="ADT1" s="3" t="s">
        <v>751</v>
      </c>
      <c r="ADU1" s="3" t="s">
        <v>752</v>
      </c>
      <c r="ADV1" s="3" t="s">
        <v>753</v>
      </c>
      <c r="ADW1" s="3" t="s">
        <v>754</v>
      </c>
      <c r="ADX1" s="3" t="s">
        <v>755</v>
      </c>
      <c r="ADY1" s="3" t="s">
        <v>756</v>
      </c>
      <c r="ADZ1" s="3" t="s">
        <v>757</v>
      </c>
      <c r="AEA1" s="3" t="s">
        <v>758</v>
      </c>
      <c r="AEB1" s="3" t="s">
        <v>759</v>
      </c>
      <c r="AEC1" s="3" t="s">
        <v>760</v>
      </c>
      <c r="AED1" s="3" t="s">
        <v>761</v>
      </c>
      <c r="AEE1" s="3" t="s">
        <v>762</v>
      </c>
      <c r="AEF1" s="3" t="s">
        <v>763</v>
      </c>
      <c r="AEG1" s="3" t="s">
        <v>764</v>
      </c>
      <c r="AEH1" s="3" t="s">
        <v>765</v>
      </c>
      <c r="AEI1" s="3" t="s">
        <v>766</v>
      </c>
      <c r="AEJ1" s="3" t="s">
        <v>767</v>
      </c>
      <c r="AEK1" s="3" t="s">
        <v>768</v>
      </c>
      <c r="AEL1" s="3" t="s">
        <v>769</v>
      </c>
      <c r="AEM1" s="3" t="s">
        <v>770</v>
      </c>
      <c r="AEN1" s="3" t="s">
        <v>771</v>
      </c>
      <c r="AEO1" s="3" t="s">
        <v>772</v>
      </c>
      <c r="AEP1" s="3" t="s">
        <v>773</v>
      </c>
      <c r="AEQ1" s="3" t="s">
        <v>774</v>
      </c>
      <c r="AER1" s="3" t="s">
        <v>775</v>
      </c>
      <c r="AES1" s="3" t="s">
        <v>776</v>
      </c>
      <c r="AET1" s="3" t="s">
        <v>777</v>
      </c>
      <c r="AEU1" s="3" t="s">
        <v>778</v>
      </c>
      <c r="AEV1" s="3" t="s">
        <v>779</v>
      </c>
      <c r="AEW1" s="3" t="s">
        <v>780</v>
      </c>
      <c r="AEX1" s="3" t="s">
        <v>781</v>
      </c>
      <c r="AEY1" s="3" t="s">
        <v>782</v>
      </c>
      <c r="AEZ1" s="3" t="s">
        <v>783</v>
      </c>
      <c r="AFA1" s="3" t="s">
        <v>784</v>
      </c>
      <c r="AFB1" s="3" t="s">
        <v>785</v>
      </c>
      <c r="AFC1" s="3" t="s">
        <v>786</v>
      </c>
      <c r="AFD1" s="3" t="s">
        <v>787</v>
      </c>
      <c r="AFE1" s="3" t="s">
        <v>788</v>
      </c>
      <c r="AFF1" s="3" t="s">
        <v>789</v>
      </c>
      <c r="AFG1" s="3" t="s">
        <v>790</v>
      </c>
      <c r="AFH1" s="3" t="s">
        <v>791</v>
      </c>
      <c r="AFI1" s="3" t="s">
        <v>792</v>
      </c>
      <c r="AFJ1" s="3" t="s">
        <v>793</v>
      </c>
      <c r="AFK1" s="3" t="s">
        <v>794</v>
      </c>
      <c r="AFL1" s="3" t="s">
        <v>795</v>
      </c>
      <c r="AFM1" s="3" t="s">
        <v>796</v>
      </c>
      <c r="AFN1" s="3" t="s">
        <v>797</v>
      </c>
      <c r="AFO1" s="3" t="s">
        <v>798</v>
      </c>
      <c r="AFP1" s="3" t="s">
        <v>799</v>
      </c>
      <c r="AFQ1" s="3" t="s">
        <v>800</v>
      </c>
      <c r="AFR1" s="3" t="s">
        <v>801</v>
      </c>
      <c r="AFS1" s="3" t="s">
        <v>802</v>
      </c>
      <c r="AFT1" s="3" t="s">
        <v>803</v>
      </c>
      <c r="AFU1" s="3" t="s">
        <v>804</v>
      </c>
      <c r="AFV1" s="3" t="s">
        <v>805</v>
      </c>
      <c r="AFW1" s="3" t="s">
        <v>806</v>
      </c>
      <c r="AFX1" s="3" t="s">
        <v>807</v>
      </c>
      <c r="AFY1" s="3" t="s">
        <v>808</v>
      </c>
      <c r="AFZ1" s="3" t="s">
        <v>809</v>
      </c>
      <c r="AGA1" s="3" t="s">
        <v>810</v>
      </c>
      <c r="AGB1" s="3" t="s">
        <v>811</v>
      </c>
      <c r="AGC1" s="3" t="s">
        <v>812</v>
      </c>
      <c r="AGD1" s="3" t="s">
        <v>813</v>
      </c>
      <c r="AGE1" s="3" t="s">
        <v>814</v>
      </c>
      <c r="AGF1" s="3" t="s">
        <v>815</v>
      </c>
      <c r="AGG1" s="3" t="s">
        <v>816</v>
      </c>
      <c r="AGH1" s="3" t="s">
        <v>817</v>
      </c>
      <c r="AGI1" s="3" t="s">
        <v>818</v>
      </c>
      <c r="AGJ1" s="3" t="s">
        <v>819</v>
      </c>
      <c r="AGK1" s="3" t="s">
        <v>820</v>
      </c>
      <c r="AGL1" s="3" t="s">
        <v>821</v>
      </c>
      <c r="AGM1" s="3" t="s">
        <v>822</v>
      </c>
      <c r="AGN1" s="3" t="s">
        <v>823</v>
      </c>
      <c r="AGO1" s="3" t="s">
        <v>824</v>
      </c>
      <c r="AGP1" s="3" t="s">
        <v>825</v>
      </c>
      <c r="AGQ1" s="3" t="s">
        <v>826</v>
      </c>
      <c r="AGR1" s="3" t="s">
        <v>827</v>
      </c>
      <c r="AGS1" s="3" t="s">
        <v>828</v>
      </c>
      <c r="AGT1" s="3" t="s">
        <v>829</v>
      </c>
      <c r="AGU1" s="3" t="s">
        <v>830</v>
      </c>
      <c r="AGV1" s="3" t="s">
        <v>831</v>
      </c>
      <c r="AGW1" s="3" t="s">
        <v>832</v>
      </c>
      <c r="AGX1" s="3" t="s">
        <v>833</v>
      </c>
      <c r="AGY1" s="3" t="s">
        <v>834</v>
      </c>
      <c r="AGZ1" s="3" t="s">
        <v>835</v>
      </c>
      <c r="AHA1" s="3" t="s">
        <v>836</v>
      </c>
      <c r="AHB1" s="3" t="s">
        <v>837</v>
      </c>
      <c r="AHC1" s="3" t="s">
        <v>838</v>
      </c>
      <c r="AHD1" s="3" t="s">
        <v>839</v>
      </c>
      <c r="AHE1" s="3" t="s">
        <v>840</v>
      </c>
      <c r="AHF1" s="3" t="s">
        <v>841</v>
      </c>
      <c r="AHG1" s="3" t="s">
        <v>842</v>
      </c>
      <c r="AHH1" s="3" t="s">
        <v>843</v>
      </c>
      <c r="AHI1" s="3" t="s">
        <v>844</v>
      </c>
      <c r="AHJ1" s="3" t="s">
        <v>845</v>
      </c>
      <c r="AHK1" s="3" t="s">
        <v>846</v>
      </c>
      <c r="AHL1" s="3" t="s">
        <v>847</v>
      </c>
      <c r="AHM1" s="3" t="s">
        <v>848</v>
      </c>
      <c r="AHN1" s="3" t="s">
        <v>849</v>
      </c>
      <c r="AHO1" s="3" t="s">
        <v>850</v>
      </c>
      <c r="AHP1" s="3" t="s">
        <v>851</v>
      </c>
      <c r="AHQ1" s="3" t="s">
        <v>852</v>
      </c>
      <c r="AHR1" s="3" t="s">
        <v>853</v>
      </c>
      <c r="AHS1" s="3" t="s">
        <v>854</v>
      </c>
      <c r="AHT1" s="3" t="s">
        <v>855</v>
      </c>
      <c r="AHU1" s="3" t="s">
        <v>856</v>
      </c>
      <c r="AHV1" s="3" t="s">
        <v>857</v>
      </c>
      <c r="AHW1" s="3" t="s">
        <v>858</v>
      </c>
      <c r="AHX1" s="3" t="s">
        <v>859</v>
      </c>
      <c r="AHY1" s="3" t="s">
        <v>860</v>
      </c>
      <c r="AHZ1" s="3" t="s">
        <v>861</v>
      </c>
      <c r="AIA1" s="3" t="s">
        <v>862</v>
      </c>
      <c r="AIB1" s="3" t="s">
        <v>863</v>
      </c>
      <c r="AIC1" s="3" t="s">
        <v>864</v>
      </c>
      <c r="AID1" s="3" t="s">
        <v>865</v>
      </c>
      <c r="AIE1" s="3" t="s">
        <v>866</v>
      </c>
      <c r="AIF1" s="3" t="s">
        <v>867</v>
      </c>
      <c r="AIG1" s="3" t="s">
        <v>868</v>
      </c>
      <c r="AIH1" s="3" t="s">
        <v>869</v>
      </c>
      <c r="AII1" s="3" t="s">
        <v>870</v>
      </c>
      <c r="AIJ1" s="3" t="s">
        <v>871</v>
      </c>
      <c r="AIK1" s="3" t="s">
        <v>872</v>
      </c>
      <c r="AIL1" s="3" t="s">
        <v>873</v>
      </c>
      <c r="AIM1" s="3" t="s">
        <v>874</v>
      </c>
      <c r="AIN1" s="3" t="s">
        <v>875</v>
      </c>
      <c r="AIO1" s="3" t="s">
        <v>876</v>
      </c>
      <c r="AIP1" s="3" t="s">
        <v>877</v>
      </c>
      <c r="AIQ1" s="3" t="s">
        <v>878</v>
      </c>
      <c r="AIR1" s="3" t="s">
        <v>879</v>
      </c>
      <c r="AIS1" s="3" t="s">
        <v>880</v>
      </c>
      <c r="AIT1" s="3" t="s">
        <v>881</v>
      </c>
      <c r="AIU1" s="3" t="s">
        <v>882</v>
      </c>
      <c r="AIV1" s="3" t="s">
        <v>883</v>
      </c>
      <c r="AIW1" s="3" t="s">
        <v>884</v>
      </c>
      <c r="AIX1" s="3" t="s">
        <v>885</v>
      </c>
      <c r="AIY1" s="3" t="s">
        <v>886</v>
      </c>
      <c r="AIZ1" s="3" t="s">
        <v>887</v>
      </c>
      <c r="AJA1" s="3" t="s">
        <v>888</v>
      </c>
      <c r="AJB1" s="3" t="s">
        <v>889</v>
      </c>
      <c r="AJC1" s="3" t="s">
        <v>890</v>
      </c>
      <c r="AJD1" s="3" t="s">
        <v>891</v>
      </c>
      <c r="AJE1" s="3" t="s">
        <v>892</v>
      </c>
      <c r="AJF1" s="3" t="s">
        <v>893</v>
      </c>
      <c r="AJG1" s="3" t="s">
        <v>894</v>
      </c>
      <c r="AJH1" s="3" t="s">
        <v>895</v>
      </c>
      <c r="AJI1" s="3" t="s">
        <v>896</v>
      </c>
      <c r="AJJ1" s="3" t="s">
        <v>897</v>
      </c>
      <c r="AJK1" s="3" t="s">
        <v>898</v>
      </c>
      <c r="AJL1" s="3" t="s">
        <v>899</v>
      </c>
      <c r="AJM1" s="3" t="s">
        <v>900</v>
      </c>
      <c r="AJN1" s="3" t="s">
        <v>901</v>
      </c>
      <c r="AJO1" s="3" t="s">
        <v>902</v>
      </c>
      <c r="AJP1" s="3" t="s">
        <v>903</v>
      </c>
      <c r="AJQ1" s="3" t="s">
        <v>904</v>
      </c>
      <c r="AJR1" s="3" t="s">
        <v>905</v>
      </c>
      <c r="AJS1" s="3" t="s">
        <v>906</v>
      </c>
      <c r="AJT1" s="3" t="s">
        <v>907</v>
      </c>
      <c r="AJU1" s="3" t="s">
        <v>908</v>
      </c>
      <c r="AJV1" s="3" t="s">
        <v>909</v>
      </c>
      <c r="AJW1" s="3" t="s">
        <v>910</v>
      </c>
      <c r="AJX1" s="3" t="s">
        <v>911</v>
      </c>
      <c r="AJY1" s="3" t="s">
        <v>912</v>
      </c>
      <c r="AJZ1" s="3" t="s">
        <v>913</v>
      </c>
      <c r="AKA1" s="3" t="s">
        <v>914</v>
      </c>
      <c r="AKB1" s="3" t="s">
        <v>915</v>
      </c>
      <c r="AKC1" s="3" t="s">
        <v>916</v>
      </c>
      <c r="AKD1" s="3" t="s">
        <v>917</v>
      </c>
      <c r="AKE1" s="3" t="s">
        <v>918</v>
      </c>
      <c r="AKF1" s="3" t="s">
        <v>919</v>
      </c>
      <c r="AKG1" s="3" t="s">
        <v>920</v>
      </c>
      <c r="AKH1" s="3" t="s">
        <v>921</v>
      </c>
      <c r="AKI1" s="3" t="s">
        <v>922</v>
      </c>
      <c r="AKJ1" s="3" t="s">
        <v>923</v>
      </c>
      <c r="AKK1" s="3" t="s">
        <v>924</v>
      </c>
      <c r="AKL1" s="3" t="s">
        <v>925</v>
      </c>
      <c r="AKM1" s="3" t="s">
        <v>926</v>
      </c>
      <c r="AKN1" s="3" t="s">
        <v>927</v>
      </c>
      <c r="AKO1" s="3" t="s">
        <v>928</v>
      </c>
      <c r="AKP1" s="3" t="s">
        <v>929</v>
      </c>
      <c r="AKQ1" s="3" t="s">
        <v>930</v>
      </c>
      <c r="AKR1" s="3" t="s">
        <v>931</v>
      </c>
      <c r="AKS1" s="3" t="s">
        <v>932</v>
      </c>
      <c r="AKT1" s="3" t="s">
        <v>933</v>
      </c>
      <c r="AKU1" s="3" t="s">
        <v>934</v>
      </c>
      <c r="AKV1" s="3" t="s">
        <v>935</v>
      </c>
      <c r="AKW1" s="3" t="s">
        <v>936</v>
      </c>
      <c r="AKX1" s="3" t="s">
        <v>937</v>
      </c>
      <c r="AKY1" s="3" t="s">
        <v>938</v>
      </c>
      <c r="AKZ1" s="3" t="s">
        <v>939</v>
      </c>
      <c r="ALA1" s="3" t="s">
        <v>940</v>
      </c>
      <c r="ALB1" s="3" t="s">
        <v>941</v>
      </c>
      <c r="ALC1" s="3" t="s">
        <v>942</v>
      </c>
      <c r="ALD1" s="3" t="s">
        <v>943</v>
      </c>
      <c r="ALE1" s="3" t="s">
        <v>944</v>
      </c>
      <c r="ALF1" s="3" t="s">
        <v>945</v>
      </c>
      <c r="ALG1" s="3" t="s">
        <v>946</v>
      </c>
      <c r="ALH1" s="3" t="s">
        <v>947</v>
      </c>
      <c r="ALI1" s="3" t="s">
        <v>948</v>
      </c>
      <c r="ALJ1" s="3" t="s">
        <v>949</v>
      </c>
      <c r="ALK1" s="3" t="s">
        <v>950</v>
      </c>
      <c r="ALL1" s="3" t="s">
        <v>951</v>
      </c>
      <c r="ALM1" s="3" t="s">
        <v>952</v>
      </c>
      <c r="ALN1" s="3" t="s">
        <v>953</v>
      </c>
      <c r="ALO1" s="3" t="s">
        <v>954</v>
      </c>
      <c r="ALP1" s="3" t="s">
        <v>955</v>
      </c>
      <c r="ALQ1" s="3" t="s">
        <v>956</v>
      </c>
      <c r="ALR1" s="3" t="s">
        <v>957</v>
      </c>
      <c r="ALS1" s="3" t="s">
        <v>958</v>
      </c>
      <c r="ALT1" s="3" t="s">
        <v>959</v>
      </c>
      <c r="ALU1" s="3" t="s">
        <v>960</v>
      </c>
      <c r="ALV1" s="3" t="s">
        <v>961</v>
      </c>
      <c r="ALW1" s="3" t="s">
        <v>962</v>
      </c>
      <c r="ALX1" s="3" t="s">
        <v>963</v>
      </c>
      <c r="ALY1" s="3" t="s">
        <v>964</v>
      </c>
      <c r="ALZ1" s="3" t="s">
        <v>965</v>
      </c>
      <c r="AMA1" s="3" t="s">
        <v>966</v>
      </c>
      <c r="AMB1" s="3" t="s">
        <v>967</v>
      </c>
      <c r="AMC1" s="3" t="s">
        <v>968</v>
      </c>
      <c r="AMD1" s="3" t="s">
        <v>969</v>
      </c>
      <c r="AME1" s="3" t="s">
        <v>970</v>
      </c>
      <c r="AMF1" s="3" t="s">
        <v>971</v>
      </c>
      <c r="AMG1" s="3" t="s">
        <v>972</v>
      </c>
      <c r="AMH1" s="3" t="s">
        <v>973</v>
      </c>
      <c r="AMI1" s="3" t="s">
        <v>974</v>
      </c>
      <c r="AMJ1" s="3" t="s">
        <v>975</v>
      </c>
      <c r="AMK1" s="3" t="s">
        <v>976</v>
      </c>
      <c r="AML1" s="3" t="s">
        <v>977</v>
      </c>
      <c r="AMM1" s="3" t="s">
        <v>978</v>
      </c>
      <c r="AMN1" s="3" t="s">
        <v>979</v>
      </c>
      <c r="AMO1" s="3" t="s">
        <v>980</v>
      </c>
      <c r="AMP1" s="3" t="s">
        <v>981</v>
      </c>
      <c r="AMQ1" s="3" t="s">
        <v>982</v>
      </c>
      <c r="AMR1" s="3" t="s">
        <v>983</v>
      </c>
      <c r="AMS1" s="3" t="s">
        <v>984</v>
      </c>
      <c r="AMT1" s="3" t="s">
        <v>985</v>
      </c>
      <c r="AMU1" s="3" t="s">
        <v>986</v>
      </c>
      <c r="AMV1" s="3" t="s">
        <v>987</v>
      </c>
      <c r="AMW1" s="3" t="s">
        <v>988</v>
      </c>
      <c r="AMX1" s="3" t="s">
        <v>989</v>
      </c>
      <c r="AMY1" s="3" t="s">
        <v>990</v>
      </c>
      <c r="AMZ1" s="3" t="s">
        <v>991</v>
      </c>
      <c r="ANA1" s="3" t="s">
        <v>992</v>
      </c>
      <c r="ANB1" s="3" t="s">
        <v>993</v>
      </c>
      <c r="ANC1" s="3" t="s">
        <v>994</v>
      </c>
      <c r="AND1" s="3" t="s">
        <v>995</v>
      </c>
      <c r="ANE1" s="3" t="s">
        <v>996</v>
      </c>
      <c r="ANF1" s="3" t="s">
        <v>997</v>
      </c>
      <c r="ANG1" s="3" t="s">
        <v>998</v>
      </c>
      <c r="ANH1" s="3" t="s">
        <v>999</v>
      </c>
      <c r="ANI1" s="3" t="s">
        <v>1000</v>
      </c>
      <c r="ANJ1" s="3" t="s">
        <v>1001</v>
      </c>
      <c r="ANK1" s="3" t="s">
        <v>1002</v>
      </c>
      <c r="ANL1" s="3" t="s">
        <v>1003</v>
      </c>
      <c r="ANM1" s="3" t="s">
        <v>1004</v>
      </c>
      <c r="ANN1" s="3" t="s">
        <v>1005</v>
      </c>
      <c r="ANO1" s="3" t="s">
        <v>1006</v>
      </c>
      <c r="ANP1" s="3" t="s">
        <v>1007</v>
      </c>
      <c r="ANQ1" s="3" t="s">
        <v>1008</v>
      </c>
      <c r="ANR1" s="3" t="s">
        <v>1009</v>
      </c>
      <c r="ANS1" s="3" t="s">
        <v>1010</v>
      </c>
      <c r="ANT1" s="3" t="s">
        <v>1011</v>
      </c>
      <c r="ANU1" s="3" t="s">
        <v>1012</v>
      </c>
      <c r="ANV1" s="3" t="s">
        <v>1013</v>
      </c>
      <c r="ANW1" s="3" t="s">
        <v>1014</v>
      </c>
      <c r="ANX1" s="3" t="s">
        <v>1015</v>
      </c>
      <c r="ANY1" s="3" t="s">
        <v>1016</v>
      </c>
      <c r="ANZ1" s="3" t="s">
        <v>1017</v>
      </c>
      <c r="AOA1" s="3" t="s">
        <v>1018</v>
      </c>
      <c r="AOB1" s="3" t="s">
        <v>1019</v>
      </c>
      <c r="AOC1" s="3" t="s">
        <v>1020</v>
      </c>
      <c r="AOD1" s="3" t="s">
        <v>1021</v>
      </c>
      <c r="AOE1" s="3" t="s">
        <v>1022</v>
      </c>
      <c r="AOF1" s="3" t="s">
        <v>1023</v>
      </c>
      <c r="AOG1" s="3" t="s">
        <v>1024</v>
      </c>
      <c r="AOH1" s="3" t="s">
        <v>1025</v>
      </c>
      <c r="AOI1" s="3" t="s">
        <v>1026</v>
      </c>
      <c r="AOJ1" s="3" t="s">
        <v>1027</v>
      </c>
      <c r="AOK1" s="3" t="s">
        <v>1028</v>
      </c>
      <c r="AOL1" s="3" t="s">
        <v>1029</v>
      </c>
      <c r="AOM1" s="3" t="s">
        <v>1030</v>
      </c>
      <c r="AON1" s="3" t="s">
        <v>1031</v>
      </c>
      <c r="AOO1" s="3" t="s">
        <v>1032</v>
      </c>
      <c r="AOP1" s="3" t="s">
        <v>1033</v>
      </c>
      <c r="AOQ1" s="3" t="s">
        <v>1034</v>
      </c>
      <c r="AOR1" s="3" t="s">
        <v>1035</v>
      </c>
      <c r="AOS1" s="3" t="s">
        <v>1036</v>
      </c>
      <c r="AOT1" s="3" t="s">
        <v>1037</v>
      </c>
      <c r="AOU1" s="3" t="s">
        <v>1038</v>
      </c>
      <c r="AOV1" s="3" t="s">
        <v>1039</v>
      </c>
      <c r="AOW1" s="3" t="s">
        <v>1040</v>
      </c>
      <c r="AOX1" s="3" t="s">
        <v>1041</v>
      </c>
      <c r="AOY1" s="3" t="s">
        <v>1042</v>
      </c>
      <c r="AOZ1" s="3" t="s">
        <v>1043</v>
      </c>
      <c r="APA1" s="3" t="s">
        <v>1044</v>
      </c>
      <c r="APB1" s="3" t="s">
        <v>1045</v>
      </c>
      <c r="APC1" s="3" t="s">
        <v>1046</v>
      </c>
      <c r="APD1" s="3" t="s">
        <v>1047</v>
      </c>
      <c r="APE1" s="3" t="s">
        <v>1048</v>
      </c>
      <c r="APF1" s="3" t="s">
        <v>1049</v>
      </c>
      <c r="APG1" s="3" t="s">
        <v>1050</v>
      </c>
      <c r="APH1" s="3" t="s">
        <v>1051</v>
      </c>
      <c r="API1" s="3" t="s">
        <v>1052</v>
      </c>
      <c r="APJ1" s="3" t="s">
        <v>1053</v>
      </c>
      <c r="APK1" s="3" t="s">
        <v>1054</v>
      </c>
      <c r="APL1" s="3" t="s">
        <v>1055</v>
      </c>
      <c r="APM1" s="3" t="s">
        <v>1056</v>
      </c>
      <c r="APN1" s="3" t="s">
        <v>1057</v>
      </c>
      <c r="APO1" s="3" t="s">
        <v>1058</v>
      </c>
      <c r="APP1" s="3" t="s">
        <v>1059</v>
      </c>
      <c r="APQ1" s="3" t="s">
        <v>1060</v>
      </c>
      <c r="APR1" s="3" t="s">
        <v>1061</v>
      </c>
      <c r="APS1" s="3" t="s">
        <v>1062</v>
      </c>
      <c r="APT1" s="3" t="s">
        <v>1063</v>
      </c>
      <c r="APU1" s="3" t="s">
        <v>1064</v>
      </c>
      <c r="APV1" s="3" t="s">
        <v>1065</v>
      </c>
      <c r="APW1" s="3" t="s">
        <v>1066</v>
      </c>
      <c r="APX1" s="3" t="s">
        <v>1067</v>
      </c>
      <c r="APY1" s="3" t="s">
        <v>1068</v>
      </c>
      <c r="APZ1" s="3" t="s">
        <v>1069</v>
      </c>
      <c r="AQA1" s="3" t="s">
        <v>1070</v>
      </c>
      <c r="AQB1" s="3" t="s">
        <v>1071</v>
      </c>
      <c r="AQC1" s="3" t="s">
        <v>1072</v>
      </c>
      <c r="AQD1" s="3" t="s">
        <v>1073</v>
      </c>
      <c r="AQE1" s="3" t="s">
        <v>1074</v>
      </c>
      <c r="AQF1" s="3" t="s">
        <v>1075</v>
      </c>
      <c r="AQG1" s="3" t="s">
        <v>1076</v>
      </c>
      <c r="AQH1" s="3" t="s">
        <v>1077</v>
      </c>
      <c r="AQI1" s="3" t="s">
        <v>1078</v>
      </c>
      <c r="AQJ1" s="3" t="s">
        <v>1079</v>
      </c>
      <c r="AQK1" s="3" t="s">
        <v>1080</v>
      </c>
      <c r="AQL1" s="3" t="s">
        <v>1081</v>
      </c>
      <c r="AQM1" s="3" t="s">
        <v>1082</v>
      </c>
      <c r="AQN1" s="3" t="s">
        <v>1083</v>
      </c>
      <c r="AQO1" s="3" t="s">
        <v>1084</v>
      </c>
      <c r="AQP1" s="3" t="s">
        <v>1085</v>
      </c>
      <c r="AQQ1" s="3" t="s">
        <v>1086</v>
      </c>
      <c r="AQR1" s="3" t="s">
        <v>1087</v>
      </c>
      <c r="AQS1" s="3" t="s">
        <v>1088</v>
      </c>
      <c r="AQT1" s="3" t="s">
        <v>1089</v>
      </c>
      <c r="AQU1" s="3" t="s">
        <v>1090</v>
      </c>
      <c r="AQV1" s="3" t="s">
        <v>1091</v>
      </c>
      <c r="AQW1" s="3" t="s">
        <v>1092</v>
      </c>
      <c r="AQX1" s="3" t="s">
        <v>1093</v>
      </c>
      <c r="AQY1" s="3" t="s">
        <v>1094</v>
      </c>
      <c r="AQZ1" s="3" t="s">
        <v>1095</v>
      </c>
      <c r="ARA1" s="3" t="s">
        <v>1096</v>
      </c>
      <c r="ARB1" s="3" t="s">
        <v>1097</v>
      </c>
      <c r="ARC1" s="3" t="s">
        <v>1098</v>
      </c>
      <c r="ARD1" s="3" t="s">
        <v>1099</v>
      </c>
      <c r="ARE1" s="3" t="s">
        <v>1100</v>
      </c>
      <c r="ARF1" s="3" t="s">
        <v>1101</v>
      </c>
      <c r="ARG1" s="3" t="s">
        <v>1102</v>
      </c>
      <c r="ARH1" s="3" t="s">
        <v>1103</v>
      </c>
      <c r="ARI1" s="3" t="s">
        <v>1104</v>
      </c>
      <c r="ARJ1" s="3" t="s">
        <v>1105</v>
      </c>
      <c r="ARK1" s="3" t="s">
        <v>1106</v>
      </c>
      <c r="ARL1" s="3" t="s">
        <v>1107</v>
      </c>
      <c r="ARM1" s="3" t="s">
        <v>1108</v>
      </c>
      <c r="ARN1" s="3" t="s">
        <v>1109</v>
      </c>
      <c r="ARO1" s="3" t="s">
        <v>1110</v>
      </c>
      <c r="ARP1" s="3" t="s">
        <v>1111</v>
      </c>
      <c r="ARQ1" s="3" t="s">
        <v>1112</v>
      </c>
      <c r="ARR1" s="3" t="s">
        <v>1113</v>
      </c>
      <c r="ARS1" s="3" t="s">
        <v>1114</v>
      </c>
      <c r="ART1" s="3" t="s">
        <v>1115</v>
      </c>
      <c r="ARU1" s="3" t="s">
        <v>1116</v>
      </c>
      <c r="ARV1" s="3" t="s">
        <v>1117</v>
      </c>
      <c r="ARW1" s="3" t="s">
        <v>1118</v>
      </c>
      <c r="ARX1" s="3" t="s">
        <v>1119</v>
      </c>
      <c r="ARY1" s="3" t="s">
        <v>1120</v>
      </c>
      <c r="ARZ1" s="3" t="s">
        <v>1121</v>
      </c>
      <c r="ASA1" s="3" t="s">
        <v>1122</v>
      </c>
      <c r="ASB1" s="3" t="s">
        <v>1123</v>
      </c>
      <c r="ASC1" s="3" t="s">
        <v>1124</v>
      </c>
      <c r="ASD1" s="3" t="s">
        <v>1125</v>
      </c>
      <c r="ASE1" s="3" t="s">
        <v>1126</v>
      </c>
      <c r="ASF1" s="3" t="s">
        <v>1127</v>
      </c>
      <c r="ASG1" s="3" t="s">
        <v>1128</v>
      </c>
      <c r="ASH1" s="3" t="s">
        <v>1129</v>
      </c>
      <c r="ASI1" s="3" t="s">
        <v>1130</v>
      </c>
      <c r="ASJ1" s="3" t="s">
        <v>1131</v>
      </c>
      <c r="ASK1" s="3" t="s">
        <v>1132</v>
      </c>
      <c r="ASL1" s="3" t="s">
        <v>1133</v>
      </c>
      <c r="ASM1" s="3" t="s">
        <v>1134</v>
      </c>
      <c r="ASN1" s="3" t="s">
        <v>1135</v>
      </c>
      <c r="ASO1" s="3" t="s">
        <v>1136</v>
      </c>
      <c r="ASP1" s="3" t="s">
        <v>1137</v>
      </c>
      <c r="ASQ1" s="3" t="s">
        <v>1138</v>
      </c>
      <c r="ASR1" s="3" t="s">
        <v>1139</v>
      </c>
      <c r="ASS1" s="3" t="s">
        <v>1140</v>
      </c>
      <c r="AST1" s="3" t="s">
        <v>1141</v>
      </c>
      <c r="ASU1" s="3" t="s">
        <v>1142</v>
      </c>
      <c r="ASV1" s="3" t="s">
        <v>1143</v>
      </c>
      <c r="ASW1" s="3" t="s">
        <v>1144</v>
      </c>
      <c r="ASX1" s="3" t="s">
        <v>1145</v>
      </c>
      <c r="ASY1" s="3" t="s">
        <v>1146</v>
      </c>
      <c r="ASZ1" s="3" t="s">
        <v>1147</v>
      </c>
      <c r="ATA1" s="3" t="s">
        <v>1148</v>
      </c>
      <c r="ATB1" s="3" t="s">
        <v>1149</v>
      </c>
      <c r="ATC1" s="3" t="s">
        <v>1150</v>
      </c>
      <c r="ATD1" s="3" t="s">
        <v>1151</v>
      </c>
      <c r="ATE1" s="3" t="s">
        <v>1152</v>
      </c>
      <c r="ATF1" s="3" t="s">
        <v>1153</v>
      </c>
      <c r="ATG1" s="3" t="s">
        <v>1154</v>
      </c>
      <c r="ATH1" s="3" t="s">
        <v>1155</v>
      </c>
      <c r="ATI1" s="3" t="s">
        <v>1156</v>
      </c>
      <c r="ATJ1" s="3" t="s">
        <v>1157</v>
      </c>
      <c r="ATK1" s="3" t="s">
        <v>1158</v>
      </c>
      <c r="ATL1" s="3" t="s">
        <v>1159</v>
      </c>
      <c r="ATM1" s="3" t="s">
        <v>1160</v>
      </c>
      <c r="ATN1" s="3" t="s">
        <v>1161</v>
      </c>
      <c r="ATO1" s="3" t="s">
        <v>1162</v>
      </c>
      <c r="ATP1" s="3" t="s">
        <v>1163</v>
      </c>
      <c r="ATQ1" s="3" t="s">
        <v>1164</v>
      </c>
      <c r="ATR1" s="3" t="s">
        <v>1165</v>
      </c>
      <c r="ATS1" s="3" t="s">
        <v>1166</v>
      </c>
      <c r="ATT1" s="3" t="s">
        <v>1167</v>
      </c>
      <c r="ATU1" s="3" t="s">
        <v>1168</v>
      </c>
      <c r="ATV1" s="3" t="s">
        <v>1169</v>
      </c>
      <c r="ATW1" s="3" t="s">
        <v>1170</v>
      </c>
      <c r="ATX1" s="3" t="s">
        <v>1171</v>
      </c>
      <c r="ATY1" s="3" t="s">
        <v>1172</v>
      </c>
      <c r="ATZ1" s="3" t="s">
        <v>1173</v>
      </c>
      <c r="AUA1" s="3" t="s">
        <v>1174</v>
      </c>
      <c r="AUB1" s="3" t="s">
        <v>1175</v>
      </c>
      <c r="AUC1" s="3" t="s">
        <v>1176</v>
      </c>
      <c r="AUD1" s="3" t="s">
        <v>1177</v>
      </c>
      <c r="AUE1" s="3" t="s">
        <v>1178</v>
      </c>
      <c r="AUF1" s="3" t="s">
        <v>1179</v>
      </c>
      <c r="AUG1" s="3" t="s">
        <v>1180</v>
      </c>
      <c r="AUH1" s="3" t="s">
        <v>1181</v>
      </c>
      <c r="AUI1" s="3" t="s">
        <v>1182</v>
      </c>
      <c r="AUJ1" s="3" t="s">
        <v>1183</v>
      </c>
      <c r="AUK1" s="3" t="s">
        <v>1184</v>
      </c>
      <c r="AUL1" s="3" t="s">
        <v>1185</v>
      </c>
      <c r="AUM1" s="3" t="s">
        <v>1186</v>
      </c>
      <c r="AUN1" s="3" t="s">
        <v>1187</v>
      </c>
      <c r="AUO1" s="3" t="s">
        <v>1188</v>
      </c>
      <c r="AUP1" s="3" t="s">
        <v>1189</v>
      </c>
      <c r="AUQ1" s="3" t="s">
        <v>1190</v>
      </c>
      <c r="AUR1" s="3" t="s">
        <v>1191</v>
      </c>
      <c r="AUS1" s="3" t="s">
        <v>1192</v>
      </c>
      <c r="AUT1" s="3" t="s">
        <v>1193</v>
      </c>
      <c r="AUU1" s="3" t="s">
        <v>1194</v>
      </c>
      <c r="AUV1" s="3" t="s">
        <v>1195</v>
      </c>
      <c r="AUW1" s="3" t="s">
        <v>1196</v>
      </c>
      <c r="AUX1" s="3" t="s">
        <v>1197</v>
      </c>
      <c r="AUY1" s="3" t="s">
        <v>1198</v>
      </c>
      <c r="AUZ1" s="3" t="s">
        <v>1199</v>
      </c>
      <c r="AVA1" s="3" t="s">
        <v>1200</v>
      </c>
      <c r="AVB1" s="3" t="s">
        <v>1201</v>
      </c>
      <c r="AVC1" s="3" t="s">
        <v>1202</v>
      </c>
      <c r="AVD1" s="3" t="s">
        <v>1203</v>
      </c>
      <c r="AVE1" s="3" t="s">
        <v>1204</v>
      </c>
      <c r="AVF1" s="3" t="s">
        <v>1205</v>
      </c>
      <c r="AVG1" s="3" t="s">
        <v>1206</v>
      </c>
      <c r="AVH1" s="3" t="s">
        <v>1207</v>
      </c>
      <c r="AVI1" s="3" t="s">
        <v>1208</v>
      </c>
      <c r="AVJ1" s="3" t="s">
        <v>1209</v>
      </c>
      <c r="AVK1" s="3" t="s">
        <v>1210</v>
      </c>
      <c r="AVL1" s="3" t="s">
        <v>1211</v>
      </c>
      <c r="AVM1" s="3" t="s">
        <v>1212</v>
      </c>
      <c r="AVN1" s="3" t="s">
        <v>1213</v>
      </c>
      <c r="AVO1" s="3" t="s">
        <v>1214</v>
      </c>
      <c r="AVP1" s="3" t="s">
        <v>1215</v>
      </c>
      <c r="AVQ1" s="3" t="s">
        <v>1216</v>
      </c>
      <c r="AVR1" s="3" t="s">
        <v>1217</v>
      </c>
      <c r="AVS1" s="3" t="s">
        <v>1218</v>
      </c>
      <c r="AVT1" s="3" t="s">
        <v>1219</v>
      </c>
      <c r="AVU1" s="3" t="s">
        <v>1220</v>
      </c>
      <c r="AVV1" s="3" t="s">
        <v>1221</v>
      </c>
      <c r="AVW1" s="3" t="s">
        <v>1222</v>
      </c>
      <c r="AVX1" s="3" t="s">
        <v>1223</v>
      </c>
      <c r="AVY1" s="3" t="s">
        <v>1224</v>
      </c>
      <c r="AVZ1" s="3" t="s">
        <v>1225</v>
      </c>
      <c r="AWA1" s="3" t="s">
        <v>1226</v>
      </c>
      <c r="AWB1" s="3" t="s">
        <v>1227</v>
      </c>
      <c r="AWC1" s="3" t="s">
        <v>1228</v>
      </c>
      <c r="AWD1" s="3" t="s">
        <v>1229</v>
      </c>
      <c r="AWE1" s="3" t="s">
        <v>1230</v>
      </c>
      <c r="AWF1" s="3" t="s">
        <v>1231</v>
      </c>
      <c r="AWG1" s="3" t="s">
        <v>1232</v>
      </c>
      <c r="AWH1" s="3" t="s">
        <v>1233</v>
      </c>
      <c r="AWI1" s="3" t="s">
        <v>1234</v>
      </c>
      <c r="AWJ1" s="3" t="s">
        <v>1235</v>
      </c>
      <c r="AWK1" s="3" t="s">
        <v>1236</v>
      </c>
      <c r="AWL1" s="3" t="s">
        <v>1237</v>
      </c>
      <c r="AWM1" s="3" t="s">
        <v>1238</v>
      </c>
      <c r="AWN1" s="3" t="s">
        <v>1239</v>
      </c>
      <c r="AWO1" s="3" t="s">
        <v>1240</v>
      </c>
      <c r="AWP1" s="3" t="s">
        <v>1241</v>
      </c>
      <c r="AWQ1" s="3" t="s">
        <v>1242</v>
      </c>
      <c r="AWR1" s="3" t="s">
        <v>1243</v>
      </c>
      <c r="AWS1" s="3" t="s">
        <v>1244</v>
      </c>
      <c r="AWT1" s="3" t="s">
        <v>1245</v>
      </c>
      <c r="AWU1" s="3" t="s">
        <v>1246</v>
      </c>
      <c r="AWV1" s="3" t="s">
        <v>1247</v>
      </c>
      <c r="AWW1" s="3" t="s">
        <v>1248</v>
      </c>
      <c r="AWX1" s="3" t="s">
        <v>1249</v>
      </c>
      <c r="AWY1" s="3" t="s">
        <v>1250</v>
      </c>
      <c r="AWZ1" s="3" t="s">
        <v>1251</v>
      </c>
      <c r="AXA1" s="3" t="s">
        <v>1252</v>
      </c>
      <c r="AXB1" s="3" t="s">
        <v>1253</v>
      </c>
      <c r="AXC1" s="3" t="s">
        <v>1254</v>
      </c>
      <c r="AXD1" s="3" t="s">
        <v>1255</v>
      </c>
      <c r="AXE1" s="3" t="s">
        <v>1256</v>
      </c>
      <c r="AXF1" s="3" t="s">
        <v>1257</v>
      </c>
      <c r="AXG1" s="3" t="s">
        <v>1258</v>
      </c>
      <c r="AXH1" s="3" t="s">
        <v>1259</v>
      </c>
      <c r="AXI1" s="3" t="s">
        <v>1260</v>
      </c>
      <c r="AXJ1" s="3" t="s">
        <v>1261</v>
      </c>
      <c r="AXK1" s="3" t="s">
        <v>1262</v>
      </c>
      <c r="AXL1" s="3" t="s">
        <v>1263</v>
      </c>
      <c r="AXM1" s="3" t="s">
        <v>1264</v>
      </c>
      <c r="AXN1" s="3" t="s">
        <v>1265</v>
      </c>
      <c r="AXO1" s="3" t="s">
        <v>1266</v>
      </c>
      <c r="AXP1" s="3" t="s">
        <v>1267</v>
      </c>
      <c r="AXQ1" s="3" t="s">
        <v>1268</v>
      </c>
      <c r="AXR1" s="3" t="s">
        <v>1269</v>
      </c>
      <c r="AXS1" s="3" t="s">
        <v>1270</v>
      </c>
      <c r="AXT1" s="3" t="s">
        <v>1271</v>
      </c>
      <c r="AXU1" s="3" t="s">
        <v>1272</v>
      </c>
      <c r="AXV1" s="3" t="s">
        <v>1273</v>
      </c>
      <c r="AXW1" s="3" t="s">
        <v>1274</v>
      </c>
      <c r="AXX1" s="3" t="s">
        <v>1275</v>
      </c>
      <c r="AXY1" s="3" t="s">
        <v>1276</v>
      </c>
      <c r="AXZ1" s="3" t="s">
        <v>1277</v>
      </c>
      <c r="AYA1" s="3" t="s">
        <v>1278</v>
      </c>
      <c r="AYB1" s="3" t="s">
        <v>1279</v>
      </c>
      <c r="AYC1" s="3" t="s">
        <v>1280</v>
      </c>
      <c r="AYD1" s="3" t="s">
        <v>1281</v>
      </c>
      <c r="AYE1" s="3" t="s">
        <v>1282</v>
      </c>
      <c r="AYF1" s="3" t="s">
        <v>1283</v>
      </c>
      <c r="AYG1" s="3" t="s">
        <v>1284</v>
      </c>
      <c r="AYH1" s="3" t="s">
        <v>1285</v>
      </c>
      <c r="AYI1" s="3" t="s">
        <v>1286</v>
      </c>
      <c r="AYJ1" s="3" t="s">
        <v>1287</v>
      </c>
      <c r="AYK1" s="3" t="s">
        <v>1288</v>
      </c>
      <c r="AYL1" s="3" t="s">
        <v>1289</v>
      </c>
      <c r="AYM1" s="3" t="s">
        <v>1290</v>
      </c>
      <c r="AYN1" s="3" t="s">
        <v>1291</v>
      </c>
      <c r="AYO1" s="3" t="s">
        <v>1292</v>
      </c>
      <c r="AYP1" s="3" t="s">
        <v>1293</v>
      </c>
      <c r="AYQ1" s="3" t="s">
        <v>1294</v>
      </c>
      <c r="AYR1" s="3" t="s">
        <v>1295</v>
      </c>
      <c r="AYS1" s="3" t="s">
        <v>1296</v>
      </c>
      <c r="AYT1" s="3" t="s">
        <v>1297</v>
      </c>
      <c r="AYU1" s="3" t="s">
        <v>1298</v>
      </c>
      <c r="AYV1" s="3" t="s">
        <v>1299</v>
      </c>
      <c r="AYW1" s="3" t="s">
        <v>1300</v>
      </c>
      <c r="AYX1" s="3" t="s">
        <v>1301</v>
      </c>
      <c r="AYY1" s="3" t="s">
        <v>1302</v>
      </c>
      <c r="AYZ1" s="3" t="s">
        <v>1303</v>
      </c>
      <c r="AZA1" s="3" t="s">
        <v>1304</v>
      </c>
      <c r="AZB1" s="3" t="s">
        <v>1305</v>
      </c>
      <c r="AZC1" s="3" t="s">
        <v>1306</v>
      </c>
      <c r="AZD1" s="3" t="s">
        <v>1307</v>
      </c>
      <c r="AZE1" s="3" t="s">
        <v>1308</v>
      </c>
      <c r="AZF1" s="3" t="s">
        <v>1309</v>
      </c>
      <c r="AZG1" s="3" t="s">
        <v>1310</v>
      </c>
      <c r="AZH1" s="3" t="s">
        <v>1311</v>
      </c>
      <c r="AZI1" s="3" t="s">
        <v>1312</v>
      </c>
      <c r="AZJ1" s="3" t="s">
        <v>1313</v>
      </c>
      <c r="AZK1" s="3" t="s">
        <v>1314</v>
      </c>
      <c r="AZL1" s="3" t="s">
        <v>1315</v>
      </c>
      <c r="AZM1" s="3" t="s">
        <v>1316</v>
      </c>
      <c r="AZN1" s="3" t="s">
        <v>1317</v>
      </c>
      <c r="AZO1" s="3" t="s">
        <v>1318</v>
      </c>
      <c r="AZP1" s="3" t="s">
        <v>1319</v>
      </c>
      <c r="AZQ1" s="3" t="s">
        <v>1320</v>
      </c>
      <c r="AZR1" s="3" t="s">
        <v>1321</v>
      </c>
      <c r="AZS1" s="3" t="s">
        <v>1322</v>
      </c>
      <c r="AZT1" s="3" t="s">
        <v>1323</v>
      </c>
      <c r="AZU1" s="3" t="s">
        <v>1324</v>
      </c>
      <c r="AZV1" s="3" t="s">
        <v>1325</v>
      </c>
      <c r="AZW1" s="3" t="s">
        <v>1326</v>
      </c>
      <c r="AZX1" s="3" t="s">
        <v>1327</v>
      </c>
      <c r="AZY1" s="3" t="s">
        <v>1328</v>
      </c>
      <c r="AZZ1" s="3" t="s">
        <v>1329</v>
      </c>
      <c r="BAA1" s="3" t="s">
        <v>1330</v>
      </c>
      <c r="BAB1" s="3" t="s">
        <v>1331</v>
      </c>
      <c r="BAC1" s="3" t="s">
        <v>1332</v>
      </c>
      <c r="BAD1" s="3" t="s">
        <v>1333</v>
      </c>
      <c r="BAE1" s="3" t="s">
        <v>1334</v>
      </c>
      <c r="BAF1" s="3" t="s">
        <v>1335</v>
      </c>
      <c r="BAG1" s="3" t="s">
        <v>1336</v>
      </c>
      <c r="BAH1" s="3" t="s">
        <v>1337</v>
      </c>
      <c r="BAI1" s="3" t="s">
        <v>1338</v>
      </c>
      <c r="BAJ1" s="3" t="s">
        <v>1339</v>
      </c>
      <c r="BAK1" s="3" t="s">
        <v>1340</v>
      </c>
      <c r="BAL1" s="3" t="s">
        <v>1341</v>
      </c>
      <c r="BAM1" s="3" t="s">
        <v>1342</v>
      </c>
      <c r="BAN1" s="3" t="s">
        <v>1343</v>
      </c>
      <c r="BAO1" s="3" t="s">
        <v>1344</v>
      </c>
      <c r="BAP1" s="3" t="s">
        <v>1345</v>
      </c>
      <c r="BAQ1" s="3" t="s">
        <v>1346</v>
      </c>
      <c r="BAR1" s="3" t="s">
        <v>1347</v>
      </c>
      <c r="BAS1" s="3" t="s">
        <v>1348</v>
      </c>
      <c r="BAT1" s="3" t="s">
        <v>1349</v>
      </c>
      <c r="BAU1" s="3" t="s">
        <v>1350</v>
      </c>
      <c r="BAV1" s="3" t="s">
        <v>1351</v>
      </c>
      <c r="BAW1" s="3" t="s">
        <v>1352</v>
      </c>
      <c r="BAX1" s="3" t="s">
        <v>1353</v>
      </c>
      <c r="BAY1" s="3" t="s">
        <v>1354</v>
      </c>
      <c r="BAZ1" s="3" t="s">
        <v>1355</v>
      </c>
      <c r="BBA1" s="3" t="s">
        <v>1356</v>
      </c>
      <c r="BBB1" s="3" t="s">
        <v>1357</v>
      </c>
      <c r="BBC1" s="3" t="s">
        <v>1358</v>
      </c>
      <c r="BBD1" s="3" t="s">
        <v>1359</v>
      </c>
      <c r="BBE1" s="3" t="s">
        <v>1360</v>
      </c>
      <c r="BBF1" s="3" t="s">
        <v>1361</v>
      </c>
      <c r="BBG1" s="3" t="s">
        <v>1362</v>
      </c>
      <c r="BBH1" s="3" t="s">
        <v>1363</v>
      </c>
      <c r="BBI1" s="3" t="s">
        <v>1364</v>
      </c>
      <c r="BBJ1" s="3" t="s">
        <v>1365</v>
      </c>
      <c r="BBK1" s="3" t="s">
        <v>1366</v>
      </c>
      <c r="BBL1" s="3" t="s">
        <v>1367</v>
      </c>
      <c r="BBM1" s="3" t="s">
        <v>1368</v>
      </c>
      <c r="BBN1" s="3" t="s">
        <v>1369</v>
      </c>
      <c r="BBO1" s="3" t="s">
        <v>1370</v>
      </c>
      <c r="BBP1" s="3" t="s">
        <v>1371</v>
      </c>
      <c r="BBQ1" s="3" t="s">
        <v>1372</v>
      </c>
      <c r="BBR1" s="3" t="s">
        <v>1373</v>
      </c>
      <c r="BBS1" s="3" t="s">
        <v>1374</v>
      </c>
      <c r="BBT1" s="3" t="s">
        <v>1375</v>
      </c>
      <c r="BBU1" s="3" t="s">
        <v>1376</v>
      </c>
      <c r="BBV1" s="3" t="s">
        <v>1377</v>
      </c>
      <c r="BBW1" s="3" t="s">
        <v>1378</v>
      </c>
      <c r="BBX1" s="3" t="s">
        <v>1379</v>
      </c>
      <c r="BBY1" s="3" t="s">
        <v>1380</v>
      </c>
      <c r="BBZ1" s="3" t="s">
        <v>1381</v>
      </c>
      <c r="BCA1" s="3" t="s">
        <v>1382</v>
      </c>
      <c r="BCB1" s="3" t="s">
        <v>1383</v>
      </c>
      <c r="BCC1" s="3" t="s">
        <v>1384</v>
      </c>
      <c r="BCD1" s="3" t="s">
        <v>1385</v>
      </c>
      <c r="BCE1" s="3" t="s">
        <v>1386</v>
      </c>
      <c r="BCF1" s="3" t="s">
        <v>1387</v>
      </c>
      <c r="BCG1" s="3" t="s">
        <v>1388</v>
      </c>
      <c r="BCH1" s="3" t="s">
        <v>1389</v>
      </c>
      <c r="BCI1" s="3" t="s">
        <v>1390</v>
      </c>
      <c r="BCJ1" s="3" t="s">
        <v>1391</v>
      </c>
      <c r="BCK1" s="3" t="s">
        <v>1392</v>
      </c>
      <c r="BCL1" s="3" t="s">
        <v>1393</v>
      </c>
      <c r="BCM1" s="3" t="s">
        <v>1394</v>
      </c>
      <c r="BCN1" s="3" t="s">
        <v>1395</v>
      </c>
      <c r="BCO1" s="3" t="s">
        <v>1396</v>
      </c>
      <c r="BCP1" s="3" t="s">
        <v>1397</v>
      </c>
      <c r="BCQ1" s="3" t="s">
        <v>1398</v>
      </c>
      <c r="BCR1" s="3" t="s">
        <v>1399</v>
      </c>
      <c r="BCS1" s="3" t="s">
        <v>1400</v>
      </c>
      <c r="BCT1" s="3" t="s">
        <v>1401</v>
      </c>
      <c r="BCU1" s="3" t="s">
        <v>1402</v>
      </c>
      <c r="BCV1" s="3" t="s">
        <v>1403</v>
      </c>
      <c r="BCW1" s="3" t="s">
        <v>1404</v>
      </c>
      <c r="BCX1" s="3" t="s">
        <v>1405</v>
      </c>
      <c r="BCY1" s="3" t="s">
        <v>1406</v>
      </c>
      <c r="BCZ1" s="3" t="s">
        <v>1407</v>
      </c>
      <c r="BDA1" s="3" t="s">
        <v>1408</v>
      </c>
      <c r="BDB1" s="3" t="s">
        <v>1409</v>
      </c>
      <c r="BDC1" s="3" t="s">
        <v>1410</v>
      </c>
      <c r="BDD1" s="3" t="s">
        <v>1411</v>
      </c>
      <c r="BDE1" s="3" t="s">
        <v>1412</v>
      </c>
      <c r="BDF1" s="3" t="s">
        <v>1413</v>
      </c>
      <c r="BDG1" s="3" t="s">
        <v>1414</v>
      </c>
      <c r="BDH1" s="3" t="s">
        <v>1415</v>
      </c>
      <c r="BDI1" s="3" t="s">
        <v>1416</v>
      </c>
      <c r="BDJ1" s="3" t="s">
        <v>1417</v>
      </c>
      <c r="BDK1" s="3" t="s">
        <v>1418</v>
      </c>
      <c r="BDL1" s="3" t="s">
        <v>1419</v>
      </c>
      <c r="BDM1" s="3" t="s">
        <v>1420</v>
      </c>
      <c r="BDN1" s="3" t="s">
        <v>1421</v>
      </c>
      <c r="BDO1" s="3" t="s">
        <v>1422</v>
      </c>
      <c r="BDP1" s="3" t="s">
        <v>1423</v>
      </c>
      <c r="BDQ1" s="3" t="s">
        <v>1424</v>
      </c>
      <c r="BDR1" s="3" t="s">
        <v>1425</v>
      </c>
      <c r="BDS1" s="3" t="s">
        <v>1426</v>
      </c>
      <c r="BDT1" s="3" t="s">
        <v>1427</v>
      </c>
      <c r="BDU1" s="3" t="s">
        <v>1428</v>
      </c>
      <c r="BDV1" s="3" t="s">
        <v>1429</v>
      </c>
      <c r="BDW1" s="3" t="s">
        <v>1430</v>
      </c>
      <c r="BDX1" s="3" t="s">
        <v>1431</v>
      </c>
      <c r="BDY1" s="3" t="s">
        <v>1432</v>
      </c>
      <c r="BDZ1" s="3" t="s">
        <v>1433</v>
      </c>
      <c r="BEA1" s="3" t="s">
        <v>1434</v>
      </c>
      <c r="BEB1" s="3" t="s">
        <v>1435</v>
      </c>
      <c r="BEC1" s="3" t="s">
        <v>1436</v>
      </c>
      <c r="BED1" s="3" t="s">
        <v>1437</v>
      </c>
      <c r="BEE1" s="3" t="s">
        <v>1438</v>
      </c>
      <c r="BEF1" s="3" t="s">
        <v>1439</v>
      </c>
      <c r="BEG1" s="3" t="s">
        <v>1440</v>
      </c>
      <c r="BEH1" s="3" t="s">
        <v>1441</v>
      </c>
      <c r="BEI1" s="3" t="s">
        <v>1442</v>
      </c>
      <c r="BEJ1" s="3" t="s">
        <v>1443</v>
      </c>
      <c r="BEK1" s="3" t="s">
        <v>1444</v>
      </c>
      <c r="BEL1" s="3" t="s">
        <v>1445</v>
      </c>
      <c r="BEM1" s="3" t="s">
        <v>1446</v>
      </c>
      <c r="BEN1" s="3" t="s">
        <v>1447</v>
      </c>
      <c r="BEO1" s="3" t="s">
        <v>1448</v>
      </c>
      <c r="BEP1" s="3" t="s">
        <v>1449</v>
      </c>
      <c r="BEQ1" s="3" t="s">
        <v>1450</v>
      </c>
      <c r="BER1" s="3" t="s">
        <v>1451</v>
      </c>
      <c r="BES1" s="3" t="s">
        <v>1452</v>
      </c>
      <c r="BET1" s="3" t="s">
        <v>1453</v>
      </c>
      <c r="BEU1" s="3" t="s">
        <v>1454</v>
      </c>
      <c r="BEV1" s="3" t="s">
        <v>1455</v>
      </c>
      <c r="BEW1" s="3" t="s">
        <v>1456</v>
      </c>
      <c r="BEX1" s="3" t="s">
        <v>1457</v>
      </c>
      <c r="BEY1" s="3" t="s">
        <v>1458</v>
      </c>
      <c r="BEZ1" s="3" t="s">
        <v>1459</v>
      </c>
      <c r="BFA1" s="3" t="s">
        <v>1460</v>
      </c>
      <c r="BFB1" s="3" t="s">
        <v>1461</v>
      </c>
      <c r="BFC1" s="3" t="s">
        <v>1462</v>
      </c>
      <c r="BFD1" s="3" t="s">
        <v>1463</v>
      </c>
      <c r="BFE1" s="3" t="s">
        <v>1464</v>
      </c>
      <c r="BFF1" s="3" t="s">
        <v>1465</v>
      </c>
      <c r="BFG1" s="3" t="s">
        <v>1466</v>
      </c>
      <c r="BFH1" s="3" t="s">
        <v>1467</v>
      </c>
      <c r="BFI1" s="3" t="s">
        <v>1468</v>
      </c>
      <c r="BFJ1" s="3" t="s">
        <v>1469</v>
      </c>
      <c r="BFK1" s="3" t="s">
        <v>1470</v>
      </c>
      <c r="BFL1" s="3" t="s">
        <v>1471</v>
      </c>
      <c r="BFM1" s="3" t="s">
        <v>1472</v>
      </c>
      <c r="BFN1" s="3" t="s">
        <v>1473</v>
      </c>
      <c r="BFO1" s="3" t="s">
        <v>1474</v>
      </c>
      <c r="BFP1" s="3" t="s">
        <v>1475</v>
      </c>
      <c r="BFQ1" s="3" t="s">
        <v>1476</v>
      </c>
      <c r="BFR1" s="3" t="s">
        <v>1477</v>
      </c>
      <c r="BFS1" s="3" t="s">
        <v>1478</v>
      </c>
      <c r="BFT1" s="3" t="s">
        <v>1479</v>
      </c>
      <c r="BFU1" s="3" t="s">
        <v>1480</v>
      </c>
      <c r="BFV1" s="3" t="s">
        <v>1481</v>
      </c>
      <c r="BFW1" s="3" t="s">
        <v>1482</v>
      </c>
      <c r="BFX1" s="3" t="s">
        <v>1483</v>
      </c>
      <c r="BFY1" s="3" t="s">
        <v>1484</v>
      </c>
      <c r="BFZ1" s="3" t="s">
        <v>1485</v>
      </c>
      <c r="BGA1" s="3" t="s">
        <v>1486</v>
      </c>
      <c r="BGB1" s="3" t="s">
        <v>1487</v>
      </c>
      <c r="BGC1" s="3" t="s">
        <v>1488</v>
      </c>
      <c r="BGD1" s="3" t="s">
        <v>1489</v>
      </c>
      <c r="BGE1" s="3" t="s">
        <v>1490</v>
      </c>
      <c r="BGF1" s="3" t="s">
        <v>1491</v>
      </c>
      <c r="BGG1" s="3" t="s">
        <v>1492</v>
      </c>
      <c r="BGH1" s="3" t="s">
        <v>1493</v>
      </c>
      <c r="BGI1" s="3" t="s">
        <v>1494</v>
      </c>
      <c r="BGJ1" s="3" t="s">
        <v>1495</v>
      </c>
      <c r="BGK1" s="3" t="s">
        <v>1496</v>
      </c>
      <c r="BGL1" s="3" t="s">
        <v>1497</v>
      </c>
      <c r="BGM1" s="3" t="s">
        <v>1498</v>
      </c>
      <c r="BGN1" s="3" t="s">
        <v>1499</v>
      </c>
      <c r="BGO1" s="3" t="s">
        <v>1500</v>
      </c>
      <c r="BGP1" s="3" t="s">
        <v>1501</v>
      </c>
      <c r="BGQ1" s="3" t="s">
        <v>1502</v>
      </c>
      <c r="BGR1" s="3" t="s">
        <v>1503</v>
      </c>
      <c r="BGS1" s="3" t="s">
        <v>1504</v>
      </c>
      <c r="BGT1" s="3" t="s">
        <v>1505</v>
      </c>
      <c r="BGU1" s="3" t="s">
        <v>1506</v>
      </c>
      <c r="BGV1" s="3" t="s">
        <v>1507</v>
      </c>
      <c r="BGW1" s="3" t="s">
        <v>1508</v>
      </c>
      <c r="BGX1" s="3" t="s">
        <v>1509</v>
      </c>
      <c r="BGY1" s="3" t="s">
        <v>1510</v>
      </c>
      <c r="BGZ1" s="3" t="s">
        <v>1511</v>
      </c>
      <c r="BHA1" s="3" t="s">
        <v>1512</v>
      </c>
      <c r="BHB1" s="3" t="s">
        <v>1513</v>
      </c>
      <c r="BHC1" s="3" t="s">
        <v>1514</v>
      </c>
      <c r="BHD1" s="3" t="s">
        <v>1515</v>
      </c>
      <c r="BHE1" s="3" t="s">
        <v>1516</v>
      </c>
      <c r="BHF1" s="3" t="s">
        <v>1517</v>
      </c>
      <c r="BHG1" s="3" t="s">
        <v>1518</v>
      </c>
      <c r="BHH1" s="3" t="s">
        <v>1519</v>
      </c>
      <c r="BHI1" s="3" t="s">
        <v>1520</v>
      </c>
      <c r="BHJ1" s="3" t="s">
        <v>1521</v>
      </c>
      <c r="BHK1" s="3" t="s">
        <v>1522</v>
      </c>
      <c r="BHL1" s="3" t="s">
        <v>1523</v>
      </c>
      <c r="BHM1" s="3" t="s">
        <v>1524</v>
      </c>
      <c r="BHN1" s="3" t="s">
        <v>1525</v>
      </c>
      <c r="BHO1" s="3" t="s">
        <v>1526</v>
      </c>
      <c r="BHP1" s="3" t="s">
        <v>1527</v>
      </c>
      <c r="BHQ1" s="3" t="s">
        <v>1528</v>
      </c>
      <c r="BHR1" s="3" t="s">
        <v>1529</v>
      </c>
      <c r="BHS1" s="3" t="s">
        <v>1530</v>
      </c>
      <c r="BHT1" s="3" t="s">
        <v>1531</v>
      </c>
      <c r="BHU1" s="3" t="s">
        <v>1532</v>
      </c>
      <c r="BHV1" s="3" t="s">
        <v>1533</v>
      </c>
      <c r="BHW1" s="3" t="s">
        <v>1534</v>
      </c>
      <c r="BHX1" s="3" t="s">
        <v>1535</v>
      </c>
      <c r="BHY1" s="3" t="s">
        <v>1536</v>
      </c>
      <c r="BHZ1" s="3" t="s">
        <v>1537</v>
      </c>
      <c r="BIA1" s="3" t="s">
        <v>1538</v>
      </c>
      <c r="BIB1" s="3" t="s">
        <v>1539</v>
      </c>
      <c r="BIC1" s="3" t="s">
        <v>1540</v>
      </c>
      <c r="BID1" s="3" t="s">
        <v>1541</v>
      </c>
      <c r="BIE1" s="3" t="s">
        <v>1542</v>
      </c>
      <c r="BIF1" s="3" t="s">
        <v>1543</v>
      </c>
      <c r="BIG1" s="3" t="s">
        <v>1544</v>
      </c>
      <c r="BIH1" s="3" t="s">
        <v>1545</v>
      </c>
      <c r="BII1" s="3" t="s">
        <v>1546</v>
      </c>
      <c r="BIJ1" s="3" t="s">
        <v>1547</v>
      </c>
      <c r="BIK1" s="3" t="s">
        <v>1548</v>
      </c>
      <c r="BIL1" s="3" t="s">
        <v>1549</v>
      </c>
      <c r="BIM1" s="3" t="s">
        <v>1550</v>
      </c>
      <c r="BIN1" s="3" t="s">
        <v>1551</v>
      </c>
      <c r="BIO1" s="3" t="s">
        <v>1552</v>
      </c>
      <c r="BIP1" s="3" t="s">
        <v>1553</v>
      </c>
      <c r="BIQ1" s="3" t="s">
        <v>1554</v>
      </c>
      <c r="BIR1" s="3" t="s">
        <v>1555</v>
      </c>
      <c r="BIS1" s="3" t="s">
        <v>1556</v>
      </c>
      <c r="BIT1" s="3" t="s">
        <v>1557</v>
      </c>
      <c r="BIU1" s="3" t="s">
        <v>1558</v>
      </c>
      <c r="BIV1" s="3" t="s">
        <v>1559</v>
      </c>
      <c r="BIW1" s="3" t="s">
        <v>1560</v>
      </c>
      <c r="BIX1" s="3" t="s">
        <v>1561</v>
      </c>
      <c r="BIY1" s="3" t="s">
        <v>1562</v>
      </c>
      <c r="BIZ1" s="3" t="s">
        <v>1563</v>
      </c>
      <c r="BJA1" s="3" t="s">
        <v>1564</v>
      </c>
      <c r="BJB1" s="3" t="s">
        <v>1565</v>
      </c>
      <c r="BJC1" s="3" t="s">
        <v>1566</v>
      </c>
      <c r="BJD1" s="3" t="s">
        <v>1567</v>
      </c>
      <c r="BJE1" s="3" t="s">
        <v>1568</v>
      </c>
      <c r="BJF1" s="3" t="s">
        <v>1569</v>
      </c>
      <c r="BJG1" s="3" t="s">
        <v>1570</v>
      </c>
      <c r="BJH1" s="3" t="s">
        <v>1571</v>
      </c>
      <c r="BJI1" s="3" t="s">
        <v>1572</v>
      </c>
      <c r="BJJ1" s="3" t="s">
        <v>1573</v>
      </c>
      <c r="BJK1" s="3" t="s">
        <v>1574</v>
      </c>
      <c r="BJL1" s="3" t="s">
        <v>1575</v>
      </c>
      <c r="BJM1" s="3" t="s">
        <v>1576</v>
      </c>
      <c r="BJN1" s="3" t="s">
        <v>1577</v>
      </c>
      <c r="BJO1" s="3" t="s">
        <v>1578</v>
      </c>
      <c r="BJP1" s="3" t="s">
        <v>1579</v>
      </c>
      <c r="BJQ1" s="3" t="s">
        <v>1580</v>
      </c>
      <c r="BJR1" s="3" t="s">
        <v>1581</v>
      </c>
      <c r="BJS1" s="3" t="s">
        <v>1582</v>
      </c>
      <c r="BJT1" s="3" t="s">
        <v>1583</v>
      </c>
      <c r="BJU1" s="3" t="s">
        <v>1584</v>
      </c>
      <c r="BJV1" s="3" t="s">
        <v>1585</v>
      </c>
      <c r="BJW1" s="3" t="s">
        <v>1586</v>
      </c>
      <c r="BJX1" s="3" t="s">
        <v>1587</v>
      </c>
      <c r="BJY1" s="3" t="s">
        <v>1588</v>
      </c>
      <c r="BJZ1" s="3" t="s">
        <v>1589</v>
      </c>
      <c r="BKA1" s="3" t="s">
        <v>1590</v>
      </c>
      <c r="BKB1" s="3" t="s">
        <v>1591</v>
      </c>
      <c r="BKC1" s="3" t="s">
        <v>1592</v>
      </c>
      <c r="BKD1" s="3" t="s">
        <v>1593</v>
      </c>
      <c r="BKE1" s="3" t="s">
        <v>1594</v>
      </c>
      <c r="BKF1" s="3" t="s">
        <v>1595</v>
      </c>
      <c r="BKG1" s="3" t="s">
        <v>1596</v>
      </c>
      <c r="BKH1" s="3" t="s">
        <v>1597</v>
      </c>
      <c r="BKI1" s="3" t="s">
        <v>1598</v>
      </c>
      <c r="BKJ1" s="3" t="s">
        <v>1599</v>
      </c>
      <c r="BKK1" s="3" t="s">
        <v>1600</v>
      </c>
      <c r="BKL1" s="3" t="s">
        <v>1601</v>
      </c>
      <c r="BKM1" s="3" t="s">
        <v>1602</v>
      </c>
      <c r="BKN1" s="3" t="s">
        <v>1603</v>
      </c>
      <c r="BKO1" s="3" t="s">
        <v>1604</v>
      </c>
      <c r="BKP1" s="3" t="s">
        <v>1605</v>
      </c>
      <c r="BKQ1" s="3" t="s">
        <v>1606</v>
      </c>
      <c r="BKR1" s="3" t="s">
        <v>1607</v>
      </c>
      <c r="BKS1" s="3" t="s">
        <v>1608</v>
      </c>
      <c r="BKT1" s="3" t="s">
        <v>1609</v>
      </c>
      <c r="BKU1" s="3" t="s">
        <v>1610</v>
      </c>
      <c r="BKV1" s="3" t="s">
        <v>1611</v>
      </c>
      <c r="BKW1" s="3" t="s">
        <v>1612</v>
      </c>
      <c r="BKX1" s="3" t="s">
        <v>1613</v>
      </c>
      <c r="BKY1" s="3" t="s">
        <v>1614</v>
      </c>
      <c r="BKZ1" s="3" t="s">
        <v>1615</v>
      </c>
      <c r="BLA1" s="3" t="s">
        <v>1616</v>
      </c>
      <c r="BLB1" s="3" t="s">
        <v>1617</v>
      </c>
      <c r="BLC1" s="3" t="s">
        <v>1618</v>
      </c>
      <c r="BLD1" s="3" t="s">
        <v>1619</v>
      </c>
      <c r="BLE1" s="3" t="s">
        <v>1620</v>
      </c>
      <c r="BLF1" s="3" t="s">
        <v>1621</v>
      </c>
      <c r="BLG1" s="3" t="s">
        <v>1622</v>
      </c>
      <c r="BLH1" s="3" t="s">
        <v>1623</v>
      </c>
      <c r="BLI1" s="3" t="s">
        <v>1624</v>
      </c>
      <c r="BLJ1" s="3" t="s">
        <v>1625</v>
      </c>
      <c r="BLK1" s="3" t="s">
        <v>1626</v>
      </c>
      <c r="BLL1" s="3" t="s">
        <v>1627</v>
      </c>
      <c r="BLM1" s="3" t="s">
        <v>1628</v>
      </c>
      <c r="BLN1" s="3" t="s">
        <v>1629</v>
      </c>
      <c r="BLO1" s="3" t="s">
        <v>1630</v>
      </c>
      <c r="BLP1" s="3" t="s">
        <v>1631</v>
      </c>
      <c r="BLQ1" s="3" t="s">
        <v>1632</v>
      </c>
      <c r="BLR1" s="3" t="s">
        <v>1633</v>
      </c>
      <c r="BLS1" s="3" t="s">
        <v>1634</v>
      </c>
      <c r="BLT1" s="3" t="s">
        <v>1635</v>
      </c>
      <c r="BLU1" s="3" t="s">
        <v>1636</v>
      </c>
      <c r="BLV1" s="3" t="s">
        <v>1637</v>
      </c>
      <c r="BLW1" s="3" t="s">
        <v>1638</v>
      </c>
      <c r="BLX1" s="3" t="s">
        <v>1639</v>
      </c>
      <c r="BLY1" s="3" t="s">
        <v>1640</v>
      </c>
      <c r="BLZ1" s="3" t="s">
        <v>1641</v>
      </c>
      <c r="BMA1" s="3" t="s">
        <v>1642</v>
      </c>
      <c r="BMB1" s="3" t="s">
        <v>1643</v>
      </c>
      <c r="BMC1" s="3" t="s">
        <v>1644</v>
      </c>
      <c r="BMD1" s="3" t="s">
        <v>1645</v>
      </c>
      <c r="BME1" s="3" t="s">
        <v>1646</v>
      </c>
      <c r="BMF1" s="3" t="s">
        <v>1647</v>
      </c>
      <c r="BMG1" s="3" t="s">
        <v>1648</v>
      </c>
      <c r="BMH1" s="3" t="s">
        <v>1649</v>
      </c>
      <c r="BMI1" s="3" t="s">
        <v>1650</v>
      </c>
      <c r="BMJ1" s="3" t="s">
        <v>1651</v>
      </c>
      <c r="BMK1" s="3" t="s">
        <v>1652</v>
      </c>
      <c r="BML1" s="3" t="s">
        <v>1653</v>
      </c>
      <c r="BMM1" s="3" t="s">
        <v>1654</v>
      </c>
      <c r="BMN1" s="3" t="s">
        <v>1655</v>
      </c>
      <c r="BMO1" s="3" t="s">
        <v>1656</v>
      </c>
      <c r="BMP1" s="3" t="s">
        <v>1657</v>
      </c>
      <c r="BMQ1" s="3" t="s">
        <v>1658</v>
      </c>
      <c r="BMR1" s="3" t="s">
        <v>1659</v>
      </c>
      <c r="BMS1" s="3" t="s">
        <v>1660</v>
      </c>
      <c r="BMT1" s="3" t="s">
        <v>1661</v>
      </c>
      <c r="BMU1" s="3" t="s">
        <v>1662</v>
      </c>
      <c r="BMV1" s="3" t="s">
        <v>1663</v>
      </c>
      <c r="BMW1" s="3" t="s">
        <v>1664</v>
      </c>
      <c r="BMX1" s="3" t="s">
        <v>1665</v>
      </c>
      <c r="BMY1" s="3" t="s">
        <v>1666</v>
      </c>
      <c r="BMZ1" s="3" t="s">
        <v>1667</v>
      </c>
      <c r="BNA1" s="3" t="s">
        <v>1668</v>
      </c>
      <c r="BNB1" s="3" t="s">
        <v>1669</v>
      </c>
      <c r="BNC1" s="3" t="s">
        <v>1670</v>
      </c>
      <c r="BND1" s="3" t="s">
        <v>1671</v>
      </c>
      <c r="BNE1" s="3" t="s">
        <v>1672</v>
      </c>
      <c r="BNF1" s="3" t="s">
        <v>1673</v>
      </c>
      <c r="BNG1" s="3" t="s">
        <v>1674</v>
      </c>
      <c r="BNH1" s="3" t="s">
        <v>1675</v>
      </c>
      <c r="BNI1" s="3" t="s">
        <v>1676</v>
      </c>
      <c r="BNJ1" s="3" t="s">
        <v>1677</v>
      </c>
      <c r="BNK1" s="3" t="s">
        <v>1678</v>
      </c>
      <c r="BNL1" s="3" t="s">
        <v>1679</v>
      </c>
      <c r="BNM1" s="3" t="s">
        <v>1680</v>
      </c>
      <c r="BNN1" s="3" t="s">
        <v>1681</v>
      </c>
      <c r="BNO1" s="3" t="s">
        <v>1682</v>
      </c>
      <c r="BNP1" s="3" t="s">
        <v>1683</v>
      </c>
      <c r="BNQ1" s="3" t="s">
        <v>1684</v>
      </c>
      <c r="BNR1" s="3" t="s">
        <v>1685</v>
      </c>
      <c r="BNS1" s="3" t="s">
        <v>1686</v>
      </c>
      <c r="BNT1" s="3" t="s">
        <v>1687</v>
      </c>
      <c r="BNU1" s="3" t="s">
        <v>1688</v>
      </c>
      <c r="BNV1" s="3" t="s">
        <v>1689</v>
      </c>
      <c r="BNW1" s="3" t="s">
        <v>1690</v>
      </c>
      <c r="BNX1" s="3" t="s">
        <v>1691</v>
      </c>
      <c r="BNY1" s="3" t="s">
        <v>1692</v>
      </c>
      <c r="BNZ1" s="3" t="s">
        <v>1693</v>
      </c>
      <c r="BOA1" s="3" t="s">
        <v>1694</v>
      </c>
      <c r="BOB1" s="3" t="s">
        <v>1695</v>
      </c>
      <c r="BOC1" s="3" t="s">
        <v>1696</v>
      </c>
      <c r="BOD1" s="3" t="s">
        <v>1697</v>
      </c>
      <c r="BOE1" s="3" t="s">
        <v>1698</v>
      </c>
      <c r="BOF1" s="3" t="s">
        <v>1699</v>
      </c>
      <c r="BOG1" s="3" t="s">
        <v>1700</v>
      </c>
      <c r="BOH1" s="3" t="s">
        <v>1701</v>
      </c>
      <c r="BOI1" s="3" t="s">
        <v>1702</v>
      </c>
      <c r="BOJ1" s="3" t="s">
        <v>1703</v>
      </c>
      <c r="BOK1" s="3" t="s">
        <v>1704</v>
      </c>
      <c r="BOL1" s="3" t="s">
        <v>1705</v>
      </c>
      <c r="BOM1" s="3" t="s">
        <v>1706</v>
      </c>
      <c r="BON1" s="3" t="s">
        <v>1707</v>
      </c>
      <c r="BOO1" s="3" t="s">
        <v>1708</v>
      </c>
      <c r="BOP1" s="3" t="s">
        <v>1709</v>
      </c>
      <c r="BOQ1" s="3" t="s">
        <v>1710</v>
      </c>
      <c r="BOR1" s="3" t="s">
        <v>1711</v>
      </c>
      <c r="BOS1" s="3" t="s">
        <v>1712</v>
      </c>
      <c r="BOT1" s="3" t="s">
        <v>1713</v>
      </c>
      <c r="BOU1" s="3" t="s">
        <v>1714</v>
      </c>
      <c r="BOV1" s="3" t="s">
        <v>1715</v>
      </c>
      <c r="BOW1" s="3" t="s">
        <v>1716</v>
      </c>
      <c r="BOX1" s="3" t="s">
        <v>1717</v>
      </c>
      <c r="BOY1" s="3" t="s">
        <v>1718</v>
      </c>
      <c r="BOZ1" s="3" t="s">
        <v>1719</v>
      </c>
      <c r="BPA1" s="3" t="s">
        <v>1720</v>
      </c>
      <c r="BPB1" s="3" t="s">
        <v>1721</v>
      </c>
      <c r="BPC1" s="3" t="s">
        <v>1722</v>
      </c>
      <c r="BPD1" s="3" t="s">
        <v>1723</v>
      </c>
      <c r="BPE1" s="3" t="s">
        <v>1724</v>
      </c>
      <c r="BPF1" s="3" t="s">
        <v>1725</v>
      </c>
      <c r="BPG1" s="3" t="s">
        <v>1726</v>
      </c>
      <c r="BPH1" s="3" t="s">
        <v>1727</v>
      </c>
      <c r="BPI1" s="3" t="s">
        <v>1728</v>
      </c>
      <c r="BPJ1" s="3" t="s">
        <v>1729</v>
      </c>
      <c r="BPK1" s="3" t="s">
        <v>1730</v>
      </c>
      <c r="BPL1" s="3" t="s">
        <v>1731</v>
      </c>
      <c r="BPM1" s="3" t="s">
        <v>1732</v>
      </c>
      <c r="BPN1" s="3" t="s">
        <v>1733</v>
      </c>
      <c r="BPO1" s="3" t="s">
        <v>1734</v>
      </c>
      <c r="BPP1" s="3" t="s">
        <v>1735</v>
      </c>
      <c r="BPQ1" s="3" t="s">
        <v>1736</v>
      </c>
      <c r="BPR1" s="3" t="s">
        <v>1737</v>
      </c>
      <c r="BPS1" s="3" t="s">
        <v>1738</v>
      </c>
      <c r="BPT1" s="3" t="s">
        <v>1739</v>
      </c>
      <c r="BPU1" s="3" t="s">
        <v>1740</v>
      </c>
      <c r="BPV1" s="3" t="s">
        <v>1741</v>
      </c>
      <c r="BPW1" s="3" t="s">
        <v>1742</v>
      </c>
      <c r="BPX1" s="3" t="s">
        <v>1743</v>
      </c>
      <c r="BPY1" s="3" t="s">
        <v>1744</v>
      </c>
      <c r="BPZ1" s="3" t="s">
        <v>1745</v>
      </c>
      <c r="BQA1" s="3" t="s">
        <v>1746</v>
      </c>
      <c r="BQB1" s="3" t="s">
        <v>1747</v>
      </c>
      <c r="BQC1" s="3" t="s">
        <v>1748</v>
      </c>
      <c r="BQD1" s="3" t="s">
        <v>1749</v>
      </c>
      <c r="BQE1" s="3" t="s">
        <v>1750</v>
      </c>
      <c r="BQF1" s="3" t="s">
        <v>1751</v>
      </c>
      <c r="BQG1" s="3" t="s">
        <v>1752</v>
      </c>
      <c r="BQH1" s="3" t="s">
        <v>1753</v>
      </c>
      <c r="BQI1" s="3" t="s">
        <v>1754</v>
      </c>
      <c r="BQJ1" s="3" t="s">
        <v>1755</v>
      </c>
      <c r="BQK1" s="3" t="s">
        <v>1756</v>
      </c>
      <c r="BQL1" s="3" t="s">
        <v>1757</v>
      </c>
      <c r="BQM1" s="3" t="s">
        <v>1758</v>
      </c>
      <c r="BQN1" s="3" t="s">
        <v>1759</v>
      </c>
      <c r="BQO1" s="3" t="s">
        <v>1760</v>
      </c>
      <c r="BQP1" s="3" t="s">
        <v>1761</v>
      </c>
      <c r="BQQ1" s="3" t="s">
        <v>1762</v>
      </c>
      <c r="BQR1" s="3" t="s">
        <v>1763</v>
      </c>
      <c r="BQS1" s="3" t="s">
        <v>1764</v>
      </c>
      <c r="BQT1" s="3" t="s">
        <v>1765</v>
      </c>
      <c r="BQU1" s="3" t="s">
        <v>1766</v>
      </c>
      <c r="BQV1" s="3" t="s">
        <v>1767</v>
      </c>
      <c r="BQW1" s="3" t="s">
        <v>1768</v>
      </c>
      <c r="BQX1" s="3" t="s">
        <v>1769</v>
      </c>
      <c r="BQY1" s="3" t="s">
        <v>1770</v>
      </c>
      <c r="BQZ1" s="3" t="s">
        <v>1771</v>
      </c>
      <c r="BRA1" s="3" t="s">
        <v>1772</v>
      </c>
      <c r="BRB1" s="3" t="s">
        <v>1773</v>
      </c>
      <c r="BRC1" s="3" t="s">
        <v>1774</v>
      </c>
      <c r="BRD1" s="3" t="s">
        <v>1775</v>
      </c>
      <c r="BRE1" s="3" t="s">
        <v>1776</v>
      </c>
      <c r="BRF1" s="3" t="s">
        <v>1777</v>
      </c>
      <c r="BRG1" s="3" t="s">
        <v>1778</v>
      </c>
      <c r="BRH1" s="3" t="s">
        <v>1779</v>
      </c>
      <c r="BRI1" s="3" t="s">
        <v>1780</v>
      </c>
      <c r="BRJ1" s="3" t="s">
        <v>1781</v>
      </c>
      <c r="BRK1" s="3" t="s">
        <v>1782</v>
      </c>
      <c r="BRL1" s="3" t="s">
        <v>1783</v>
      </c>
      <c r="BRM1" s="3" t="s">
        <v>1784</v>
      </c>
      <c r="BRN1" s="3" t="s">
        <v>1785</v>
      </c>
      <c r="BRO1" s="3" t="s">
        <v>1786</v>
      </c>
      <c r="BRP1" s="3" t="s">
        <v>1787</v>
      </c>
      <c r="BRQ1" s="3" t="s">
        <v>1788</v>
      </c>
      <c r="BRR1" s="3" t="s">
        <v>1789</v>
      </c>
      <c r="BRS1" s="3" t="s">
        <v>1790</v>
      </c>
      <c r="BRT1" s="3" t="s">
        <v>1791</v>
      </c>
      <c r="BRU1" s="3" t="s">
        <v>1792</v>
      </c>
      <c r="BRV1" s="3" t="s">
        <v>1793</v>
      </c>
      <c r="BRW1" s="3" t="s">
        <v>1794</v>
      </c>
      <c r="BRX1" s="3" t="s">
        <v>1795</v>
      </c>
      <c r="BRY1" s="3" t="s">
        <v>1796</v>
      </c>
      <c r="BRZ1" s="3" t="s">
        <v>1797</v>
      </c>
      <c r="BSA1" s="3" t="s">
        <v>1798</v>
      </c>
      <c r="BSB1" s="3" t="s">
        <v>1799</v>
      </c>
      <c r="BSC1" s="3" t="s">
        <v>1800</v>
      </c>
      <c r="BSD1" s="3" t="s">
        <v>1801</v>
      </c>
      <c r="BSE1" s="3" t="s">
        <v>1802</v>
      </c>
      <c r="BSF1" s="3" t="s">
        <v>1803</v>
      </c>
      <c r="BSG1" s="3" t="s">
        <v>1804</v>
      </c>
      <c r="BSH1" s="3" t="s">
        <v>1805</v>
      </c>
      <c r="BSI1" s="3" t="s">
        <v>1806</v>
      </c>
      <c r="BSJ1" s="3" t="s">
        <v>1807</v>
      </c>
      <c r="BSK1" s="3" t="s">
        <v>1808</v>
      </c>
      <c r="BSL1" s="3" t="s">
        <v>1809</v>
      </c>
      <c r="BSM1" s="3" t="s">
        <v>1810</v>
      </c>
      <c r="BSN1" s="3" t="s">
        <v>1811</v>
      </c>
      <c r="BSO1" s="3" t="s">
        <v>1812</v>
      </c>
      <c r="BSP1" s="3" t="s">
        <v>1813</v>
      </c>
      <c r="BSQ1" s="3" t="s">
        <v>1814</v>
      </c>
      <c r="BSR1" s="3" t="s">
        <v>1815</v>
      </c>
      <c r="BSS1" s="3" t="s">
        <v>1816</v>
      </c>
      <c r="BST1" s="3" t="s">
        <v>1817</v>
      </c>
      <c r="BSU1" s="3" t="s">
        <v>1818</v>
      </c>
      <c r="BSV1" s="3" t="s">
        <v>1819</v>
      </c>
      <c r="BSW1" s="3" t="s">
        <v>1820</v>
      </c>
      <c r="BSX1" s="3" t="s">
        <v>1821</v>
      </c>
      <c r="BSY1" s="3" t="s">
        <v>1822</v>
      </c>
      <c r="BSZ1" s="3" t="s">
        <v>1823</v>
      </c>
      <c r="BTA1" s="3" t="s">
        <v>1824</v>
      </c>
      <c r="BTB1" s="3" t="s">
        <v>1825</v>
      </c>
      <c r="BTC1" s="3" t="s">
        <v>1826</v>
      </c>
      <c r="BTD1" s="3" t="s">
        <v>1827</v>
      </c>
      <c r="BTE1" s="3" t="s">
        <v>1828</v>
      </c>
      <c r="BTF1" s="3" t="s">
        <v>1829</v>
      </c>
      <c r="BTG1" s="3" t="s">
        <v>1830</v>
      </c>
      <c r="BTH1" s="3" t="s">
        <v>1831</v>
      </c>
      <c r="BTI1" s="3" t="s">
        <v>1832</v>
      </c>
      <c r="BTJ1" s="3" t="s">
        <v>1833</v>
      </c>
      <c r="BTK1" s="3" t="s">
        <v>1834</v>
      </c>
      <c r="BTL1" s="3" t="s">
        <v>1835</v>
      </c>
      <c r="BTM1" s="3" t="s">
        <v>1836</v>
      </c>
      <c r="BTN1" s="3" t="s">
        <v>1837</v>
      </c>
      <c r="BTO1" s="3" t="s">
        <v>1838</v>
      </c>
      <c r="BTP1" s="3" t="s">
        <v>1839</v>
      </c>
      <c r="BTQ1" s="3" t="s">
        <v>1840</v>
      </c>
      <c r="BTR1" s="3" t="s">
        <v>1841</v>
      </c>
      <c r="BTS1" s="3" t="s">
        <v>1842</v>
      </c>
      <c r="BTT1" s="3" t="s">
        <v>1843</v>
      </c>
      <c r="BTU1" s="3" t="s">
        <v>1844</v>
      </c>
      <c r="BTV1" s="3" t="s">
        <v>1845</v>
      </c>
      <c r="BTW1" s="3" t="s">
        <v>1846</v>
      </c>
      <c r="BTX1" s="3" t="s">
        <v>1847</v>
      </c>
      <c r="BTY1" s="3" t="s">
        <v>1848</v>
      </c>
      <c r="BTZ1" s="3" t="s">
        <v>1849</v>
      </c>
      <c r="BUA1" s="3" t="s">
        <v>1850</v>
      </c>
      <c r="BUB1" s="3" t="s">
        <v>1851</v>
      </c>
      <c r="BUC1" s="3" t="s">
        <v>1852</v>
      </c>
      <c r="BUD1" s="3" t="s">
        <v>1853</v>
      </c>
      <c r="BUE1" s="3" t="s">
        <v>1854</v>
      </c>
      <c r="BUF1" s="3" t="s">
        <v>1855</v>
      </c>
      <c r="BUG1" s="3" t="s">
        <v>1856</v>
      </c>
      <c r="BUH1" s="3" t="s">
        <v>1857</v>
      </c>
      <c r="BUI1" s="3" t="s">
        <v>1858</v>
      </c>
      <c r="BUJ1" s="3" t="s">
        <v>1859</v>
      </c>
      <c r="BUK1" s="3" t="s">
        <v>1860</v>
      </c>
      <c r="BUL1" s="3" t="s">
        <v>1861</v>
      </c>
      <c r="BUM1" s="3" t="s">
        <v>1862</v>
      </c>
      <c r="BUN1" s="3" t="s">
        <v>1863</v>
      </c>
      <c r="BUO1" s="3" t="s">
        <v>1864</v>
      </c>
      <c r="BUP1" s="3" t="s">
        <v>1865</v>
      </c>
      <c r="BUQ1" s="3" t="s">
        <v>1866</v>
      </c>
      <c r="BUR1" s="3" t="s">
        <v>1867</v>
      </c>
      <c r="BUS1" s="3" t="s">
        <v>1868</v>
      </c>
      <c r="BUT1" s="3" t="s">
        <v>1869</v>
      </c>
      <c r="BUU1" s="3" t="s">
        <v>1870</v>
      </c>
      <c r="BUV1" s="3" t="s">
        <v>1871</v>
      </c>
      <c r="BUW1" s="3" t="s">
        <v>1872</v>
      </c>
      <c r="BUX1" s="3" t="s">
        <v>1873</v>
      </c>
      <c r="BUY1" s="3" t="s">
        <v>1874</v>
      </c>
      <c r="BUZ1" s="3" t="s">
        <v>1875</v>
      </c>
      <c r="BVA1" s="3" t="s">
        <v>1876</v>
      </c>
      <c r="BVB1" s="3" t="s">
        <v>1877</v>
      </c>
      <c r="BVC1" s="3" t="s">
        <v>1878</v>
      </c>
      <c r="BVD1" s="3" t="s">
        <v>1879</v>
      </c>
      <c r="BVE1" s="3" t="s">
        <v>1880</v>
      </c>
      <c r="BVF1" s="3" t="s">
        <v>1881</v>
      </c>
      <c r="BVG1" s="3" t="s">
        <v>1882</v>
      </c>
      <c r="BVH1" s="3" t="s">
        <v>1883</v>
      </c>
      <c r="BVI1" s="3" t="s">
        <v>1884</v>
      </c>
      <c r="BVJ1" s="3" t="s">
        <v>1885</v>
      </c>
      <c r="BVK1" s="3" t="s">
        <v>1886</v>
      </c>
      <c r="BVL1" s="3" t="s">
        <v>1887</v>
      </c>
      <c r="BVM1" s="3" t="s">
        <v>1888</v>
      </c>
      <c r="BVN1" s="3" t="s">
        <v>1889</v>
      </c>
      <c r="BVO1" s="3" t="s">
        <v>1890</v>
      </c>
      <c r="BVP1" s="3" t="s">
        <v>1891</v>
      </c>
      <c r="BVQ1" s="3" t="s">
        <v>1892</v>
      </c>
      <c r="BVR1" s="3" t="s">
        <v>1893</v>
      </c>
      <c r="BVS1" s="3" t="s">
        <v>1894</v>
      </c>
      <c r="BVT1" s="3" t="s">
        <v>1895</v>
      </c>
      <c r="BVU1" s="3" t="s">
        <v>1896</v>
      </c>
      <c r="BVV1" s="3" t="s">
        <v>1897</v>
      </c>
      <c r="BVW1" s="3" t="s">
        <v>1898</v>
      </c>
      <c r="BVX1" s="3" t="s">
        <v>1899</v>
      </c>
      <c r="BVY1" s="3" t="s">
        <v>1900</v>
      </c>
      <c r="BVZ1" s="3" t="s">
        <v>1901</v>
      </c>
      <c r="BWA1" s="3" t="s">
        <v>1902</v>
      </c>
      <c r="BWB1" s="3" t="s">
        <v>1903</v>
      </c>
      <c r="BWC1" s="3" t="s">
        <v>1904</v>
      </c>
      <c r="BWD1" s="3" t="s">
        <v>1905</v>
      </c>
      <c r="BWE1" s="3" t="s">
        <v>1906</v>
      </c>
      <c r="BWF1" s="3" t="s">
        <v>1907</v>
      </c>
      <c r="BWG1" s="3" t="s">
        <v>1908</v>
      </c>
      <c r="BWH1" s="3" t="s">
        <v>1909</v>
      </c>
      <c r="BWI1" s="3" t="s">
        <v>1910</v>
      </c>
      <c r="BWJ1" s="3" t="s">
        <v>1911</v>
      </c>
      <c r="BWK1" s="3" t="s">
        <v>1912</v>
      </c>
      <c r="BWL1" s="3" t="s">
        <v>1913</v>
      </c>
      <c r="BWM1" s="3" t="s">
        <v>1914</v>
      </c>
      <c r="BWN1" s="3" t="s">
        <v>1915</v>
      </c>
      <c r="BWO1" s="3" t="s">
        <v>1916</v>
      </c>
      <c r="BWP1" s="3" t="s">
        <v>1917</v>
      </c>
      <c r="BWQ1" s="3" t="s">
        <v>1918</v>
      </c>
      <c r="BWR1" s="3" t="s">
        <v>1919</v>
      </c>
      <c r="BWS1" s="3" t="s">
        <v>1920</v>
      </c>
      <c r="BWT1" s="3" t="s">
        <v>1921</v>
      </c>
      <c r="BWU1" s="3" t="s">
        <v>1922</v>
      </c>
      <c r="BWV1" s="3" t="s">
        <v>1923</v>
      </c>
      <c r="BWW1" s="3" t="s">
        <v>1924</v>
      </c>
      <c r="BWX1" s="3" t="s">
        <v>1925</v>
      </c>
      <c r="BWY1" s="3" t="s">
        <v>1926</v>
      </c>
      <c r="BWZ1" s="3" t="s">
        <v>1927</v>
      </c>
      <c r="BXA1" s="3" t="s">
        <v>1928</v>
      </c>
      <c r="BXB1" s="3" t="s">
        <v>1929</v>
      </c>
      <c r="BXC1" s="3" t="s">
        <v>1930</v>
      </c>
      <c r="BXD1" s="3" t="s">
        <v>1931</v>
      </c>
      <c r="BXE1" s="3" t="s">
        <v>1932</v>
      </c>
      <c r="BXF1" s="3" t="s">
        <v>1933</v>
      </c>
      <c r="BXG1" s="3" t="s">
        <v>1934</v>
      </c>
      <c r="BXH1" s="3" t="s">
        <v>1935</v>
      </c>
      <c r="BXI1" s="3" t="s">
        <v>1936</v>
      </c>
      <c r="BXJ1" s="3" t="s">
        <v>1937</v>
      </c>
      <c r="BXK1" s="3" t="s">
        <v>1938</v>
      </c>
      <c r="BXL1" s="3" t="s">
        <v>1939</v>
      </c>
      <c r="BXM1" s="3" t="s">
        <v>1940</v>
      </c>
      <c r="BXN1" s="3" t="s">
        <v>1941</v>
      </c>
      <c r="BXO1" s="3" t="s">
        <v>1942</v>
      </c>
      <c r="BXP1" s="3" t="s">
        <v>1943</v>
      </c>
      <c r="BXQ1" s="3" t="s">
        <v>1944</v>
      </c>
      <c r="BXR1" s="3" t="s">
        <v>1945</v>
      </c>
      <c r="BXS1" s="3" t="s">
        <v>1946</v>
      </c>
      <c r="BXT1" s="3" t="s">
        <v>1947</v>
      </c>
      <c r="BXU1" s="3" t="s">
        <v>1948</v>
      </c>
      <c r="BXV1" s="3" t="s">
        <v>1949</v>
      </c>
      <c r="BXW1" s="3" t="s">
        <v>1950</v>
      </c>
      <c r="BXX1" s="3" t="s">
        <v>1951</v>
      </c>
      <c r="BXY1" s="3" t="s">
        <v>1952</v>
      </c>
      <c r="BXZ1" s="3" t="s">
        <v>1953</v>
      </c>
      <c r="BYA1" s="3" t="s">
        <v>1954</v>
      </c>
      <c r="BYB1" s="3" t="s">
        <v>1955</v>
      </c>
      <c r="BYC1" s="3" t="s">
        <v>1956</v>
      </c>
      <c r="BYD1" s="3" t="s">
        <v>1957</v>
      </c>
      <c r="BYE1" s="3" t="s">
        <v>1958</v>
      </c>
      <c r="BYF1" s="3" t="s">
        <v>1959</v>
      </c>
      <c r="BYG1" s="3" t="s">
        <v>1960</v>
      </c>
      <c r="BYH1" s="3" t="s">
        <v>1961</v>
      </c>
      <c r="BYI1" s="3" t="s">
        <v>1962</v>
      </c>
      <c r="BYJ1" s="3" t="s">
        <v>1963</v>
      </c>
      <c r="BYK1" s="3" t="s">
        <v>1964</v>
      </c>
      <c r="BYL1" s="3" t="s">
        <v>1965</v>
      </c>
      <c r="BYM1" s="3" t="s">
        <v>1966</v>
      </c>
      <c r="BYN1" s="3" t="s">
        <v>1967</v>
      </c>
      <c r="BYO1" s="3" t="s">
        <v>1968</v>
      </c>
      <c r="BYP1" s="3" t="s">
        <v>1969</v>
      </c>
      <c r="BYQ1" s="3" t="s">
        <v>1970</v>
      </c>
      <c r="BYR1" s="3" t="s">
        <v>1971</v>
      </c>
      <c r="BYS1" s="3" t="s">
        <v>1972</v>
      </c>
      <c r="BYT1" s="3" t="s">
        <v>1973</v>
      </c>
      <c r="BYU1" s="3" t="s">
        <v>1974</v>
      </c>
      <c r="BYV1" s="3" t="s">
        <v>1975</v>
      </c>
      <c r="BYW1" s="3" t="s">
        <v>1976</v>
      </c>
      <c r="BYX1" s="3" t="s">
        <v>1977</v>
      </c>
      <c r="BYY1" s="3" t="s">
        <v>1978</v>
      </c>
      <c r="BYZ1" s="3" t="s">
        <v>1979</v>
      </c>
      <c r="BZA1" s="3" t="s">
        <v>1980</v>
      </c>
      <c r="BZB1" s="3" t="s">
        <v>1981</v>
      </c>
      <c r="BZC1" s="3" t="s">
        <v>1982</v>
      </c>
      <c r="BZD1" s="3" t="s">
        <v>1983</v>
      </c>
      <c r="BZE1" s="3" t="s">
        <v>1984</v>
      </c>
      <c r="BZF1" s="3" t="s">
        <v>1985</v>
      </c>
      <c r="BZG1" s="3" t="s">
        <v>1986</v>
      </c>
      <c r="BZH1" s="3" t="s">
        <v>1987</v>
      </c>
      <c r="BZI1" s="3" t="s">
        <v>1988</v>
      </c>
      <c r="BZJ1" s="3" t="s">
        <v>1989</v>
      </c>
      <c r="BZK1" s="3" t="s">
        <v>1990</v>
      </c>
      <c r="BZL1" s="3" t="s">
        <v>1991</v>
      </c>
      <c r="BZM1" s="3" t="s">
        <v>1992</v>
      </c>
      <c r="BZN1" s="3" t="s">
        <v>1993</v>
      </c>
      <c r="BZO1" s="3" t="s">
        <v>1994</v>
      </c>
      <c r="BZP1" s="3" t="s">
        <v>1995</v>
      </c>
      <c r="BZQ1" s="3" t="s">
        <v>1996</v>
      </c>
      <c r="BZR1" s="3" t="s">
        <v>1997</v>
      </c>
      <c r="BZS1" s="3" t="s">
        <v>1998</v>
      </c>
      <c r="BZT1" s="3" t="s">
        <v>1999</v>
      </c>
      <c r="BZU1" s="3" t="s">
        <v>2000</v>
      </c>
      <c r="BZV1" s="3" t="s">
        <v>2001</v>
      </c>
      <c r="BZW1" s="3" t="s">
        <v>2002</v>
      </c>
      <c r="BZX1" s="3" t="s">
        <v>2003</v>
      </c>
      <c r="BZY1" s="3" t="s">
        <v>2004</v>
      </c>
      <c r="BZZ1" s="3" t="s">
        <v>2005</v>
      </c>
      <c r="CAA1" s="3" t="s">
        <v>2006</v>
      </c>
      <c r="CAB1" s="3" t="s">
        <v>2007</v>
      </c>
      <c r="CAC1" s="3" t="s">
        <v>2008</v>
      </c>
      <c r="CAD1" s="3" t="s">
        <v>2009</v>
      </c>
      <c r="CAE1" s="3" t="s">
        <v>2010</v>
      </c>
      <c r="CAF1" s="3" t="s">
        <v>2011</v>
      </c>
      <c r="CAG1" s="3" t="s">
        <v>2012</v>
      </c>
      <c r="CAH1" s="3" t="s">
        <v>2013</v>
      </c>
      <c r="CAI1" s="3" t="s">
        <v>2014</v>
      </c>
      <c r="CAJ1" s="3" t="s">
        <v>2015</v>
      </c>
      <c r="CAK1" s="3" t="s">
        <v>2016</v>
      </c>
      <c r="CAL1" s="3" t="s">
        <v>2017</v>
      </c>
      <c r="CAM1" s="3" t="s">
        <v>2018</v>
      </c>
      <c r="CAN1" s="3" t="s">
        <v>2019</v>
      </c>
      <c r="CAO1" s="3" t="s">
        <v>2020</v>
      </c>
      <c r="CAP1" s="3" t="s">
        <v>2021</v>
      </c>
      <c r="CAQ1" s="3" t="s">
        <v>2022</v>
      </c>
      <c r="CAR1" s="3" t="s">
        <v>2023</v>
      </c>
      <c r="CAS1" s="3" t="s">
        <v>2024</v>
      </c>
      <c r="CAT1" s="3" t="s">
        <v>2025</v>
      </c>
      <c r="CAU1" s="3" t="s">
        <v>2026</v>
      </c>
      <c r="CAV1" s="3" t="s">
        <v>2027</v>
      </c>
      <c r="CAW1" s="3" t="s">
        <v>2028</v>
      </c>
      <c r="CAX1" s="3" t="s">
        <v>2029</v>
      </c>
      <c r="CAY1" s="3" t="s">
        <v>2030</v>
      </c>
      <c r="CAZ1" s="3" t="s">
        <v>2031</v>
      </c>
      <c r="CBA1" s="3" t="s">
        <v>2032</v>
      </c>
      <c r="CBB1" s="3" t="s">
        <v>2033</v>
      </c>
      <c r="CBC1" s="3" t="s">
        <v>2034</v>
      </c>
      <c r="CBD1" s="3" t="s">
        <v>2035</v>
      </c>
      <c r="CBE1" s="3" t="s">
        <v>2036</v>
      </c>
      <c r="CBF1" s="3" t="s">
        <v>2037</v>
      </c>
      <c r="CBG1" s="3" t="s">
        <v>2038</v>
      </c>
      <c r="CBH1" s="3" t="s">
        <v>2039</v>
      </c>
      <c r="CBI1" s="3" t="s">
        <v>2040</v>
      </c>
      <c r="CBJ1" s="3" t="s">
        <v>2041</v>
      </c>
      <c r="CBK1" s="3" t="s">
        <v>2042</v>
      </c>
      <c r="CBL1" s="3" t="s">
        <v>2043</v>
      </c>
      <c r="CBM1" s="3" t="s">
        <v>2044</v>
      </c>
      <c r="CBN1" s="3" t="s">
        <v>2045</v>
      </c>
      <c r="CBO1" s="3" t="s">
        <v>2046</v>
      </c>
      <c r="CBP1" s="3" t="s">
        <v>2047</v>
      </c>
      <c r="CBQ1" s="3" t="s">
        <v>2048</v>
      </c>
      <c r="CBR1" s="3" t="s">
        <v>2049</v>
      </c>
      <c r="CBS1" s="3" t="s">
        <v>2050</v>
      </c>
      <c r="CBT1" s="3" t="s">
        <v>2051</v>
      </c>
      <c r="CBU1" s="3" t="s">
        <v>2052</v>
      </c>
      <c r="CBV1" s="3" t="s">
        <v>2053</v>
      </c>
      <c r="CBW1" s="3" t="s">
        <v>2054</v>
      </c>
      <c r="CBX1" s="3" t="s">
        <v>2055</v>
      </c>
      <c r="CBY1" s="3" t="s">
        <v>2056</v>
      </c>
      <c r="CBZ1" s="3" t="s">
        <v>2057</v>
      </c>
      <c r="CCA1" s="3" t="s">
        <v>2058</v>
      </c>
      <c r="CCB1" s="3" t="s">
        <v>2059</v>
      </c>
      <c r="CCC1" s="3" t="s">
        <v>2060</v>
      </c>
      <c r="CCD1" s="3" t="s">
        <v>2061</v>
      </c>
      <c r="CCE1" s="3" t="s">
        <v>2062</v>
      </c>
      <c r="CCF1" s="3" t="s">
        <v>2063</v>
      </c>
      <c r="CCG1" s="3" t="s">
        <v>2064</v>
      </c>
      <c r="CCH1" s="3" t="s">
        <v>2065</v>
      </c>
      <c r="CCI1" s="3" t="s">
        <v>2066</v>
      </c>
      <c r="CCJ1" s="3" t="s">
        <v>2067</v>
      </c>
      <c r="CCK1" s="3" t="s">
        <v>2068</v>
      </c>
      <c r="CCL1" s="3" t="s">
        <v>2069</v>
      </c>
      <c r="CCM1" s="3" t="s">
        <v>2070</v>
      </c>
      <c r="CCN1" s="3" t="s">
        <v>2071</v>
      </c>
      <c r="CCO1" s="3" t="s">
        <v>2072</v>
      </c>
      <c r="CCP1" s="3" t="s">
        <v>2073</v>
      </c>
      <c r="CCQ1" s="3" t="s">
        <v>2074</v>
      </c>
      <c r="CCR1" s="3" t="s">
        <v>2075</v>
      </c>
      <c r="CCS1" s="3" t="s">
        <v>2076</v>
      </c>
      <c r="CCT1" s="3" t="s">
        <v>2077</v>
      </c>
      <c r="CCU1" s="3" t="s">
        <v>2078</v>
      </c>
      <c r="CCV1" s="3" t="s">
        <v>2079</v>
      </c>
      <c r="CCW1" s="3" t="s">
        <v>2080</v>
      </c>
      <c r="CCX1" s="3" t="s">
        <v>2081</v>
      </c>
      <c r="CCY1" s="3" t="s">
        <v>2082</v>
      </c>
      <c r="CCZ1" s="3" t="s">
        <v>2083</v>
      </c>
      <c r="CDA1" s="3" t="s">
        <v>2084</v>
      </c>
      <c r="CDB1" s="3" t="s">
        <v>2085</v>
      </c>
      <c r="CDC1" s="3" t="s">
        <v>2086</v>
      </c>
      <c r="CDD1" s="3" t="s">
        <v>2087</v>
      </c>
      <c r="CDE1" s="3" t="s">
        <v>2088</v>
      </c>
      <c r="CDF1" s="3" t="s">
        <v>2089</v>
      </c>
      <c r="CDG1" s="3" t="s">
        <v>2090</v>
      </c>
      <c r="CDH1" s="3" t="s">
        <v>2091</v>
      </c>
      <c r="CDI1" s="3" t="s">
        <v>2092</v>
      </c>
      <c r="CDJ1" s="3" t="s">
        <v>2093</v>
      </c>
      <c r="CDK1" s="3" t="s">
        <v>2094</v>
      </c>
      <c r="CDL1" s="3" t="s">
        <v>2095</v>
      </c>
      <c r="CDM1" s="3" t="s">
        <v>2096</v>
      </c>
      <c r="CDN1" s="3" t="s">
        <v>2097</v>
      </c>
      <c r="CDO1" s="3" t="s">
        <v>2098</v>
      </c>
      <c r="CDP1" s="3" t="s">
        <v>2099</v>
      </c>
      <c r="CDQ1" s="3" t="s">
        <v>2100</v>
      </c>
      <c r="CDR1" s="3" t="s">
        <v>2101</v>
      </c>
      <c r="CDS1" s="3" t="s">
        <v>2102</v>
      </c>
      <c r="CDT1" s="3" t="s">
        <v>2103</v>
      </c>
      <c r="CDU1" s="3" t="s">
        <v>2104</v>
      </c>
      <c r="CDV1" s="3" t="s">
        <v>2105</v>
      </c>
      <c r="CDW1" s="3" t="s">
        <v>2106</v>
      </c>
      <c r="CDX1" s="3" t="s">
        <v>2107</v>
      </c>
      <c r="CDY1" s="3" t="s">
        <v>2108</v>
      </c>
      <c r="CDZ1" s="3" t="s">
        <v>2109</v>
      </c>
      <c r="CEA1" s="3" t="s">
        <v>2110</v>
      </c>
      <c r="CEB1" s="3" t="s">
        <v>2111</v>
      </c>
      <c r="CEC1" s="3" t="s">
        <v>2112</v>
      </c>
      <c r="CED1" s="3" t="s">
        <v>2113</v>
      </c>
      <c r="CEE1" s="3" t="s">
        <v>2114</v>
      </c>
      <c r="CEF1" s="3" t="s">
        <v>2115</v>
      </c>
      <c r="CEG1" s="3" t="s">
        <v>2116</v>
      </c>
      <c r="CEH1" s="3" t="s">
        <v>2117</v>
      </c>
      <c r="CEI1" s="3" t="s">
        <v>2118</v>
      </c>
      <c r="CEJ1" s="3" t="s">
        <v>2119</v>
      </c>
      <c r="CEK1" s="3" t="s">
        <v>2120</v>
      </c>
      <c r="CEL1" s="3" t="s">
        <v>2121</v>
      </c>
      <c r="CEM1" s="3" t="s">
        <v>2122</v>
      </c>
      <c r="CEN1" s="3" t="s">
        <v>2123</v>
      </c>
      <c r="CEO1" s="3" t="s">
        <v>2124</v>
      </c>
      <c r="CEP1" s="3" t="s">
        <v>2125</v>
      </c>
      <c r="CEQ1" s="3" t="s">
        <v>2126</v>
      </c>
      <c r="CER1" s="3" t="s">
        <v>2127</v>
      </c>
      <c r="CES1" s="3" t="s">
        <v>2128</v>
      </c>
      <c r="CET1" s="3" t="s">
        <v>2129</v>
      </c>
      <c r="CEU1" s="3" t="s">
        <v>2130</v>
      </c>
      <c r="CEV1" s="3" t="s">
        <v>2131</v>
      </c>
      <c r="CEW1" s="3" t="s">
        <v>2132</v>
      </c>
      <c r="CEX1" s="3" t="s">
        <v>2133</v>
      </c>
      <c r="CEY1" s="3" t="s">
        <v>2134</v>
      </c>
      <c r="CEZ1" s="3" t="s">
        <v>2135</v>
      </c>
      <c r="CFA1" s="3" t="s">
        <v>2136</v>
      </c>
      <c r="CFB1" s="3" t="s">
        <v>2137</v>
      </c>
      <c r="CFC1" s="3" t="s">
        <v>2138</v>
      </c>
      <c r="CFD1" s="3" t="s">
        <v>2139</v>
      </c>
      <c r="CFE1" s="3" t="s">
        <v>2140</v>
      </c>
      <c r="CFF1" s="3" t="s">
        <v>2141</v>
      </c>
      <c r="CFG1" s="3" t="s">
        <v>2142</v>
      </c>
      <c r="CFH1" s="3" t="s">
        <v>2143</v>
      </c>
      <c r="CFI1" s="3" t="s">
        <v>2144</v>
      </c>
      <c r="CFJ1" s="3" t="s">
        <v>2145</v>
      </c>
      <c r="CFK1" s="3" t="s">
        <v>2146</v>
      </c>
      <c r="CFL1" s="3" t="s">
        <v>2147</v>
      </c>
      <c r="CFM1" s="3" t="s">
        <v>2148</v>
      </c>
      <c r="CFN1" s="3" t="s">
        <v>2149</v>
      </c>
      <c r="CFO1" s="3" t="s">
        <v>2150</v>
      </c>
      <c r="CFP1" s="3" t="s">
        <v>2151</v>
      </c>
      <c r="CFQ1" s="3" t="s">
        <v>2152</v>
      </c>
      <c r="CFR1" s="3" t="s">
        <v>2153</v>
      </c>
      <c r="CFS1" s="3" t="s">
        <v>2154</v>
      </c>
      <c r="CFT1" s="3" t="s">
        <v>2155</v>
      </c>
      <c r="CFU1" s="3" t="s">
        <v>2156</v>
      </c>
      <c r="CFV1" s="3" t="s">
        <v>2157</v>
      </c>
      <c r="CFW1" s="3" t="s">
        <v>2158</v>
      </c>
      <c r="CFX1" s="3" t="s">
        <v>2159</v>
      </c>
      <c r="CFY1" s="3" t="s">
        <v>2160</v>
      </c>
      <c r="CFZ1" s="3" t="s">
        <v>2161</v>
      </c>
      <c r="CGA1" s="3" t="s">
        <v>2162</v>
      </c>
      <c r="CGB1" s="3" t="s">
        <v>2163</v>
      </c>
      <c r="CGC1" s="3" t="s">
        <v>2164</v>
      </c>
      <c r="CGD1" s="3" t="s">
        <v>2165</v>
      </c>
      <c r="CGE1" s="3" t="s">
        <v>2166</v>
      </c>
      <c r="CGF1" s="3" t="s">
        <v>2167</v>
      </c>
      <c r="CGG1" s="3" t="s">
        <v>2168</v>
      </c>
      <c r="CGH1" s="3" t="s">
        <v>2169</v>
      </c>
      <c r="CGI1" s="3" t="s">
        <v>2170</v>
      </c>
      <c r="CGJ1" s="3" t="s">
        <v>2171</v>
      </c>
      <c r="CGK1" s="3" t="s">
        <v>2172</v>
      </c>
      <c r="CGL1" s="3" t="s">
        <v>2173</v>
      </c>
      <c r="CGM1" s="3" t="s">
        <v>2174</v>
      </c>
      <c r="CGN1" s="3" t="s">
        <v>2175</v>
      </c>
      <c r="CGO1" s="3" t="s">
        <v>2176</v>
      </c>
      <c r="CGP1" s="3" t="s">
        <v>2177</v>
      </c>
      <c r="CGQ1" s="3" t="s">
        <v>2178</v>
      </c>
      <c r="CGR1" s="3" t="s">
        <v>2179</v>
      </c>
      <c r="CGS1" s="3" t="s">
        <v>2180</v>
      </c>
      <c r="CGT1" s="3" t="s">
        <v>2181</v>
      </c>
      <c r="CGU1" s="3" t="s">
        <v>2182</v>
      </c>
      <c r="CGV1" s="3" t="s">
        <v>2183</v>
      </c>
      <c r="CGW1" s="3" t="s">
        <v>2184</v>
      </c>
      <c r="CGX1" s="3" t="s">
        <v>2185</v>
      </c>
      <c r="CGY1" s="3" t="s">
        <v>2186</v>
      </c>
      <c r="CGZ1" s="3" t="s">
        <v>2187</v>
      </c>
      <c r="CHA1" s="3" t="s">
        <v>2188</v>
      </c>
      <c r="CHB1" s="3" t="s">
        <v>2189</v>
      </c>
      <c r="CHC1" s="3" t="s">
        <v>2190</v>
      </c>
      <c r="CHD1" s="3" t="s">
        <v>2191</v>
      </c>
      <c r="CHE1" s="3" t="s">
        <v>2192</v>
      </c>
      <c r="CHF1" s="3" t="s">
        <v>2193</v>
      </c>
      <c r="CHG1" s="3" t="s">
        <v>2194</v>
      </c>
      <c r="CHH1" s="3" t="s">
        <v>2195</v>
      </c>
      <c r="CHI1" s="3" t="s">
        <v>2196</v>
      </c>
      <c r="CHJ1" s="3" t="s">
        <v>2197</v>
      </c>
      <c r="CHK1" s="3" t="s">
        <v>2198</v>
      </c>
      <c r="CHL1" s="3" t="s">
        <v>2199</v>
      </c>
      <c r="CHM1" s="3" t="s">
        <v>2200</v>
      </c>
      <c r="CHN1" s="3" t="s">
        <v>2201</v>
      </c>
      <c r="CHO1" s="3" t="s">
        <v>2202</v>
      </c>
      <c r="CHP1" s="3" t="s">
        <v>2203</v>
      </c>
      <c r="CHQ1" s="3" t="s">
        <v>2204</v>
      </c>
      <c r="CHR1" s="3" t="s">
        <v>2205</v>
      </c>
      <c r="CHS1" s="3" t="s">
        <v>2206</v>
      </c>
      <c r="CHT1" s="3" t="s">
        <v>2207</v>
      </c>
      <c r="CHU1" s="3" t="s">
        <v>2208</v>
      </c>
      <c r="CHV1" s="3" t="s">
        <v>2209</v>
      </c>
      <c r="CHW1" s="3" t="s">
        <v>2210</v>
      </c>
      <c r="CHX1" s="3" t="s">
        <v>2211</v>
      </c>
      <c r="CHY1" s="3" t="s">
        <v>2212</v>
      </c>
      <c r="CHZ1" s="3" t="s">
        <v>2213</v>
      </c>
      <c r="CIA1" s="3" t="s">
        <v>2214</v>
      </c>
      <c r="CIB1" s="3" t="s">
        <v>2215</v>
      </c>
      <c r="CIC1" s="3" t="s">
        <v>2216</v>
      </c>
      <c r="CID1" s="3" t="s">
        <v>2217</v>
      </c>
      <c r="CIE1" s="3" t="s">
        <v>2218</v>
      </c>
      <c r="CIF1" s="3" t="s">
        <v>2219</v>
      </c>
      <c r="CIG1" s="3" t="s">
        <v>2220</v>
      </c>
      <c r="CIH1" s="3" t="s">
        <v>2221</v>
      </c>
      <c r="CII1" s="3" t="s">
        <v>2222</v>
      </c>
      <c r="CIJ1" s="3" t="s">
        <v>2223</v>
      </c>
      <c r="CIK1" s="3" t="s">
        <v>2224</v>
      </c>
      <c r="CIL1" s="3" t="s">
        <v>2225</v>
      </c>
      <c r="CIM1" s="3" t="s">
        <v>2226</v>
      </c>
      <c r="CIN1" s="3" t="s">
        <v>2227</v>
      </c>
      <c r="CIO1" s="3" t="s">
        <v>2228</v>
      </c>
      <c r="CIP1" s="3" t="s">
        <v>2229</v>
      </c>
      <c r="CIQ1" s="3" t="s">
        <v>2230</v>
      </c>
      <c r="CIR1" s="3" t="s">
        <v>2231</v>
      </c>
      <c r="CIS1" s="3" t="s">
        <v>2232</v>
      </c>
      <c r="CIT1" s="3" t="s">
        <v>2233</v>
      </c>
      <c r="CIU1" s="3" t="s">
        <v>2234</v>
      </c>
      <c r="CIV1" s="3" t="s">
        <v>2235</v>
      </c>
      <c r="CIW1" s="3" t="s">
        <v>2236</v>
      </c>
      <c r="CIX1" s="3" t="s">
        <v>2237</v>
      </c>
      <c r="CIY1" s="3" t="s">
        <v>2238</v>
      </c>
      <c r="CIZ1" s="3" t="s">
        <v>2239</v>
      </c>
      <c r="CJA1" s="3" t="s">
        <v>2240</v>
      </c>
      <c r="CJB1" s="3" t="s">
        <v>2241</v>
      </c>
      <c r="CJC1" s="3" t="s">
        <v>2242</v>
      </c>
      <c r="CJD1" s="3" t="s">
        <v>2243</v>
      </c>
      <c r="CJE1" s="3" t="s">
        <v>2244</v>
      </c>
      <c r="CJF1" s="3" t="s">
        <v>2245</v>
      </c>
      <c r="CJG1" s="3" t="s">
        <v>2246</v>
      </c>
      <c r="CJH1" s="3" t="s">
        <v>2247</v>
      </c>
      <c r="CJI1" s="3" t="s">
        <v>2248</v>
      </c>
      <c r="CJJ1" s="3" t="s">
        <v>2249</v>
      </c>
      <c r="CJK1" s="3" t="s">
        <v>2250</v>
      </c>
      <c r="CJL1" s="3" t="s">
        <v>2251</v>
      </c>
      <c r="CJM1" s="3" t="s">
        <v>2252</v>
      </c>
      <c r="CJN1" s="3" t="s">
        <v>2253</v>
      </c>
      <c r="CJO1" s="3" t="s">
        <v>2254</v>
      </c>
      <c r="CJP1" s="3" t="s">
        <v>2255</v>
      </c>
      <c r="CJQ1" s="3" t="s">
        <v>2256</v>
      </c>
      <c r="CJR1" s="3" t="s">
        <v>2257</v>
      </c>
      <c r="CJS1" s="3" t="s">
        <v>2258</v>
      </c>
      <c r="CJT1" s="3" t="s">
        <v>2259</v>
      </c>
      <c r="CJU1" s="3" t="s">
        <v>2260</v>
      </c>
      <c r="CJV1" s="3" t="s">
        <v>2261</v>
      </c>
      <c r="CJW1" s="3" t="s">
        <v>2262</v>
      </c>
      <c r="CJX1" s="3" t="s">
        <v>2263</v>
      </c>
      <c r="CJY1" s="3" t="s">
        <v>2264</v>
      </c>
      <c r="CJZ1" s="3" t="s">
        <v>2265</v>
      </c>
      <c r="CKA1" s="3" t="s">
        <v>2266</v>
      </c>
      <c r="CKB1" s="3" t="s">
        <v>2267</v>
      </c>
      <c r="CKC1" s="3" t="s">
        <v>2268</v>
      </c>
      <c r="CKD1" s="3" t="s">
        <v>2269</v>
      </c>
      <c r="CKE1" s="3" t="s">
        <v>2270</v>
      </c>
      <c r="CKF1" s="3" t="s">
        <v>2271</v>
      </c>
      <c r="CKG1" s="3" t="s">
        <v>2272</v>
      </c>
      <c r="CKH1" s="3" t="s">
        <v>2273</v>
      </c>
      <c r="CKI1" s="3" t="s">
        <v>2274</v>
      </c>
      <c r="CKJ1" s="3" t="s">
        <v>2275</v>
      </c>
      <c r="CKK1" s="3" t="s">
        <v>2276</v>
      </c>
      <c r="CKL1" s="3" t="s">
        <v>2277</v>
      </c>
      <c r="CKM1" s="3" t="s">
        <v>2278</v>
      </c>
      <c r="CKN1" s="3" t="s">
        <v>2279</v>
      </c>
      <c r="CKO1" s="3" t="s">
        <v>2280</v>
      </c>
      <c r="CKP1" s="3" t="s">
        <v>2281</v>
      </c>
      <c r="CKQ1" s="3" t="s">
        <v>2282</v>
      </c>
      <c r="CKR1" s="3" t="s">
        <v>2283</v>
      </c>
      <c r="CKS1" s="3" t="s">
        <v>2284</v>
      </c>
      <c r="CKT1" s="3" t="s">
        <v>2285</v>
      </c>
      <c r="CKU1" s="3" t="s">
        <v>2286</v>
      </c>
      <c r="CKV1" s="3" t="s">
        <v>2287</v>
      </c>
      <c r="CKW1" s="3" t="s">
        <v>2288</v>
      </c>
      <c r="CKX1" s="3" t="s">
        <v>2289</v>
      </c>
      <c r="CKY1" s="3" t="s">
        <v>2290</v>
      </c>
      <c r="CKZ1" s="3" t="s">
        <v>2291</v>
      </c>
      <c r="CLA1" s="3" t="s">
        <v>2292</v>
      </c>
      <c r="CLB1" s="3" t="s">
        <v>2293</v>
      </c>
      <c r="CLC1" s="3" t="s">
        <v>2294</v>
      </c>
      <c r="CLD1" s="3" t="s">
        <v>2295</v>
      </c>
      <c r="CLE1" s="3" t="s">
        <v>2296</v>
      </c>
      <c r="CLF1" s="3" t="s">
        <v>2297</v>
      </c>
      <c r="CLG1" s="3" t="s">
        <v>2298</v>
      </c>
      <c r="CLH1" s="3" t="s">
        <v>2299</v>
      </c>
      <c r="CLI1" s="3" t="s">
        <v>2300</v>
      </c>
      <c r="CLJ1" s="3" t="s">
        <v>2301</v>
      </c>
      <c r="CLK1" s="3" t="s">
        <v>2302</v>
      </c>
      <c r="CLL1" s="3" t="s">
        <v>2303</v>
      </c>
      <c r="CLM1" s="3" t="s">
        <v>2304</v>
      </c>
      <c r="CLN1" s="3" t="s">
        <v>2305</v>
      </c>
      <c r="CLO1" s="3" t="s">
        <v>2306</v>
      </c>
      <c r="CLP1" s="3" t="s">
        <v>2307</v>
      </c>
      <c r="CLQ1" s="3" t="s">
        <v>2308</v>
      </c>
      <c r="CLR1" s="3" t="s">
        <v>2309</v>
      </c>
      <c r="CLS1" s="3" t="s">
        <v>2310</v>
      </c>
      <c r="CLT1" s="3" t="s">
        <v>2311</v>
      </c>
      <c r="CLU1" s="3" t="s">
        <v>2312</v>
      </c>
      <c r="CLV1" s="3" t="s">
        <v>2313</v>
      </c>
      <c r="CLW1" s="3" t="s">
        <v>2314</v>
      </c>
      <c r="CLX1" s="3" t="s">
        <v>2315</v>
      </c>
      <c r="CLY1" s="3" t="s">
        <v>2316</v>
      </c>
      <c r="CLZ1" s="3" t="s">
        <v>2317</v>
      </c>
      <c r="CMA1" s="3" t="s">
        <v>2318</v>
      </c>
      <c r="CMB1" s="3" t="s">
        <v>2319</v>
      </c>
      <c r="CMC1" s="3" t="s">
        <v>2320</v>
      </c>
      <c r="CMD1" s="3" t="s">
        <v>2321</v>
      </c>
      <c r="CME1" s="3" t="s">
        <v>2322</v>
      </c>
      <c r="CMF1" s="3" t="s">
        <v>2323</v>
      </c>
      <c r="CMG1" s="3" t="s">
        <v>2324</v>
      </c>
      <c r="CMH1" s="3" t="s">
        <v>2325</v>
      </c>
      <c r="CMI1" s="3" t="s">
        <v>2326</v>
      </c>
      <c r="CMJ1" s="3" t="s">
        <v>2327</v>
      </c>
      <c r="CMK1" s="3" t="s">
        <v>2328</v>
      </c>
      <c r="CML1" s="3" t="s">
        <v>2329</v>
      </c>
      <c r="CMM1" s="3" t="s">
        <v>2330</v>
      </c>
      <c r="CMN1" s="3" t="s">
        <v>2331</v>
      </c>
      <c r="CMO1" s="3" t="s">
        <v>2332</v>
      </c>
      <c r="CMP1" s="3" t="s">
        <v>2333</v>
      </c>
      <c r="CMQ1" s="3" t="s">
        <v>2334</v>
      </c>
      <c r="CMR1" s="3" t="s">
        <v>2335</v>
      </c>
      <c r="CMS1" s="3" t="s">
        <v>2336</v>
      </c>
      <c r="CMT1" s="3" t="s">
        <v>2337</v>
      </c>
      <c r="CMU1" s="3" t="s">
        <v>2338</v>
      </c>
      <c r="CMV1" s="3" t="s">
        <v>2339</v>
      </c>
      <c r="CMW1" s="3" t="s">
        <v>2340</v>
      </c>
      <c r="CMX1" s="3" t="s">
        <v>2341</v>
      </c>
      <c r="CMY1" s="3" t="s">
        <v>2342</v>
      </c>
      <c r="CMZ1" s="3" t="s">
        <v>2343</v>
      </c>
      <c r="CNA1" s="3" t="s">
        <v>2344</v>
      </c>
      <c r="CNB1" s="3" t="s">
        <v>2345</v>
      </c>
      <c r="CNC1" s="3" t="s">
        <v>2346</v>
      </c>
      <c r="CND1" s="3" t="s">
        <v>2347</v>
      </c>
      <c r="CNE1" s="3" t="s">
        <v>2348</v>
      </c>
      <c r="CNF1" s="3" t="s">
        <v>2349</v>
      </c>
      <c r="CNG1" s="3" t="s">
        <v>2350</v>
      </c>
      <c r="CNH1" s="3" t="s">
        <v>2351</v>
      </c>
      <c r="CNI1" s="3" t="s">
        <v>2352</v>
      </c>
      <c r="CNJ1" s="3" t="s">
        <v>2353</v>
      </c>
      <c r="CNK1" s="3" t="s">
        <v>2354</v>
      </c>
      <c r="CNL1" s="3" t="s">
        <v>2355</v>
      </c>
      <c r="CNM1" s="3" t="s">
        <v>2356</v>
      </c>
      <c r="CNN1" s="3" t="s">
        <v>2357</v>
      </c>
      <c r="CNO1" s="3" t="s">
        <v>2358</v>
      </c>
      <c r="CNP1" s="3" t="s">
        <v>2359</v>
      </c>
      <c r="CNQ1" s="3" t="s">
        <v>2360</v>
      </c>
      <c r="CNR1" s="3" t="s">
        <v>2361</v>
      </c>
      <c r="CNS1" s="3" t="s">
        <v>2362</v>
      </c>
      <c r="CNT1" s="3" t="s">
        <v>2363</v>
      </c>
      <c r="CNU1" s="3" t="s">
        <v>2364</v>
      </c>
      <c r="CNV1" s="3" t="s">
        <v>2365</v>
      </c>
      <c r="CNW1" s="3" t="s">
        <v>2366</v>
      </c>
      <c r="CNX1" s="3" t="s">
        <v>2367</v>
      </c>
      <c r="CNY1" s="3" t="s">
        <v>2368</v>
      </c>
      <c r="CNZ1" s="3" t="s">
        <v>2369</v>
      </c>
      <c r="COA1" s="3" t="s">
        <v>2370</v>
      </c>
      <c r="COB1" s="3" t="s">
        <v>2371</v>
      </c>
      <c r="COC1" s="3" t="s">
        <v>2372</v>
      </c>
      <c r="COD1" s="3" t="s">
        <v>2373</v>
      </c>
      <c r="COE1" s="3" t="s">
        <v>2374</v>
      </c>
      <c r="COF1" s="3" t="s">
        <v>2375</v>
      </c>
      <c r="COG1" s="3" t="s">
        <v>2376</v>
      </c>
      <c r="COH1" s="3" t="s">
        <v>2377</v>
      </c>
      <c r="COI1" s="3" t="s">
        <v>2378</v>
      </c>
      <c r="COJ1" s="3" t="s">
        <v>2379</v>
      </c>
      <c r="COK1" s="3" t="s">
        <v>2380</v>
      </c>
      <c r="COL1" s="3" t="s">
        <v>2381</v>
      </c>
      <c r="COM1" s="3" t="s">
        <v>2382</v>
      </c>
      <c r="CON1" s="3" t="s">
        <v>2383</v>
      </c>
      <c r="COO1" s="3" t="s">
        <v>2384</v>
      </c>
      <c r="COP1" s="3" t="s">
        <v>2385</v>
      </c>
      <c r="COQ1" s="3" t="s">
        <v>2386</v>
      </c>
      <c r="COR1" s="3" t="s">
        <v>2387</v>
      </c>
      <c r="COS1" s="3" t="s">
        <v>2388</v>
      </c>
      <c r="COT1" s="3" t="s">
        <v>2389</v>
      </c>
      <c r="COU1" s="3" t="s">
        <v>2390</v>
      </c>
      <c r="COV1" s="3" t="s">
        <v>2391</v>
      </c>
      <c r="COW1" s="3" t="s">
        <v>2392</v>
      </c>
      <c r="COX1" s="3" t="s">
        <v>2393</v>
      </c>
      <c r="COY1" s="3" t="s">
        <v>2394</v>
      </c>
      <c r="COZ1" s="3" t="s">
        <v>2395</v>
      </c>
      <c r="CPA1" s="3" t="s">
        <v>2396</v>
      </c>
      <c r="CPB1" s="3" t="s">
        <v>2397</v>
      </c>
      <c r="CPC1" s="3" t="s">
        <v>2398</v>
      </c>
      <c r="CPD1" s="3" t="s">
        <v>2399</v>
      </c>
      <c r="CPE1" s="3" t="s">
        <v>2400</v>
      </c>
      <c r="CPF1" s="3" t="s">
        <v>2401</v>
      </c>
      <c r="CPG1" s="3" t="s">
        <v>2402</v>
      </c>
      <c r="CPH1" s="3" t="s">
        <v>2403</v>
      </c>
      <c r="CPI1" s="3" t="s">
        <v>2404</v>
      </c>
      <c r="CPJ1" s="3" t="s">
        <v>2405</v>
      </c>
      <c r="CPK1" s="3" t="s">
        <v>2406</v>
      </c>
      <c r="CPL1" s="3" t="s">
        <v>2407</v>
      </c>
      <c r="CPM1" s="3" t="s">
        <v>2408</v>
      </c>
      <c r="CPN1" s="3" t="s">
        <v>2409</v>
      </c>
      <c r="CPO1" s="3" t="s">
        <v>2410</v>
      </c>
      <c r="CPP1" s="3" t="s">
        <v>2411</v>
      </c>
      <c r="CPQ1" s="3" t="s">
        <v>2412</v>
      </c>
      <c r="CPR1" s="3" t="s">
        <v>2413</v>
      </c>
      <c r="CPS1" s="3" t="s">
        <v>2414</v>
      </c>
      <c r="CPT1" s="3" t="s">
        <v>2415</v>
      </c>
      <c r="CPU1" s="3" t="s">
        <v>2416</v>
      </c>
      <c r="CPV1" s="3" t="s">
        <v>2417</v>
      </c>
      <c r="CPW1" s="3" t="s">
        <v>2418</v>
      </c>
      <c r="CPX1" s="3" t="s">
        <v>2419</v>
      </c>
      <c r="CPY1" s="3" t="s">
        <v>2420</v>
      </c>
      <c r="CPZ1" s="3" t="s">
        <v>2421</v>
      </c>
      <c r="CQA1" s="3" t="s">
        <v>2422</v>
      </c>
      <c r="CQB1" s="3" t="s">
        <v>2423</v>
      </c>
      <c r="CQC1" s="3" t="s">
        <v>2424</v>
      </c>
      <c r="CQD1" s="3" t="s">
        <v>2425</v>
      </c>
      <c r="CQE1" s="3" t="s">
        <v>2426</v>
      </c>
      <c r="CQF1" s="3" t="s">
        <v>2427</v>
      </c>
      <c r="CQG1" s="3" t="s">
        <v>2428</v>
      </c>
      <c r="CQH1" s="3" t="s">
        <v>2429</v>
      </c>
      <c r="CQI1" s="3" t="s">
        <v>2430</v>
      </c>
      <c r="CQJ1" s="3" t="s">
        <v>2431</v>
      </c>
      <c r="CQK1" s="3" t="s">
        <v>2432</v>
      </c>
      <c r="CQL1" s="3" t="s">
        <v>2433</v>
      </c>
      <c r="CQM1" s="3" t="s">
        <v>2434</v>
      </c>
      <c r="CQN1" s="3" t="s">
        <v>2435</v>
      </c>
      <c r="CQO1" s="3" t="s">
        <v>2436</v>
      </c>
      <c r="CQP1" s="3" t="s">
        <v>2437</v>
      </c>
      <c r="CQQ1" s="3" t="s">
        <v>2438</v>
      </c>
      <c r="CQR1" s="3" t="s">
        <v>2439</v>
      </c>
      <c r="CQS1" s="3" t="s">
        <v>2440</v>
      </c>
      <c r="CQT1" s="3" t="s">
        <v>2441</v>
      </c>
      <c r="CQU1" s="3" t="s">
        <v>2442</v>
      </c>
      <c r="CQV1" s="3" t="s">
        <v>2443</v>
      </c>
      <c r="CQW1" s="3" t="s">
        <v>2444</v>
      </c>
      <c r="CQX1" s="3" t="s">
        <v>2445</v>
      </c>
      <c r="CQY1" s="3" t="s">
        <v>2446</v>
      </c>
      <c r="CQZ1" s="3" t="s">
        <v>2447</v>
      </c>
      <c r="CRA1" s="3" t="s">
        <v>2448</v>
      </c>
      <c r="CRB1" s="3" t="s">
        <v>2449</v>
      </c>
      <c r="CRC1" s="3" t="s">
        <v>2450</v>
      </c>
      <c r="CRD1" s="3" t="s">
        <v>2451</v>
      </c>
      <c r="CRE1" s="3" t="s">
        <v>2452</v>
      </c>
      <c r="CRF1" s="3" t="s">
        <v>2453</v>
      </c>
      <c r="CRG1" s="3" t="s">
        <v>2454</v>
      </c>
      <c r="CRH1" s="3" t="s">
        <v>2455</v>
      </c>
      <c r="CRI1" s="3" t="s">
        <v>2456</v>
      </c>
      <c r="CRJ1" s="3" t="s">
        <v>2457</v>
      </c>
      <c r="CRK1" s="3" t="s">
        <v>2458</v>
      </c>
      <c r="CRL1" s="3" t="s">
        <v>2459</v>
      </c>
      <c r="CRM1" s="3" t="s">
        <v>2460</v>
      </c>
      <c r="CRN1" s="3" t="s">
        <v>2461</v>
      </c>
      <c r="CRO1" s="3" t="s">
        <v>2462</v>
      </c>
      <c r="CRP1" s="3" t="s">
        <v>2463</v>
      </c>
      <c r="CRQ1" s="3" t="s">
        <v>2464</v>
      </c>
      <c r="CRR1" s="3" t="s">
        <v>2465</v>
      </c>
      <c r="CRS1" s="3" t="s">
        <v>2466</v>
      </c>
      <c r="CRT1" s="3" t="s">
        <v>2467</v>
      </c>
      <c r="CRU1" s="3" t="s">
        <v>2468</v>
      </c>
      <c r="CRV1" s="3" t="s">
        <v>2469</v>
      </c>
      <c r="CRW1" s="3" t="s">
        <v>2470</v>
      </c>
      <c r="CRX1" s="3" t="s">
        <v>2471</v>
      </c>
      <c r="CRY1" s="3" t="s">
        <v>2472</v>
      </c>
      <c r="CRZ1" s="3" t="s">
        <v>2473</v>
      </c>
      <c r="CSA1" s="3" t="s">
        <v>2474</v>
      </c>
      <c r="CSB1" s="3" t="s">
        <v>2475</v>
      </c>
      <c r="CSC1" s="3" t="s">
        <v>2476</v>
      </c>
      <c r="CSD1" s="3" t="s">
        <v>2477</v>
      </c>
      <c r="CSE1" s="3" t="s">
        <v>2478</v>
      </c>
      <c r="CSF1" s="3" t="s">
        <v>2479</v>
      </c>
      <c r="CSG1" s="3" t="s">
        <v>2480</v>
      </c>
      <c r="CSH1" s="3" t="s">
        <v>2481</v>
      </c>
      <c r="CSI1" s="3" t="s">
        <v>2482</v>
      </c>
      <c r="CSJ1" s="3" t="s">
        <v>2483</v>
      </c>
      <c r="CSK1" s="3" t="s">
        <v>2484</v>
      </c>
      <c r="CSL1" s="3" t="s">
        <v>2485</v>
      </c>
      <c r="CSM1" s="3" t="s">
        <v>2486</v>
      </c>
      <c r="CSN1" s="3" t="s">
        <v>2487</v>
      </c>
      <c r="CSO1" s="3" t="s">
        <v>2488</v>
      </c>
      <c r="CSP1" s="3" t="s">
        <v>2489</v>
      </c>
      <c r="CSQ1" s="3" t="s">
        <v>2490</v>
      </c>
      <c r="CSR1" s="3" t="s">
        <v>2491</v>
      </c>
      <c r="CSS1" s="3" t="s">
        <v>2492</v>
      </c>
      <c r="CST1" s="3" t="s">
        <v>2493</v>
      </c>
      <c r="CSU1" s="3" t="s">
        <v>2494</v>
      </c>
      <c r="CSV1" s="3" t="s">
        <v>2495</v>
      </c>
      <c r="CSW1" s="3" t="s">
        <v>2496</v>
      </c>
      <c r="CSX1" s="3" t="s">
        <v>2497</v>
      </c>
      <c r="CSY1" s="3" t="s">
        <v>2498</v>
      </c>
      <c r="CSZ1" s="3" t="s">
        <v>2499</v>
      </c>
      <c r="CTA1" s="3" t="s">
        <v>2500</v>
      </c>
      <c r="CTB1" s="3" t="s">
        <v>2501</v>
      </c>
      <c r="CTC1" s="3" t="s">
        <v>2502</v>
      </c>
      <c r="CTD1" s="3" t="s">
        <v>2503</v>
      </c>
      <c r="CTE1" s="3" t="s">
        <v>2504</v>
      </c>
      <c r="CTF1" s="3" t="s">
        <v>2505</v>
      </c>
      <c r="CTG1" s="3" t="s">
        <v>2506</v>
      </c>
      <c r="CTH1" s="3" t="s">
        <v>2507</v>
      </c>
      <c r="CTI1" s="3" t="s">
        <v>2508</v>
      </c>
      <c r="CTJ1" s="3" t="s">
        <v>2509</v>
      </c>
      <c r="CTK1" s="3" t="s">
        <v>2510</v>
      </c>
      <c r="CTL1" s="3" t="s">
        <v>2511</v>
      </c>
      <c r="CTM1" s="3" t="s">
        <v>2512</v>
      </c>
      <c r="CTN1" s="3" t="s">
        <v>2513</v>
      </c>
      <c r="CTO1" s="3" t="s">
        <v>2514</v>
      </c>
      <c r="CTP1" s="3" t="s">
        <v>2515</v>
      </c>
      <c r="CTQ1" s="3" t="s">
        <v>2516</v>
      </c>
      <c r="CTR1" s="3" t="s">
        <v>2517</v>
      </c>
      <c r="CTS1" s="3" t="s">
        <v>2518</v>
      </c>
      <c r="CTT1" s="3" t="s">
        <v>2519</v>
      </c>
      <c r="CTU1" s="3" t="s">
        <v>2520</v>
      </c>
      <c r="CTV1" s="3" t="s">
        <v>2521</v>
      </c>
      <c r="CTW1" s="3" t="s">
        <v>2522</v>
      </c>
      <c r="CTX1" s="3" t="s">
        <v>2523</v>
      </c>
      <c r="CTY1" s="3" t="s">
        <v>2524</v>
      </c>
      <c r="CTZ1" s="3" t="s">
        <v>2525</v>
      </c>
      <c r="CUA1" s="3" t="s">
        <v>2526</v>
      </c>
      <c r="CUB1" s="3" t="s">
        <v>2527</v>
      </c>
      <c r="CUC1" s="3" t="s">
        <v>2528</v>
      </c>
      <c r="CUD1" s="3" t="s">
        <v>2529</v>
      </c>
      <c r="CUE1" s="3" t="s">
        <v>2530</v>
      </c>
      <c r="CUF1" s="3" t="s">
        <v>2531</v>
      </c>
      <c r="CUG1" s="3" t="s">
        <v>2532</v>
      </c>
      <c r="CUH1" s="3" t="s">
        <v>2533</v>
      </c>
      <c r="CUI1" s="3" t="s">
        <v>2534</v>
      </c>
      <c r="CUJ1" s="3" t="s">
        <v>2535</v>
      </c>
      <c r="CUK1" s="3" t="s">
        <v>2536</v>
      </c>
      <c r="CUL1" s="3" t="s">
        <v>2537</v>
      </c>
      <c r="CUM1" s="3" t="s">
        <v>2538</v>
      </c>
      <c r="CUN1" s="3" t="s">
        <v>2539</v>
      </c>
      <c r="CUO1" s="3" t="s">
        <v>2540</v>
      </c>
      <c r="CUP1" s="3" t="s">
        <v>2541</v>
      </c>
      <c r="CUQ1" s="3" t="s">
        <v>2542</v>
      </c>
      <c r="CUR1" s="3" t="s">
        <v>2543</v>
      </c>
      <c r="CUS1" s="3" t="s">
        <v>2544</v>
      </c>
      <c r="CUT1" s="3" t="s">
        <v>2545</v>
      </c>
      <c r="CUU1" s="3" t="s">
        <v>2546</v>
      </c>
      <c r="CUV1" s="3" t="s">
        <v>2547</v>
      </c>
      <c r="CUW1" s="3" t="s">
        <v>2548</v>
      </c>
      <c r="CUX1" s="3" t="s">
        <v>2549</v>
      </c>
      <c r="CUY1" s="3" t="s">
        <v>2550</v>
      </c>
      <c r="CUZ1" s="3" t="s">
        <v>2551</v>
      </c>
      <c r="CVA1" s="3" t="s">
        <v>2552</v>
      </c>
      <c r="CVB1" s="3" t="s">
        <v>2553</v>
      </c>
      <c r="CVC1" s="3" t="s">
        <v>2554</v>
      </c>
      <c r="CVD1" s="3" t="s">
        <v>2555</v>
      </c>
      <c r="CVE1" s="3" t="s">
        <v>2556</v>
      </c>
      <c r="CVF1" s="3" t="s">
        <v>2557</v>
      </c>
      <c r="CVG1" s="3" t="s">
        <v>2558</v>
      </c>
      <c r="CVH1" s="3" t="s">
        <v>2559</v>
      </c>
      <c r="CVI1" s="3" t="s">
        <v>2560</v>
      </c>
      <c r="CVJ1" s="3" t="s">
        <v>2561</v>
      </c>
      <c r="CVK1" s="3" t="s">
        <v>2562</v>
      </c>
      <c r="CVL1" s="3" t="s">
        <v>2563</v>
      </c>
      <c r="CVM1" s="3" t="s">
        <v>2564</v>
      </c>
      <c r="CVN1" s="3" t="s">
        <v>2565</v>
      </c>
      <c r="CVO1" s="3" t="s">
        <v>2566</v>
      </c>
      <c r="CVP1" s="3" t="s">
        <v>2567</v>
      </c>
      <c r="CVQ1" s="3" t="s">
        <v>2568</v>
      </c>
      <c r="CVR1" s="3" t="s">
        <v>2569</v>
      </c>
      <c r="CVS1" s="3" t="s">
        <v>2570</v>
      </c>
      <c r="CVT1" s="3" t="s">
        <v>2571</v>
      </c>
      <c r="CVU1" s="3" t="s">
        <v>2572</v>
      </c>
      <c r="CVV1" s="3" t="s">
        <v>2573</v>
      </c>
      <c r="CVW1" s="3" t="s">
        <v>2574</v>
      </c>
      <c r="CVX1" s="3" t="s">
        <v>2575</v>
      </c>
      <c r="CVY1" s="3" t="s">
        <v>2576</v>
      </c>
      <c r="CVZ1" s="3" t="s">
        <v>2577</v>
      </c>
      <c r="CWA1" s="3" t="s">
        <v>2578</v>
      </c>
      <c r="CWB1" s="3" t="s">
        <v>2579</v>
      </c>
      <c r="CWC1" s="3" t="s">
        <v>2580</v>
      </c>
      <c r="CWD1" s="3" t="s">
        <v>2581</v>
      </c>
      <c r="CWE1" s="3" t="s">
        <v>2582</v>
      </c>
      <c r="CWF1" s="3" t="s">
        <v>2583</v>
      </c>
      <c r="CWG1" s="3" t="s">
        <v>2584</v>
      </c>
      <c r="CWH1" s="3" t="s">
        <v>2585</v>
      </c>
      <c r="CWI1" s="3" t="s">
        <v>2586</v>
      </c>
      <c r="CWJ1" s="3" t="s">
        <v>2587</v>
      </c>
      <c r="CWK1" s="3" t="s">
        <v>2588</v>
      </c>
      <c r="CWL1" s="3" t="s">
        <v>2589</v>
      </c>
      <c r="CWM1" s="3" t="s">
        <v>2590</v>
      </c>
      <c r="CWN1" s="3" t="s">
        <v>2591</v>
      </c>
      <c r="CWO1" s="3" t="s">
        <v>2592</v>
      </c>
      <c r="CWP1" s="3" t="s">
        <v>2593</v>
      </c>
      <c r="CWQ1" s="3" t="s">
        <v>2594</v>
      </c>
      <c r="CWR1" s="3" t="s">
        <v>2595</v>
      </c>
      <c r="CWS1" s="3" t="s">
        <v>2596</v>
      </c>
      <c r="CWT1" s="3" t="s">
        <v>2597</v>
      </c>
      <c r="CWU1" s="3" t="s">
        <v>2598</v>
      </c>
      <c r="CWV1" s="3" t="s">
        <v>2599</v>
      </c>
      <c r="CWW1" s="3" t="s">
        <v>2600</v>
      </c>
      <c r="CWX1" s="3" t="s">
        <v>2601</v>
      </c>
      <c r="CWY1" s="3" t="s">
        <v>2602</v>
      </c>
      <c r="CWZ1" s="3" t="s">
        <v>2603</v>
      </c>
      <c r="CXA1" s="3" t="s">
        <v>2604</v>
      </c>
      <c r="CXB1" s="3" t="s">
        <v>2605</v>
      </c>
      <c r="CXC1" s="3" t="s">
        <v>2606</v>
      </c>
      <c r="CXD1" s="3" t="s">
        <v>2607</v>
      </c>
      <c r="CXE1" s="3" t="s">
        <v>2608</v>
      </c>
      <c r="CXF1" s="3" t="s">
        <v>2609</v>
      </c>
      <c r="CXG1" s="3" t="s">
        <v>2610</v>
      </c>
      <c r="CXH1" s="3" t="s">
        <v>2611</v>
      </c>
      <c r="CXI1" s="3" t="s">
        <v>2612</v>
      </c>
      <c r="CXJ1" s="3" t="s">
        <v>2613</v>
      </c>
      <c r="CXK1" s="3" t="s">
        <v>2614</v>
      </c>
      <c r="CXL1" s="3" t="s">
        <v>2615</v>
      </c>
      <c r="CXM1" s="3" t="s">
        <v>2616</v>
      </c>
      <c r="CXN1" s="3" t="s">
        <v>2617</v>
      </c>
      <c r="CXO1" s="3" t="s">
        <v>2618</v>
      </c>
      <c r="CXP1" s="3" t="s">
        <v>2619</v>
      </c>
      <c r="CXQ1" s="3" t="s">
        <v>2620</v>
      </c>
      <c r="CXR1" s="3" t="s">
        <v>2621</v>
      </c>
      <c r="CXS1" s="3" t="s">
        <v>2622</v>
      </c>
      <c r="CXT1" s="3" t="s">
        <v>2623</v>
      </c>
      <c r="CXU1" s="3" t="s">
        <v>2624</v>
      </c>
      <c r="CXV1" s="3" t="s">
        <v>2625</v>
      </c>
      <c r="CXW1" s="3" t="s">
        <v>2626</v>
      </c>
      <c r="CXX1" s="3" t="s">
        <v>2627</v>
      </c>
      <c r="CXY1" s="3" t="s">
        <v>2628</v>
      </c>
      <c r="CXZ1" s="3" t="s">
        <v>2629</v>
      </c>
      <c r="CYA1" s="3" t="s">
        <v>2630</v>
      </c>
      <c r="CYB1" s="3" t="s">
        <v>2631</v>
      </c>
      <c r="CYC1" s="3" t="s">
        <v>2632</v>
      </c>
      <c r="CYD1" s="3" t="s">
        <v>2633</v>
      </c>
      <c r="CYE1" s="3" t="s">
        <v>2634</v>
      </c>
      <c r="CYF1" s="3" t="s">
        <v>2635</v>
      </c>
      <c r="CYG1" s="3" t="s">
        <v>2636</v>
      </c>
      <c r="CYH1" s="3" t="s">
        <v>2637</v>
      </c>
      <c r="CYI1" s="3" t="s">
        <v>2638</v>
      </c>
      <c r="CYJ1" s="3" t="s">
        <v>2639</v>
      </c>
      <c r="CYK1" s="3" t="s">
        <v>2640</v>
      </c>
      <c r="CYL1" s="3" t="s">
        <v>2641</v>
      </c>
      <c r="CYM1" s="3" t="s">
        <v>2642</v>
      </c>
      <c r="CYN1" s="3" t="s">
        <v>2643</v>
      </c>
      <c r="CYO1" s="3" t="s">
        <v>2644</v>
      </c>
      <c r="CYP1" s="3" t="s">
        <v>2645</v>
      </c>
      <c r="CYQ1" s="3" t="s">
        <v>2646</v>
      </c>
      <c r="CYR1" s="3" t="s">
        <v>2647</v>
      </c>
      <c r="CYS1" s="3" t="s">
        <v>2648</v>
      </c>
      <c r="CYT1" s="3" t="s">
        <v>2649</v>
      </c>
      <c r="CYU1" s="3" t="s">
        <v>2650</v>
      </c>
      <c r="CYV1" s="3" t="s">
        <v>2651</v>
      </c>
      <c r="CYW1" s="3" t="s">
        <v>2652</v>
      </c>
      <c r="CYX1" s="3" t="s">
        <v>2653</v>
      </c>
      <c r="CYY1" s="3" t="s">
        <v>2654</v>
      </c>
      <c r="CYZ1" s="3" t="s">
        <v>2655</v>
      </c>
      <c r="CZA1" s="3" t="s">
        <v>2656</v>
      </c>
      <c r="CZB1" s="3" t="s">
        <v>2657</v>
      </c>
      <c r="CZC1" s="3" t="s">
        <v>2658</v>
      </c>
      <c r="CZD1" s="3" t="s">
        <v>2659</v>
      </c>
      <c r="CZE1" s="3" t="s">
        <v>2660</v>
      </c>
      <c r="CZF1" s="3" t="s">
        <v>2661</v>
      </c>
      <c r="CZG1" s="3" t="s">
        <v>2662</v>
      </c>
      <c r="CZH1" s="3" t="s">
        <v>2663</v>
      </c>
      <c r="CZI1" s="3" t="s">
        <v>2664</v>
      </c>
      <c r="CZJ1" s="3" t="s">
        <v>2665</v>
      </c>
      <c r="CZK1" s="3" t="s">
        <v>2666</v>
      </c>
      <c r="CZL1" s="3" t="s">
        <v>2667</v>
      </c>
      <c r="CZM1" s="3" t="s">
        <v>2668</v>
      </c>
      <c r="CZN1" s="3" t="s">
        <v>2669</v>
      </c>
      <c r="CZO1" s="3" t="s">
        <v>2670</v>
      </c>
      <c r="CZP1" s="3" t="s">
        <v>2671</v>
      </c>
      <c r="CZQ1" s="3" t="s">
        <v>2672</v>
      </c>
      <c r="CZR1" s="3" t="s">
        <v>2673</v>
      </c>
      <c r="CZS1" s="3" t="s">
        <v>2674</v>
      </c>
      <c r="CZT1" s="3" t="s">
        <v>2675</v>
      </c>
      <c r="CZU1" s="3" t="s">
        <v>2676</v>
      </c>
      <c r="CZV1" s="3" t="s">
        <v>2677</v>
      </c>
      <c r="CZW1" s="3" t="s">
        <v>2678</v>
      </c>
      <c r="CZX1" s="3" t="s">
        <v>2679</v>
      </c>
      <c r="CZY1" s="3" t="s">
        <v>2680</v>
      </c>
      <c r="CZZ1" s="3" t="s">
        <v>2681</v>
      </c>
      <c r="DAA1" s="3" t="s">
        <v>2682</v>
      </c>
      <c r="DAB1" s="3" t="s">
        <v>2683</v>
      </c>
      <c r="DAC1" s="3" t="s">
        <v>2684</v>
      </c>
      <c r="DAD1" s="3" t="s">
        <v>2685</v>
      </c>
      <c r="DAE1" s="3" t="s">
        <v>2686</v>
      </c>
      <c r="DAF1" s="3" t="s">
        <v>2687</v>
      </c>
      <c r="DAG1" s="3" t="s">
        <v>2688</v>
      </c>
      <c r="DAH1" s="3" t="s">
        <v>2689</v>
      </c>
      <c r="DAI1" s="3" t="s">
        <v>2690</v>
      </c>
      <c r="DAJ1" s="3" t="s">
        <v>2691</v>
      </c>
      <c r="DAK1" s="3" t="s">
        <v>2692</v>
      </c>
      <c r="DAL1" s="3" t="s">
        <v>2693</v>
      </c>
      <c r="DAM1" s="3" t="s">
        <v>2694</v>
      </c>
      <c r="DAN1" s="3" t="s">
        <v>2695</v>
      </c>
      <c r="DAO1" s="3" t="s">
        <v>2696</v>
      </c>
      <c r="DAP1" s="3" t="s">
        <v>2697</v>
      </c>
      <c r="DAQ1" s="3" t="s">
        <v>2698</v>
      </c>
      <c r="DAR1" s="3" t="s">
        <v>2699</v>
      </c>
      <c r="DAS1" s="3" t="s">
        <v>2700</v>
      </c>
      <c r="DAT1" s="3" t="s">
        <v>2701</v>
      </c>
      <c r="DAU1" s="3" t="s">
        <v>2702</v>
      </c>
      <c r="DAV1" s="3" t="s">
        <v>2703</v>
      </c>
      <c r="DAW1" s="3" t="s">
        <v>2704</v>
      </c>
      <c r="DAX1" s="3" t="s">
        <v>2705</v>
      </c>
      <c r="DAY1" s="3" t="s">
        <v>2706</v>
      </c>
      <c r="DAZ1" s="3" t="s">
        <v>2707</v>
      </c>
      <c r="DBA1" s="3" t="s">
        <v>2708</v>
      </c>
      <c r="DBB1" s="3" t="s">
        <v>2709</v>
      </c>
      <c r="DBC1" s="3" t="s">
        <v>2710</v>
      </c>
      <c r="DBD1" s="3" t="s">
        <v>2711</v>
      </c>
      <c r="DBE1" s="3" t="s">
        <v>2712</v>
      </c>
      <c r="DBF1" s="3" t="s">
        <v>2713</v>
      </c>
      <c r="DBG1" s="3" t="s">
        <v>2714</v>
      </c>
      <c r="DBH1" s="3" t="s">
        <v>2715</v>
      </c>
      <c r="DBI1" s="3" t="s">
        <v>2716</v>
      </c>
      <c r="DBJ1" s="3" t="s">
        <v>2717</v>
      </c>
      <c r="DBK1" s="3" t="s">
        <v>2718</v>
      </c>
      <c r="DBL1" s="3" t="s">
        <v>2719</v>
      </c>
      <c r="DBM1" s="3" t="s">
        <v>2720</v>
      </c>
      <c r="DBN1" s="3" t="s">
        <v>2721</v>
      </c>
      <c r="DBO1" s="3" t="s">
        <v>2722</v>
      </c>
      <c r="DBP1" s="3" t="s">
        <v>2723</v>
      </c>
      <c r="DBQ1" s="3" t="s">
        <v>2724</v>
      </c>
      <c r="DBR1" s="3" t="s">
        <v>2725</v>
      </c>
      <c r="DBS1" s="3" t="s">
        <v>2726</v>
      </c>
      <c r="DBT1" s="3" t="s">
        <v>2727</v>
      </c>
      <c r="DBU1" s="3" t="s">
        <v>2728</v>
      </c>
      <c r="DBV1" s="3" t="s">
        <v>2729</v>
      </c>
      <c r="DBW1" s="3" t="s">
        <v>2730</v>
      </c>
      <c r="DBX1" s="3" t="s">
        <v>2731</v>
      </c>
      <c r="DBY1" s="3" t="s">
        <v>2732</v>
      </c>
      <c r="DBZ1" s="3" t="s">
        <v>2733</v>
      </c>
      <c r="DCA1" s="3" t="s">
        <v>2734</v>
      </c>
      <c r="DCB1" s="3" t="s">
        <v>2735</v>
      </c>
      <c r="DCC1" s="3" t="s">
        <v>2736</v>
      </c>
      <c r="DCD1" s="3" t="s">
        <v>2737</v>
      </c>
      <c r="DCE1" s="3" t="s">
        <v>2738</v>
      </c>
      <c r="DCF1" s="3" t="s">
        <v>2739</v>
      </c>
      <c r="DCG1" s="3" t="s">
        <v>2740</v>
      </c>
      <c r="DCH1" s="3" t="s">
        <v>2741</v>
      </c>
      <c r="DCI1" s="3" t="s">
        <v>2742</v>
      </c>
      <c r="DCJ1" s="3" t="s">
        <v>2743</v>
      </c>
      <c r="DCK1" s="3" t="s">
        <v>2744</v>
      </c>
      <c r="DCL1" s="3" t="s">
        <v>2745</v>
      </c>
      <c r="DCM1" s="3" t="s">
        <v>2746</v>
      </c>
      <c r="DCN1" s="3" t="s">
        <v>2747</v>
      </c>
      <c r="DCO1" s="3" t="s">
        <v>2748</v>
      </c>
      <c r="DCP1" s="3" t="s">
        <v>2749</v>
      </c>
      <c r="DCQ1" s="3" t="s">
        <v>2750</v>
      </c>
      <c r="DCR1" s="3" t="s">
        <v>2751</v>
      </c>
      <c r="DCS1" s="3" t="s">
        <v>2752</v>
      </c>
      <c r="DCT1" s="3" t="s">
        <v>2753</v>
      </c>
      <c r="DCU1" s="3" t="s">
        <v>2754</v>
      </c>
      <c r="DCV1" s="3" t="s">
        <v>2755</v>
      </c>
      <c r="DCW1" s="3" t="s">
        <v>2756</v>
      </c>
      <c r="DCX1" s="3" t="s">
        <v>2757</v>
      </c>
      <c r="DCY1" s="3" t="s">
        <v>2758</v>
      </c>
      <c r="DCZ1" s="3" t="s">
        <v>2759</v>
      </c>
      <c r="DDA1" s="3" t="s">
        <v>2760</v>
      </c>
      <c r="DDB1" s="3" t="s">
        <v>2761</v>
      </c>
      <c r="DDC1" s="3" t="s">
        <v>2762</v>
      </c>
      <c r="DDD1" s="3" t="s">
        <v>2763</v>
      </c>
      <c r="DDE1" s="3" t="s">
        <v>2764</v>
      </c>
      <c r="DDF1" s="3" t="s">
        <v>2765</v>
      </c>
      <c r="DDG1" s="3" t="s">
        <v>2766</v>
      </c>
      <c r="DDH1" s="3" t="s">
        <v>2767</v>
      </c>
      <c r="DDI1" s="3" t="s">
        <v>2768</v>
      </c>
      <c r="DDJ1" s="3" t="s">
        <v>2769</v>
      </c>
      <c r="DDK1" s="3" t="s">
        <v>2770</v>
      </c>
      <c r="DDL1" s="3" t="s">
        <v>2771</v>
      </c>
      <c r="DDM1" s="3" t="s">
        <v>2772</v>
      </c>
      <c r="DDN1" s="3" t="s">
        <v>2773</v>
      </c>
      <c r="DDO1" s="3" t="s">
        <v>2774</v>
      </c>
      <c r="DDP1" s="3" t="s">
        <v>2775</v>
      </c>
      <c r="DDQ1" s="3" t="s">
        <v>2776</v>
      </c>
      <c r="DDR1" s="3" t="s">
        <v>2777</v>
      </c>
      <c r="DDS1" s="3" t="s">
        <v>2778</v>
      </c>
      <c r="DDT1" s="3" t="s">
        <v>2779</v>
      </c>
      <c r="DDU1" s="3" t="s">
        <v>2780</v>
      </c>
      <c r="DDV1" s="3" t="s">
        <v>2781</v>
      </c>
      <c r="DDW1" s="3" t="s">
        <v>2782</v>
      </c>
      <c r="DDX1" s="3" t="s">
        <v>2783</v>
      </c>
      <c r="DDY1" s="3" t="s">
        <v>2784</v>
      </c>
      <c r="DDZ1" s="3" t="s">
        <v>2785</v>
      </c>
      <c r="DEA1" s="3" t="s">
        <v>2786</v>
      </c>
      <c r="DEB1" s="3" t="s">
        <v>2787</v>
      </c>
      <c r="DEC1" s="3" t="s">
        <v>2788</v>
      </c>
      <c r="DED1" s="3" t="s">
        <v>2789</v>
      </c>
      <c r="DEE1" s="3" t="s">
        <v>2790</v>
      </c>
      <c r="DEF1" s="3" t="s">
        <v>2791</v>
      </c>
      <c r="DEG1" s="3" t="s">
        <v>2792</v>
      </c>
      <c r="DEH1" s="3" t="s">
        <v>2793</v>
      </c>
      <c r="DEI1" s="3" t="s">
        <v>2794</v>
      </c>
      <c r="DEJ1" s="3" t="s">
        <v>2795</v>
      </c>
      <c r="DEK1" s="3" t="s">
        <v>2796</v>
      </c>
      <c r="DEL1" s="3" t="s">
        <v>2797</v>
      </c>
      <c r="DEM1" s="3" t="s">
        <v>2798</v>
      </c>
      <c r="DEN1" s="3" t="s">
        <v>2799</v>
      </c>
      <c r="DEO1" s="3" t="s">
        <v>2800</v>
      </c>
      <c r="DEP1" s="3" t="s">
        <v>2801</v>
      </c>
      <c r="DEQ1" s="3" t="s">
        <v>2802</v>
      </c>
      <c r="DER1" s="3" t="s">
        <v>2803</v>
      </c>
      <c r="DES1" s="3" t="s">
        <v>2804</v>
      </c>
      <c r="DET1" s="3" t="s">
        <v>2805</v>
      </c>
      <c r="DEU1" s="3" t="s">
        <v>2806</v>
      </c>
      <c r="DEV1" s="3" t="s">
        <v>2807</v>
      </c>
      <c r="DEW1" s="3" t="s">
        <v>2808</v>
      </c>
      <c r="DEX1" s="3" t="s">
        <v>2809</v>
      </c>
      <c r="DEY1" s="3" t="s">
        <v>2810</v>
      </c>
      <c r="DEZ1" s="3" t="s">
        <v>2811</v>
      </c>
      <c r="DFA1" s="3" t="s">
        <v>2812</v>
      </c>
      <c r="DFB1" s="3" t="s">
        <v>2813</v>
      </c>
      <c r="DFC1" s="3" t="s">
        <v>2814</v>
      </c>
      <c r="DFD1" s="3" t="s">
        <v>2815</v>
      </c>
      <c r="DFE1" s="3" t="s">
        <v>2816</v>
      </c>
      <c r="DFF1" s="3" t="s">
        <v>2817</v>
      </c>
      <c r="DFG1" s="3" t="s">
        <v>2818</v>
      </c>
      <c r="DFH1" s="3" t="s">
        <v>2819</v>
      </c>
      <c r="DFI1" s="3" t="s">
        <v>2820</v>
      </c>
      <c r="DFJ1" s="3" t="s">
        <v>2821</v>
      </c>
      <c r="DFK1" s="3" t="s">
        <v>2822</v>
      </c>
      <c r="DFL1" s="3" t="s">
        <v>2823</v>
      </c>
      <c r="DFM1" s="3" t="s">
        <v>2824</v>
      </c>
      <c r="DFN1" s="3" t="s">
        <v>2825</v>
      </c>
      <c r="DFO1" s="3" t="s">
        <v>2826</v>
      </c>
      <c r="DFP1" s="3" t="s">
        <v>2827</v>
      </c>
      <c r="DFQ1" s="3" t="s">
        <v>2828</v>
      </c>
      <c r="DFR1" s="3" t="s">
        <v>2829</v>
      </c>
      <c r="DFS1" s="3" t="s">
        <v>2830</v>
      </c>
      <c r="DFT1" s="3" t="s">
        <v>2831</v>
      </c>
      <c r="DFU1" s="3" t="s">
        <v>2832</v>
      </c>
      <c r="DFV1" s="3" t="s">
        <v>2833</v>
      </c>
      <c r="DFW1" s="3" t="s">
        <v>2834</v>
      </c>
      <c r="DFX1" s="3" t="s">
        <v>2835</v>
      </c>
      <c r="DFY1" s="3" t="s">
        <v>2836</v>
      </c>
      <c r="DFZ1" s="3" t="s">
        <v>2837</v>
      </c>
      <c r="DGA1" s="3" t="s">
        <v>2838</v>
      </c>
      <c r="DGB1" s="3" t="s">
        <v>2839</v>
      </c>
      <c r="DGC1" s="3" t="s">
        <v>2840</v>
      </c>
      <c r="DGD1" s="3" t="s">
        <v>2841</v>
      </c>
      <c r="DGE1" s="3" t="s">
        <v>2842</v>
      </c>
      <c r="DGF1" s="3" t="s">
        <v>2843</v>
      </c>
      <c r="DGG1" s="3" t="s">
        <v>2844</v>
      </c>
      <c r="DGH1" s="3" t="s">
        <v>2845</v>
      </c>
      <c r="DGI1" s="3" t="s">
        <v>2846</v>
      </c>
      <c r="DGJ1" s="3" t="s">
        <v>2847</v>
      </c>
      <c r="DGK1" s="3" t="s">
        <v>2848</v>
      </c>
      <c r="DGL1" s="3" t="s">
        <v>2849</v>
      </c>
      <c r="DGM1" s="3" t="s">
        <v>2850</v>
      </c>
      <c r="DGN1" s="3" t="s">
        <v>2851</v>
      </c>
      <c r="DGO1" s="3" t="s">
        <v>2852</v>
      </c>
      <c r="DGP1" s="3" t="s">
        <v>2853</v>
      </c>
      <c r="DGQ1" s="3" t="s">
        <v>2854</v>
      </c>
      <c r="DGR1" s="3" t="s">
        <v>2855</v>
      </c>
      <c r="DGS1" s="3" t="s">
        <v>2856</v>
      </c>
      <c r="DGT1" s="3" t="s">
        <v>2857</v>
      </c>
      <c r="DGU1" s="3" t="s">
        <v>2858</v>
      </c>
      <c r="DGV1" s="3" t="s">
        <v>2859</v>
      </c>
      <c r="DGW1" s="3" t="s">
        <v>2860</v>
      </c>
      <c r="DGX1" s="3" t="s">
        <v>2861</v>
      </c>
      <c r="DGY1" s="3" t="s">
        <v>2862</v>
      </c>
      <c r="DGZ1" s="3" t="s">
        <v>2863</v>
      </c>
      <c r="DHA1" s="3" t="s">
        <v>2864</v>
      </c>
      <c r="DHB1" s="3" t="s">
        <v>2865</v>
      </c>
      <c r="DHC1" s="3" t="s">
        <v>2866</v>
      </c>
      <c r="DHD1" s="3" t="s">
        <v>2867</v>
      </c>
      <c r="DHE1" s="3" t="s">
        <v>2868</v>
      </c>
      <c r="DHF1" s="3" t="s">
        <v>2869</v>
      </c>
      <c r="DHG1" s="3" t="s">
        <v>2870</v>
      </c>
      <c r="DHH1" s="3" t="s">
        <v>2871</v>
      </c>
      <c r="DHI1" s="3" t="s">
        <v>2872</v>
      </c>
      <c r="DHJ1" s="3" t="s">
        <v>2873</v>
      </c>
      <c r="DHK1" s="3" t="s">
        <v>2874</v>
      </c>
      <c r="DHL1" s="3" t="s">
        <v>2875</v>
      </c>
      <c r="DHM1" s="3" t="s">
        <v>2876</v>
      </c>
      <c r="DHN1" s="3" t="s">
        <v>2877</v>
      </c>
      <c r="DHO1" s="3" t="s">
        <v>2878</v>
      </c>
      <c r="DHP1" s="3" t="s">
        <v>2879</v>
      </c>
      <c r="DHQ1" s="3" t="s">
        <v>2880</v>
      </c>
      <c r="DHR1" s="3" t="s">
        <v>2881</v>
      </c>
      <c r="DHS1" s="3" t="s">
        <v>2882</v>
      </c>
      <c r="DHT1" s="3" t="s">
        <v>2883</v>
      </c>
      <c r="DHU1" s="3" t="s">
        <v>2884</v>
      </c>
      <c r="DHV1" s="3" t="s">
        <v>2885</v>
      </c>
      <c r="DHW1" s="3" t="s">
        <v>2886</v>
      </c>
      <c r="DHX1" s="3" t="s">
        <v>2887</v>
      </c>
      <c r="DHY1" s="3" t="s">
        <v>2888</v>
      </c>
      <c r="DHZ1" s="3" t="s">
        <v>2889</v>
      </c>
      <c r="DIA1" s="3" t="s">
        <v>2890</v>
      </c>
      <c r="DIB1" s="3" t="s">
        <v>2891</v>
      </c>
      <c r="DIC1" s="3" t="s">
        <v>2892</v>
      </c>
      <c r="DID1" s="3" t="s">
        <v>2893</v>
      </c>
      <c r="DIE1" s="3" t="s">
        <v>2894</v>
      </c>
      <c r="DIF1" s="3" t="s">
        <v>2895</v>
      </c>
      <c r="DIG1" s="3" t="s">
        <v>2896</v>
      </c>
      <c r="DIH1" s="3" t="s">
        <v>2897</v>
      </c>
      <c r="DII1" s="3" t="s">
        <v>2898</v>
      </c>
      <c r="DIJ1" s="3" t="s">
        <v>2899</v>
      </c>
      <c r="DIK1" s="3" t="s">
        <v>2900</v>
      </c>
      <c r="DIL1" s="3" t="s">
        <v>2901</v>
      </c>
      <c r="DIM1" s="3" t="s">
        <v>2902</v>
      </c>
      <c r="DIN1" s="3" t="s">
        <v>2903</v>
      </c>
      <c r="DIO1" s="3" t="s">
        <v>2904</v>
      </c>
      <c r="DIP1" s="3" t="s">
        <v>2905</v>
      </c>
      <c r="DIQ1" s="3" t="s">
        <v>2906</v>
      </c>
      <c r="DIR1" s="3" t="s">
        <v>2907</v>
      </c>
      <c r="DIS1" s="3" t="s">
        <v>2908</v>
      </c>
      <c r="DIT1" s="3" t="s">
        <v>2909</v>
      </c>
      <c r="DIU1" s="3" t="s">
        <v>2910</v>
      </c>
      <c r="DIV1" s="3" t="s">
        <v>2911</v>
      </c>
      <c r="DIW1" s="3" t="s">
        <v>2912</v>
      </c>
      <c r="DIX1" s="3" t="s">
        <v>2913</v>
      </c>
      <c r="DIY1" s="3" t="s">
        <v>2914</v>
      </c>
      <c r="DIZ1" s="3" t="s">
        <v>2915</v>
      </c>
      <c r="DJA1" s="3" t="s">
        <v>2916</v>
      </c>
      <c r="DJB1" s="3" t="s">
        <v>2917</v>
      </c>
      <c r="DJC1" s="3" t="s">
        <v>2918</v>
      </c>
      <c r="DJD1" s="3" t="s">
        <v>2919</v>
      </c>
      <c r="DJE1" s="3" t="s">
        <v>2920</v>
      </c>
      <c r="DJF1" s="3" t="s">
        <v>2921</v>
      </c>
      <c r="DJG1" s="3" t="s">
        <v>2922</v>
      </c>
      <c r="DJH1" s="3" t="s">
        <v>2923</v>
      </c>
      <c r="DJI1" s="3" t="s">
        <v>2924</v>
      </c>
      <c r="DJJ1" s="3" t="s">
        <v>2925</v>
      </c>
      <c r="DJK1" s="3" t="s">
        <v>2926</v>
      </c>
      <c r="DJL1" s="3" t="s">
        <v>2927</v>
      </c>
      <c r="DJM1" s="3" t="s">
        <v>2928</v>
      </c>
      <c r="DJN1" s="3" t="s">
        <v>2929</v>
      </c>
      <c r="DJO1" s="3" t="s">
        <v>2930</v>
      </c>
      <c r="DJP1" s="3" t="s">
        <v>2931</v>
      </c>
      <c r="DJQ1" s="3" t="s">
        <v>2932</v>
      </c>
      <c r="DJR1" s="3" t="s">
        <v>2933</v>
      </c>
      <c r="DJS1" s="3" t="s">
        <v>2934</v>
      </c>
      <c r="DJT1" s="3" t="s">
        <v>2935</v>
      </c>
      <c r="DJU1" s="3" t="s">
        <v>2936</v>
      </c>
      <c r="DJV1" s="3" t="s">
        <v>2937</v>
      </c>
      <c r="DJW1" s="3" t="s">
        <v>2938</v>
      </c>
      <c r="DJX1" s="3" t="s">
        <v>2939</v>
      </c>
      <c r="DJY1" s="3" t="s">
        <v>2940</v>
      </c>
      <c r="DJZ1" s="3" t="s">
        <v>2941</v>
      </c>
      <c r="DKA1" s="3" t="s">
        <v>2942</v>
      </c>
      <c r="DKB1" s="3" t="s">
        <v>2943</v>
      </c>
      <c r="DKC1" s="3" t="s">
        <v>2944</v>
      </c>
      <c r="DKD1" s="3" t="s">
        <v>2945</v>
      </c>
      <c r="DKE1" s="3" t="s">
        <v>2946</v>
      </c>
      <c r="DKF1" s="3" t="s">
        <v>2947</v>
      </c>
      <c r="DKG1" s="3" t="s">
        <v>2948</v>
      </c>
      <c r="DKH1" s="3" t="s">
        <v>2949</v>
      </c>
      <c r="DKI1" s="3" t="s">
        <v>2950</v>
      </c>
      <c r="DKJ1" s="3" t="s">
        <v>2951</v>
      </c>
      <c r="DKK1" s="3" t="s">
        <v>2952</v>
      </c>
      <c r="DKL1" s="3" t="s">
        <v>2953</v>
      </c>
      <c r="DKM1" s="3" t="s">
        <v>2954</v>
      </c>
      <c r="DKN1" s="3" t="s">
        <v>2955</v>
      </c>
      <c r="DKO1" s="3" t="s">
        <v>2956</v>
      </c>
      <c r="DKP1" s="3" t="s">
        <v>2957</v>
      </c>
      <c r="DKQ1" s="3" t="s">
        <v>2958</v>
      </c>
      <c r="DKR1" s="3" t="s">
        <v>2959</v>
      </c>
      <c r="DKS1" s="3" t="s">
        <v>2960</v>
      </c>
      <c r="DKT1" s="3" t="s">
        <v>2961</v>
      </c>
      <c r="DKU1" s="3" t="s">
        <v>2962</v>
      </c>
      <c r="DKV1" s="3" t="s">
        <v>2963</v>
      </c>
      <c r="DKW1" s="3" t="s">
        <v>2964</v>
      </c>
      <c r="DKX1" s="3" t="s">
        <v>2965</v>
      </c>
      <c r="DKY1" s="3" t="s">
        <v>2966</v>
      </c>
      <c r="DKZ1" s="3" t="s">
        <v>2967</v>
      </c>
      <c r="DLA1" s="3" t="s">
        <v>2968</v>
      </c>
      <c r="DLB1" s="3" t="s">
        <v>2969</v>
      </c>
      <c r="DLC1" s="3" t="s">
        <v>2970</v>
      </c>
      <c r="DLD1" s="3" t="s">
        <v>2971</v>
      </c>
      <c r="DLE1" s="3" t="s">
        <v>2972</v>
      </c>
      <c r="DLF1" s="3" t="s">
        <v>2973</v>
      </c>
      <c r="DLG1" s="3" t="s">
        <v>2974</v>
      </c>
      <c r="DLH1" s="3" t="s">
        <v>2975</v>
      </c>
      <c r="DLI1" s="3" t="s">
        <v>2976</v>
      </c>
      <c r="DLJ1" s="3" t="s">
        <v>2977</v>
      </c>
      <c r="DLK1" s="3" t="s">
        <v>2978</v>
      </c>
      <c r="DLL1" s="3" t="s">
        <v>2979</v>
      </c>
      <c r="DLM1" s="3" t="s">
        <v>2980</v>
      </c>
      <c r="DLN1" s="3" t="s">
        <v>2981</v>
      </c>
      <c r="DLO1" s="3" t="s">
        <v>2982</v>
      </c>
      <c r="DLP1" s="3" t="s">
        <v>2983</v>
      </c>
      <c r="DLQ1" s="3" t="s">
        <v>2984</v>
      </c>
      <c r="DLR1" s="3" t="s">
        <v>2985</v>
      </c>
      <c r="DLS1" s="3" t="s">
        <v>2986</v>
      </c>
      <c r="DLT1" s="3" t="s">
        <v>2987</v>
      </c>
      <c r="DLU1" s="3" t="s">
        <v>2988</v>
      </c>
      <c r="DLV1" s="3" t="s">
        <v>2989</v>
      </c>
      <c r="DLW1" s="3" t="s">
        <v>2990</v>
      </c>
      <c r="DLX1" s="3" t="s">
        <v>2991</v>
      </c>
      <c r="DLY1" s="3" t="s">
        <v>2992</v>
      </c>
      <c r="DLZ1" s="3" t="s">
        <v>2993</v>
      </c>
      <c r="DMA1" s="3" t="s">
        <v>2994</v>
      </c>
      <c r="DMB1" s="3" t="s">
        <v>2995</v>
      </c>
      <c r="DMC1" s="3" t="s">
        <v>2996</v>
      </c>
      <c r="DMD1" s="3" t="s">
        <v>2997</v>
      </c>
      <c r="DME1" s="3" t="s">
        <v>2998</v>
      </c>
      <c r="DMF1" s="3" t="s">
        <v>2999</v>
      </c>
      <c r="DMG1" s="3" t="s">
        <v>3000</v>
      </c>
      <c r="DMH1" s="3" t="s">
        <v>3001</v>
      </c>
      <c r="DMI1" s="3" t="s">
        <v>3002</v>
      </c>
      <c r="DMJ1" s="3" t="s">
        <v>3003</v>
      </c>
      <c r="DMK1" s="3" t="s">
        <v>3004</v>
      </c>
      <c r="DML1" s="3" t="s">
        <v>3005</v>
      </c>
      <c r="DMM1" s="3" t="s">
        <v>3006</v>
      </c>
      <c r="DMN1" s="3" t="s">
        <v>3007</v>
      </c>
      <c r="DMO1" s="3" t="s">
        <v>3008</v>
      </c>
      <c r="DMP1" s="3" t="s">
        <v>3009</v>
      </c>
      <c r="DMQ1" s="3" t="s">
        <v>3010</v>
      </c>
      <c r="DMR1" s="3" t="s">
        <v>3011</v>
      </c>
      <c r="DMS1" s="3" t="s">
        <v>3012</v>
      </c>
      <c r="DMT1" s="3" t="s">
        <v>3013</v>
      </c>
      <c r="DMU1" s="3" t="s">
        <v>3014</v>
      </c>
      <c r="DMV1" s="3" t="s">
        <v>3015</v>
      </c>
      <c r="DMW1" s="3" t="s">
        <v>3016</v>
      </c>
      <c r="DMX1" s="3" t="s">
        <v>3017</v>
      </c>
      <c r="DMY1" s="3" t="s">
        <v>3018</v>
      </c>
      <c r="DMZ1" s="3" t="s">
        <v>3019</v>
      </c>
      <c r="DNA1" s="3" t="s">
        <v>3020</v>
      </c>
      <c r="DNB1" s="3" t="s">
        <v>3021</v>
      </c>
      <c r="DNC1" s="3" t="s">
        <v>3022</v>
      </c>
      <c r="DND1" s="3" t="s">
        <v>3023</v>
      </c>
      <c r="DNE1" s="3" t="s">
        <v>3024</v>
      </c>
      <c r="DNF1" s="3" t="s">
        <v>3025</v>
      </c>
      <c r="DNG1" s="3" t="s">
        <v>3026</v>
      </c>
      <c r="DNH1" s="3" t="s">
        <v>3027</v>
      </c>
      <c r="DNI1" s="3" t="s">
        <v>3028</v>
      </c>
      <c r="DNJ1" s="3" t="s">
        <v>3029</v>
      </c>
      <c r="DNK1" s="3" t="s">
        <v>3030</v>
      </c>
      <c r="DNL1" s="3" t="s">
        <v>3031</v>
      </c>
      <c r="DNM1" s="3" t="s">
        <v>3032</v>
      </c>
      <c r="DNN1" s="3" t="s">
        <v>3033</v>
      </c>
      <c r="DNO1" s="3" t="s">
        <v>3034</v>
      </c>
      <c r="DNP1" s="3" t="s">
        <v>3035</v>
      </c>
      <c r="DNQ1" s="3" t="s">
        <v>3036</v>
      </c>
      <c r="DNR1" s="3" t="s">
        <v>3037</v>
      </c>
      <c r="DNS1" s="3" t="s">
        <v>3038</v>
      </c>
      <c r="DNT1" s="3" t="s">
        <v>3039</v>
      </c>
      <c r="DNU1" s="3" t="s">
        <v>3040</v>
      </c>
      <c r="DNV1" s="3" t="s">
        <v>3041</v>
      </c>
      <c r="DNW1" s="3" t="s">
        <v>3042</v>
      </c>
      <c r="DNX1" s="3" t="s">
        <v>3043</v>
      </c>
      <c r="DNY1" s="3" t="s">
        <v>3044</v>
      </c>
      <c r="DNZ1" s="3" t="s">
        <v>3045</v>
      </c>
      <c r="DOA1" s="3" t="s">
        <v>3046</v>
      </c>
      <c r="DOB1" s="3" t="s">
        <v>3047</v>
      </c>
      <c r="DOC1" s="3" t="s">
        <v>3048</v>
      </c>
      <c r="DOD1" s="3" t="s">
        <v>3049</v>
      </c>
      <c r="DOE1" s="3" t="s">
        <v>3050</v>
      </c>
      <c r="DOF1" s="3" t="s">
        <v>3051</v>
      </c>
      <c r="DOG1" s="3" t="s">
        <v>3052</v>
      </c>
      <c r="DOH1" s="3" t="s">
        <v>3053</v>
      </c>
      <c r="DOI1" s="3" t="s">
        <v>3054</v>
      </c>
      <c r="DOJ1" s="3" t="s">
        <v>3055</v>
      </c>
      <c r="DOK1" s="3" t="s">
        <v>3056</v>
      </c>
      <c r="DOL1" s="3" t="s">
        <v>3057</v>
      </c>
      <c r="DOM1" s="3" t="s">
        <v>3058</v>
      </c>
      <c r="DON1" s="3" t="s">
        <v>3059</v>
      </c>
      <c r="DOO1" s="3" t="s">
        <v>3060</v>
      </c>
      <c r="DOP1" s="3" t="s">
        <v>3061</v>
      </c>
      <c r="DOQ1" s="3" t="s">
        <v>3062</v>
      </c>
      <c r="DOR1" s="3" t="s">
        <v>3063</v>
      </c>
      <c r="DOS1" s="3" t="s">
        <v>3064</v>
      </c>
      <c r="DOT1" s="3" t="s">
        <v>3065</v>
      </c>
      <c r="DOU1" s="3" t="s">
        <v>3066</v>
      </c>
      <c r="DOV1" s="3" t="s">
        <v>3067</v>
      </c>
      <c r="DOW1" s="3" t="s">
        <v>3068</v>
      </c>
      <c r="DOX1" s="3" t="s">
        <v>3069</v>
      </c>
      <c r="DOY1" s="3" t="s">
        <v>3070</v>
      </c>
      <c r="DOZ1" s="3" t="s">
        <v>3071</v>
      </c>
      <c r="DPA1" s="3" t="s">
        <v>3072</v>
      </c>
      <c r="DPB1" s="3" t="s">
        <v>3073</v>
      </c>
      <c r="DPC1" s="3" t="s">
        <v>3074</v>
      </c>
      <c r="DPD1" s="3" t="s">
        <v>3075</v>
      </c>
      <c r="DPE1" s="3" t="s">
        <v>3076</v>
      </c>
      <c r="DPF1" s="3" t="s">
        <v>3077</v>
      </c>
      <c r="DPG1" s="3" t="s">
        <v>3078</v>
      </c>
      <c r="DPH1" s="3" t="s">
        <v>3079</v>
      </c>
      <c r="DPI1" s="3" t="s">
        <v>3080</v>
      </c>
      <c r="DPJ1" s="3" t="s">
        <v>3081</v>
      </c>
      <c r="DPK1" s="3" t="s">
        <v>3082</v>
      </c>
      <c r="DPL1" s="3" t="s">
        <v>3083</v>
      </c>
      <c r="DPM1" s="3" t="s">
        <v>3084</v>
      </c>
      <c r="DPN1" s="3" t="s">
        <v>3085</v>
      </c>
      <c r="DPO1" s="3" t="s">
        <v>3086</v>
      </c>
      <c r="DPP1" s="3" t="s">
        <v>3087</v>
      </c>
      <c r="DPQ1" s="3" t="s">
        <v>3088</v>
      </c>
      <c r="DPR1" s="3" t="s">
        <v>3089</v>
      </c>
      <c r="DPS1" s="3" t="s">
        <v>3090</v>
      </c>
      <c r="DPT1" s="3" t="s">
        <v>3091</v>
      </c>
      <c r="DPU1" s="3" t="s">
        <v>3092</v>
      </c>
      <c r="DPV1" s="3" t="s">
        <v>3093</v>
      </c>
      <c r="DPW1" s="3" t="s">
        <v>3094</v>
      </c>
      <c r="DPX1" s="3" t="s">
        <v>3095</v>
      </c>
      <c r="DPY1" s="3" t="s">
        <v>3096</v>
      </c>
      <c r="DPZ1" s="3" t="s">
        <v>3097</v>
      </c>
      <c r="DQA1" s="3" t="s">
        <v>3098</v>
      </c>
      <c r="DQB1" s="3" t="s">
        <v>3099</v>
      </c>
      <c r="DQC1" s="3" t="s">
        <v>3100</v>
      </c>
      <c r="DQD1" s="3" t="s">
        <v>3101</v>
      </c>
      <c r="DQE1" s="3" t="s">
        <v>3102</v>
      </c>
      <c r="DQF1" s="3" t="s">
        <v>3103</v>
      </c>
      <c r="DQG1" s="3" t="s">
        <v>3104</v>
      </c>
      <c r="DQH1" s="3" t="s">
        <v>3105</v>
      </c>
      <c r="DQI1" s="3" t="s">
        <v>3106</v>
      </c>
      <c r="DQJ1" s="3" t="s">
        <v>3107</v>
      </c>
      <c r="DQK1" s="3" t="s">
        <v>3108</v>
      </c>
      <c r="DQL1" s="3" t="s">
        <v>3109</v>
      </c>
      <c r="DQM1" s="3" t="s">
        <v>3110</v>
      </c>
      <c r="DQN1" s="3" t="s">
        <v>3111</v>
      </c>
      <c r="DQO1" s="3" t="s">
        <v>3112</v>
      </c>
      <c r="DQP1" s="3" t="s">
        <v>3113</v>
      </c>
      <c r="DQQ1" s="3" t="s">
        <v>3114</v>
      </c>
      <c r="DQR1" s="3" t="s">
        <v>3115</v>
      </c>
      <c r="DQS1" s="3" t="s">
        <v>3116</v>
      </c>
      <c r="DQT1" s="3" t="s">
        <v>3117</v>
      </c>
      <c r="DQU1" s="3" t="s">
        <v>3118</v>
      </c>
      <c r="DQV1" s="3" t="s">
        <v>3119</v>
      </c>
      <c r="DQW1" s="3" t="s">
        <v>3120</v>
      </c>
      <c r="DQX1" s="3" t="s">
        <v>3121</v>
      </c>
      <c r="DQY1" s="3" t="s">
        <v>3122</v>
      </c>
      <c r="DQZ1" s="3" t="s">
        <v>3123</v>
      </c>
      <c r="DRA1" s="3" t="s">
        <v>3124</v>
      </c>
      <c r="DRB1" s="3" t="s">
        <v>3125</v>
      </c>
      <c r="DRC1" s="3" t="s">
        <v>3126</v>
      </c>
      <c r="DRD1" s="3" t="s">
        <v>3127</v>
      </c>
      <c r="DRE1" s="3" t="s">
        <v>3128</v>
      </c>
      <c r="DRF1" s="3" t="s">
        <v>3129</v>
      </c>
      <c r="DRG1" s="3" t="s">
        <v>3130</v>
      </c>
      <c r="DRH1" s="3" t="s">
        <v>3131</v>
      </c>
      <c r="DRI1" s="3" t="s">
        <v>3132</v>
      </c>
      <c r="DRJ1" s="3" t="s">
        <v>3133</v>
      </c>
      <c r="DRK1" s="3" t="s">
        <v>3134</v>
      </c>
      <c r="DRL1" s="3" t="s">
        <v>3135</v>
      </c>
      <c r="DRM1" s="3" t="s">
        <v>3136</v>
      </c>
      <c r="DRN1" s="3" t="s">
        <v>3137</v>
      </c>
      <c r="DRO1" s="3" t="s">
        <v>3138</v>
      </c>
      <c r="DRP1" s="3" t="s">
        <v>3139</v>
      </c>
      <c r="DRQ1" s="3" t="s">
        <v>3140</v>
      </c>
      <c r="DRR1" s="3" t="s">
        <v>3141</v>
      </c>
      <c r="DRS1" s="3" t="s">
        <v>3142</v>
      </c>
      <c r="DRT1" s="3" t="s">
        <v>3143</v>
      </c>
      <c r="DRU1" s="3" t="s">
        <v>3144</v>
      </c>
      <c r="DRV1" s="3" t="s">
        <v>3145</v>
      </c>
      <c r="DRW1" s="3" t="s">
        <v>3146</v>
      </c>
      <c r="DRX1" s="3" t="s">
        <v>3147</v>
      </c>
      <c r="DRY1" s="3" t="s">
        <v>3148</v>
      </c>
      <c r="DRZ1" s="3" t="s">
        <v>3149</v>
      </c>
      <c r="DSA1" s="3" t="s">
        <v>3150</v>
      </c>
      <c r="DSB1" s="3" t="s">
        <v>3151</v>
      </c>
      <c r="DSC1" s="3" t="s">
        <v>3152</v>
      </c>
      <c r="DSD1" s="3" t="s">
        <v>3153</v>
      </c>
      <c r="DSE1" s="3" t="s">
        <v>3154</v>
      </c>
      <c r="DSF1" s="3" t="s">
        <v>3155</v>
      </c>
      <c r="DSG1" s="3" t="s">
        <v>3156</v>
      </c>
      <c r="DSH1" s="3" t="s">
        <v>3157</v>
      </c>
      <c r="DSI1" s="3" t="s">
        <v>3158</v>
      </c>
      <c r="DSJ1" s="3" t="s">
        <v>3159</v>
      </c>
      <c r="DSK1" s="3" t="s">
        <v>3160</v>
      </c>
      <c r="DSL1" s="3" t="s">
        <v>3161</v>
      </c>
      <c r="DSM1" s="3" t="s">
        <v>3162</v>
      </c>
      <c r="DSN1" s="3" t="s">
        <v>3163</v>
      </c>
      <c r="DSO1" s="3" t="s">
        <v>3164</v>
      </c>
      <c r="DSP1" s="3" t="s">
        <v>3165</v>
      </c>
      <c r="DSQ1" s="3" t="s">
        <v>3166</v>
      </c>
      <c r="DSR1" s="3" t="s">
        <v>3167</v>
      </c>
      <c r="DSS1" s="3" t="s">
        <v>3168</v>
      </c>
      <c r="DST1" s="3" t="s">
        <v>3169</v>
      </c>
      <c r="DSU1" s="3" t="s">
        <v>3170</v>
      </c>
      <c r="DSV1" s="3" t="s">
        <v>3171</v>
      </c>
      <c r="DSW1" s="3" t="s">
        <v>3172</v>
      </c>
      <c r="DSX1" s="3" t="s">
        <v>3173</v>
      </c>
      <c r="DSY1" s="3" t="s">
        <v>3174</v>
      </c>
      <c r="DSZ1" s="3" t="s">
        <v>3175</v>
      </c>
      <c r="DTA1" s="3" t="s">
        <v>3176</v>
      </c>
      <c r="DTB1" s="3" t="s">
        <v>3177</v>
      </c>
      <c r="DTC1" s="3" t="s">
        <v>3178</v>
      </c>
      <c r="DTD1" s="3" t="s">
        <v>3179</v>
      </c>
      <c r="DTE1" s="3" t="s">
        <v>3180</v>
      </c>
      <c r="DTF1" s="3" t="s">
        <v>3181</v>
      </c>
      <c r="DTG1" s="3" t="s">
        <v>3182</v>
      </c>
      <c r="DTH1" s="3" t="s">
        <v>3183</v>
      </c>
      <c r="DTI1" s="3" t="s">
        <v>3184</v>
      </c>
      <c r="DTJ1" s="3" t="s">
        <v>3185</v>
      </c>
      <c r="DTK1" s="3" t="s">
        <v>3186</v>
      </c>
      <c r="DTL1" s="3" t="s">
        <v>3187</v>
      </c>
      <c r="DTM1" s="3" t="s">
        <v>3188</v>
      </c>
      <c r="DTN1" s="3" t="s">
        <v>3189</v>
      </c>
      <c r="DTO1" s="3" t="s">
        <v>3190</v>
      </c>
      <c r="DTP1" s="3" t="s">
        <v>3191</v>
      </c>
      <c r="DTQ1" s="3" t="s">
        <v>3192</v>
      </c>
      <c r="DTR1" s="3" t="s">
        <v>3193</v>
      </c>
      <c r="DTS1" s="3" t="s">
        <v>3194</v>
      </c>
      <c r="DTT1" s="3" t="s">
        <v>3195</v>
      </c>
      <c r="DTU1" s="3" t="s">
        <v>3196</v>
      </c>
      <c r="DTV1" s="3" t="s">
        <v>3197</v>
      </c>
      <c r="DTW1" s="3" t="s">
        <v>3198</v>
      </c>
      <c r="DTX1" s="3" t="s">
        <v>3199</v>
      </c>
      <c r="DTY1" s="3" t="s">
        <v>3200</v>
      </c>
      <c r="DTZ1" s="3" t="s">
        <v>3201</v>
      </c>
      <c r="DUA1" s="3" t="s">
        <v>3202</v>
      </c>
      <c r="DUB1" s="3" t="s">
        <v>3203</v>
      </c>
      <c r="DUC1" s="3" t="s">
        <v>3204</v>
      </c>
      <c r="DUD1" s="3" t="s">
        <v>3205</v>
      </c>
      <c r="DUE1" s="3" t="s">
        <v>3206</v>
      </c>
      <c r="DUF1" s="3" t="s">
        <v>3207</v>
      </c>
      <c r="DUG1" s="3" t="s">
        <v>3208</v>
      </c>
      <c r="DUH1" s="3" t="s">
        <v>3209</v>
      </c>
      <c r="DUI1" s="3" t="s">
        <v>3210</v>
      </c>
      <c r="DUJ1" s="3" t="s">
        <v>3211</v>
      </c>
      <c r="DUK1" s="3" t="s">
        <v>3212</v>
      </c>
      <c r="DUL1" s="3" t="s">
        <v>3213</v>
      </c>
      <c r="DUM1" s="3" t="s">
        <v>3214</v>
      </c>
      <c r="DUN1" s="3" t="s">
        <v>3215</v>
      </c>
      <c r="DUO1" s="3" t="s">
        <v>3216</v>
      </c>
      <c r="DUP1" s="3" t="s">
        <v>3217</v>
      </c>
      <c r="DUQ1" s="3" t="s">
        <v>3218</v>
      </c>
      <c r="DUR1" s="3" t="s">
        <v>3219</v>
      </c>
      <c r="DUS1" s="3" t="s">
        <v>3220</v>
      </c>
      <c r="DUT1" s="3" t="s">
        <v>3221</v>
      </c>
      <c r="DUU1" s="3" t="s">
        <v>3222</v>
      </c>
      <c r="DUV1" s="3" t="s">
        <v>3223</v>
      </c>
      <c r="DUW1" s="3" t="s">
        <v>3224</v>
      </c>
      <c r="DUX1" s="3" t="s">
        <v>3225</v>
      </c>
      <c r="DUY1" s="3" t="s">
        <v>3226</v>
      </c>
      <c r="DUZ1" s="3" t="s">
        <v>3227</v>
      </c>
      <c r="DVA1" s="3" t="s">
        <v>3228</v>
      </c>
      <c r="DVB1" s="3" t="s">
        <v>3229</v>
      </c>
      <c r="DVC1" s="3" t="s">
        <v>3230</v>
      </c>
      <c r="DVD1" s="3" t="s">
        <v>3231</v>
      </c>
      <c r="DVE1" s="3" t="s">
        <v>3232</v>
      </c>
      <c r="DVF1" s="3" t="s">
        <v>3233</v>
      </c>
      <c r="DVG1" s="3" t="s">
        <v>3234</v>
      </c>
      <c r="DVH1" s="3" t="s">
        <v>3235</v>
      </c>
      <c r="DVI1" s="3" t="s">
        <v>3236</v>
      </c>
      <c r="DVJ1" s="3" t="s">
        <v>3237</v>
      </c>
      <c r="DVK1" s="3" t="s">
        <v>3238</v>
      </c>
      <c r="DVL1" s="3" t="s">
        <v>3239</v>
      </c>
      <c r="DVM1" s="3" t="s">
        <v>3240</v>
      </c>
      <c r="DVN1" s="3" t="s">
        <v>3241</v>
      </c>
      <c r="DVO1" s="3" t="s">
        <v>3242</v>
      </c>
      <c r="DVP1" s="3" t="s">
        <v>3243</v>
      </c>
      <c r="DVQ1" s="3" t="s">
        <v>3244</v>
      </c>
      <c r="DVR1" s="3" t="s">
        <v>3245</v>
      </c>
      <c r="DVS1" s="3" t="s">
        <v>3246</v>
      </c>
      <c r="DVT1" s="3" t="s">
        <v>3247</v>
      </c>
      <c r="DVU1" s="3" t="s">
        <v>3248</v>
      </c>
      <c r="DVV1" s="3" t="s">
        <v>3249</v>
      </c>
      <c r="DVW1" s="3" t="s">
        <v>3250</v>
      </c>
      <c r="DVX1" s="3" t="s">
        <v>3251</v>
      </c>
      <c r="DVY1" s="3" t="s">
        <v>3252</v>
      </c>
      <c r="DVZ1" s="3" t="s">
        <v>3253</v>
      </c>
      <c r="DWA1" s="3" t="s">
        <v>3254</v>
      </c>
      <c r="DWB1" s="3" t="s">
        <v>3255</v>
      </c>
      <c r="DWC1" s="3" t="s">
        <v>3256</v>
      </c>
      <c r="DWD1" s="3" t="s">
        <v>3257</v>
      </c>
      <c r="DWE1" s="3" t="s">
        <v>3258</v>
      </c>
      <c r="DWF1" s="3" t="s">
        <v>3259</v>
      </c>
      <c r="DWG1" s="3" t="s">
        <v>3260</v>
      </c>
      <c r="DWH1" s="3" t="s">
        <v>3261</v>
      </c>
      <c r="DWI1" s="3" t="s">
        <v>3262</v>
      </c>
      <c r="DWJ1" s="3" t="s">
        <v>3263</v>
      </c>
      <c r="DWK1" s="3" t="s">
        <v>3264</v>
      </c>
      <c r="DWL1" s="3" t="s">
        <v>3265</v>
      </c>
      <c r="DWM1" s="3" t="s">
        <v>3266</v>
      </c>
      <c r="DWN1" s="3" t="s">
        <v>3267</v>
      </c>
      <c r="DWO1" s="3" t="s">
        <v>3268</v>
      </c>
      <c r="DWP1" s="3" t="s">
        <v>3269</v>
      </c>
      <c r="DWQ1" s="3" t="s">
        <v>3270</v>
      </c>
      <c r="DWR1" s="3" t="s">
        <v>3271</v>
      </c>
      <c r="DWS1" s="3" t="s">
        <v>3272</v>
      </c>
      <c r="DWT1" s="3" t="s">
        <v>3273</v>
      </c>
      <c r="DWU1" s="3" t="s">
        <v>3274</v>
      </c>
      <c r="DWV1" s="3" t="s">
        <v>3275</v>
      </c>
      <c r="DWW1" s="3" t="s">
        <v>3276</v>
      </c>
      <c r="DWX1" s="3" t="s">
        <v>3277</v>
      </c>
      <c r="DWY1" s="3" t="s">
        <v>3278</v>
      </c>
      <c r="DWZ1" s="3" t="s">
        <v>3279</v>
      </c>
      <c r="DXA1" s="3" t="s">
        <v>3280</v>
      </c>
      <c r="DXB1" s="3" t="s">
        <v>3281</v>
      </c>
      <c r="DXC1" s="3" t="s">
        <v>3282</v>
      </c>
      <c r="DXD1" s="3" t="s">
        <v>3283</v>
      </c>
      <c r="DXE1" s="3" t="s">
        <v>3284</v>
      </c>
      <c r="DXF1" s="3" t="s">
        <v>3285</v>
      </c>
      <c r="DXG1" s="3" t="s">
        <v>3286</v>
      </c>
      <c r="DXH1" s="3" t="s">
        <v>3287</v>
      </c>
      <c r="DXI1" s="3" t="s">
        <v>3288</v>
      </c>
      <c r="DXJ1" s="3" t="s">
        <v>3289</v>
      </c>
      <c r="DXK1" s="3" t="s">
        <v>3290</v>
      </c>
      <c r="DXL1" s="3" t="s">
        <v>3291</v>
      </c>
      <c r="DXM1" s="3" t="s">
        <v>3292</v>
      </c>
      <c r="DXN1" s="3" t="s">
        <v>3293</v>
      </c>
      <c r="DXO1" s="3" t="s">
        <v>3294</v>
      </c>
      <c r="DXP1" s="3" t="s">
        <v>3295</v>
      </c>
      <c r="DXQ1" s="3" t="s">
        <v>3296</v>
      </c>
      <c r="DXR1" s="3" t="s">
        <v>3297</v>
      </c>
      <c r="DXS1" s="3" t="s">
        <v>3298</v>
      </c>
      <c r="DXT1" s="3" t="s">
        <v>3299</v>
      </c>
      <c r="DXU1" s="3" t="s">
        <v>3300</v>
      </c>
      <c r="DXV1" s="3" t="s">
        <v>3301</v>
      </c>
      <c r="DXW1" s="3" t="s">
        <v>3302</v>
      </c>
      <c r="DXX1" s="3" t="s">
        <v>3303</v>
      </c>
      <c r="DXY1" s="3" t="s">
        <v>3304</v>
      </c>
      <c r="DXZ1" s="3" t="s">
        <v>3305</v>
      </c>
      <c r="DYA1" s="3" t="s">
        <v>3306</v>
      </c>
      <c r="DYB1" s="3" t="s">
        <v>3307</v>
      </c>
      <c r="DYC1" s="3" t="s">
        <v>3308</v>
      </c>
      <c r="DYD1" s="3" t="s">
        <v>3309</v>
      </c>
      <c r="DYE1" s="3" t="s">
        <v>3310</v>
      </c>
      <c r="DYF1" s="3" t="s">
        <v>3311</v>
      </c>
      <c r="DYG1" s="3" t="s">
        <v>3312</v>
      </c>
      <c r="DYH1" s="3" t="s">
        <v>3313</v>
      </c>
      <c r="DYI1" s="3" t="s">
        <v>3314</v>
      </c>
      <c r="DYJ1" s="3" t="s">
        <v>3315</v>
      </c>
      <c r="DYK1" s="3" t="s">
        <v>3316</v>
      </c>
      <c r="DYL1" s="3" t="s">
        <v>3317</v>
      </c>
      <c r="DYM1" s="3" t="s">
        <v>3318</v>
      </c>
      <c r="DYN1" s="3" t="s">
        <v>3319</v>
      </c>
      <c r="DYO1" s="3" t="s">
        <v>3320</v>
      </c>
      <c r="DYP1" s="3" t="s">
        <v>3321</v>
      </c>
      <c r="DYQ1" s="3" t="s">
        <v>3322</v>
      </c>
      <c r="DYR1" s="3" t="s">
        <v>3323</v>
      </c>
      <c r="DYS1" s="3" t="s">
        <v>3324</v>
      </c>
      <c r="DYT1" s="3" t="s">
        <v>3325</v>
      </c>
      <c r="DYU1" s="3" t="s">
        <v>3326</v>
      </c>
      <c r="DYV1" s="3" t="s">
        <v>3327</v>
      </c>
      <c r="DYW1" s="3" t="s">
        <v>3328</v>
      </c>
      <c r="DYX1" s="3" t="s">
        <v>3329</v>
      </c>
      <c r="DYY1" s="3" t="s">
        <v>3330</v>
      </c>
      <c r="DYZ1" s="3" t="s">
        <v>3331</v>
      </c>
      <c r="DZA1" s="3" t="s">
        <v>3332</v>
      </c>
      <c r="DZB1" s="3" t="s">
        <v>3333</v>
      </c>
      <c r="DZC1" s="3" t="s">
        <v>3334</v>
      </c>
      <c r="DZD1" s="3" t="s">
        <v>3335</v>
      </c>
      <c r="DZE1" s="3" t="s">
        <v>3336</v>
      </c>
      <c r="DZF1" s="3" t="s">
        <v>3337</v>
      </c>
      <c r="DZG1" s="3" t="s">
        <v>3338</v>
      </c>
      <c r="DZH1" s="3" t="s">
        <v>3339</v>
      </c>
      <c r="DZI1" s="3" t="s">
        <v>3340</v>
      </c>
      <c r="DZJ1" s="3" t="s">
        <v>3341</v>
      </c>
      <c r="DZK1" s="3" t="s">
        <v>3342</v>
      </c>
      <c r="DZL1" s="3" t="s">
        <v>3343</v>
      </c>
      <c r="DZM1" s="3" t="s">
        <v>3344</v>
      </c>
      <c r="DZN1" s="3" t="s">
        <v>3345</v>
      </c>
      <c r="DZO1" s="3" t="s">
        <v>3346</v>
      </c>
      <c r="DZP1" s="3" t="s">
        <v>3347</v>
      </c>
      <c r="DZQ1" s="3" t="s">
        <v>3348</v>
      </c>
      <c r="DZR1" s="3" t="s">
        <v>3349</v>
      </c>
      <c r="DZS1" s="3" t="s">
        <v>3350</v>
      </c>
      <c r="DZT1" s="3" t="s">
        <v>3351</v>
      </c>
      <c r="DZU1" s="3" t="s">
        <v>3352</v>
      </c>
      <c r="DZV1" s="3" t="s">
        <v>3353</v>
      </c>
      <c r="DZW1" s="3" t="s">
        <v>3354</v>
      </c>
      <c r="DZX1" s="3" t="s">
        <v>3355</v>
      </c>
      <c r="DZY1" s="3" t="s">
        <v>3356</v>
      </c>
      <c r="DZZ1" s="3" t="s">
        <v>3357</v>
      </c>
      <c r="EAA1" s="3" t="s">
        <v>3358</v>
      </c>
      <c r="EAB1" s="3" t="s">
        <v>3359</v>
      </c>
      <c r="EAC1" s="3" t="s">
        <v>3360</v>
      </c>
      <c r="EAD1" s="3" t="s">
        <v>3361</v>
      </c>
      <c r="EAE1" s="3" t="s">
        <v>3362</v>
      </c>
      <c r="EAF1" s="3" t="s">
        <v>3363</v>
      </c>
      <c r="EAG1" s="3" t="s">
        <v>3364</v>
      </c>
      <c r="EAH1" s="3" t="s">
        <v>3365</v>
      </c>
      <c r="EAI1" s="3" t="s">
        <v>3366</v>
      </c>
      <c r="EAJ1" s="3" t="s">
        <v>3367</v>
      </c>
      <c r="EAK1" s="3" t="s">
        <v>3368</v>
      </c>
      <c r="EAL1" s="3" t="s">
        <v>3369</v>
      </c>
      <c r="EAM1" s="3" t="s">
        <v>3370</v>
      </c>
      <c r="EAN1" s="3" t="s">
        <v>3371</v>
      </c>
      <c r="EAO1" s="3" t="s">
        <v>3372</v>
      </c>
      <c r="EAP1" s="3" t="s">
        <v>3373</v>
      </c>
      <c r="EAQ1" s="3" t="s">
        <v>3374</v>
      </c>
      <c r="EAR1" s="3" t="s">
        <v>3375</v>
      </c>
      <c r="EAS1" s="3" t="s">
        <v>3376</v>
      </c>
      <c r="EAT1" s="3" t="s">
        <v>3377</v>
      </c>
      <c r="EAU1" s="3" t="s">
        <v>3378</v>
      </c>
      <c r="EAV1" s="3" t="s">
        <v>3379</v>
      </c>
      <c r="EAW1" s="3" t="s">
        <v>3380</v>
      </c>
      <c r="EAX1" s="3" t="s">
        <v>3381</v>
      </c>
      <c r="EAY1" s="3" t="s">
        <v>3382</v>
      </c>
      <c r="EAZ1" s="3" t="s">
        <v>3383</v>
      </c>
      <c r="EBA1" s="3" t="s">
        <v>3384</v>
      </c>
      <c r="EBB1" s="3" t="s">
        <v>3385</v>
      </c>
      <c r="EBC1" s="3" t="s">
        <v>3386</v>
      </c>
      <c r="EBD1" s="3" t="s">
        <v>3387</v>
      </c>
      <c r="EBE1" s="3" t="s">
        <v>3388</v>
      </c>
      <c r="EBF1" s="3" t="s">
        <v>3389</v>
      </c>
      <c r="EBG1" s="3" t="s">
        <v>3390</v>
      </c>
      <c r="EBH1" s="3" t="s">
        <v>3391</v>
      </c>
      <c r="EBI1" s="3" t="s">
        <v>3392</v>
      </c>
      <c r="EBJ1" s="3" t="s">
        <v>3393</v>
      </c>
      <c r="EBK1" s="3" t="s">
        <v>3394</v>
      </c>
      <c r="EBL1" s="3" t="s">
        <v>3395</v>
      </c>
      <c r="EBM1" s="3" t="s">
        <v>3396</v>
      </c>
      <c r="EBN1" s="3" t="s">
        <v>3397</v>
      </c>
      <c r="EBO1" s="3" t="s">
        <v>3398</v>
      </c>
      <c r="EBP1" s="3" t="s">
        <v>3399</v>
      </c>
      <c r="EBQ1" s="3" t="s">
        <v>3400</v>
      </c>
      <c r="EBR1" s="3" t="s">
        <v>3401</v>
      </c>
      <c r="EBS1" s="3" t="s">
        <v>3402</v>
      </c>
      <c r="EBT1" s="3" t="s">
        <v>3403</v>
      </c>
      <c r="EBU1" s="3" t="s">
        <v>3404</v>
      </c>
      <c r="EBV1" s="3" t="s">
        <v>3405</v>
      </c>
      <c r="EBW1" s="3" t="s">
        <v>3406</v>
      </c>
      <c r="EBX1" s="3" t="s">
        <v>3407</v>
      </c>
      <c r="EBY1" s="3" t="s">
        <v>3408</v>
      </c>
      <c r="EBZ1" s="3" t="s">
        <v>3409</v>
      </c>
      <c r="ECA1" s="3" t="s">
        <v>3410</v>
      </c>
      <c r="ECB1" s="3" t="s">
        <v>3411</v>
      </c>
      <c r="ECC1" s="3" t="s">
        <v>3412</v>
      </c>
      <c r="ECD1" s="3" t="s">
        <v>3413</v>
      </c>
      <c r="ECE1" s="3" t="s">
        <v>3414</v>
      </c>
      <c r="ECF1" s="3" t="s">
        <v>3415</v>
      </c>
      <c r="ECG1" s="3" t="s">
        <v>3416</v>
      </c>
      <c r="ECH1" s="3" t="s">
        <v>3417</v>
      </c>
      <c r="ECI1" s="3" t="s">
        <v>3418</v>
      </c>
      <c r="ECJ1" s="3" t="s">
        <v>3419</v>
      </c>
      <c r="ECK1" s="3" t="s">
        <v>3420</v>
      </c>
      <c r="ECL1" s="3" t="s">
        <v>3421</v>
      </c>
      <c r="ECM1" s="3" t="s">
        <v>3422</v>
      </c>
      <c r="ECN1" s="3" t="s">
        <v>3423</v>
      </c>
      <c r="ECO1" s="3" t="s">
        <v>3424</v>
      </c>
      <c r="ECP1" s="3" t="s">
        <v>3425</v>
      </c>
      <c r="ECQ1" s="3" t="s">
        <v>3426</v>
      </c>
      <c r="ECR1" s="3" t="s">
        <v>3427</v>
      </c>
      <c r="ECS1" s="3" t="s">
        <v>3428</v>
      </c>
      <c r="ECT1" s="3" t="s">
        <v>3429</v>
      </c>
      <c r="ECU1" s="3" t="s">
        <v>3430</v>
      </c>
      <c r="ECV1" s="3" t="s">
        <v>3431</v>
      </c>
      <c r="ECW1" s="3" t="s">
        <v>3432</v>
      </c>
      <c r="ECX1" s="3" t="s">
        <v>3433</v>
      </c>
      <c r="ECY1" s="3" t="s">
        <v>3434</v>
      </c>
      <c r="ECZ1" s="3" t="s">
        <v>3435</v>
      </c>
      <c r="EDA1" s="3" t="s">
        <v>3436</v>
      </c>
      <c r="EDB1" s="3" t="s">
        <v>3437</v>
      </c>
      <c r="EDC1" s="3" t="s">
        <v>3438</v>
      </c>
      <c r="EDD1" s="3" t="s">
        <v>3439</v>
      </c>
      <c r="EDE1" s="3" t="s">
        <v>3440</v>
      </c>
      <c r="EDF1" s="3" t="s">
        <v>3441</v>
      </c>
      <c r="EDG1" s="3" t="s">
        <v>3442</v>
      </c>
      <c r="EDH1" s="3" t="s">
        <v>3443</v>
      </c>
      <c r="EDI1" s="3" t="s">
        <v>3444</v>
      </c>
      <c r="EDJ1" s="3" t="s">
        <v>3445</v>
      </c>
      <c r="EDK1" s="3" t="s">
        <v>3446</v>
      </c>
      <c r="EDL1" s="3" t="s">
        <v>3447</v>
      </c>
      <c r="EDM1" s="3" t="s">
        <v>3448</v>
      </c>
      <c r="EDN1" s="3" t="s">
        <v>3449</v>
      </c>
      <c r="EDO1" s="3" t="s">
        <v>3450</v>
      </c>
      <c r="EDP1" s="3" t="s">
        <v>3451</v>
      </c>
      <c r="EDQ1" s="3" t="s">
        <v>3452</v>
      </c>
      <c r="EDR1" s="3" t="s">
        <v>3453</v>
      </c>
      <c r="EDS1" s="3" t="s">
        <v>3454</v>
      </c>
      <c r="EDT1" s="3" t="s">
        <v>3455</v>
      </c>
      <c r="EDU1" s="3" t="s">
        <v>3456</v>
      </c>
      <c r="EDV1" s="3" t="s">
        <v>3457</v>
      </c>
      <c r="EDW1" s="3" t="s">
        <v>3458</v>
      </c>
      <c r="EDX1" s="3" t="s">
        <v>3459</v>
      </c>
      <c r="EDY1" s="3" t="s">
        <v>3460</v>
      </c>
      <c r="EDZ1" s="3" t="s">
        <v>3461</v>
      </c>
      <c r="EEA1" s="3" t="s">
        <v>3462</v>
      </c>
      <c r="EEB1" s="3" t="s">
        <v>3463</v>
      </c>
      <c r="EEC1" s="3" t="s">
        <v>3464</v>
      </c>
      <c r="EED1" s="3" t="s">
        <v>3465</v>
      </c>
      <c r="EEE1" s="3" t="s">
        <v>3466</v>
      </c>
      <c r="EEF1" s="3" t="s">
        <v>3467</v>
      </c>
      <c r="EEG1" s="3" t="s">
        <v>3468</v>
      </c>
      <c r="EEH1" s="3" t="s">
        <v>3469</v>
      </c>
      <c r="EEI1" s="3" t="s">
        <v>3470</v>
      </c>
      <c r="EEJ1" s="3" t="s">
        <v>3471</v>
      </c>
      <c r="EEK1" s="3" t="s">
        <v>3472</v>
      </c>
      <c r="EEL1" s="3" t="s">
        <v>3473</v>
      </c>
      <c r="EEM1" s="3" t="s">
        <v>3474</v>
      </c>
      <c r="EEN1" s="3" t="s">
        <v>3475</v>
      </c>
      <c r="EEO1" s="3" t="s">
        <v>3476</v>
      </c>
      <c r="EEP1" s="3" t="s">
        <v>3477</v>
      </c>
      <c r="EEQ1" s="3" t="s">
        <v>3478</v>
      </c>
      <c r="EER1" s="3" t="s">
        <v>3479</v>
      </c>
      <c r="EES1" s="3" t="s">
        <v>3480</v>
      </c>
      <c r="EET1" s="3" t="s">
        <v>3481</v>
      </c>
      <c r="EEU1" s="3" t="s">
        <v>3482</v>
      </c>
      <c r="EEV1" s="3" t="s">
        <v>3483</v>
      </c>
      <c r="EEW1" s="3" t="s">
        <v>3484</v>
      </c>
      <c r="EEX1" s="3" t="s">
        <v>3485</v>
      </c>
      <c r="EEY1" s="3" t="s">
        <v>3486</v>
      </c>
      <c r="EEZ1" s="3" t="s">
        <v>3487</v>
      </c>
      <c r="EFA1" s="3" t="s">
        <v>3488</v>
      </c>
      <c r="EFB1" s="3" t="s">
        <v>3489</v>
      </c>
      <c r="EFC1" s="3" t="s">
        <v>3490</v>
      </c>
      <c r="EFD1" s="3" t="s">
        <v>3491</v>
      </c>
      <c r="EFE1" s="3" t="s">
        <v>3492</v>
      </c>
      <c r="EFF1" s="3" t="s">
        <v>3493</v>
      </c>
      <c r="EFG1" s="3" t="s">
        <v>3494</v>
      </c>
      <c r="EFH1" s="3" t="s">
        <v>3495</v>
      </c>
      <c r="EFI1" s="3" t="s">
        <v>3496</v>
      </c>
      <c r="EFJ1" s="3" t="s">
        <v>3497</v>
      </c>
      <c r="EFK1" s="3" t="s">
        <v>3498</v>
      </c>
      <c r="EFL1" s="3" t="s">
        <v>3499</v>
      </c>
      <c r="EFM1" s="3" t="s">
        <v>3500</v>
      </c>
      <c r="EFN1" s="3" t="s">
        <v>3501</v>
      </c>
      <c r="EFO1" s="3" t="s">
        <v>3502</v>
      </c>
      <c r="EFP1" s="3" t="s">
        <v>3503</v>
      </c>
      <c r="EFQ1" s="3" t="s">
        <v>3504</v>
      </c>
      <c r="EFR1" s="3" t="s">
        <v>3505</v>
      </c>
      <c r="EFS1" s="3" t="s">
        <v>3506</v>
      </c>
      <c r="EFT1" s="3" t="s">
        <v>3507</v>
      </c>
      <c r="EFU1" s="3" t="s">
        <v>3508</v>
      </c>
      <c r="EFV1" s="3" t="s">
        <v>3509</v>
      </c>
      <c r="EFW1" s="3" t="s">
        <v>3510</v>
      </c>
      <c r="EFX1" s="3" t="s">
        <v>3511</v>
      </c>
      <c r="EFY1" s="3" t="s">
        <v>3512</v>
      </c>
      <c r="EFZ1" s="3" t="s">
        <v>3513</v>
      </c>
      <c r="EGA1" s="3" t="s">
        <v>3514</v>
      </c>
      <c r="EGB1" s="3" t="s">
        <v>3515</v>
      </c>
      <c r="EGC1" s="3" t="s">
        <v>3516</v>
      </c>
      <c r="EGD1" s="3" t="s">
        <v>3517</v>
      </c>
      <c r="EGE1" s="3" t="s">
        <v>3518</v>
      </c>
      <c r="EGF1" s="3" t="s">
        <v>3519</v>
      </c>
      <c r="EGG1" s="3" t="s">
        <v>3520</v>
      </c>
      <c r="EGH1" s="3" t="s">
        <v>3521</v>
      </c>
      <c r="EGI1" s="3" t="s">
        <v>3522</v>
      </c>
      <c r="EGJ1" s="3" t="s">
        <v>3523</v>
      </c>
      <c r="EGK1" s="3" t="s">
        <v>3524</v>
      </c>
      <c r="EGL1" s="3" t="s">
        <v>3525</v>
      </c>
      <c r="EGM1" s="3" t="s">
        <v>3526</v>
      </c>
      <c r="EGN1" s="3" t="s">
        <v>3527</v>
      </c>
      <c r="EGO1" s="3" t="s">
        <v>3528</v>
      </c>
      <c r="EGP1" s="3" t="s">
        <v>3529</v>
      </c>
      <c r="EGQ1" s="3" t="s">
        <v>3530</v>
      </c>
      <c r="EGR1" s="3" t="s">
        <v>3531</v>
      </c>
      <c r="EGS1" s="3" t="s">
        <v>3532</v>
      </c>
      <c r="EGT1" s="3" t="s">
        <v>3533</v>
      </c>
      <c r="EGU1" s="3" t="s">
        <v>3534</v>
      </c>
      <c r="EGV1" s="3" t="s">
        <v>3535</v>
      </c>
      <c r="EGW1" s="3" t="s">
        <v>3536</v>
      </c>
      <c r="EGX1" s="3" t="s">
        <v>3537</v>
      </c>
      <c r="EGY1" s="3" t="s">
        <v>3538</v>
      </c>
      <c r="EGZ1" s="3" t="s">
        <v>3539</v>
      </c>
      <c r="EHA1" s="3" t="s">
        <v>3540</v>
      </c>
      <c r="EHB1" s="3" t="s">
        <v>3541</v>
      </c>
      <c r="EHC1" s="3" t="s">
        <v>3542</v>
      </c>
      <c r="EHD1" s="3" t="s">
        <v>3543</v>
      </c>
      <c r="EHE1" s="3" t="s">
        <v>3544</v>
      </c>
      <c r="EHF1" s="3" t="s">
        <v>3545</v>
      </c>
      <c r="EHG1" s="3" t="s">
        <v>3546</v>
      </c>
      <c r="EHH1" s="3" t="s">
        <v>3547</v>
      </c>
      <c r="EHI1" s="3" t="s">
        <v>3548</v>
      </c>
      <c r="EHJ1" s="3" t="s">
        <v>3549</v>
      </c>
      <c r="EHK1" s="3" t="s">
        <v>3550</v>
      </c>
      <c r="EHL1" s="3" t="s">
        <v>3551</v>
      </c>
      <c r="EHM1" s="3" t="s">
        <v>3552</v>
      </c>
      <c r="EHN1" s="3" t="s">
        <v>3553</v>
      </c>
      <c r="EHO1" s="3" t="s">
        <v>3554</v>
      </c>
      <c r="EHP1" s="3" t="s">
        <v>3555</v>
      </c>
      <c r="EHQ1" s="3" t="s">
        <v>3556</v>
      </c>
      <c r="EHR1" s="3" t="s">
        <v>3557</v>
      </c>
      <c r="EHS1" s="3" t="s">
        <v>3558</v>
      </c>
      <c r="EHT1" s="3" t="s">
        <v>3559</v>
      </c>
      <c r="EHU1" s="3" t="s">
        <v>3560</v>
      </c>
      <c r="EHV1" s="3" t="s">
        <v>3561</v>
      </c>
      <c r="EHW1" s="3" t="s">
        <v>3562</v>
      </c>
      <c r="EHX1" s="3" t="s">
        <v>3563</v>
      </c>
      <c r="EHY1" s="3" t="s">
        <v>3564</v>
      </c>
      <c r="EHZ1" s="3" t="s">
        <v>3565</v>
      </c>
      <c r="EIA1" s="3" t="s">
        <v>3566</v>
      </c>
      <c r="EIB1" s="3" t="s">
        <v>3567</v>
      </c>
      <c r="EIC1" s="3" t="s">
        <v>3568</v>
      </c>
      <c r="EID1" s="3" t="s">
        <v>3569</v>
      </c>
      <c r="EIE1" s="3" t="s">
        <v>3570</v>
      </c>
      <c r="EIF1" s="3" t="s">
        <v>3571</v>
      </c>
      <c r="EIG1" s="3" t="s">
        <v>3572</v>
      </c>
      <c r="EIH1" s="3" t="s">
        <v>3573</v>
      </c>
      <c r="EII1" s="3" t="s">
        <v>3574</v>
      </c>
      <c r="EIJ1" s="3" t="s">
        <v>3575</v>
      </c>
      <c r="EIK1" s="3" t="s">
        <v>3576</v>
      </c>
      <c r="EIL1" s="3" t="s">
        <v>3577</v>
      </c>
      <c r="EIM1" s="3" t="s">
        <v>3578</v>
      </c>
      <c r="EIN1" s="3" t="s">
        <v>3579</v>
      </c>
      <c r="EIO1" s="3" t="s">
        <v>3580</v>
      </c>
      <c r="EIP1" s="3" t="s">
        <v>3581</v>
      </c>
      <c r="EIQ1" s="3" t="s">
        <v>3582</v>
      </c>
      <c r="EIR1" s="3" t="s">
        <v>3583</v>
      </c>
      <c r="EIS1" s="3" t="s">
        <v>3584</v>
      </c>
      <c r="EIT1" s="3" t="s">
        <v>3585</v>
      </c>
      <c r="EIU1" s="3" t="s">
        <v>3586</v>
      </c>
      <c r="EIV1" s="3" t="s">
        <v>3587</v>
      </c>
      <c r="EIW1" s="3" t="s">
        <v>3588</v>
      </c>
      <c r="EIX1" s="3" t="s">
        <v>3589</v>
      </c>
      <c r="EIY1" s="3" t="s">
        <v>3590</v>
      </c>
      <c r="EIZ1" s="3" t="s">
        <v>3591</v>
      </c>
      <c r="EJA1" s="3" t="s">
        <v>3592</v>
      </c>
      <c r="EJB1" s="3" t="s">
        <v>3593</v>
      </c>
      <c r="EJC1" s="3" t="s">
        <v>3594</v>
      </c>
      <c r="EJD1" s="3" t="s">
        <v>3595</v>
      </c>
      <c r="EJE1" s="3" t="s">
        <v>3596</v>
      </c>
      <c r="EJF1" s="3" t="s">
        <v>3597</v>
      </c>
      <c r="EJG1" s="3" t="s">
        <v>3598</v>
      </c>
      <c r="EJH1" s="3" t="s">
        <v>3599</v>
      </c>
      <c r="EJI1" s="3" t="s">
        <v>3600</v>
      </c>
      <c r="EJJ1" s="3" t="s">
        <v>3601</v>
      </c>
      <c r="EJK1" s="3" t="s">
        <v>3602</v>
      </c>
      <c r="EJL1" s="3" t="s">
        <v>3603</v>
      </c>
      <c r="EJM1" s="3" t="s">
        <v>3604</v>
      </c>
      <c r="EJN1" s="3" t="s">
        <v>3605</v>
      </c>
      <c r="EJO1" s="3" t="s">
        <v>3606</v>
      </c>
      <c r="EJP1" s="3" t="s">
        <v>3607</v>
      </c>
      <c r="EJQ1" s="3" t="s">
        <v>3608</v>
      </c>
      <c r="EJR1" s="3" t="s">
        <v>3609</v>
      </c>
      <c r="EJS1" s="3" t="s">
        <v>3610</v>
      </c>
      <c r="EJT1" s="3" t="s">
        <v>3611</v>
      </c>
      <c r="EJU1" s="3" t="s">
        <v>3612</v>
      </c>
      <c r="EJV1" s="3" t="s">
        <v>3613</v>
      </c>
      <c r="EJW1" s="3" t="s">
        <v>3614</v>
      </c>
      <c r="EJX1" s="3" t="s">
        <v>3615</v>
      </c>
      <c r="EJY1" s="3" t="s">
        <v>3616</v>
      </c>
      <c r="EJZ1" s="3" t="s">
        <v>3617</v>
      </c>
      <c r="EKA1" s="3" t="s">
        <v>3618</v>
      </c>
      <c r="EKB1" s="3" t="s">
        <v>3619</v>
      </c>
      <c r="EKC1" s="3" t="s">
        <v>3620</v>
      </c>
      <c r="EKD1" s="3" t="s">
        <v>3621</v>
      </c>
      <c r="EKE1" s="3" t="s">
        <v>3622</v>
      </c>
      <c r="EKF1" s="3" t="s">
        <v>3623</v>
      </c>
      <c r="EKG1" s="3" t="s">
        <v>3624</v>
      </c>
      <c r="EKH1" s="3" t="s">
        <v>3625</v>
      </c>
      <c r="EKI1" s="3" t="s">
        <v>3626</v>
      </c>
      <c r="EKJ1" s="3" t="s">
        <v>3627</v>
      </c>
      <c r="EKK1" s="3" t="s">
        <v>3628</v>
      </c>
      <c r="EKL1" s="3" t="s">
        <v>3629</v>
      </c>
      <c r="EKM1" s="3" t="s">
        <v>3630</v>
      </c>
      <c r="EKN1" s="3" t="s">
        <v>3631</v>
      </c>
      <c r="EKO1" s="3" t="s">
        <v>3632</v>
      </c>
      <c r="EKP1" s="3" t="s">
        <v>3633</v>
      </c>
      <c r="EKQ1" s="3" t="s">
        <v>3634</v>
      </c>
      <c r="EKR1" s="3" t="s">
        <v>3635</v>
      </c>
      <c r="EKS1" s="3" t="s">
        <v>3636</v>
      </c>
      <c r="EKT1" s="3" t="s">
        <v>3637</v>
      </c>
      <c r="EKU1" s="3" t="s">
        <v>3638</v>
      </c>
      <c r="EKV1" s="3" t="s">
        <v>3639</v>
      </c>
      <c r="EKW1" s="3" t="s">
        <v>3640</v>
      </c>
      <c r="EKX1" s="3" t="s">
        <v>3641</v>
      </c>
      <c r="EKY1" s="3" t="s">
        <v>3642</v>
      </c>
      <c r="EKZ1" s="3" t="s">
        <v>3643</v>
      </c>
      <c r="ELA1" s="3" t="s">
        <v>3644</v>
      </c>
      <c r="ELB1" s="3" t="s">
        <v>3645</v>
      </c>
      <c r="ELC1" s="3" t="s">
        <v>3646</v>
      </c>
      <c r="ELD1" s="3" t="s">
        <v>3647</v>
      </c>
      <c r="ELE1" s="3" t="s">
        <v>3648</v>
      </c>
      <c r="ELF1" s="3" t="s">
        <v>3649</v>
      </c>
      <c r="ELG1" s="3" t="s">
        <v>3650</v>
      </c>
      <c r="ELH1" s="3" t="s">
        <v>3651</v>
      </c>
      <c r="ELI1" s="3" t="s">
        <v>3652</v>
      </c>
      <c r="ELJ1" s="3" t="s">
        <v>3653</v>
      </c>
      <c r="ELK1" s="3" t="s">
        <v>3654</v>
      </c>
      <c r="ELL1" s="3" t="s">
        <v>3655</v>
      </c>
      <c r="ELM1" s="3" t="s">
        <v>3656</v>
      </c>
      <c r="ELN1" s="3" t="s">
        <v>3657</v>
      </c>
      <c r="ELO1" s="3" t="s">
        <v>3658</v>
      </c>
      <c r="ELP1" s="3" t="s">
        <v>3659</v>
      </c>
      <c r="ELQ1" s="3" t="s">
        <v>3660</v>
      </c>
      <c r="ELR1" s="3" t="s">
        <v>3661</v>
      </c>
      <c r="ELS1" s="3" t="s">
        <v>3662</v>
      </c>
      <c r="ELT1" s="3" t="s">
        <v>3663</v>
      </c>
      <c r="ELU1" s="3" t="s">
        <v>3664</v>
      </c>
      <c r="ELV1" s="3" t="s">
        <v>3665</v>
      </c>
      <c r="ELW1" s="3" t="s">
        <v>3666</v>
      </c>
      <c r="ELX1" s="3" t="s">
        <v>3667</v>
      </c>
      <c r="ELY1" s="3" t="s">
        <v>3668</v>
      </c>
      <c r="ELZ1" s="3" t="s">
        <v>3669</v>
      </c>
      <c r="EMA1" s="3" t="s">
        <v>3670</v>
      </c>
      <c r="EMB1" s="3" t="s">
        <v>3671</v>
      </c>
      <c r="EMC1" s="3" t="s">
        <v>3672</v>
      </c>
      <c r="EMD1" s="3" t="s">
        <v>3673</v>
      </c>
      <c r="EME1" s="3" t="s">
        <v>3674</v>
      </c>
      <c r="EMF1" s="3" t="s">
        <v>3675</v>
      </c>
      <c r="EMG1" s="3" t="s">
        <v>3676</v>
      </c>
      <c r="EMH1" s="3" t="s">
        <v>3677</v>
      </c>
      <c r="EMI1" s="3" t="s">
        <v>3678</v>
      </c>
      <c r="EMJ1" s="3" t="s">
        <v>3679</v>
      </c>
      <c r="EMK1" s="3" t="s">
        <v>3680</v>
      </c>
      <c r="EML1" s="3" t="s">
        <v>3681</v>
      </c>
      <c r="EMM1" s="3" t="s">
        <v>3682</v>
      </c>
      <c r="EMN1" s="3" t="s">
        <v>3683</v>
      </c>
      <c r="EMO1" s="3" t="s">
        <v>3684</v>
      </c>
      <c r="EMP1" s="3" t="s">
        <v>3685</v>
      </c>
      <c r="EMQ1" s="3" t="s">
        <v>3686</v>
      </c>
      <c r="EMR1" s="3" t="s">
        <v>3687</v>
      </c>
      <c r="EMS1" s="3" t="s">
        <v>3688</v>
      </c>
      <c r="EMT1" s="3" t="s">
        <v>3689</v>
      </c>
      <c r="EMU1" s="3" t="s">
        <v>3690</v>
      </c>
      <c r="EMV1" s="3" t="s">
        <v>3691</v>
      </c>
      <c r="EMW1" s="3" t="s">
        <v>3692</v>
      </c>
      <c r="EMX1" s="3" t="s">
        <v>3693</v>
      </c>
      <c r="EMY1" s="3" t="s">
        <v>3694</v>
      </c>
      <c r="EMZ1" s="3" t="s">
        <v>3695</v>
      </c>
      <c r="ENA1" s="3" t="s">
        <v>3696</v>
      </c>
      <c r="ENB1" s="3" t="s">
        <v>3697</v>
      </c>
      <c r="ENC1" s="3" t="s">
        <v>3698</v>
      </c>
      <c r="END1" s="3" t="s">
        <v>3699</v>
      </c>
      <c r="ENE1" s="3" t="s">
        <v>3700</v>
      </c>
      <c r="ENF1" s="3" t="s">
        <v>3701</v>
      </c>
      <c r="ENG1" s="3" t="s">
        <v>3702</v>
      </c>
      <c r="ENH1" s="3" t="s">
        <v>3703</v>
      </c>
      <c r="ENI1" s="3" t="s">
        <v>3704</v>
      </c>
      <c r="ENJ1" s="3" t="s">
        <v>3705</v>
      </c>
      <c r="ENK1" s="3" t="s">
        <v>3706</v>
      </c>
      <c r="ENL1" s="3" t="s">
        <v>3707</v>
      </c>
      <c r="ENM1" s="3" t="s">
        <v>3708</v>
      </c>
      <c r="ENN1" s="3" t="s">
        <v>3709</v>
      </c>
      <c r="ENO1" s="3" t="s">
        <v>3710</v>
      </c>
      <c r="ENP1" s="3" t="s">
        <v>3711</v>
      </c>
      <c r="ENQ1" s="3" t="s">
        <v>3712</v>
      </c>
      <c r="ENR1" s="3" t="s">
        <v>3713</v>
      </c>
      <c r="ENS1" s="3" t="s">
        <v>3714</v>
      </c>
      <c r="ENT1" s="3" t="s">
        <v>3715</v>
      </c>
      <c r="ENU1" s="3" t="s">
        <v>3716</v>
      </c>
      <c r="ENV1" s="3" t="s">
        <v>3717</v>
      </c>
      <c r="ENW1" s="3" t="s">
        <v>3718</v>
      </c>
      <c r="ENX1" s="3" t="s">
        <v>3719</v>
      </c>
      <c r="ENY1" s="3" t="s">
        <v>3720</v>
      </c>
      <c r="ENZ1" s="3" t="s">
        <v>3721</v>
      </c>
      <c r="EOA1" s="3" t="s">
        <v>3722</v>
      </c>
      <c r="EOB1" s="3" t="s">
        <v>3723</v>
      </c>
      <c r="EOC1" s="3" t="s">
        <v>3724</v>
      </c>
      <c r="EOD1" s="3" t="s">
        <v>3725</v>
      </c>
      <c r="EOE1" s="3" t="s">
        <v>3726</v>
      </c>
      <c r="EOF1" s="3" t="s">
        <v>3727</v>
      </c>
      <c r="EOG1" s="3" t="s">
        <v>3728</v>
      </c>
      <c r="EOH1" s="3" t="s">
        <v>3729</v>
      </c>
      <c r="EOI1" s="3" t="s">
        <v>3730</v>
      </c>
      <c r="EOJ1" s="3" t="s">
        <v>3731</v>
      </c>
      <c r="EOK1" s="3" t="s">
        <v>3732</v>
      </c>
      <c r="EOL1" s="3" t="s">
        <v>3733</v>
      </c>
      <c r="EOM1" s="3" t="s">
        <v>3734</v>
      </c>
      <c r="EON1" s="3" t="s">
        <v>3735</v>
      </c>
      <c r="EOO1" s="3" t="s">
        <v>3736</v>
      </c>
      <c r="EOP1" s="3" t="s">
        <v>3737</v>
      </c>
      <c r="EOQ1" s="3" t="s">
        <v>3738</v>
      </c>
      <c r="EOR1" s="3" t="s">
        <v>3739</v>
      </c>
      <c r="EOS1" s="3" t="s">
        <v>3740</v>
      </c>
      <c r="EOT1" s="3" t="s">
        <v>3741</v>
      </c>
      <c r="EOU1" s="3" t="s">
        <v>3742</v>
      </c>
      <c r="EOV1" s="3" t="s">
        <v>3743</v>
      </c>
      <c r="EOW1" s="3" t="s">
        <v>3744</v>
      </c>
      <c r="EOX1" s="3" t="s">
        <v>3745</v>
      </c>
      <c r="EOY1" s="3" t="s">
        <v>3746</v>
      </c>
      <c r="EOZ1" s="3" t="s">
        <v>3747</v>
      </c>
      <c r="EPA1" s="3" t="s">
        <v>3748</v>
      </c>
      <c r="EPB1" s="3" t="s">
        <v>3749</v>
      </c>
      <c r="EPC1" s="3" t="s">
        <v>3750</v>
      </c>
      <c r="EPD1" s="3" t="s">
        <v>3751</v>
      </c>
      <c r="EPE1" s="3" t="s">
        <v>3752</v>
      </c>
      <c r="EPF1" s="3" t="s">
        <v>3753</v>
      </c>
      <c r="EPG1" s="3" t="s">
        <v>3754</v>
      </c>
      <c r="EPH1" s="3" t="s">
        <v>3755</v>
      </c>
      <c r="EPI1" s="3" t="s">
        <v>3756</v>
      </c>
      <c r="EPJ1" s="3" t="s">
        <v>3757</v>
      </c>
      <c r="EPK1" s="3" t="s">
        <v>3758</v>
      </c>
      <c r="EPL1" s="3" t="s">
        <v>3759</v>
      </c>
      <c r="EPM1" s="3" t="s">
        <v>3760</v>
      </c>
      <c r="EPN1" s="3" t="s">
        <v>3761</v>
      </c>
      <c r="EPO1" s="3" t="s">
        <v>3762</v>
      </c>
      <c r="EPP1" s="3" t="s">
        <v>3763</v>
      </c>
      <c r="EPQ1" s="3" t="s">
        <v>3764</v>
      </c>
      <c r="EPR1" s="3" t="s">
        <v>3765</v>
      </c>
      <c r="EPS1" s="3" t="s">
        <v>3766</v>
      </c>
      <c r="EPT1" s="3" t="s">
        <v>3767</v>
      </c>
      <c r="EPU1" s="3" t="s">
        <v>3768</v>
      </c>
      <c r="EPV1" s="3" t="s">
        <v>3769</v>
      </c>
      <c r="EPW1" s="3" t="s">
        <v>3770</v>
      </c>
      <c r="EPX1" s="3" t="s">
        <v>3771</v>
      </c>
      <c r="EPY1" s="3" t="s">
        <v>3772</v>
      </c>
      <c r="EPZ1" s="3" t="s">
        <v>3773</v>
      </c>
      <c r="EQA1" s="3" t="s">
        <v>3774</v>
      </c>
      <c r="EQB1" s="3" t="s">
        <v>3775</v>
      </c>
      <c r="EQC1" s="3" t="s">
        <v>3776</v>
      </c>
      <c r="EQD1" s="3" t="s">
        <v>3777</v>
      </c>
      <c r="EQE1" s="3" t="s">
        <v>3778</v>
      </c>
      <c r="EQF1" s="3" t="s">
        <v>3779</v>
      </c>
      <c r="EQG1" s="3" t="s">
        <v>3780</v>
      </c>
      <c r="EQH1" s="3" t="s">
        <v>3781</v>
      </c>
      <c r="EQI1" s="3" t="s">
        <v>3782</v>
      </c>
      <c r="EQJ1" s="3" t="s">
        <v>3783</v>
      </c>
      <c r="EQK1" s="3" t="s">
        <v>3784</v>
      </c>
      <c r="EQL1" s="3" t="s">
        <v>3785</v>
      </c>
      <c r="EQM1" s="3" t="s">
        <v>3786</v>
      </c>
      <c r="EQN1" s="3" t="s">
        <v>3787</v>
      </c>
      <c r="EQO1" s="3" t="s">
        <v>3788</v>
      </c>
      <c r="EQP1" s="3" t="s">
        <v>3789</v>
      </c>
      <c r="EQQ1" s="3" t="s">
        <v>3790</v>
      </c>
      <c r="EQR1" s="3" t="s">
        <v>3791</v>
      </c>
      <c r="EQS1" s="3" t="s">
        <v>3792</v>
      </c>
      <c r="EQT1" s="3" t="s">
        <v>3793</v>
      </c>
      <c r="EQU1" s="3" t="s">
        <v>3794</v>
      </c>
      <c r="EQV1" s="3" t="s">
        <v>3795</v>
      </c>
      <c r="EQW1" s="3" t="s">
        <v>3796</v>
      </c>
      <c r="EQX1" s="3" t="s">
        <v>3797</v>
      </c>
      <c r="EQY1" s="3" t="s">
        <v>3798</v>
      </c>
      <c r="EQZ1" s="3" t="s">
        <v>3799</v>
      </c>
      <c r="ERA1" s="3" t="s">
        <v>3800</v>
      </c>
      <c r="ERB1" s="3" t="s">
        <v>3801</v>
      </c>
      <c r="ERC1" s="3" t="s">
        <v>3802</v>
      </c>
      <c r="ERD1" s="3" t="s">
        <v>3803</v>
      </c>
      <c r="ERE1" s="3" t="s">
        <v>3804</v>
      </c>
      <c r="ERF1" s="3" t="s">
        <v>3805</v>
      </c>
      <c r="ERG1" s="3" t="s">
        <v>3806</v>
      </c>
      <c r="ERH1" s="3" t="s">
        <v>3807</v>
      </c>
      <c r="ERI1" s="3" t="s">
        <v>3808</v>
      </c>
      <c r="ERJ1" s="3" t="s">
        <v>3809</v>
      </c>
      <c r="ERK1" s="3" t="s">
        <v>3810</v>
      </c>
      <c r="ERL1" s="3" t="s">
        <v>3811</v>
      </c>
      <c r="ERM1" s="3" t="s">
        <v>3812</v>
      </c>
      <c r="ERN1" s="3" t="s">
        <v>3813</v>
      </c>
      <c r="ERO1" s="3" t="s">
        <v>3814</v>
      </c>
      <c r="ERP1" s="3" t="s">
        <v>3815</v>
      </c>
      <c r="ERQ1" s="3" t="s">
        <v>3816</v>
      </c>
      <c r="ERR1" s="3" t="s">
        <v>3817</v>
      </c>
      <c r="ERS1" s="3" t="s">
        <v>3818</v>
      </c>
      <c r="ERT1" s="3" t="s">
        <v>3819</v>
      </c>
      <c r="ERU1" s="3" t="s">
        <v>3820</v>
      </c>
      <c r="ERV1" s="3" t="s">
        <v>3821</v>
      </c>
      <c r="ERW1" s="3" t="s">
        <v>3822</v>
      </c>
      <c r="ERX1" s="3" t="s">
        <v>3823</v>
      </c>
      <c r="ERY1" s="3" t="s">
        <v>3824</v>
      </c>
      <c r="ERZ1" s="3" t="s">
        <v>3825</v>
      </c>
      <c r="ESA1" s="3" t="s">
        <v>3826</v>
      </c>
      <c r="ESB1" s="3" t="s">
        <v>3827</v>
      </c>
      <c r="ESC1" s="3" t="s">
        <v>3828</v>
      </c>
      <c r="ESD1" s="3" t="s">
        <v>3829</v>
      </c>
      <c r="ESE1" s="3" t="s">
        <v>3830</v>
      </c>
      <c r="ESF1" s="3" t="s">
        <v>3831</v>
      </c>
      <c r="ESG1" s="3" t="s">
        <v>3832</v>
      </c>
      <c r="ESH1" s="3" t="s">
        <v>3833</v>
      </c>
      <c r="ESI1" s="3" t="s">
        <v>3834</v>
      </c>
      <c r="ESJ1" s="3" t="s">
        <v>3835</v>
      </c>
      <c r="ESK1" s="3" t="s">
        <v>3836</v>
      </c>
      <c r="ESL1" s="3" t="s">
        <v>3837</v>
      </c>
      <c r="ESM1" s="3" t="s">
        <v>3838</v>
      </c>
      <c r="ESN1" s="3" t="s">
        <v>3839</v>
      </c>
      <c r="ESO1" s="3" t="s">
        <v>3840</v>
      </c>
      <c r="ESP1" s="3" t="s">
        <v>3841</v>
      </c>
      <c r="ESQ1" s="3" t="s">
        <v>3842</v>
      </c>
      <c r="ESR1" s="3" t="s">
        <v>3843</v>
      </c>
      <c r="ESS1" s="3" t="s">
        <v>3844</v>
      </c>
      <c r="EST1" s="3" t="s">
        <v>3845</v>
      </c>
      <c r="ESU1" s="3" t="s">
        <v>3846</v>
      </c>
      <c r="ESV1" s="3" t="s">
        <v>3847</v>
      </c>
      <c r="ESW1" s="3" t="s">
        <v>3848</v>
      </c>
      <c r="ESX1" s="3" t="s">
        <v>3849</v>
      </c>
      <c r="ESY1" s="3" t="s">
        <v>3850</v>
      </c>
      <c r="ESZ1" s="3" t="s">
        <v>3851</v>
      </c>
      <c r="ETA1" s="3" t="s">
        <v>3852</v>
      </c>
      <c r="ETB1" s="3" t="s">
        <v>3853</v>
      </c>
      <c r="ETC1" s="3" t="s">
        <v>3854</v>
      </c>
      <c r="ETD1" s="3" t="s">
        <v>3855</v>
      </c>
      <c r="ETE1" s="3" t="s">
        <v>3856</v>
      </c>
      <c r="ETF1" s="3" t="s">
        <v>3857</v>
      </c>
      <c r="ETG1" s="3" t="s">
        <v>3858</v>
      </c>
      <c r="ETH1" s="3" t="s">
        <v>3859</v>
      </c>
      <c r="ETI1" s="3" t="s">
        <v>3860</v>
      </c>
      <c r="ETJ1" s="3" t="s">
        <v>3861</v>
      </c>
      <c r="ETK1" s="3" t="s">
        <v>3862</v>
      </c>
      <c r="ETL1" s="3" t="s">
        <v>3863</v>
      </c>
      <c r="ETM1" s="3" t="s">
        <v>3864</v>
      </c>
      <c r="ETN1" s="3" t="s">
        <v>3865</v>
      </c>
      <c r="ETO1" s="3" t="s">
        <v>3866</v>
      </c>
      <c r="ETP1" s="3" t="s">
        <v>3867</v>
      </c>
      <c r="ETQ1" s="3" t="s">
        <v>3868</v>
      </c>
      <c r="ETR1" s="3" t="s">
        <v>3869</v>
      </c>
      <c r="ETS1" s="3" t="s">
        <v>3870</v>
      </c>
      <c r="ETT1" s="3" t="s">
        <v>3871</v>
      </c>
      <c r="ETU1" s="3" t="s">
        <v>3872</v>
      </c>
      <c r="ETV1" s="3" t="s">
        <v>3873</v>
      </c>
      <c r="ETW1" s="3" t="s">
        <v>3874</v>
      </c>
      <c r="ETX1" s="3" t="s">
        <v>3875</v>
      </c>
      <c r="ETY1" s="3" t="s">
        <v>3876</v>
      </c>
      <c r="ETZ1" s="3" t="s">
        <v>3877</v>
      </c>
      <c r="EUA1" s="3" t="s">
        <v>3878</v>
      </c>
      <c r="EUB1" s="3" t="s">
        <v>3879</v>
      </c>
      <c r="EUC1" s="3" t="s">
        <v>3880</v>
      </c>
      <c r="EUD1" s="3" t="s">
        <v>3881</v>
      </c>
      <c r="EUE1" s="3" t="s">
        <v>3882</v>
      </c>
      <c r="EUF1" s="3" t="s">
        <v>3883</v>
      </c>
      <c r="EUG1" s="3" t="s">
        <v>3884</v>
      </c>
      <c r="EUH1" s="3" t="s">
        <v>3885</v>
      </c>
      <c r="EUI1" s="3" t="s">
        <v>3886</v>
      </c>
      <c r="EUJ1" s="3" t="s">
        <v>3887</v>
      </c>
      <c r="EUK1" s="3" t="s">
        <v>3888</v>
      </c>
      <c r="EUL1" s="3" t="s">
        <v>3889</v>
      </c>
      <c r="EUM1" s="3" t="s">
        <v>3890</v>
      </c>
      <c r="EUN1" s="3" t="s">
        <v>3891</v>
      </c>
      <c r="EUO1" s="3" t="s">
        <v>3892</v>
      </c>
      <c r="EUP1" s="3" t="s">
        <v>3893</v>
      </c>
      <c r="EUQ1" s="3" t="s">
        <v>3894</v>
      </c>
      <c r="EUR1" s="3" t="s">
        <v>3895</v>
      </c>
      <c r="EUS1" s="3" t="s">
        <v>3896</v>
      </c>
      <c r="EUT1" s="3" t="s">
        <v>3897</v>
      </c>
      <c r="EUU1" s="3" t="s">
        <v>3898</v>
      </c>
      <c r="EUV1" s="3" t="s">
        <v>3899</v>
      </c>
      <c r="EUW1" s="3" t="s">
        <v>3900</v>
      </c>
      <c r="EUX1" s="3" t="s">
        <v>3901</v>
      </c>
      <c r="EUY1" s="3" t="s">
        <v>3902</v>
      </c>
      <c r="EUZ1" s="3" t="s">
        <v>3903</v>
      </c>
      <c r="EVA1" s="3" t="s">
        <v>3904</v>
      </c>
      <c r="EVB1" s="3" t="s">
        <v>3905</v>
      </c>
      <c r="EVC1" s="3" t="s">
        <v>3906</v>
      </c>
      <c r="EVD1" s="3" t="s">
        <v>3907</v>
      </c>
      <c r="EVE1" s="3" t="s">
        <v>3908</v>
      </c>
      <c r="EVF1" s="3" t="s">
        <v>3909</v>
      </c>
      <c r="EVG1" s="3" t="s">
        <v>3910</v>
      </c>
      <c r="EVH1" s="3" t="s">
        <v>3911</v>
      </c>
      <c r="EVI1" s="3" t="s">
        <v>3912</v>
      </c>
      <c r="EVJ1" s="3" t="s">
        <v>3913</v>
      </c>
      <c r="EVK1" s="3" t="s">
        <v>3914</v>
      </c>
      <c r="EVL1" s="3" t="s">
        <v>3915</v>
      </c>
      <c r="EVM1" s="3" t="s">
        <v>3916</v>
      </c>
      <c r="EVN1" s="3" t="s">
        <v>3917</v>
      </c>
      <c r="EVO1" s="3" t="s">
        <v>3918</v>
      </c>
      <c r="EVP1" s="3" t="s">
        <v>3919</v>
      </c>
      <c r="EVQ1" s="3" t="s">
        <v>3920</v>
      </c>
      <c r="EVR1" s="3" t="s">
        <v>3921</v>
      </c>
      <c r="EVS1" s="3" t="s">
        <v>3922</v>
      </c>
      <c r="EVT1" s="3" t="s">
        <v>3923</v>
      </c>
      <c r="EVU1" s="3" t="s">
        <v>3924</v>
      </c>
      <c r="EVV1" s="3" t="s">
        <v>3925</v>
      </c>
      <c r="EVW1" s="3" t="s">
        <v>3926</v>
      </c>
      <c r="EVX1" s="3" t="s">
        <v>3927</v>
      </c>
      <c r="EVY1" s="3" t="s">
        <v>3928</v>
      </c>
      <c r="EVZ1" s="3" t="s">
        <v>3929</v>
      </c>
      <c r="EWA1" s="3" t="s">
        <v>3930</v>
      </c>
      <c r="EWB1" s="3" t="s">
        <v>3931</v>
      </c>
      <c r="EWC1" s="3" t="s">
        <v>3932</v>
      </c>
      <c r="EWD1" s="3" t="s">
        <v>3933</v>
      </c>
      <c r="EWE1" s="3" t="s">
        <v>3934</v>
      </c>
      <c r="EWF1" s="3" t="s">
        <v>3935</v>
      </c>
      <c r="EWG1" s="3" t="s">
        <v>3936</v>
      </c>
      <c r="EWH1" s="3" t="s">
        <v>3937</v>
      </c>
      <c r="EWI1" s="3" t="s">
        <v>3938</v>
      </c>
      <c r="EWJ1" s="3" t="s">
        <v>3939</v>
      </c>
      <c r="EWK1" s="3" t="s">
        <v>3940</v>
      </c>
      <c r="EWL1" s="3" t="s">
        <v>3941</v>
      </c>
      <c r="EWM1" s="3" t="s">
        <v>3942</v>
      </c>
      <c r="EWN1" s="3" t="s">
        <v>3943</v>
      </c>
      <c r="EWO1" s="3" t="s">
        <v>3944</v>
      </c>
      <c r="EWP1" s="3" t="s">
        <v>3945</v>
      </c>
      <c r="EWQ1" s="3" t="s">
        <v>3946</v>
      </c>
      <c r="EWR1" s="3" t="s">
        <v>3947</v>
      </c>
      <c r="EWS1" s="3" t="s">
        <v>3948</v>
      </c>
      <c r="EWT1" s="3" t="s">
        <v>3949</v>
      </c>
      <c r="EWU1" s="3" t="s">
        <v>3950</v>
      </c>
      <c r="EWV1" s="3" t="s">
        <v>3951</v>
      </c>
      <c r="EWW1" s="3" t="s">
        <v>3952</v>
      </c>
      <c r="EWX1" s="3" t="s">
        <v>3953</v>
      </c>
      <c r="EWY1" s="3" t="s">
        <v>3954</v>
      </c>
      <c r="EWZ1" s="3" t="s">
        <v>3955</v>
      </c>
      <c r="EXA1" s="3" t="s">
        <v>3956</v>
      </c>
      <c r="EXB1" s="3" t="s">
        <v>3957</v>
      </c>
      <c r="EXC1" s="3" t="s">
        <v>3958</v>
      </c>
      <c r="EXD1" s="3" t="s">
        <v>3959</v>
      </c>
      <c r="EXE1" s="3" t="s">
        <v>3960</v>
      </c>
      <c r="EXF1" s="3" t="s">
        <v>3961</v>
      </c>
      <c r="EXG1" s="3" t="s">
        <v>3962</v>
      </c>
      <c r="EXH1" s="3" t="s">
        <v>3963</v>
      </c>
      <c r="EXI1" s="3" t="s">
        <v>3964</v>
      </c>
      <c r="EXJ1" s="3" t="s">
        <v>3965</v>
      </c>
      <c r="EXK1" s="3" t="s">
        <v>3966</v>
      </c>
      <c r="EXL1" s="3" t="s">
        <v>3967</v>
      </c>
      <c r="EXM1" s="3" t="s">
        <v>3968</v>
      </c>
      <c r="EXN1" s="3" t="s">
        <v>3969</v>
      </c>
      <c r="EXO1" s="3" t="s">
        <v>3970</v>
      </c>
      <c r="EXP1" s="3" t="s">
        <v>3971</v>
      </c>
      <c r="EXQ1" s="3" t="s">
        <v>3972</v>
      </c>
      <c r="EXR1" s="3" t="s">
        <v>3973</v>
      </c>
      <c r="EXS1" s="3" t="s">
        <v>3974</v>
      </c>
      <c r="EXT1" s="3" t="s">
        <v>3975</v>
      </c>
      <c r="EXU1" s="3" t="s">
        <v>3976</v>
      </c>
      <c r="EXV1" s="3" t="s">
        <v>3977</v>
      </c>
      <c r="EXW1" s="3" t="s">
        <v>3978</v>
      </c>
      <c r="EXX1" s="3" t="s">
        <v>3979</v>
      </c>
      <c r="EXY1" s="3" t="s">
        <v>3980</v>
      </c>
      <c r="EXZ1" s="3" t="s">
        <v>3981</v>
      </c>
      <c r="EYA1" s="3" t="s">
        <v>3982</v>
      </c>
      <c r="EYB1" s="3" t="s">
        <v>3983</v>
      </c>
      <c r="EYC1" s="3" t="s">
        <v>3984</v>
      </c>
      <c r="EYD1" s="3" t="s">
        <v>3985</v>
      </c>
      <c r="EYE1" s="3" t="s">
        <v>3986</v>
      </c>
      <c r="EYF1" s="3" t="s">
        <v>3987</v>
      </c>
      <c r="EYG1" s="3" t="s">
        <v>3988</v>
      </c>
      <c r="EYH1" s="3" t="s">
        <v>3989</v>
      </c>
      <c r="EYI1" s="3" t="s">
        <v>3990</v>
      </c>
      <c r="EYJ1" s="3" t="s">
        <v>3991</v>
      </c>
      <c r="EYK1" s="3" t="s">
        <v>3992</v>
      </c>
      <c r="EYL1" s="3" t="s">
        <v>3993</v>
      </c>
      <c r="EYM1" s="3" t="s">
        <v>3994</v>
      </c>
      <c r="EYN1" s="3" t="s">
        <v>3995</v>
      </c>
      <c r="EYO1" s="3" t="s">
        <v>3996</v>
      </c>
      <c r="EYP1" s="3" t="s">
        <v>3997</v>
      </c>
      <c r="EYQ1" s="3" t="s">
        <v>3998</v>
      </c>
      <c r="EYR1" s="3" t="s">
        <v>3999</v>
      </c>
      <c r="EYS1" s="3" t="s">
        <v>4000</v>
      </c>
      <c r="EYT1" s="3" t="s">
        <v>4001</v>
      </c>
      <c r="EYU1" s="3" t="s">
        <v>4002</v>
      </c>
      <c r="EYV1" s="3" t="s">
        <v>4003</v>
      </c>
      <c r="EYW1" s="3" t="s">
        <v>4004</v>
      </c>
      <c r="EYX1" s="3" t="s">
        <v>4005</v>
      </c>
      <c r="EYY1" s="3" t="s">
        <v>4006</v>
      </c>
      <c r="EYZ1" s="3" t="s">
        <v>4007</v>
      </c>
      <c r="EZA1" s="3" t="s">
        <v>4008</v>
      </c>
      <c r="EZB1" s="3" t="s">
        <v>4009</v>
      </c>
      <c r="EZC1" s="3" t="s">
        <v>4010</v>
      </c>
      <c r="EZD1" s="3" t="s">
        <v>4011</v>
      </c>
      <c r="EZE1" s="3" t="s">
        <v>4012</v>
      </c>
      <c r="EZF1" s="3" t="s">
        <v>4013</v>
      </c>
      <c r="EZG1" s="3" t="s">
        <v>4014</v>
      </c>
      <c r="EZH1" s="3" t="s">
        <v>4015</v>
      </c>
      <c r="EZI1" s="3" t="s">
        <v>4016</v>
      </c>
      <c r="EZJ1" s="3" t="s">
        <v>4017</v>
      </c>
      <c r="EZK1" s="3" t="s">
        <v>4018</v>
      </c>
      <c r="EZL1" s="3" t="s">
        <v>4019</v>
      </c>
      <c r="EZM1" s="3" t="s">
        <v>4020</v>
      </c>
      <c r="EZN1" s="3" t="s">
        <v>4021</v>
      </c>
      <c r="EZO1" s="3" t="s">
        <v>4022</v>
      </c>
      <c r="EZP1" s="3" t="s">
        <v>4023</v>
      </c>
      <c r="EZQ1" s="3" t="s">
        <v>4024</v>
      </c>
      <c r="EZR1" s="3" t="s">
        <v>4025</v>
      </c>
      <c r="EZS1" s="3" t="s">
        <v>4026</v>
      </c>
      <c r="EZT1" s="3" t="s">
        <v>4027</v>
      </c>
      <c r="EZU1" s="3" t="s">
        <v>4028</v>
      </c>
      <c r="EZV1" s="3" t="s">
        <v>4029</v>
      </c>
      <c r="EZW1" s="3" t="s">
        <v>4030</v>
      </c>
      <c r="EZX1" s="3" t="s">
        <v>4031</v>
      </c>
      <c r="EZY1" s="3" t="s">
        <v>4032</v>
      </c>
      <c r="EZZ1" s="3" t="s">
        <v>4033</v>
      </c>
      <c r="FAA1" s="3" t="s">
        <v>4034</v>
      </c>
      <c r="FAB1" s="3" t="s">
        <v>4035</v>
      </c>
      <c r="FAC1" s="3" t="s">
        <v>4036</v>
      </c>
      <c r="FAD1" s="3" t="s">
        <v>4037</v>
      </c>
      <c r="FAE1" s="3" t="s">
        <v>4038</v>
      </c>
      <c r="FAF1" s="3" t="s">
        <v>4039</v>
      </c>
      <c r="FAG1" s="3" t="s">
        <v>4040</v>
      </c>
      <c r="FAH1" s="3" t="s">
        <v>4041</v>
      </c>
      <c r="FAI1" s="3" t="s">
        <v>4042</v>
      </c>
      <c r="FAJ1" s="3" t="s">
        <v>4043</v>
      </c>
      <c r="FAK1" s="3" t="s">
        <v>4044</v>
      </c>
      <c r="FAL1" s="3" t="s">
        <v>4045</v>
      </c>
      <c r="FAM1" s="3" t="s">
        <v>4046</v>
      </c>
      <c r="FAN1" s="3" t="s">
        <v>4047</v>
      </c>
      <c r="FAO1" s="3" t="s">
        <v>4048</v>
      </c>
      <c r="FAP1" s="3" t="s">
        <v>4049</v>
      </c>
      <c r="FAQ1" s="3" t="s">
        <v>4050</v>
      </c>
      <c r="FAR1" s="3" t="s">
        <v>4051</v>
      </c>
      <c r="FAS1" s="3" t="s">
        <v>4052</v>
      </c>
      <c r="FAT1" s="3" t="s">
        <v>4053</v>
      </c>
      <c r="FAU1" s="3" t="s">
        <v>4054</v>
      </c>
      <c r="FAV1" s="3" t="s">
        <v>4055</v>
      </c>
      <c r="FAW1" s="3" t="s">
        <v>4056</v>
      </c>
      <c r="FAX1" s="3" t="s">
        <v>4057</v>
      </c>
      <c r="FAY1" s="3" t="s">
        <v>4058</v>
      </c>
      <c r="FAZ1" s="3" t="s">
        <v>4059</v>
      </c>
      <c r="FBA1" s="3" t="s">
        <v>4060</v>
      </c>
      <c r="FBB1" s="3" t="s">
        <v>4061</v>
      </c>
      <c r="FBC1" s="3" t="s">
        <v>4062</v>
      </c>
      <c r="FBD1" s="3" t="s">
        <v>4063</v>
      </c>
      <c r="FBE1" s="3" t="s">
        <v>4064</v>
      </c>
      <c r="FBF1" s="3" t="s">
        <v>4065</v>
      </c>
      <c r="FBG1" s="3" t="s">
        <v>4066</v>
      </c>
      <c r="FBH1" s="3" t="s">
        <v>4067</v>
      </c>
      <c r="FBI1" s="3" t="s">
        <v>4068</v>
      </c>
      <c r="FBJ1" s="3" t="s">
        <v>4069</v>
      </c>
      <c r="FBK1" s="3" t="s">
        <v>4070</v>
      </c>
      <c r="FBL1" s="3" t="s">
        <v>4071</v>
      </c>
      <c r="FBM1" s="3" t="s">
        <v>4072</v>
      </c>
      <c r="FBN1" s="3" t="s">
        <v>4073</v>
      </c>
      <c r="FBO1" s="3" t="s">
        <v>4074</v>
      </c>
      <c r="FBP1" s="3" t="s">
        <v>4075</v>
      </c>
      <c r="FBQ1" s="3" t="s">
        <v>4076</v>
      </c>
      <c r="FBR1" s="3" t="s">
        <v>4077</v>
      </c>
      <c r="FBS1" s="3" t="s">
        <v>4078</v>
      </c>
      <c r="FBT1" s="3" t="s">
        <v>4079</v>
      </c>
      <c r="FBU1" s="3" t="s">
        <v>4080</v>
      </c>
      <c r="FBV1" s="3" t="s">
        <v>4081</v>
      </c>
      <c r="FBW1" s="3" t="s">
        <v>4082</v>
      </c>
      <c r="FBX1" s="3" t="s">
        <v>4083</v>
      </c>
      <c r="FBY1" s="3" t="s">
        <v>4084</v>
      </c>
      <c r="FBZ1" s="3" t="s">
        <v>4085</v>
      </c>
      <c r="FCA1" s="3" t="s">
        <v>4086</v>
      </c>
      <c r="FCB1" s="3" t="s">
        <v>4087</v>
      </c>
      <c r="FCC1" s="3" t="s">
        <v>4088</v>
      </c>
      <c r="FCD1" s="3" t="s">
        <v>4089</v>
      </c>
      <c r="FCE1" s="3" t="s">
        <v>4090</v>
      </c>
      <c r="FCF1" s="3" t="s">
        <v>4091</v>
      </c>
      <c r="FCG1" s="3" t="s">
        <v>4092</v>
      </c>
      <c r="FCH1" s="3" t="s">
        <v>4093</v>
      </c>
      <c r="FCI1" s="3" t="s">
        <v>4094</v>
      </c>
      <c r="FCJ1" s="3" t="s">
        <v>4095</v>
      </c>
      <c r="FCK1" s="3" t="s">
        <v>4096</v>
      </c>
      <c r="FCL1" s="3" t="s">
        <v>4097</v>
      </c>
      <c r="FCM1" s="3" t="s">
        <v>4098</v>
      </c>
      <c r="FCN1" s="3" t="s">
        <v>4099</v>
      </c>
      <c r="FCO1" s="3" t="s">
        <v>4100</v>
      </c>
      <c r="FCP1" s="3" t="s">
        <v>4101</v>
      </c>
      <c r="FCQ1" s="3" t="s">
        <v>4102</v>
      </c>
      <c r="FCR1" s="3" t="s">
        <v>4103</v>
      </c>
      <c r="FCS1" s="3" t="s">
        <v>4104</v>
      </c>
      <c r="FCT1" s="3" t="s">
        <v>4105</v>
      </c>
      <c r="FCU1" s="3" t="s">
        <v>4106</v>
      </c>
      <c r="FCV1" s="3" t="s">
        <v>4107</v>
      </c>
      <c r="FCW1" s="3" t="s">
        <v>4108</v>
      </c>
      <c r="FCX1" s="3" t="s">
        <v>4109</v>
      </c>
      <c r="FCY1" s="3" t="s">
        <v>4110</v>
      </c>
      <c r="FCZ1" s="3" t="s">
        <v>4111</v>
      </c>
      <c r="FDA1" s="3" t="s">
        <v>4112</v>
      </c>
      <c r="FDB1" s="3" t="s">
        <v>4113</v>
      </c>
      <c r="FDC1" s="3" t="s">
        <v>4114</v>
      </c>
      <c r="FDD1" s="3" t="s">
        <v>4115</v>
      </c>
      <c r="FDE1" s="3" t="s">
        <v>4116</v>
      </c>
      <c r="FDF1" s="3" t="s">
        <v>4117</v>
      </c>
      <c r="FDG1" s="3" t="s">
        <v>4118</v>
      </c>
      <c r="FDH1" s="3" t="s">
        <v>4119</v>
      </c>
      <c r="FDI1" s="3" t="s">
        <v>4120</v>
      </c>
      <c r="FDJ1" s="3" t="s">
        <v>4121</v>
      </c>
      <c r="FDK1" s="3" t="s">
        <v>4122</v>
      </c>
      <c r="FDL1" s="3" t="s">
        <v>4123</v>
      </c>
      <c r="FDM1" s="3" t="s">
        <v>4124</v>
      </c>
      <c r="FDN1" s="3" t="s">
        <v>4125</v>
      </c>
      <c r="FDO1" s="3" t="s">
        <v>4126</v>
      </c>
      <c r="FDP1" s="3" t="s">
        <v>4127</v>
      </c>
      <c r="FDQ1" s="3" t="s">
        <v>4128</v>
      </c>
      <c r="FDR1" s="3" t="s">
        <v>4129</v>
      </c>
      <c r="FDS1" s="3" t="s">
        <v>4130</v>
      </c>
      <c r="FDT1" s="3" t="s">
        <v>4131</v>
      </c>
      <c r="FDU1" s="3" t="s">
        <v>4132</v>
      </c>
      <c r="FDV1" s="3" t="s">
        <v>4133</v>
      </c>
      <c r="FDW1" s="3" t="s">
        <v>4134</v>
      </c>
      <c r="FDX1" s="3" t="s">
        <v>4135</v>
      </c>
      <c r="FDY1" s="3" t="s">
        <v>4136</v>
      </c>
      <c r="FDZ1" s="3" t="s">
        <v>4137</v>
      </c>
      <c r="FEA1" s="3" t="s">
        <v>4138</v>
      </c>
      <c r="FEB1" s="3" t="s">
        <v>4139</v>
      </c>
      <c r="FEC1" s="3" t="s">
        <v>4140</v>
      </c>
      <c r="FED1" s="3" t="s">
        <v>4141</v>
      </c>
      <c r="FEE1" s="3" t="s">
        <v>4142</v>
      </c>
      <c r="FEF1" s="3" t="s">
        <v>4143</v>
      </c>
      <c r="FEG1" s="3" t="s">
        <v>4144</v>
      </c>
      <c r="FEH1" s="3" t="s">
        <v>4145</v>
      </c>
      <c r="FEI1" s="3" t="s">
        <v>4146</v>
      </c>
      <c r="FEJ1" s="3" t="s">
        <v>4147</v>
      </c>
      <c r="FEK1" s="3" t="s">
        <v>4148</v>
      </c>
      <c r="FEL1" s="3" t="s">
        <v>4149</v>
      </c>
      <c r="FEM1" s="3" t="s">
        <v>4150</v>
      </c>
      <c r="FEN1" s="3" t="s">
        <v>4151</v>
      </c>
      <c r="FEO1" s="3" t="s">
        <v>4152</v>
      </c>
      <c r="FEP1" s="3" t="s">
        <v>4153</v>
      </c>
      <c r="FEQ1" s="3" t="s">
        <v>4154</v>
      </c>
      <c r="FER1" s="3" t="s">
        <v>4155</v>
      </c>
      <c r="FES1" s="3" t="s">
        <v>4156</v>
      </c>
      <c r="FET1" s="3" t="s">
        <v>4157</v>
      </c>
      <c r="FEU1" s="3" t="s">
        <v>4158</v>
      </c>
      <c r="FEV1" s="3" t="s">
        <v>4159</v>
      </c>
      <c r="FEW1" s="3" t="s">
        <v>4160</v>
      </c>
      <c r="FEX1" s="3" t="s">
        <v>4161</v>
      </c>
      <c r="FEY1" s="3" t="s">
        <v>4162</v>
      </c>
      <c r="FEZ1" s="3" t="s">
        <v>4163</v>
      </c>
      <c r="FFA1" s="3" t="s">
        <v>4164</v>
      </c>
      <c r="FFB1" s="3" t="s">
        <v>4165</v>
      </c>
      <c r="FFC1" s="3" t="s">
        <v>4166</v>
      </c>
      <c r="FFD1" s="3" t="s">
        <v>4167</v>
      </c>
      <c r="FFE1" s="3" t="s">
        <v>4168</v>
      </c>
      <c r="FFF1" s="3" t="s">
        <v>4169</v>
      </c>
      <c r="FFG1" s="3" t="s">
        <v>4170</v>
      </c>
      <c r="FFH1" s="3" t="s">
        <v>4171</v>
      </c>
      <c r="FFI1" s="3" t="s">
        <v>4172</v>
      </c>
      <c r="FFJ1" s="3" t="s">
        <v>4173</v>
      </c>
      <c r="FFK1" s="3" t="s">
        <v>4174</v>
      </c>
      <c r="FFL1" s="3" t="s">
        <v>4175</v>
      </c>
      <c r="FFM1" s="3" t="s">
        <v>4176</v>
      </c>
      <c r="FFN1" s="3" t="s">
        <v>4177</v>
      </c>
      <c r="FFO1" s="3" t="s">
        <v>4178</v>
      </c>
      <c r="FFP1" s="3" t="s">
        <v>4179</v>
      </c>
      <c r="FFQ1" s="3" t="s">
        <v>4180</v>
      </c>
      <c r="FFR1" s="3" t="s">
        <v>4181</v>
      </c>
      <c r="FFS1" s="3" t="s">
        <v>4182</v>
      </c>
      <c r="FFT1" s="3" t="s">
        <v>4183</v>
      </c>
      <c r="FFU1" s="3" t="s">
        <v>4184</v>
      </c>
      <c r="FFV1" s="3" t="s">
        <v>4185</v>
      </c>
      <c r="FFW1" s="3" t="s">
        <v>4186</v>
      </c>
      <c r="FFX1" s="3" t="s">
        <v>4187</v>
      </c>
      <c r="FFY1" s="3" t="s">
        <v>4188</v>
      </c>
      <c r="FFZ1" s="3" t="s">
        <v>4189</v>
      </c>
      <c r="FGA1" s="3" t="s">
        <v>4190</v>
      </c>
      <c r="FGB1" s="3" t="s">
        <v>4191</v>
      </c>
      <c r="FGC1" s="3" t="s">
        <v>4192</v>
      </c>
      <c r="FGD1" s="3" t="s">
        <v>4193</v>
      </c>
      <c r="FGE1" s="3" t="s">
        <v>4194</v>
      </c>
      <c r="FGF1" s="3" t="s">
        <v>4195</v>
      </c>
      <c r="FGG1" s="3" t="s">
        <v>4196</v>
      </c>
      <c r="FGH1" s="3" t="s">
        <v>4197</v>
      </c>
      <c r="FGI1" s="3" t="s">
        <v>4198</v>
      </c>
      <c r="FGJ1" s="3" t="s">
        <v>4199</v>
      </c>
      <c r="FGK1" s="3" t="s">
        <v>4200</v>
      </c>
      <c r="FGL1" s="3" t="s">
        <v>4201</v>
      </c>
      <c r="FGM1" s="3" t="s">
        <v>4202</v>
      </c>
      <c r="FGN1" s="3" t="s">
        <v>4203</v>
      </c>
      <c r="FGO1" s="3" t="s">
        <v>4204</v>
      </c>
      <c r="FGP1" s="3" t="s">
        <v>4205</v>
      </c>
      <c r="FGQ1" s="3" t="s">
        <v>4206</v>
      </c>
      <c r="FGR1" s="3" t="s">
        <v>4207</v>
      </c>
      <c r="FGS1" s="3" t="s">
        <v>4208</v>
      </c>
      <c r="FGT1" s="3" t="s">
        <v>4209</v>
      </c>
      <c r="FGU1" s="3" t="s">
        <v>4210</v>
      </c>
      <c r="FGV1" s="3" t="s">
        <v>4211</v>
      </c>
      <c r="FGW1" s="3" t="s">
        <v>4212</v>
      </c>
      <c r="FGX1" s="3" t="s">
        <v>4213</v>
      </c>
      <c r="FGY1" s="3" t="s">
        <v>4214</v>
      </c>
      <c r="FGZ1" s="3" t="s">
        <v>4215</v>
      </c>
      <c r="FHA1" s="3" t="s">
        <v>4216</v>
      </c>
      <c r="FHB1" s="3" t="s">
        <v>4217</v>
      </c>
      <c r="FHC1" s="3" t="s">
        <v>4218</v>
      </c>
      <c r="FHD1" s="3" t="s">
        <v>4219</v>
      </c>
      <c r="FHE1" s="3" t="s">
        <v>4220</v>
      </c>
      <c r="FHF1" s="3" t="s">
        <v>4221</v>
      </c>
      <c r="FHG1" s="3" t="s">
        <v>4222</v>
      </c>
      <c r="FHH1" s="3" t="s">
        <v>4223</v>
      </c>
      <c r="FHI1" s="3" t="s">
        <v>4224</v>
      </c>
      <c r="FHJ1" s="3" t="s">
        <v>4225</v>
      </c>
      <c r="FHK1" s="3" t="s">
        <v>4226</v>
      </c>
      <c r="FHL1" s="3" t="s">
        <v>4227</v>
      </c>
      <c r="FHM1" s="3" t="s">
        <v>4228</v>
      </c>
      <c r="FHN1" s="3" t="s">
        <v>4229</v>
      </c>
      <c r="FHO1" s="3" t="s">
        <v>4230</v>
      </c>
      <c r="FHP1" s="3" t="s">
        <v>4231</v>
      </c>
      <c r="FHQ1" s="3" t="s">
        <v>4232</v>
      </c>
      <c r="FHR1" s="3" t="s">
        <v>4233</v>
      </c>
      <c r="FHS1" s="3" t="s">
        <v>4234</v>
      </c>
      <c r="FHT1" s="3" t="s">
        <v>4235</v>
      </c>
      <c r="FHU1" s="3" t="s">
        <v>4236</v>
      </c>
      <c r="FHV1" s="3" t="s">
        <v>4237</v>
      </c>
      <c r="FHW1" s="3" t="s">
        <v>4238</v>
      </c>
      <c r="FHX1" s="3" t="s">
        <v>4239</v>
      </c>
      <c r="FHY1" s="3" t="s">
        <v>4240</v>
      </c>
      <c r="FHZ1" s="3" t="s">
        <v>4241</v>
      </c>
      <c r="FIA1" s="3" t="s">
        <v>4242</v>
      </c>
      <c r="FIB1" s="3" t="s">
        <v>4243</v>
      </c>
      <c r="FIC1" s="3" t="s">
        <v>4244</v>
      </c>
      <c r="FID1" s="3" t="s">
        <v>4245</v>
      </c>
      <c r="FIE1" s="3" t="s">
        <v>4246</v>
      </c>
      <c r="FIF1" s="3" t="s">
        <v>4247</v>
      </c>
      <c r="FIG1" s="3" t="s">
        <v>4248</v>
      </c>
      <c r="FIH1" s="3" t="s">
        <v>4249</v>
      </c>
      <c r="FII1" s="3" t="s">
        <v>4250</v>
      </c>
      <c r="FIJ1" s="3" t="s">
        <v>4251</v>
      </c>
      <c r="FIK1" s="3" t="s">
        <v>4252</v>
      </c>
      <c r="FIL1" s="3" t="s">
        <v>4253</v>
      </c>
      <c r="FIM1" s="3" t="s">
        <v>4254</v>
      </c>
      <c r="FIN1" s="3" t="s">
        <v>4255</v>
      </c>
      <c r="FIO1" s="3" t="s">
        <v>4256</v>
      </c>
      <c r="FIP1" s="3" t="s">
        <v>4257</v>
      </c>
      <c r="FIQ1" s="3" t="s">
        <v>4258</v>
      </c>
      <c r="FIR1" s="3" t="s">
        <v>4259</v>
      </c>
      <c r="FIS1" s="3" t="s">
        <v>4260</v>
      </c>
      <c r="FIT1" s="3" t="s">
        <v>4261</v>
      </c>
      <c r="FIU1" s="3" t="s">
        <v>4262</v>
      </c>
      <c r="FIV1" s="3" t="s">
        <v>4263</v>
      </c>
      <c r="FIW1" s="3" t="s">
        <v>4264</v>
      </c>
      <c r="FIX1" s="3" t="s">
        <v>4265</v>
      </c>
      <c r="FIY1" s="3" t="s">
        <v>4266</v>
      </c>
      <c r="FIZ1" s="3" t="s">
        <v>4267</v>
      </c>
      <c r="FJA1" s="3" t="s">
        <v>4268</v>
      </c>
      <c r="FJB1" s="3" t="s">
        <v>4269</v>
      </c>
      <c r="FJC1" s="3" t="s">
        <v>4270</v>
      </c>
      <c r="FJD1" s="3" t="s">
        <v>4271</v>
      </c>
      <c r="FJE1" s="3" t="s">
        <v>4272</v>
      </c>
      <c r="FJF1" s="3" t="s">
        <v>4273</v>
      </c>
      <c r="FJG1" s="3" t="s">
        <v>4274</v>
      </c>
      <c r="FJH1" s="3" t="s">
        <v>4275</v>
      </c>
      <c r="FJI1" s="3" t="s">
        <v>4276</v>
      </c>
      <c r="FJJ1" s="3" t="s">
        <v>4277</v>
      </c>
      <c r="FJK1" s="3" t="s">
        <v>4278</v>
      </c>
      <c r="FJL1" s="3" t="s">
        <v>4279</v>
      </c>
      <c r="FJM1" s="3" t="s">
        <v>4280</v>
      </c>
      <c r="FJN1" s="3" t="s">
        <v>4281</v>
      </c>
      <c r="FJO1" s="3" t="s">
        <v>4282</v>
      </c>
      <c r="FJP1" s="3" t="s">
        <v>4283</v>
      </c>
      <c r="FJQ1" s="3" t="s">
        <v>4284</v>
      </c>
      <c r="FJR1" s="3" t="s">
        <v>4285</v>
      </c>
      <c r="FJS1" s="3" t="s">
        <v>4286</v>
      </c>
      <c r="FJT1" s="3" t="s">
        <v>4287</v>
      </c>
      <c r="FJU1" s="3" t="s">
        <v>4288</v>
      </c>
      <c r="FJV1" s="3" t="s">
        <v>4289</v>
      </c>
      <c r="FJW1" s="3" t="s">
        <v>4290</v>
      </c>
      <c r="FJX1" s="3" t="s">
        <v>4291</v>
      </c>
      <c r="FJY1" s="3" t="s">
        <v>4292</v>
      </c>
      <c r="FJZ1" s="3" t="s">
        <v>4293</v>
      </c>
      <c r="FKA1" s="3" t="s">
        <v>4294</v>
      </c>
      <c r="FKB1" s="3" t="s">
        <v>4295</v>
      </c>
      <c r="FKC1" s="3" t="s">
        <v>4296</v>
      </c>
      <c r="FKD1" s="3" t="s">
        <v>4297</v>
      </c>
      <c r="FKE1" s="3" t="s">
        <v>4298</v>
      </c>
      <c r="FKF1" s="3" t="s">
        <v>4299</v>
      </c>
      <c r="FKG1" s="3" t="s">
        <v>4300</v>
      </c>
      <c r="FKH1" s="3" t="s">
        <v>4301</v>
      </c>
      <c r="FKI1" s="3" t="s">
        <v>4302</v>
      </c>
      <c r="FKJ1" s="3" t="s">
        <v>4303</v>
      </c>
      <c r="FKK1" s="3" t="s">
        <v>4304</v>
      </c>
      <c r="FKL1" s="3" t="s">
        <v>4305</v>
      </c>
      <c r="FKM1" s="3" t="s">
        <v>4306</v>
      </c>
      <c r="FKN1" s="3" t="s">
        <v>4307</v>
      </c>
      <c r="FKO1" s="3" t="s">
        <v>4308</v>
      </c>
      <c r="FKP1" s="3" t="s">
        <v>4309</v>
      </c>
      <c r="FKQ1" s="3" t="s">
        <v>4310</v>
      </c>
      <c r="FKR1" s="3" t="s">
        <v>4311</v>
      </c>
      <c r="FKS1" s="3" t="s">
        <v>4312</v>
      </c>
      <c r="FKT1" s="3" t="s">
        <v>4313</v>
      </c>
      <c r="FKU1" s="3" t="s">
        <v>4314</v>
      </c>
      <c r="FKV1" s="3" t="s">
        <v>4315</v>
      </c>
      <c r="FKW1" s="3" t="s">
        <v>4316</v>
      </c>
      <c r="FKX1" s="3" t="s">
        <v>4317</v>
      </c>
      <c r="FKY1" s="3" t="s">
        <v>4318</v>
      </c>
      <c r="FKZ1" s="3" t="s">
        <v>4319</v>
      </c>
      <c r="FLA1" s="3" t="s">
        <v>4320</v>
      </c>
      <c r="FLB1" s="3" t="s">
        <v>4321</v>
      </c>
      <c r="FLC1" s="3" t="s">
        <v>4322</v>
      </c>
      <c r="FLD1" s="3" t="s">
        <v>4323</v>
      </c>
      <c r="FLE1" s="3" t="s">
        <v>4324</v>
      </c>
      <c r="FLF1" s="3" t="s">
        <v>4325</v>
      </c>
      <c r="FLG1" s="3" t="s">
        <v>4326</v>
      </c>
      <c r="FLH1" s="3" t="s">
        <v>4327</v>
      </c>
      <c r="FLI1" s="3" t="s">
        <v>4328</v>
      </c>
      <c r="FLJ1" s="3" t="s">
        <v>4329</v>
      </c>
      <c r="FLK1" s="3" t="s">
        <v>4330</v>
      </c>
      <c r="FLL1" s="3" t="s">
        <v>4331</v>
      </c>
      <c r="FLM1" s="3" t="s">
        <v>4332</v>
      </c>
      <c r="FLN1" s="3" t="s">
        <v>4333</v>
      </c>
      <c r="FLO1" s="3" t="s">
        <v>4334</v>
      </c>
      <c r="FLP1" s="3" t="s">
        <v>4335</v>
      </c>
      <c r="FLQ1" s="3" t="s">
        <v>4336</v>
      </c>
      <c r="FLR1" s="3" t="s">
        <v>4337</v>
      </c>
      <c r="FLS1" s="3" t="s">
        <v>4338</v>
      </c>
      <c r="FLT1" s="3" t="s">
        <v>4339</v>
      </c>
      <c r="FLU1" s="3" t="s">
        <v>4340</v>
      </c>
      <c r="FLV1" s="3" t="s">
        <v>4341</v>
      </c>
      <c r="FLW1" s="3" t="s">
        <v>4342</v>
      </c>
      <c r="FLX1" s="3" t="s">
        <v>4343</v>
      </c>
      <c r="FLY1" s="3" t="s">
        <v>4344</v>
      </c>
      <c r="FLZ1" s="3" t="s">
        <v>4345</v>
      </c>
      <c r="FMA1" s="3" t="s">
        <v>4346</v>
      </c>
      <c r="FMB1" s="3" t="s">
        <v>4347</v>
      </c>
      <c r="FMC1" s="3" t="s">
        <v>4348</v>
      </c>
      <c r="FMD1" s="3" t="s">
        <v>4349</v>
      </c>
      <c r="FME1" s="3" t="s">
        <v>4350</v>
      </c>
      <c r="FMF1" s="3" t="s">
        <v>4351</v>
      </c>
      <c r="FMG1" s="3" t="s">
        <v>4352</v>
      </c>
      <c r="FMH1" s="3" t="s">
        <v>4353</v>
      </c>
      <c r="FMI1" s="3" t="s">
        <v>4354</v>
      </c>
      <c r="FMJ1" s="3" t="s">
        <v>4355</v>
      </c>
      <c r="FMK1" s="3" t="s">
        <v>4356</v>
      </c>
      <c r="FML1" s="3" t="s">
        <v>4357</v>
      </c>
      <c r="FMM1" s="3" t="s">
        <v>4358</v>
      </c>
      <c r="FMN1" s="3" t="s">
        <v>4359</v>
      </c>
      <c r="FMO1" s="3" t="s">
        <v>4360</v>
      </c>
      <c r="FMP1" s="3" t="s">
        <v>4361</v>
      </c>
      <c r="FMQ1" s="3" t="s">
        <v>4362</v>
      </c>
      <c r="FMR1" s="3" t="s">
        <v>4363</v>
      </c>
      <c r="FMS1" s="3" t="s">
        <v>4364</v>
      </c>
      <c r="FMT1" s="3" t="s">
        <v>4365</v>
      </c>
      <c r="FMU1" s="3" t="s">
        <v>4366</v>
      </c>
      <c r="FMV1" s="3" t="s">
        <v>4367</v>
      </c>
      <c r="FMW1" s="3" t="s">
        <v>4368</v>
      </c>
      <c r="FMX1" s="3" t="s">
        <v>4369</v>
      </c>
      <c r="FMY1" s="3" t="s">
        <v>4370</v>
      </c>
      <c r="FMZ1" s="3" t="s">
        <v>4371</v>
      </c>
      <c r="FNA1" s="3" t="s">
        <v>4372</v>
      </c>
      <c r="FNB1" s="3" t="s">
        <v>4373</v>
      </c>
      <c r="FNC1" s="3" t="s">
        <v>4374</v>
      </c>
      <c r="FND1" s="3" t="s">
        <v>4375</v>
      </c>
      <c r="FNE1" s="3" t="s">
        <v>4376</v>
      </c>
      <c r="FNF1" s="3" t="s">
        <v>4377</v>
      </c>
      <c r="FNG1" s="3" t="s">
        <v>4378</v>
      </c>
      <c r="FNH1" s="3" t="s">
        <v>4379</v>
      </c>
      <c r="FNI1" s="3" t="s">
        <v>4380</v>
      </c>
      <c r="FNJ1" s="3" t="s">
        <v>4381</v>
      </c>
      <c r="FNK1" s="3" t="s">
        <v>4382</v>
      </c>
      <c r="FNL1" s="3" t="s">
        <v>4383</v>
      </c>
      <c r="FNM1" s="3" t="s">
        <v>4384</v>
      </c>
      <c r="FNN1" s="3" t="s">
        <v>4385</v>
      </c>
      <c r="FNO1" s="3" t="s">
        <v>4386</v>
      </c>
      <c r="FNP1" s="3" t="s">
        <v>4387</v>
      </c>
      <c r="FNQ1" s="3" t="s">
        <v>4388</v>
      </c>
      <c r="FNR1" s="3" t="s">
        <v>4389</v>
      </c>
      <c r="FNS1" s="3" t="s">
        <v>4390</v>
      </c>
      <c r="FNT1" s="3" t="s">
        <v>4391</v>
      </c>
      <c r="FNU1" s="3" t="s">
        <v>4392</v>
      </c>
      <c r="FNV1" s="3" t="s">
        <v>4393</v>
      </c>
      <c r="FNW1" s="3" t="s">
        <v>4394</v>
      </c>
      <c r="FNX1" s="3" t="s">
        <v>4395</v>
      </c>
      <c r="FNY1" s="3" t="s">
        <v>4396</v>
      </c>
      <c r="FNZ1" s="3" t="s">
        <v>4397</v>
      </c>
      <c r="FOA1" s="3" t="s">
        <v>4398</v>
      </c>
      <c r="FOB1" s="3" t="s">
        <v>4399</v>
      </c>
      <c r="FOC1" s="3" t="s">
        <v>4400</v>
      </c>
      <c r="FOD1" s="3" t="s">
        <v>4401</v>
      </c>
      <c r="FOE1" s="3" t="s">
        <v>4402</v>
      </c>
      <c r="FOF1" s="3" t="s">
        <v>4403</v>
      </c>
      <c r="FOG1" s="3" t="s">
        <v>4404</v>
      </c>
      <c r="FOH1" s="3" t="s">
        <v>4405</v>
      </c>
      <c r="FOI1" s="3" t="s">
        <v>4406</v>
      </c>
      <c r="FOJ1" s="3" t="s">
        <v>4407</v>
      </c>
      <c r="FOK1" s="3" t="s">
        <v>4408</v>
      </c>
      <c r="FOL1" s="3" t="s">
        <v>4409</v>
      </c>
      <c r="FOM1" s="3" t="s">
        <v>4410</v>
      </c>
      <c r="FON1" s="3" t="s">
        <v>4411</v>
      </c>
      <c r="FOO1" s="3" t="s">
        <v>4412</v>
      </c>
      <c r="FOP1" s="3" t="s">
        <v>4413</v>
      </c>
      <c r="FOQ1" s="3" t="s">
        <v>4414</v>
      </c>
      <c r="FOR1" s="3" t="s">
        <v>4415</v>
      </c>
      <c r="FOS1" s="3" t="s">
        <v>4416</v>
      </c>
      <c r="FOT1" s="3" t="s">
        <v>4417</v>
      </c>
      <c r="FOU1" s="3" t="s">
        <v>4418</v>
      </c>
      <c r="FOV1" s="3" t="s">
        <v>4419</v>
      </c>
      <c r="FOW1" s="3" t="s">
        <v>4420</v>
      </c>
      <c r="FOX1" s="3" t="s">
        <v>4421</v>
      </c>
      <c r="FOY1" s="3" t="s">
        <v>4422</v>
      </c>
      <c r="FOZ1" s="3" t="s">
        <v>4423</v>
      </c>
      <c r="FPA1" s="3" t="s">
        <v>4424</v>
      </c>
      <c r="FPB1" s="3" t="s">
        <v>4425</v>
      </c>
      <c r="FPC1" s="3" t="s">
        <v>4426</v>
      </c>
      <c r="FPD1" s="3" t="s">
        <v>4427</v>
      </c>
      <c r="FPE1" s="3" t="s">
        <v>4428</v>
      </c>
      <c r="FPF1" s="3" t="s">
        <v>4429</v>
      </c>
      <c r="FPG1" s="3" t="s">
        <v>4430</v>
      </c>
      <c r="FPH1" s="3" t="s">
        <v>4431</v>
      </c>
      <c r="FPI1" s="3" t="s">
        <v>4432</v>
      </c>
      <c r="FPJ1" s="3" t="s">
        <v>4433</v>
      </c>
      <c r="FPK1" s="3" t="s">
        <v>4434</v>
      </c>
      <c r="FPL1" s="3" t="s">
        <v>4435</v>
      </c>
      <c r="FPM1" s="3" t="s">
        <v>4436</v>
      </c>
      <c r="FPN1" s="3" t="s">
        <v>4437</v>
      </c>
      <c r="FPO1" s="3" t="s">
        <v>4438</v>
      </c>
      <c r="FPP1" s="3" t="s">
        <v>4439</v>
      </c>
      <c r="FPQ1" s="3" t="s">
        <v>4440</v>
      </c>
      <c r="FPR1" s="3" t="s">
        <v>4441</v>
      </c>
      <c r="FPS1" s="3" t="s">
        <v>4442</v>
      </c>
      <c r="FPT1" s="3" t="s">
        <v>4443</v>
      </c>
      <c r="FPU1" s="3" t="s">
        <v>4444</v>
      </c>
      <c r="FPV1" s="3" t="s">
        <v>4445</v>
      </c>
      <c r="FPW1" s="3" t="s">
        <v>4446</v>
      </c>
      <c r="FPX1" s="3" t="s">
        <v>4447</v>
      </c>
      <c r="FPY1" s="3" t="s">
        <v>4448</v>
      </c>
      <c r="FPZ1" s="3" t="s">
        <v>4449</v>
      </c>
      <c r="FQA1" s="3" t="s">
        <v>4450</v>
      </c>
      <c r="FQB1" s="3" t="s">
        <v>4451</v>
      </c>
      <c r="FQC1" s="3" t="s">
        <v>4452</v>
      </c>
      <c r="FQD1" s="3" t="s">
        <v>4453</v>
      </c>
      <c r="FQE1" s="3" t="s">
        <v>4454</v>
      </c>
      <c r="FQF1" s="3" t="s">
        <v>4455</v>
      </c>
      <c r="FQG1" s="3" t="s">
        <v>4456</v>
      </c>
      <c r="FQH1" s="3" t="s">
        <v>4457</v>
      </c>
      <c r="FQI1" s="3" t="s">
        <v>4458</v>
      </c>
      <c r="FQJ1" s="3" t="s">
        <v>4459</v>
      </c>
      <c r="FQK1" s="3" t="s">
        <v>4460</v>
      </c>
      <c r="FQL1" s="3" t="s">
        <v>4461</v>
      </c>
      <c r="FQM1" s="3" t="s">
        <v>4462</v>
      </c>
      <c r="FQN1" s="3" t="s">
        <v>4463</v>
      </c>
      <c r="FQO1" s="3" t="s">
        <v>4464</v>
      </c>
      <c r="FQP1" s="3" t="s">
        <v>4465</v>
      </c>
      <c r="FQQ1" s="3" t="s">
        <v>4466</v>
      </c>
      <c r="FQR1" s="3" t="s">
        <v>4467</v>
      </c>
      <c r="FQS1" s="3" t="s">
        <v>4468</v>
      </c>
      <c r="FQT1" s="3" t="s">
        <v>4469</v>
      </c>
      <c r="FQU1" s="3" t="s">
        <v>4470</v>
      </c>
      <c r="FQV1" s="3" t="s">
        <v>4471</v>
      </c>
      <c r="FQW1" s="3" t="s">
        <v>4472</v>
      </c>
      <c r="FQX1" s="3" t="s">
        <v>4473</v>
      </c>
      <c r="FQY1" s="3" t="s">
        <v>4474</v>
      </c>
      <c r="FQZ1" s="3" t="s">
        <v>4475</v>
      </c>
      <c r="FRA1" s="3" t="s">
        <v>4476</v>
      </c>
      <c r="FRB1" s="3" t="s">
        <v>4477</v>
      </c>
      <c r="FRC1" s="3" t="s">
        <v>4478</v>
      </c>
      <c r="FRD1" s="3" t="s">
        <v>4479</v>
      </c>
      <c r="FRE1" s="3" t="s">
        <v>4480</v>
      </c>
      <c r="FRF1" s="3" t="s">
        <v>4481</v>
      </c>
      <c r="FRG1" s="3" t="s">
        <v>4482</v>
      </c>
      <c r="FRH1" s="3" t="s">
        <v>4483</v>
      </c>
      <c r="FRI1" s="3" t="s">
        <v>4484</v>
      </c>
      <c r="FRJ1" s="3" t="s">
        <v>4485</v>
      </c>
      <c r="FRK1" s="3" t="s">
        <v>4486</v>
      </c>
      <c r="FRL1" s="3" t="s">
        <v>4487</v>
      </c>
      <c r="FRM1" s="3" t="s">
        <v>4488</v>
      </c>
      <c r="FRN1" s="3" t="s">
        <v>4489</v>
      </c>
      <c r="FRO1" s="3" t="s">
        <v>4490</v>
      </c>
      <c r="FRP1" s="3" t="s">
        <v>4491</v>
      </c>
      <c r="FRQ1" s="3" t="s">
        <v>4492</v>
      </c>
      <c r="FRR1" s="3" t="s">
        <v>4493</v>
      </c>
      <c r="FRS1" s="3" t="s">
        <v>4494</v>
      </c>
      <c r="FRT1" s="3" t="s">
        <v>4495</v>
      </c>
      <c r="FRU1" s="3" t="s">
        <v>4496</v>
      </c>
      <c r="FRV1" s="3" t="s">
        <v>4497</v>
      </c>
      <c r="FRW1" s="3" t="s">
        <v>4498</v>
      </c>
      <c r="FRX1" s="3" t="s">
        <v>4499</v>
      </c>
      <c r="FRY1" s="3" t="s">
        <v>4500</v>
      </c>
      <c r="FRZ1" s="3" t="s">
        <v>4501</v>
      </c>
      <c r="FSA1" s="3" t="s">
        <v>4502</v>
      </c>
      <c r="FSB1" s="3" t="s">
        <v>4503</v>
      </c>
      <c r="FSC1" s="3" t="s">
        <v>4504</v>
      </c>
      <c r="FSD1" s="3" t="s">
        <v>4505</v>
      </c>
      <c r="FSE1" s="3" t="s">
        <v>4506</v>
      </c>
      <c r="FSF1" s="3" t="s">
        <v>4507</v>
      </c>
      <c r="FSG1" s="3" t="s">
        <v>4508</v>
      </c>
      <c r="FSH1" s="3" t="s">
        <v>4509</v>
      </c>
      <c r="FSI1" s="3" t="s">
        <v>4510</v>
      </c>
      <c r="FSJ1" s="3" t="s">
        <v>4511</v>
      </c>
      <c r="FSK1" s="3" t="s">
        <v>4512</v>
      </c>
      <c r="FSL1" s="3" t="s">
        <v>4513</v>
      </c>
      <c r="FSM1" s="3" t="s">
        <v>4514</v>
      </c>
      <c r="FSN1" s="3" t="s">
        <v>4515</v>
      </c>
      <c r="FSO1" s="3" t="s">
        <v>4516</v>
      </c>
      <c r="FSP1" s="3" t="s">
        <v>4517</v>
      </c>
      <c r="FSQ1" s="3" t="s">
        <v>4518</v>
      </c>
      <c r="FSR1" s="3" t="s">
        <v>4519</v>
      </c>
      <c r="FSS1" s="3" t="s">
        <v>4520</v>
      </c>
      <c r="FST1" s="3" t="s">
        <v>4521</v>
      </c>
      <c r="FSU1" s="3" t="s">
        <v>4522</v>
      </c>
      <c r="FSV1" s="3" t="s">
        <v>4523</v>
      </c>
      <c r="FSW1" s="3" t="s">
        <v>4524</v>
      </c>
      <c r="FSX1" s="3" t="s">
        <v>4525</v>
      </c>
      <c r="FSY1" s="3" t="s">
        <v>4526</v>
      </c>
      <c r="FSZ1" s="3" t="s">
        <v>4527</v>
      </c>
      <c r="FTA1" s="3" t="s">
        <v>4528</v>
      </c>
      <c r="FTB1" s="3" t="s">
        <v>4529</v>
      </c>
      <c r="FTC1" s="3" t="s">
        <v>4530</v>
      </c>
      <c r="FTD1" s="3" t="s">
        <v>4531</v>
      </c>
      <c r="FTE1" s="3" t="s">
        <v>4532</v>
      </c>
      <c r="FTF1" s="3" t="s">
        <v>4533</v>
      </c>
      <c r="FTG1" s="3" t="s">
        <v>4534</v>
      </c>
      <c r="FTH1" s="3" t="s">
        <v>4535</v>
      </c>
      <c r="FTI1" s="3" t="s">
        <v>4536</v>
      </c>
      <c r="FTJ1" s="3" t="s">
        <v>4537</v>
      </c>
      <c r="FTK1" s="3" t="s">
        <v>4538</v>
      </c>
      <c r="FTL1" s="3" t="s">
        <v>4539</v>
      </c>
      <c r="FTM1" s="3" t="s">
        <v>4540</v>
      </c>
      <c r="FTN1" s="3" t="s">
        <v>4541</v>
      </c>
      <c r="FTO1" s="3" t="s">
        <v>4542</v>
      </c>
      <c r="FTP1" s="3" t="s">
        <v>4543</v>
      </c>
      <c r="FTQ1" s="3" t="s">
        <v>4544</v>
      </c>
      <c r="FTR1" s="3" t="s">
        <v>4545</v>
      </c>
      <c r="FTS1" s="3" t="s">
        <v>4546</v>
      </c>
      <c r="FTT1" s="3" t="s">
        <v>4547</v>
      </c>
      <c r="FTU1" s="3" t="s">
        <v>4548</v>
      </c>
      <c r="FTV1" s="3" t="s">
        <v>4549</v>
      </c>
      <c r="FTW1" s="3" t="s">
        <v>4550</v>
      </c>
      <c r="FTX1" s="3" t="s">
        <v>4551</v>
      </c>
      <c r="FTY1" s="3" t="s">
        <v>4552</v>
      </c>
      <c r="FTZ1" s="3" t="s">
        <v>4553</v>
      </c>
      <c r="FUA1" s="3" t="s">
        <v>4554</v>
      </c>
      <c r="FUB1" s="3" t="s">
        <v>4555</v>
      </c>
      <c r="FUC1" s="3" t="s">
        <v>4556</v>
      </c>
      <c r="FUD1" s="3" t="s">
        <v>4557</v>
      </c>
      <c r="FUE1" s="3" t="s">
        <v>4558</v>
      </c>
      <c r="FUF1" s="3" t="s">
        <v>4559</v>
      </c>
      <c r="FUG1" s="3" t="s">
        <v>4560</v>
      </c>
      <c r="FUH1" s="3" t="s">
        <v>4561</v>
      </c>
      <c r="FUI1" s="3" t="s">
        <v>4562</v>
      </c>
      <c r="FUJ1" s="3" t="s">
        <v>4563</v>
      </c>
      <c r="FUK1" s="3" t="s">
        <v>4564</v>
      </c>
      <c r="FUL1" s="3" t="s">
        <v>4565</v>
      </c>
      <c r="FUM1" s="3" t="s">
        <v>4566</v>
      </c>
      <c r="FUN1" s="3" t="s">
        <v>4567</v>
      </c>
      <c r="FUO1" s="3" t="s">
        <v>4568</v>
      </c>
      <c r="FUP1" s="3" t="s">
        <v>4569</v>
      </c>
      <c r="FUQ1" s="3" t="s">
        <v>4570</v>
      </c>
      <c r="FUR1" s="3" t="s">
        <v>4571</v>
      </c>
      <c r="FUS1" s="3" t="s">
        <v>4572</v>
      </c>
      <c r="FUT1" s="3" t="s">
        <v>4573</v>
      </c>
      <c r="FUU1" s="3" t="s">
        <v>4574</v>
      </c>
      <c r="FUV1" s="3" t="s">
        <v>4575</v>
      </c>
      <c r="FUW1" s="3" t="s">
        <v>4576</v>
      </c>
      <c r="FUX1" s="3" t="s">
        <v>4577</v>
      </c>
      <c r="FUY1" s="3" t="s">
        <v>4578</v>
      </c>
      <c r="FUZ1" s="3" t="s">
        <v>4579</v>
      </c>
      <c r="FVA1" s="3" t="s">
        <v>4580</v>
      </c>
      <c r="FVB1" s="3" t="s">
        <v>4581</v>
      </c>
      <c r="FVC1" s="3" t="s">
        <v>4582</v>
      </c>
      <c r="FVD1" s="3" t="s">
        <v>4583</v>
      </c>
      <c r="FVE1" s="3" t="s">
        <v>4584</v>
      </c>
      <c r="FVF1" s="3" t="s">
        <v>4585</v>
      </c>
      <c r="FVG1" s="3" t="s">
        <v>4586</v>
      </c>
      <c r="FVH1" s="3" t="s">
        <v>4587</v>
      </c>
      <c r="FVI1" s="3" t="s">
        <v>4588</v>
      </c>
      <c r="FVJ1" s="3" t="s">
        <v>4589</v>
      </c>
      <c r="FVK1" s="3" t="s">
        <v>4590</v>
      </c>
      <c r="FVL1" s="3" t="s">
        <v>4591</v>
      </c>
      <c r="FVM1" s="3" t="s">
        <v>4592</v>
      </c>
      <c r="FVN1" s="3" t="s">
        <v>4593</v>
      </c>
      <c r="FVO1" s="3" t="s">
        <v>4594</v>
      </c>
      <c r="FVP1" s="3" t="s">
        <v>4595</v>
      </c>
      <c r="FVQ1" s="3" t="s">
        <v>4596</v>
      </c>
      <c r="FVR1" s="3" t="s">
        <v>4597</v>
      </c>
      <c r="FVS1" s="3" t="s">
        <v>4598</v>
      </c>
      <c r="FVT1" s="3" t="s">
        <v>4599</v>
      </c>
      <c r="FVU1" s="3" t="s">
        <v>4600</v>
      </c>
      <c r="FVV1" s="3" t="s">
        <v>4601</v>
      </c>
      <c r="FVW1" s="3" t="s">
        <v>4602</v>
      </c>
      <c r="FVX1" s="3" t="s">
        <v>4603</v>
      </c>
      <c r="FVY1" s="3" t="s">
        <v>4604</v>
      </c>
      <c r="FVZ1" s="3" t="s">
        <v>4605</v>
      </c>
      <c r="FWA1" s="3" t="s">
        <v>4606</v>
      </c>
      <c r="FWB1" s="3" t="s">
        <v>4607</v>
      </c>
      <c r="FWC1" s="3" t="s">
        <v>4608</v>
      </c>
      <c r="FWD1" s="3" t="s">
        <v>4609</v>
      </c>
      <c r="FWE1" s="3" t="s">
        <v>4610</v>
      </c>
      <c r="FWF1" s="3" t="s">
        <v>4611</v>
      </c>
      <c r="FWG1" s="3" t="s">
        <v>4612</v>
      </c>
      <c r="FWH1" s="3" t="s">
        <v>4613</v>
      </c>
      <c r="FWI1" s="3" t="s">
        <v>4614</v>
      </c>
      <c r="FWJ1" s="3" t="s">
        <v>4615</v>
      </c>
      <c r="FWK1" s="3" t="s">
        <v>4616</v>
      </c>
      <c r="FWL1" s="3" t="s">
        <v>4617</v>
      </c>
      <c r="FWM1" s="3" t="s">
        <v>4618</v>
      </c>
      <c r="FWN1" s="3" t="s">
        <v>4619</v>
      </c>
      <c r="FWO1" s="3" t="s">
        <v>4620</v>
      </c>
      <c r="FWP1" s="3" t="s">
        <v>4621</v>
      </c>
      <c r="FWQ1" s="3" t="s">
        <v>4622</v>
      </c>
      <c r="FWR1" s="3" t="s">
        <v>4623</v>
      </c>
      <c r="FWS1" s="3" t="s">
        <v>4624</v>
      </c>
      <c r="FWT1" s="3" t="s">
        <v>4625</v>
      </c>
      <c r="FWU1" s="3" t="s">
        <v>4626</v>
      </c>
      <c r="FWV1" s="3" t="s">
        <v>4627</v>
      </c>
      <c r="FWW1" s="3" t="s">
        <v>4628</v>
      </c>
      <c r="FWX1" s="3" t="s">
        <v>4629</v>
      </c>
      <c r="FWY1" s="3" t="s">
        <v>4630</v>
      </c>
      <c r="FWZ1" s="3" t="s">
        <v>4631</v>
      </c>
      <c r="FXA1" s="3" t="s">
        <v>4632</v>
      </c>
      <c r="FXB1" s="3" t="s">
        <v>4633</v>
      </c>
      <c r="FXC1" s="3" t="s">
        <v>4634</v>
      </c>
      <c r="FXD1" s="3" t="s">
        <v>4635</v>
      </c>
      <c r="FXE1" s="3" t="s">
        <v>4636</v>
      </c>
      <c r="FXF1" s="3" t="s">
        <v>4637</v>
      </c>
      <c r="FXG1" s="3" t="s">
        <v>4638</v>
      </c>
      <c r="FXH1" s="3" t="s">
        <v>4639</v>
      </c>
      <c r="FXI1" s="3" t="s">
        <v>4640</v>
      </c>
      <c r="FXJ1" s="3" t="s">
        <v>4641</v>
      </c>
      <c r="FXK1" s="3" t="s">
        <v>4642</v>
      </c>
      <c r="FXL1" s="3" t="s">
        <v>4643</v>
      </c>
      <c r="FXM1" s="3" t="s">
        <v>4644</v>
      </c>
      <c r="FXN1" s="3" t="s">
        <v>4645</v>
      </c>
      <c r="FXO1" s="3" t="s">
        <v>4646</v>
      </c>
      <c r="FXP1" s="3" t="s">
        <v>4647</v>
      </c>
      <c r="FXQ1" s="3" t="s">
        <v>4648</v>
      </c>
      <c r="FXR1" s="3" t="s">
        <v>4649</v>
      </c>
      <c r="FXS1" s="3" t="s">
        <v>4650</v>
      </c>
      <c r="FXT1" s="3" t="s">
        <v>4651</v>
      </c>
      <c r="FXU1" s="3" t="s">
        <v>4652</v>
      </c>
      <c r="FXV1" s="3" t="s">
        <v>4653</v>
      </c>
      <c r="FXW1" s="3" t="s">
        <v>4654</v>
      </c>
      <c r="FXX1" s="3" t="s">
        <v>4655</v>
      </c>
      <c r="FXY1" s="3" t="s">
        <v>4656</v>
      </c>
      <c r="FXZ1" s="3" t="s">
        <v>4657</v>
      </c>
      <c r="FYA1" s="3" t="s">
        <v>4658</v>
      </c>
      <c r="FYB1" s="3" t="s">
        <v>4659</v>
      </c>
      <c r="FYC1" s="3" t="s">
        <v>4660</v>
      </c>
      <c r="FYD1" s="3" t="s">
        <v>4661</v>
      </c>
      <c r="FYE1" s="3" t="s">
        <v>4662</v>
      </c>
      <c r="FYF1" s="3" t="s">
        <v>4663</v>
      </c>
      <c r="FYG1" s="3" t="s">
        <v>4664</v>
      </c>
      <c r="FYH1" s="3" t="s">
        <v>4665</v>
      </c>
      <c r="FYI1" s="3" t="s">
        <v>4666</v>
      </c>
      <c r="FYJ1" s="3" t="s">
        <v>4667</v>
      </c>
      <c r="FYK1" s="3" t="s">
        <v>4668</v>
      </c>
      <c r="FYL1" s="3" t="s">
        <v>4669</v>
      </c>
      <c r="FYM1" s="3" t="s">
        <v>4670</v>
      </c>
      <c r="FYN1" s="3" t="s">
        <v>4671</v>
      </c>
      <c r="FYO1" s="3" t="s">
        <v>4672</v>
      </c>
      <c r="FYP1" s="3" t="s">
        <v>4673</v>
      </c>
      <c r="FYQ1" s="3" t="s">
        <v>4674</v>
      </c>
      <c r="FYR1" s="3" t="s">
        <v>4675</v>
      </c>
      <c r="FYS1" s="3" t="s">
        <v>4676</v>
      </c>
      <c r="FYT1" s="3" t="s">
        <v>4677</v>
      </c>
      <c r="FYU1" s="3" t="s">
        <v>4678</v>
      </c>
      <c r="FYV1" s="3" t="s">
        <v>4679</v>
      </c>
      <c r="FYW1" s="3" t="s">
        <v>4680</v>
      </c>
      <c r="FYX1" s="3" t="s">
        <v>4681</v>
      </c>
      <c r="FYY1" s="3" t="s">
        <v>4682</v>
      </c>
      <c r="FYZ1" s="3" t="s">
        <v>4683</v>
      </c>
      <c r="FZA1" s="3" t="s">
        <v>4684</v>
      </c>
      <c r="FZB1" s="3" t="s">
        <v>4685</v>
      </c>
      <c r="FZC1" s="3" t="s">
        <v>4686</v>
      </c>
      <c r="FZD1" s="3" t="s">
        <v>4687</v>
      </c>
      <c r="FZE1" s="3" t="s">
        <v>4688</v>
      </c>
      <c r="FZF1" s="3" t="s">
        <v>4689</v>
      </c>
      <c r="FZG1" s="3" t="s">
        <v>4690</v>
      </c>
      <c r="FZH1" s="3" t="s">
        <v>4691</v>
      </c>
      <c r="FZI1" s="3" t="s">
        <v>4692</v>
      </c>
      <c r="FZJ1" s="3" t="s">
        <v>4693</v>
      </c>
      <c r="FZK1" s="3" t="s">
        <v>4694</v>
      </c>
      <c r="FZL1" s="3" t="s">
        <v>4695</v>
      </c>
      <c r="FZM1" s="3" t="s">
        <v>4696</v>
      </c>
      <c r="FZN1" s="3" t="s">
        <v>4697</v>
      </c>
      <c r="FZO1" s="3" t="s">
        <v>4698</v>
      </c>
      <c r="FZP1" s="3" t="s">
        <v>4699</v>
      </c>
      <c r="FZQ1" s="3" t="s">
        <v>4700</v>
      </c>
      <c r="FZR1" s="3" t="s">
        <v>4701</v>
      </c>
      <c r="FZS1" s="3" t="s">
        <v>4702</v>
      </c>
      <c r="FZT1" s="3" t="s">
        <v>4703</v>
      </c>
      <c r="FZU1" s="3" t="s">
        <v>4704</v>
      </c>
      <c r="FZV1" s="3" t="s">
        <v>4705</v>
      </c>
      <c r="FZW1" s="3" t="s">
        <v>4706</v>
      </c>
      <c r="FZX1" s="3" t="s">
        <v>4707</v>
      </c>
      <c r="FZY1" s="3" t="s">
        <v>4708</v>
      </c>
      <c r="FZZ1" s="3" t="s">
        <v>4709</v>
      </c>
      <c r="GAA1" s="3" t="s">
        <v>4710</v>
      </c>
      <c r="GAB1" s="3" t="s">
        <v>4711</v>
      </c>
      <c r="GAC1" s="3" t="s">
        <v>4712</v>
      </c>
      <c r="GAD1" s="3" t="s">
        <v>4713</v>
      </c>
      <c r="GAE1" s="3" t="s">
        <v>4714</v>
      </c>
      <c r="GAF1" s="3" t="s">
        <v>4715</v>
      </c>
      <c r="GAG1" s="3" t="s">
        <v>4716</v>
      </c>
      <c r="GAH1" s="3" t="s">
        <v>4717</v>
      </c>
      <c r="GAI1" s="3" t="s">
        <v>4718</v>
      </c>
      <c r="GAJ1" s="3" t="s">
        <v>4719</v>
      </c>
      <c r="GAK1" s="3" t="s">
        <v>4720</v>
      </c>
      <c r="GAL1" s="3" t="s">
        <v>4721</v>
      </c>
      <c r="GAM1" s="3" t="s">
        <v>4722</v>
      </c>
      <c r="GAN1" s="3" t="s">
        <v>4723</v>
      </c>
      <c r="GAO1" s="3" t="s">
        <v>4724</v>
      </c>
      <c r="GAP1" s="3" t="s">
        <v>4725</v>
      </c>
      <c r="GAQ1" s="3" t="s">
        <v>4726</v>
      </c>
      <c r="GAR1" s="3" t="s">
        <v>4727</v>
      </c>
      <c r="GAS1" s="3" t="s">
        <v>4728</v>
      </c>
      <c r="GAT1" s="3" t="s">
        <v>4729</v>
      </c>
      <c r="GAU1" s="3" t="s">
        <v>4730</v>
      </c>
      <c r="GAV1" s="3" t="s">
        <v>4731</v>
      </c>
      <c r="GAW1" s="3" t="s">
        <v>4732</v>
      </c>
      <c r="GAX1" s="3" t="s">
        <v>4733</v>
      </c>
      <c r="GAY1" s="3" t="s">
        <v>4734</v>
      </c>
      <c r="GAZ1" s="3" t="s">
        <v>4735</v>
      </c>
      <c r="GBA1" s="3" t="s">
        <v>4736</v>
      </c>
      <c r="GBB1" s="3" t="s">
        <v>4737</v>
      </c>
      <c r="GBC1" s="3" t="s">
        <v>4738</v>
      </c>
      <c r="GBD1" s="3" t="s">
        <v>4739</v>
      </c>
      <c r="GBE1" s="3" t="s">
        <v>4740</v>
      </c>
      <c r="GBF1" s="3" t="s">
        <v>4741</v>
      </c>
      <c r="GBG1" s="3" t="s">
        <v>4742</v>
      </c>
      <c r="GBH1" s="3" t="s">
        <v>4743</v>
      </c>
      <c r="GBI1" s="3" t="s">
        <v>4744</v>
      </c>
      <c r="GBJ1" s="3" t="s">
        <v>4745</v>
      </c>
      <c r="GBK1" s="3" t="s">
        <v>4746</v>
      </c>
      <c r="GBL1" s="3" t="s">
        <v>4747</v>
      </c>
      <c r="GBM1" s="3" t="s">
        <v>4748</v>
      </c>
      <c r="GBN1" s="3" t="s">
        <v>4749</v>
      </c>
      <c r="GBO1" s="3" t="s">
        <v>4750</v>
      </c>
      <c r="GBP1" s="3" t="s">
        <v>4751</v>
      </c>
      <c r="GBQ1" s="3" t="s">
        <v>4752</v>
      </c>
      <c r="GBR1" s="3" t="s">
        <v>4753</v>
      </c>
      <c r="GBS1" s="3" t="s">
        <v>4754</v>
      </c>
      <c r="GBT1" s="3" t="s">
        <v>4755</v>
      </c>
      <c r="GBU1" s="3" t="s">
        <v>4756</v>
      </c>
      <c r="GBV1" s="3" t="s">
        <v>4757</v>
      </c>
      <c r="GBW1" s="3" t="s">
        <v>4758</v>
      </c>
      <c r="GBX1" s="3" t="s">
        <v>4759</v>
      </c>
      <c r="GBY1" s="3" t="s">
        <v>4760</v>
      </c>
      <c r="GBZ1" s="3" t="s">
        <v>4761</v>
      </c>
      <c r="GCA1" s="3" t="s">
        <v>4762</v>
      </c>
      <c r="GCB1" s="3" t="s">
        <v>4763</v>
      </c>
      <c r="GCC1" s="3" t="s">
        <v>4764</v>
      </c>
      <c r="GCD1" s="3" t="s">
        <v>4765</v>
      </c>
      <c r="GCE1" s="3" t="s">
        <v>4766</v>
      </c>
      <c r="GCF1" s="3" t="s">
        <v>4767</v>
      </c>
      <c r="GCG1" s="3" t="s">
        <v>4768</v>
      </c>
      <c r="GCH1" s="3" t="s">
        <v>4769</v>
      </c>
      <c r="GCI1" s="3" t="s">
        <v>4770</v>
      </c>
      <c r="GCJ1" s="3" t="s">
        <v>4771</v>
      </c>
      <c r="GCK1" s="3" t="s">
        <v>4772</v>
      </c>
      <c r="GCL1" s="3" t="s">
        <v>4773</v>
      </c>
      <c r="GCM1" s="3" t="s">
        <v>4774</v>
      </c>
      <c r="GCN1" s="3" t="s">
        <v>4775</v>
      </c>
      <c r="GCO1" s="3" t="s">
        <v>4776</v>
      </c>
      <c r="GCP1" s="3" t="s">
        <v>4777</v>
      </c>
      <c r="GCQ1" s="3" t="s">
        <v>4778</v>
      </c>
      <c r="GCR1" s="3" t="s">
        <v>4779</v>
      </c>
      <c r="GCS1" s="3" t="s">
        <v>4780</v>
      </c>
      <c r="GCT1" s="3" t="s">
        <v>4781</v>
      </c>
      <c r="GCU1" s="3" t="s">
        <v>4782</v>
      </c>
      <c r="GCV1" s="3" t="s">
        <v>4783</v>
      </c>
      <c r="GCW1" s="3" t="s">
        <v>4784</v>
      </c>
      <c r="GCX1" s="3" t="s">
        <v>4785</v>
      </c>
      <c r="GCY1" s="3" t="s">
        <v>4786</v>
      </c>
      <c r="GCZ1" s="3" t="s">
        <v>4787</v>
      </c>
      <c r="GDA1" s="3" t="s">
        <v>4788</v>
      </c>
      <c r="GDB1" s="3" t="s">
        <v>4789</v>
      </c>
      <c r="GDC1" s="3" t="s">
        <v>4790</v>
      </c>
      <c r="GDD1" s="3" t="s">
        <v>4791</v>
      </c>
      <c r="GDE1" s="3" t="s">
        <v>4792</v>
      </c>
      <c r="GDF1" s="3" t="s">
        <v>4793</v>
      </c>
      <c r="GDG1" s="3" t="s">
        <v>4794</v>
      </c>
      <c r="GDH1" s="3" t="s">
        <v>4795</v>
      </c>
      <c r="GDI1" s="3" t="s">
        <v>4796</v>
      </c>
      <c r="GDJ1" s="3" t="s">
        <v>4797</v>
      </c>
      <c r="GDK1" s="3" t="s">
        <v>4798</v>
      </c>
      <c r="GDL1" s="3" t="s">
        <v>4799</v>
      </c>
      <c r="GDM1" s="3" t="s">
        <v>4800</v>
      </c>
      <c r="GDN1" s="3" t="s">
        <v>4801</v>
      </c>
      <c r="GDO1" s="3" t="s">
        <v>4802</v>
      </c>
      <c r="GDP1" s="3" t="s">
        <v>4803</v>
      </c>
      <c r="GDQ1" s="3" t="s">
        <v>4804</v>
      </c>
      <c r="GDR1" s="3" t="s">
        <v>4805</v>
      </c>
      <c r="GDS1" s="3" t="s">
        <v>4806</v>
      </c>
      <c r="GDT1" s="3" t="s">
        <v>4807</v>
      </c>
      <c r="GDU1" s="3" t="s">
        <v>4808</v>
      </c>
      <c r="GDV1" s="3" t="s">
        <v>4809</v>
      </c>
      <c r="GDW1" s="3" t="s">
        <v>4810</v>
      </c>
      <c r="GDX1" s="3" t="s">
        <v>4811</v>
      </c>
      <c r="GDY1" s="3" t="s">
        <v>4812</v>
      </c>
      <c r="GDZ1" s="3" t="s">
        <v>4813</v>
      </c>
      <c r="GEA1" s="3" t="s">
        <v>4814</v>
      </c>
      <c r="GEB1" s="3" t="s">
        <v>4815</v>
      </c>
      <c r="GEC1" s="3" t="s">
        <v>4816</v>
      </c>
      <c r="GED1" s="3" t="s">
        <v>4817</v>
      </c>
      <c r="GEE1" s="3" t="s">
        <v>4818</v>
      </c>
      <c r="GEF1" s="3" t="s">
        <v>4819</v>
      </c>
      <c r="GEG1" s="3" t="s">
        <v>4820</v>
      </c>
      <c r="GEH1" s="3" t="s">
        <v>4821</v>
      </c>
      <c r="GEI1" s="3" t="s">
        <v>4822</v>
      </c>
      <c r="GEJ1" s="3" t="s">
        <v>4823</v>
      </c>
      <c r="GEK1" s="3" t="s">
        <v>4824</v>
      </c>
      <c r="GEL1" s="3" t="s">
        <v>4825</v>
      </c>
      <c r="GEM1" s="3" t="s">
        <v>4826</v>
      </c>
      <c r="GEN1" s="3" t="s">
        <v>4827</v>
      </c>
      <c r="GEO1" s="3" t="s">
        <v>4828</v>
      </c>
      <c r="GEP1" s="3" t="s">
        <v>4829</v>
      </c>
      <c r="GEQ1" s="3" t="s">
        <v>4830</v>
      </c>
      <c r="GER1" s="3" t="s">
        <v>4831</v>
      </c>
      <c r="GES1" s="3" t="s">
        <v>4832</v>
      </c>
      <c r="GET1" s="3" t="s">
        <v>4833</v>
      </c>
      <c r="GEU1" s="3" t="s">
        <v>4834</v>
      </c>
      <c r="GEV1" s="3" t="s">
        <v>4835</v>
      </c>
      <c r="GEW1" s="3" t="s">
        <v>4836</v>
      </c>
      <c r="GEX1" s="3" t="s">
        <v>4837</v>
      </c>
      <c r="GEY1" s="3" t="s">
        <v>4838</v>
      </c>
      <c r="GEZ1" s="3" t="s">
        <v>4839</v>
      </c>
      <c r="GFA1" s="3" t="s">
        <v>4840</v>
      </c>
      <c r="GFB1" s="3" t="s">
        <v>4841</v>
      </c>
      <c r="GFC1" s="3" t="s">
        <v>4842</v>
      </c>
      <c r="GFD1" s="3" t="s">
        <v>4843</v>
      </c>
      <c r="GFE1" s="3" t="s">
        <v>4844</v>
      </c>
      <c r="GFF1" s="3" t="s">
        <v>4845</v>
      </c>
      <c r="GFG1" s="3" t="s">
        <v>4846</v>
      </c>
      <c r="GFH1" s="3" t="s">
        <v>4847</v>
      </c>
      <c r="GFI1" s="3" t="s">
        <v>4848</v>
      </c>
      <c r="GFJ1" s="3" t="s">
        <v>4849</v>
      </c>
      <c r="GFK1" s="3" t="s">
        <v>4850</v>
      </c>
      <c r="GFL1" s="3" t="s">
        <v>4851</v>
      </c>
      <c r="GFM1" s="3" t="s">
        <v>4852</v>
      </c>
      <c r="GFN1" s="3" t="s">
        <v>4853</v>
      </c>
      <c r="GFO1" s="3" t="s">
        <v>4854</v>
      </c>
      <c r="GFP1" s="3" t="s">
        <v>4855</v>
      </c>
      <c r="GFQ1" s="3" t="s">
        <v>4856</v>
      </c>
      <c r="GFR1" s="3" t="s">
        <v>4857</v>
      </c>
      <c r="GFS1" s="3" t="s">
        <v>4858</v>
      </c>
      <c r="GFT1" s="3" t="s">
        <v>4859</v>
      </c>
      <c r="GFU1" s="3" t="s">
        <v>4860</v>
      </c>
      <c r="GFV1" s="3" t="s">
        <v>4861</v>
      </c>
      <c r="GFW1" s="3" t="s">
        <v>4862</v>
      </c>
      <c r="GFX1" s="3" t="s">
        <v>4863</v>
      </c>
      <c r="GFY1" s="3" t="s">
        <v>4864</v>
      </c>
      <c r="GFZ1" s="3" t="s">
        <v>4865</v>
      </c>
      <c r="GGA1" s="3" t="s">
        <v>4866</v>
      </c>
      <c r="GGB1" s="3" t="s">
        <v>4867</v>
      </c>
      <c r="GGC1" s="3" t="s">
        <v>4868</v>
      </c>
      <c r="GGD1" s="3" t="s">
        <v>4869</v>
      </c>
      <c r="GGE1" s="3" t="s">
        <v>4870</v>
      </c>
      <c r="GGF1" s="3" t="s">
        <v>4871</v>
      </c>
      <c r="GGG1" s="3" t="s">
        <v>4872</v>
      </c>
      <c r="GGH1" s="3" t="s">
        <v>4873</v>
      </c>
      <c r="GGI1" s="3" t="s">
        <v>4874</v>
      </c>
      <c r="GGJ1" s="3" t="s">
        <v>4875</v>
      </c>
      <c r="GGK1" s="3" t="s">
        <v>4876</v>
      </c>
      <c r="GGL1" s="3" t="s">
        <v>4877</v>
      </c>
      <c r="GGM1" s="3" t="s">
        <v>4878</v>
      </c>
      <c r="GGN1" s="3" t="s">
        <v>4879</v>
      </c>
      <c r="GGO1" s="3" t="s">
        <v>4880</v>
      </c>
      <c r="GGP1" s="3" t="s">
        <v>4881</v>
      </c>
      <c r="GGQ1" s="3" t="s">
        <v>4882</v>
      </c>
      <c r="GGR1" s="3" t="s">
        <v>4883</v>
      </c>
      <c r="GGS1" s="3" t="s">
        <v>4884</v>
      </c>
      <c r="GGT1" s="3" t="s">
        <v>4885</v>
      </c>
      <c r="GGU1" s="3" t="s">
        <v>4886</v>
      </c>
      <c r="GGV1" s="3" t="s">
        <v>4887</v>
      </c>
      <c r="GGW1" s="3" t="s">
        <v>4888</v>
      </c>
      <c r="GGX1" s="3" t="s">
        <v>4889</v>
      </c>
      <c r="GGY1" s="3" t="s">
        <v>4890</v>
      </c>
      <c r="GGZ1" s="3" t="s">
        <v>4891</v>
      </c>
      <c r="GHA1" s="3" t="s">
        <v>4892</v>
      </c>
      <c r="GHB1" s="3" t="s">
        <v>4893</v>
      </c>
      <c r="GHC1" s="3" t="s">
        <v>4894</v>
      </c>
      <c r="GHD1" s="3" t="s">
        <v>4895</v>
      </c>
      <c r="GHE1" s="3" t="s">
        <v>4896</v>
      </c>
      <c r="GHF1" s="3" t="s">
        <v>4897</v>
      </c>
      <c r="GHG1" s="3" t="s">
        <v>4898</v>
      </c>
      <c r="GHH1" s="3" t="s">
        <v>4899</v>
      </c>
      <c r="GHI1" s="3" t="s">
        <v>4900</v>
      </c>
      <c r="GHJ1" s="3" t="s">
        <v>4901</v>
      </c>
      <c r="GHK1" s="3" t="s">
        <v>4902</v>
      </c>
      <c r="GHL1" s="3" t="s">
        <v>4903</v>
      </c>
      <c r="GHM1" s="3" t="s">
        <v>4904</v>
      </c>
      <c r="GHN1" s="3" t="s">
        <v>4905</v>
      </c>
      <c r="GHO1" s="3" t="s">
        <v>4906</v>
      </c>
      <c r="GHP1" s="3" t="s">
        <v>4907</v>
      </c>
      <c r="GHQ1" s="3" t="s">
        <v>4908</v>
      </c>
      <c r="GHR1" s="3" t="s">
        <v>4909</v>
      </c>
      <c r="GHS1" s="3" t="s">
        <v>4910</v>
      </c>
      <c r="GHT1" s="3" t="s">
        <v>4911</v>
      </c>
      <c r="GHU1" s="3" t="s">
        <v>4912</v>
      </c>
      <c r="GHV1" s="3" t="s">
        <v>4913</v>
      </c>
      <c r="GHW1" s="3" t="s">
        <v>4914</v>
      </c>
      <c r="GHX1" s="3" t="s">
        <v>4915</v>
      </c>
      <c r="GHY1" s="3" t="s">
        <v>4916</v>
      </c>
      <c r="GHZ1" s="3" t="s">
        <v>4917</v>
      </c>
      <c r="GIA1" s="3" t="s">
        <v>4918</v>
      </c>
      <c r="GIB1" s="3" t="s">
        <v>4919</v>
      </c>
      <c r="GIC1" s="3" t="s">
        <v>4920</v>
      </c>
      <c r="GID1" s="3" t="s">
        <v>4921</v>
      </c>
      <c r="GIE1" s="3" t="s">
        <v>4922</v>
      </c>
      <c r="GIF1" s="3" t="s">
        <v>4923</v>
      </c>
      <c r="GIG1" s="3" t="s">
        <v>4924</v>
      </c>
      <c r="GIH1" s="3" t="s">
        <v>4925</v>
      </c>
      <c r="GII1" s="3" t="s">
        <v>4926</v>
      </c>
      <c r="GIJ1" s="3" t="s">
        <v>4927</v>
      </c>
      <c r="GIK1" s="3" t="s">
        <v>4928</v>
      </c>
      <c r="GIL1" s="3" t="s">
        <v>4929</v>
      </c>
      <c r="GIM1" s="3" t="s">
        <v>4930</v>
      </c>
      <c r="GIN1" s="3" t="s">
        <v>4931</v>
      </c>
      <c r="GIO1" s="3" t="s">
        <v>4932</v>
      </c>
      <c r="GIP1" s="3" t="s">
        <v>4933</v>
      </c>
      <c r="GIQ1" s="3" t="s">
        <v>4934</v>
      </c>
      <c r="GIR1" s="3" t="s">
        <v>4935</v>
      </c>
      <c r="GIS1" s="3" t="s">
        <v>4936</v>
      </c>
      <c r="GIT1" s="3" t="s">
        <v>4937</v>
      </c>
      <c r="GIU1" s="3" t="s">
        <v>4938</v>
      </c>
      <c r="GIV1" s="3" t="s">
        <v>4939</v>
      </c>
      <c r="GIW1" s="3" t="s">
        <v>4940</v>
      </c>
      <c r="GIX1" s="3" t="s">
        <v>4941</v>
      </c>
      <c r="GIY1" s="3" t="s">
        <v>4942</v>
      </c>
      <c r="GIZ1" s="3" t="s">
        <v>4943</v>
      </c>
      <c r="GJA1" s="3" t="s">
        <v>4944</v>
      </c>
      <c r="GJB1" s="3" t="s">
        <v>4945</v>
      </c>
      <c r="GJC1" s="3" t="s">
        <v>4946</v>
      </c>
      <c r="GJD1" s="3" t="s">
        <v>4947</v>
      </c>
      <c r="GJE1" s="3" t="s">
        <v>4948</v>
      </c>
      <c r="GJF1" s="3" t="s">
        <v>4949</v>
      </c>
      <c r="GJG1" s="3" t="s">
        <v>4950</v>
      </c>
      <c r="GJH1" s="3" t="s">
        <v>4951</v>
      </c>
      <c r="GJI1" s="3" t="s">
        <v>4952</v>
      </c>
      <c r="GJJ1" s="3" t="s">
        <v>4953</v>
      </c>
      <c r="GJK1" s="3" t="s">
        <v>4954</v>
      </c>
      <c r="GJL1" s="3" t="s">
        <v>4955</v>
      </c>
      <c r="GJM1" s="3" t="s">
        <v>4956</v>
      </c>
      <c r="GJN1" s="3" t="s">
        <v>4957</v>
      </c>
      <c r="GJO1" s="3" t="s">
        <v>4958</v>
      </c>
      <c r="GJP1" s="3" t="s">
        <v>4959</v>
      </c>
      <c r="GJQ1" s="3" t="s">
        <v>4960</v>
      </c>
      <c r="GJR1" s="3" t="s">
        <v>4961</v>
      </c>
      <c r="GJS1" s="3" t="s">
        <v>4962</v>
      </c>
      <c r="GJT1" s="3" t="s">
        <v>4963</v>
      </c>
      <c r="GJU1" s="3" t="s">
        <v>4964</v>
      </c>
      <c r="GJV1" s="3" t="s">
        <v>4965</v>
      </c>
      <c r="GJW1" s="3" t="s">
        <v>4966</v>
      </c>
      <c r="GJX1" s="3" t="s">
        <v>4967</v>
      </c>
      <c r="GJY1" s="3" t="s">
        <v>4968</v>
      </c>
      <c r="GJZ1" s="3" t="s">
        <v>4969</v>
      </c>
      <c r="GKA1" s="3" t="s">
        <v>4970</v>
      </c>
      <c r="GKB1" s="3" t="s">
        <v>4971</v>
      </c>
      <c r="GKC1" s="3" t="s">
        <v>4972</v>
      </c>
      <c r="GKD1" s="3" t="s">
        <v>4973</v>
      </c>
      <c r="GKE1" s="3" t="s">
        <v>4974</v>
      </c>
      <c r="GKF1" s="3" t="s">
        <v>4975</v>
      </c>
      <c r="GKG1" s="3" t="s">
        <v>4976</v>
      </c>
      <c r="GKH1" s="3" t="s">
        <v>4977</v>
      </c>
      <c r="GKI1" s="3" t="s">
        <v>4978</v>
      </c>
      <c r="GKJ1" s="3" t="s">
        <v>4979</v>
      </c>
      <c r="GKK1" s="3" t="s">
        <v>4980</v>
      </c>
      <c r="GKL1" s="3" t="s">
        <v>4981</v>
      </c>
      <c r="GKM1" s="3" t="s">
        <v>4982</v>
      </c>
      <c r="GKN1" s="3" t="s">
        <v>4983</v>
      </c>
      <c r="GKO1" s="3" t="s">
        <v>4984</v>
      </c>
      <c r="GKP1" s="3" t="s">
        <v>4985</v>
      </c>
      <c r="GKQ1" s="3" t="s">
        <v>4986</v>
      </c>
      <c r="GKR1" s="3" t="s">
        <v>4987</v>
      </c>
      <c r="GKS1" s="3" t="s">
        <v>4988</v>
      </c>
      <c r="GKT1" s="3" t="s">
        <v>4989</v>
      </c>
      <c r="GKU1" s="3" t="s">
        <v>4990</v>
      </c>
      <c r="GKV1" s="3" t="s">
        <v>4991</v>
      </c>
      <c r="GKW1" s="3" t="s">
        <v>4992</v>
      </c>
      <c r="GKX1" s="3" t="s">
        <v>4993</v>
      </c>
      <c r="GKY1" s="3" t="s">
        <v>4994</v>
      </c>
      <c r="GKZ1" s="3" t="s">
        <v>4995</v>
      </c>
      <c r="GLA1" s="3" t="s">
        <v>4996</v>
      </c>
      <c r="GLB1" s="3" t="s">
        <v>4997</v>
      </c>
      <c r="GLC1" s="3" t="s">
        <v>4998</v>
      </c>
      <c r="GLD1" s="3" t="s">
        <v>4999</v>
      </c>
      <c r="GLE1" s="3" t="s">
        <v>5000</v>
      </c>
      <c r="GLF1" s="3" t="s">
        <v>5001</v>
      </c>
      <c r="GLG1" s="3" t="s">
        <v>5002</v>
      </c>
      <c r="GLH1" s="3" t="s">
        <v>5003</v>
      </c>
      <c r="GLI1" s="3" t="s">
        <v>5004</v>
      </c>
      <c r="GLJ1" s="3" t="s">
        <v>5005</v>
      </c>
      <c r="GLK1" s="3" t="s">
        <v>5006</v>
      </c>
      <c r="GLL1" s="3" t="s">
        <v>5007</v>
      </c>
      <c r="GLM1" s="3" t="s">
        <v>5008</v>
      </c>
      <c r="GLN1" s="3" t="s">
        <v>5009</v>
      </c>
      <c r="GLO1" s="3" t="s">
        <v>5010</v>
      </c>
      <c r="GLP1" s="3" t="s">
        <v>5011</v>
      </c>
      <c r="GLQ1" s="3" t="s">
        <v>5012</v>
      </c>
      <c r="GLR1" s="3" t="s">
        <v>5013</v>
      </c>
      <c r="GLS1" s="3" t="s">
        <v>5014</v>
      </c>
      <c r="GLT1" s="3" t="s">
        <v>5015</v>
      </c>
      <c r="GLU1" s="3" t="s">
        <v>5016</v>
      </c>
      <c r="GLV1" s="3" t="s">
        <v>5017</v>
      </c>
      <c r="GLW1" s="3" t="s">
        <v>5018</v>
      </c>
      <c r="GLX1" s="3" t="s">
        <v>5019</v>
      </c>
      <c r="GLY1" s="3" t="s">
        <v>5020</v>
      </c>
      <c r="GLZ1" s="3" t="s">
        <v>5021</v>
      </c>
      <c r="GMA1" s="3" t="s">
        <v>5022</v>
      </c>
      <c r="GMB1" s="3" t="s">
        <v>5023</v>
      </c>
      <c r="GMC1" s="3" t="s">
        <v>5024</v>
      </c>
      <c r="GMD1" s="3" t="s">
        <v>5025</v>
      </c>
      <c r="GME1" s="3" t="s">
        <v>5026</v>
      </c>
      <c r="GMF1" s="3" t="s">
        <v>5027</v>
      </c>
      <c r="GMG1" s="3" t="s">
        <v>5028</v>
      </c>
      <c r="GMH1" s="3" t="s">
        <v>5029</v>
      </c>
      <c r="GMI1" s="3" t="s">
        <v>5030</v>
      </c>
      <c r="GMJ1" s="3" t="s">
        <v>5031</v>
      </c>
      <c r="GMK1" s="3" t="s">
        <v>5032</v>
      </c>
      <c r="GML1" s="3" t="s">
        <v>5033</v>
      </c>
      <c r="GMM1" s="3" t="s">
        <v>5034</v>
      </c>
      <c r="GMN1" s="3" t="s">
        <v>5035</v>
      </c>
      <c r="GMO1" s="3" t="s">
        <v>5036</v>
      </c>
      <c r="GMP1" s="3" t="s">
        <v>5037</v>
      </c>
      <c r="GMQ1" s="3" t="s">
        <v>5038</v>
      </c>
      <c r="GMR1" s="3" t="s">
        <v>5039</v>
      </c>
      <c r="GMS1" s="3" t="s">
        <v>5040</v>
      </c>
      <c r="GMT1" s="3" t="s">
        <v>5041</v>
      </c>
      <c r="GMU1" s="3" t="s">
        <v>5042</v>
      </c>
      <c r="GMV1" s="3" t="s">
        <v>5043</v>
      </c>
      <c r="GMW1" s="3" t="s">
        <v>5044</v>
      </c>
      <c r="GMX1" s="3" t="s">
        <v>5045</v>
      </c>
      <c r="GMY1" s="3" t="s">
        <v>5046</v>
      </c>
      <c r="GMZ1" s="3" t="s">
        <v>5047</v>
      </c>
      <c r="GNA1" s="3" t="s">
        <v>5048</v>
      </c>
      <c r="GNB1" s="3" t="s">
        <v>5049</v>
      </c>
      <c r="GNC1" s="3" t="s">
        <v>5050</v>
      </c>
      <c r="GND1" s="3" t="s">
        <v>5051</v>
      </c>
      <c r="GNE1" s="3" t="s">
        <v>5052</v>
      </c>
      <c r="GNF1" s="3" t="s">
        <v>5053</v>
      </c>
      <c r="GNG1" s="3" t="s">
        <v>5054</v>
      </c>
      <c r="GNH1" s="3" t="s">
        <v>5055</v>
      </c>
      <c r="GNI1" s="3" t="s">
        <v>5056</v>
      </c>
      <c r="GNJ1" s="3" t="s">
        <v>5057</v>
      </c>
      <c r="GNK1" s="3" t="s">
        <v>5058</v>
      </c>
      <c r="GNL1" s="3" t="s">
        <v>5059</v>
      </c>
      <c r="GNM1" s="3" t="s">
        <v>5060</v>
      </c>
      <c r="GNN1" s="3" t="s">
        <v>5061</v>
      </c>
      <c r="GNO1" s="3" t="s">
        <v>5062</v>
      </c>
      <c r="GNP1" s="3" t="s">
        <v>5063</v>
      </c>
      <c r="GNQ1" s="3" t="s">
        <v>5064</v>
      </c>
      <c r="GNR1" s="3" t="s">
        <v>5065</v>
      </c>
      <c r="GNS1" s="3" t="s">
        <v>5066</v>
      </c>
      <c r="GNT1" s="3" t="s">
        <v>5067</v>
      </c>
      <c r="GNU1" s="3" t="s">
        <v>5068</v>
      </c>
      <c r="GNV1" s="3" t="s">
        <v>5069</v>
      </c>
      <c r="GNW1" s="3" t="s">
        <v>5070</v>
      </c>
      <c r="GNX1" s="3" t="s">
        <v>5071</v>
      </c>
      <c r="GNY1" s="3" t="s">
        <v>5072</v>
      </c>
      <c r="GNZ1" s="3" t="s">
        <v>5073</v>
      </c>
      <c r="GOA1" s="3" t="s">
        <v>5074</v>
      </c>
      <c r="GOB1" s="3" t="s">
        <v>5075</v>
      </c>
      <c r="GOC1" s="3" t="s">
        <v>5076</v>
      </c>
      <c r="GOD1" s="3" t="s">
        <v>5077</v>
      </c>
      <c r="GOE1" s="3" t="s">
        <v>5078</v>
      </c>
      <c r="GOF1" s="3" t="s">
        <v>5079</v>
      </c>
      <c r="GOG1" s="3" t="s">
        <v>5080</v>
      </c>
      <c r="GOH1" s="3" t="s">
        <v>5081</v>
      </c>
      <c r="GOI1" s="3" t="s">
        <v>5082</v>
      </c>
      <c r="GOJ1" s="3" t="s">
        <v>5083</v>
      </c>
      <c r="GOK1" s="3" t="s">
        <v>5084</v>
      </c>
      <c r="GOL1" s="3" t="s">
        <v>5085</v>
      </c>
      <c r="GOM1" s="3" t="s">
        <v>5086</v>
      </c>
      <c r="GON1" s="3" t="s">
        <v>5087</v>
      </c>
      <c r="GOO1" s="3" t="s">
        <v>5088</v>
      </c>
      <c r="GOP1" s="3" t="s">
        <v>5089</v>
      </c>
      <c r="GOQ1" s="3" t="s">
        <v>5090</v>
      </c>
      <c r="GOR1" s="3" t="s">
        <v>5091</v>
      </c>
      <c r="GOS1" s="3" t="s">
        <v>5092</v>
      </c>
      <c r="GOT1" s="3" t="s">
        <v>5093</v>
      </c>
      <c r="GOU1" s="3" t="s">
        <v>5094</v>
      </c>
      <c r="GOV1" s="3" t="s">
        <v>5095</v>
      </c>
      <c r="GOW1" s="3" t="s">
        <v>5096</v>
      </c>
      <c r="GOX1" s="3" t="s">
        <v>5097</v>
      </c>
      <c r="GOY1" s="3" t="s">
        <v>5098</v>
      </c>
      <c r="GOZ1" s="3" t="s">
        <v>5099</v>
      </c>
      <c r="GPA1" s="3" t="s">
        <v>5100</v>
      </c>
      <c r="GPB1" s="3" t="s">
        <v>5101</v>
      </c>
      <c r="GPC1" s="3" t="s">
        <v>5102</v>
      </c>
      <c r="GPD1" s="3" t="s">
        <v>5103</v>
      </c>
      <c r="GPE1" s="3" t="s">
        <v>5104</v>
      </c>
      <c r="GPF1" s="3" t="s">
        <v>5105</v>
      </c>
      <c r="GPG1" s="3" t="s">
        <v>5106</v>
      </c>
      <c r="GPH1" s="3" t="s">
        <v>5107</v>
      </c>
      <c r="GPI1" s="3" t="s">
        <v>5108</v>
      </c>
      <c r="GPJ1" s="3" t="s">
        <v>5109</v>
      </c>
      <c r="GPK1" s="3" t="s">
        <v>5110</v>
      </c>
      <c r="GPL1" s="3" t="s">
        <v>5111</v>
      </c>
      <c r="GPM1" s="3" t="s">
        <v>5112</v>
      </c>
      <c r="GPN1" s="3" t="s">
        <v>5113</v>
      </c>
      <c r="GPO1" s="3" t="s">
        <v>5114</v>
      </c>
      <c r="GPP1" s="3" t="s">
        <v>5115</v>
      </c>
      <c r="GPQ1" s="3" t="s">
        <v>5116</v>
      </c>
      <c r="GPR1" s="3" t="s">
        <v>5117</v>
      </c>
      <c r="GPS1" s="3" t="s">
        <v>5118</v>
      </c>
      <c r="GPT1" s="3" t="s">
        <v>5119</v>
      </c>
      <c r="GPU1" s="3" t="s">
        <v>5120</v>
      </c>
      <c r="GPV1" s="3" t="s">
        <v>5121</v>
      </c>
      <c r="GPW1" s="3" t="s">
        <v>5122</v>
      </c>
      <c r="GPX1" s="3" t="s">
        <v>5123</v>
      </c>
      <c r="GPY1" s="3" t="s">
        <v>5124</v>
      </c>
      <c r="GPZ1" s="3" t="s">
        <v>5125</v>
      </c>
      <c r="GQA1" s="3" t="s">
        <v>5126</v>
      </c>
      <c r="GQB1" s="3" t="s">
        <v>5127</v>
      </c>
      <c r="GQC1" s="3" t="s">
        <v>5128</v>
      </c>
      <c r="GQD1" s="3" t="s">
        <v>5129</v>
      </c>
      <c r="GQE1" s="3" t="s">
        <v>5130</v>
      </c>
      <c r="GQF1" s="3" t="s">
        <v>5131</v>
      </c>
      <c r="GQG1" s="3" t="s">
        <v>5132</v>
      </c>
      <c r="GQH1" s="3" t="s">
        <v>5133</v>
      </c>
      <c r="GQI1" s="3" t="s">
        <v>5134</v>
      </c>
      <c r="GQJ1" s="3" t="s">
        <v>5135</v>
      </c>
      <c r="GQK1" s="3" t="s">
        <v>5136</v>
      </c>
      <c r="GQL1" s="3" t="s">
        <v>5137</v>
      </c>
      <c r="GQM1" s="3" t="s">
        <v>5138</v>
      </c>
      <c r="GQN1" s="3" t="s">
        <v>5139</v>
      </c>
      <c r="GQO1" s="3" t="s">
        <v>5140</v>
      </c>
      <c r="GQP1" s="3" t="s">
        <v>5141</v>
      </c>
      <c r="GQQ1" s="3" t="s">
        <v>5142</v>
      </c>
      <c r="GQR1" s="3" t="s">
        <v>5143</v>
      </c>
      <c r="GQS1" s="3" t="s">
        <v>5144</v>
      </c>
      <c r="GQT1" s="3" t="s">
        <v>5145</v>
      </c>
      <c r="GQU1" s="3" t="s">
        <v>5146</v>
      </c>
      <c r="GQV1" s="3" t="s">
        <v>5147</v>
      </c>
      <c r="GQW1" s="3" t="s">
        <v>5148</v>
      </c>
      <c r="GQX1" s="3" t="s">
        <v>5149</v>
      </c>
      <c r="GQY1" s="3" t="s">
        <v>5150</v>
      </c>
      <c r="GQZ1" s="3" t="s">
        <v>5151</v>
      </c>
      <c r="GRA1" s="3" t="s">
        <v>5152</v>
      </c>
      <c r="GRB1" s="3" t="s">
        <v>5153</v>
      </c>
      <c r="GRC1" s="3" t="s">
        <v>5154</v>
      </c>
      <c r="GRD1" s="3" t="s">
        <v>5155</v>
      </c>
      <c r="GRE1" s="3" t="s">
        <v>5156</v>
      </c>
      <c r="GRF1" s="3" t="s">
        <v>5157</v>
      </c>
      <c r="GRG1" s="3" t="s">
        <v>5158</v>
      </c>
      <c r="GRH1" s="3" t="s">
        <v>5159</v>
      </c>
      <c r="GRI1" s="3" t="s">
        <v>5160</v>
      </c>
      <c r="GRJ1" s="3" t="s">
        <v>5161</v>
      </c>
      <c r="GRK1" s="3" t="s">
        <v>5162</v>
      </c>
      <c r="GRL1" s="3" t="s">
        <v>5163</v>
      </c>
      <c r="GRM1" s="3" t="s">
        <v>5164</v>
      </c>
      <c r="GRN1" s="3" t="s">
        <v>5165</v>
      </c>
      <c r="GRO1" s="3" t="s">
        <v>5166</v>
      </c>
      <c r="GRP1" s="3" t="s">
        <v>5167</v>
      </c>
      <c r="GRQ1" s="3" t="s">
        <v>5168</v>
      </c>
      <c r="GRR1" s="3" t="s">
        <v>5169</v>
      </c>
      <c r="GRS1" s="3" t="s">
        <v>5170</v>
      </c>
      <c r="GRT1" s="3" t="s">
        <v>5171</v>
      </c>
      <c r="GRU1" s="3" t="s">
        <v>5172</v>
      </c>
      <c r="GRV1" s="3" t="s">
        <v>5173</v>
      </c>
      <c r="GRW1" s="3" t="s">
        <v>5174</v>
      </c>
      <c r="GRX1" s="3" t="s">
        <v>5175</v>
      </c>
      <c r="GRY1" s="3" t="s">
        <v>5176</v>
      </c>
      <c r="GRZ1" s="3" t="s">
        <v>5177</v>
      </c>
      <c r="GSA1" s="3" t="s">
        <v>5178</v>
      </c>
      <c r="GSB1" s="3" t="s">
        <v>5179</v>
      </c>
      <c r="GSC1" s="3" t="s">
        <v>5180</v>
      </c>
      <c r="GSD1" s="3" t="s">
        <v>5181</v>
      </c>
      <c r="GSE1" s="3" t="s">
        <v>5182</v>
      </c>
      <c r="GSF1" s="3" t="s">
        <v>5183</v>
      </c>
      <c r="GSG1" s="3" t="s">
        <v>5184</v>
      </c>
      <c r="GSH1" s="3" t="s">
        <v>5185</v>
      </c>
      <c r="GSI1" s="3" t="s">
        <v>5186</v>
      </c>
      <c r="GSJ1" s="3" t="s">
        <v>5187</v>
      </c>
      <c r="GSK1" s="3" t="s">
        <v>5188</v>
      </c>
      <c r="GSL1" s="3" t="s">
        <v>5189</v>
      </c>
      <c r="GSM1" s="3" t="s">
        <v>5190</v>
      </c>
      <c r="GSN1" s="3" t="s">
        <v>5191</v>
      </c>
      <c r="GSO1" s="3" t="s">
        <v>5192</v>
      </c>
      <c r="GSP1" s="3" t="s">
        <v>5193</v>
      </c>
      <c r="GSQ1" s="3" t="s">
        <v>5194</v>
      </c>
      <c r="GSR1" s="3" t="s">
        <v>5195</v>
      </c>
      <c r="GSS1" s="3" t="s">
        <v>5196</v>
      </c>
      <c r="GST1" s="3" t="s">
        <v>5197</v>
      </c>
      <c r="GSU1" s="3" t="s">
        <v>5198</v>
      </c>
      <c r="GSV1" s="3" t="s">
        <v>5199</v>
      </c>
      <c r="GSW1" s="3" t="s">
        <v>5200</v>
      </c>
      <c r="GSX1" s="3" t="s">
        <v>5201</v>
      </c>
      <c r="GSY1" s="3" t="s">
        <v>5202</v>
      </c>
      <c r="GSZ1" s="3" t="s">
        <v>5203</v>
      </c>
      <c r="GTA1" s="3" t="s">
        <v>5204</v>
      </c>
      <c r="GTB1" s="3" t="s">
        <v>5205</v>
      </c>
      <c r="GTC1" s="3" t="s">
        <v>5206</v>
      </c>
      <c r="GTD1" s="3" t="s">
        <v>5207</v>
      </c>
      <c r="GTE1" s="3" t="s">
        <v>5208</v>
      </c>
      <c r="GTF1" s="3" t="s">
        <v>5209</v>
      </c>
      <c r="GTG1" s="3" t="s">
        <v>5210</v>
      </c>
      <c r="GTH1" s="3" t="s">
        <v>5211</v>
      </c>
      <c r="GTI1" s="3" t="s">
        <v>5212</v>
      </c>
      <c r="GTJ1" s="3" t="s">
        <v>5213</v>
      </c>
      <c r="GTK1" s="3" t="s">
        <v>5214</v>
      </c>
      <c r="GTL1" s="3" t="s">
        <v>5215</v>
      </c>
      <c r="GTM1" s="3" t="s">
        <v>5216</v>
      </c>
      <c r="GTN1" s="3" t="s">
        <v>5217</v>
      </c>
      <c r="GTO1" s="3" t="s">
        <v>5218</v>
      </c>
      <c r="GTP1" s="3" t="s">
        <v>5219</v>
      </c>
      <c r="GTQ1" s="3" t="s">
        <v>5220</v>
      </c>
      <c r="GTR1" s="3" t="s">
        <v>5221</v>
      </c>
      <c r="GTS1" s="3" t="s">
        <v>5222</v>
      </c>
      <c r="GTT1" s="3" t="s">
        <v>5223</v>
      </c>
      <c r="GTU1" s="3" t="s">
        <v>5224</v>
      </c>
      <c r="GTV1" s="3" t="s">
        <v>5225</v>
      </c>
      <c r="GTW1" s="3" t="s">
        <v>5226</v>
      </c>
      <c r="GTX1" s="3" t="s">
        <v>5227</v>
      </c>
      <c r="GTY1" s="3" t="s">
        <v>5228</v>
      </c>
      <c r="GTZ1" s="3" t="s">
        <v>5229</v>
      </c>
      <c r="GUA1" s="3" t="s">
        <v>5230</v>
      </c>
      <c r="GUB1" s="3" t="s">
        <v>5231</v>
      </c>
      <c r="GUC1" s="3" t="s">
        <v>5232</v>
      </c>
      <c r="GUD1" s="3" t="s">
        <v>5233</v>
      </c>
      <c r="GUE1" s="3" t="s">
        <v>5234</v>
      </c>
      <c r="GUF1" s="3" t="s">
        <v>5235</v>
      </c>
      <c r="GUG1" s="3" t="s">
        <v>5236</v>
      </c>
      <c r="GUH1" s="3" t="s">
        <v>5237</v>
      </c>
      <c r="GUI1" s="3" t="s">
        <v>5238</v>
      </c>
      <c r="GUJ1" s="3" t="s">
        <v>5239</v>
      </c>
      <c r="GUK1" s="3" t="s">
        <v>5240</v>
      </c>
      <c r="GUL1" s="3" t="s">
        <v>5241</v>
      </c>
      <c r="GUM1" s="3" t="s">
        <v>5242</v>
      </c>
      <c r="GUN1" s="3" t="s">
        <v>5243</v>
      </c>
      <c r="GUO1" s="3" t="s">
        <v>5244</v>
      </c>
      <c r="GUP1" s="3" t="s">
        <v>5245</v>
      </c>
      <c r="GUQ1" s="3" t="s">
        <v>5246</v>
      </c>
      <c r="GUR1" s="3" t="s">
        <v>5247</v>
      </c>
      <c r="GUS1" s="3" t="s">
        <v>5248</v>
      </c>
      <c r="GUT1" s="3" t="s">
        <v>5249</v>
      </c>
      <c r="GUU1" s="3" t="s">
        <v>5250</v>
      </c>
      <c r="GUV1" s="3" t="s">
        <v>5251</v>
      </c>
      <c r="GUW1" s="3" t="s">
        <v>5252</v>
      </c>
      <c r="GUX1" s="3" t="s">
        <v>5253</v>
      </c>
      <c r="GUY1" s="3" t="s">
        <v>5254</v>
      </c>
      <c r="GUZ1" s="3" t="s">
        <v>5255</v>
      </c>
      <c r="GVA1" s="3" t="s">
        <v>5256</v>
      </c>
      <c r="GVB1" s="3" t="s">
        <v>5257</v>
      </c>
      <c r="GVC1" s="3" t="s">
        <v>5258</v>
      </c>
      <c r="GVD1" s="3" t="s">
        <v>5259</v>
      </c>
      <c r="GVE1" s="3" t="s">
        <v>5260</v>
      </c>
      <c r="GVF1" s="3" t="s">
        <v>5261</v>
      </c>
      <c r="GVG1" s="3" t="s">
        <v>5262</v>
      </c>
      <c r="GVH1" s="3" t="s">
        <v>5263</v>
      </c>
      <c r="GVI1" s="3" t="s">
        <v>5264</v>
      </c>
      <c r="GVJ1" s="3" t="s">
        <v>5265</v>
      </c>
      <c r="GVK1" s="3" t="s">
        <v>5266</v>
      </c>
      <c r="GVL1" s="3" t="s">
        <v>5267</v>
      </c>
      <c r="GVM1" s="3" t="s">
        <v>5268</v>
      </c>
      <c r="GVN1" s="3" t="s">
        <v>5269</v>
      </c>
      <c r="GVO1" s="3" t="s">
        <v>5270</v>
      </c>
      <c r="GVP1" s="3" t="s">
        <v>5271</v>
      </c>
      <c r="GVQ1" s="3" t="s">
        <v>5272</v>
      </c>
      <c r="GVR1" s="3" t="s">
        <v>5273</v>
      </c>
      <c r="GVS1" s="3" t="s">
        <v>5274</v>
      </c>
      <c r="GVT1" s="3" t="s">
        <v>5275</v>
      </c>
      <c r="GVU1" s="3" t="s">
        <v>5276</v>
      </c>
      <c r="GVV1" s="3" t="s">
        <v>5277</v>
      </c>
      <c r="GVW1" s="3" t="s">
        <v>5278</v>
      </c>
      <c r="GVX1" s="3" t="s">
        <v>5279</v>
      </c>
      <c r="GVY1" s="3" t="s">
        <v>5280</v>
      </c>
      <c r="GVZ1" s="3" t="s">
        <v>5281</v>
      </c>
      <c r="GWA1" s="3" t="s">
        <v>5282</v>
      </c>
      <c r="GWB1" s="3" t="s">
        <v>5283</v>
      </c>
      <c r="GWC1" s="3" t="s">
        <v>5284</v>
      </c>
      <c r="GWD1" s="3" t="s">
        <v>5285</v>
      </c>
      <c r="GWE1" s="3" t="s">
        <v>5286</v>
      </c>
      <c r="GWF1" s="3" t="s">
        <v>5287</v>
      </c>
      <c r="GWG1" s="3" t="s">
        <v>5288</v>
      </c>
      <c r="GWH1" s="3" t="s">
        <v>5289</v>
      </c>
      <c r="GWI1" s="3" t="s">
        <v>5290</v>
      </c>
      <c r="GWJ1" s="3" t="s">
        <v>5291</v>
      </c>
      <c r="GWK1" s="3" t="s">
        <v>5292</v>
      </c>
      <c r="GWL1" s="3" t="s">
        <v>5293</v>
      </c>
      <c r="GWM1" s="3" t="s">
        <v>5294</v>
      </c>
      <c r="GWN1" s="3" t="s">
        <v>5295</v>
      </c>
      <c r="GWO1" s="3" t="s">
        <v>5296</v>
      </c>
      <c r="GWP1" s="3" t="s">
        <v>5297</v>
      </c>
      <c r="GWQ1" s="3" t="s">
        <v>5298</v>
      </c>
      <c r="GWR1" s="3" t="s">
        <v>5299</v>
      </c>
      <c r="GWS1" s="3" t="s">
        <v>5300</v>
      </c>
      <c r="GWT1" s="3" t="s">
        <v>5301</v>
      </c>
      <c r="GWU1" s="3" t="s">
        <v>5302</v>
      </c>
      <c r="GWV1" s="3" t="s">
        <v>5303</v>
      </c>
      <c r="GWW1" s="3" t="s">
        <v>5304</v>
      </c>
      <c r="GWX1" s="3" t="s">
        <v>5305</v>
      </c>
      <c r="GWY1" s="3" t="s">
        <v>5306</v>
      </c>
      <c r="GWZ1" s="3" t="s">
        <v>5307</v>
      </c>
      <c r="GXA1" s="3" t="s">
        <v>5308</v>
      </c>
      <c r="GXB1" s="3" t="s">
        <v>5309</v>
      </c>
      <c r="GXC1" s="3" t="s">
        <v>5310</v>
      </c>
      <c r="GXD1" s="3" t="s">
        <v>5311</v>
      </c>
      <c r="GXE1" s="3" t="s">
        <v>5312</v>
      </c>
      <c r="GXF1" s="3" t="s">
        <v>5313</v>
      </c>
      <c r="GXG1" s="3" t="s">
        <v>5314</v>
      </c>
      <c r="GXH1" s="3" t="s">
        <v>5315</v>
      </c>
      <c r="GXI1" s="3" t="s">
        <v>5316</v>
      </c>
      <c r="GXJ1" s="3" t="s">
        <v>5317</v>
      </c>
      <c r="GXK1" s="3" t="s">
        <v>5318</v>
      </c>
      <c r="GXL1" s="3" t="s">
        <v>5319</v>
      </c>
      <c r="GXM1" s="3" t="s">
        <v>5320</v>
      </c>
      <c r="GXN1" s="3" t="s">
        <v>5321</v>
      </c>
      <c r="GXO1" s="3" t="s">
        <v>5322</v>
      </c>
      <c r="GXP1" s="3" t="s">
        <v>5323</v>
      </c>
      <c r="GXQ1" s="3" t="s">
        <v>5324</v>
      </c>
      <c r="GXR1" s="3" t="s">
        <v>5325</v>
      </c>
      <c r="GXS1" s="3" t="s">
        <v>5326</v>
      </c>
      <c r="GXT1" s="3" t="s">
        <v>5327</v>
      </c>
      <c r="GXU1" s="3" t="s">
        <v>5328</v>
      </c>
      <c r="GXV1" s="3" t="s">
        <v>5329</v>
      </c>
      <c r="GXW1" s="3" t="s">
        <v>5330</v>
      </c>
      <c r="GXX1" s="3" t="s">
        <v>5331</v>
      </c>
      <c r="GXY1" s="3" t="s">
        <v>5332</v>
      </c>
      <c r="GXZ1" s="3" t="s">
        <v>5333</v>
      </c>
      <c r="GYA1" s="3" t="s">
        <v>5334</v>
      </c>
      <c r="GYB1" s="3" t="s">
        <v>5335</v>
      </c>
      <c r="GYC1" s="3" t="s">
        <v>5336</v>
      </c>
      <c r="GYD1" s="3" t="s">
        <v>5337</v>
      </c>
      <c r="GYE1" s="3" t="s">
        <v>5338</v>
      </c>
      <c r="GYF1" s="3" t="s">
        <v>5339</v>
      </c>
      <c r="GYG1" s="3" t="s">
        <v>5340</v>
      </c>
      <c r="GYH1" s="3" t="s">
        <v>5341</v>
      </c>
      <c r="GYI1" s="3" t="s">
        <v>5342</v>
      </c>
      <c r="GYJ1" s="3" t="s">
        <v>5343</v>
      </c>
      <c r="GYK1" s="3" t="s">
        <v>5344</v>
      </c>
      <c r="GYL1" s="3" t="s">
        <v>5345</v>
      </c>
      <c r="GYM1" s="3" t="s">
        <v>5346</v>
      </c>
      <c r="GYN1" s="3" t="s">
        <v>5347</v>
      </c>
      <c r="GYO1" s="3" t="s">
        <v>5348</v>
      </c>
      <c r="GYP1" s="3" t="s">
        <v>5349</v>
      </c>
      <c r="GYQ1" s="3" t="s">
        <v>5350</v>
      </c>
      <c r="GYR1" s="3" t="s">
        <v>5351</v>
      </c>
      <c r="GYS1" s="3" t="s">
        <v>5352</v>
      </c>
      <c r="GYT1" s="3" t="s">
        <v>5353</v>
      </c>
      <c r="GYU1" s="3" t="s">
        <v>5354</v>
      </c>
      <c r="GYV1" s="3" t="s">
        <v>5355</v>
      </c>
      <c r="GYW1" s="3" t="s">
        <v>5356</v>
      </c>
      <c r="GYX1" s="3" t="s">
        <v>5357</v>
      </c>
      <c r="GYY1" s="3" t="s">
        <v>5358</v>
      </c>
      <c r="GYZ1" s="3" t="s">
        <v>5359</v>
      </c>
      <c r="GZA1" s="3" t="s">
        <v>5360</v>
      </c>
      <c r="GZB1" s="3" t="s">
        <v>5361</v>
      </c>
      <c r="GZC1" s="3" t="s">
        <v>5362</v>
      </c>
      <c r="GZD1" s="3" t="s">
        <v>5363</v>
      </c>
      <c r="GZE1" s="3" t="s">
        <v>5364</v>
      </c>
      <c r="GZF1" s="3" t="s">
        <v>5365</v>
      </c>
      <c r="GZG1" s="3" t="s">
        <v>5366</v>
      </c>
      <c r="GZH1" s="3" t="s">
        <v>5367</v>
      </c>
      <c r="GZI1" s="3" t="s">
        <v>5368</v>
      </c>
      <c r="GZJ1" s="3" t="s">
        <v>5369</v>
      </c>
      <c r="GZK1" s="3" t="s">
        <v>5370</v>
      </c>
      <c r="GZL1" s="3" t="s">
        <v>5371</v>
      </c>
      <c r="GZM1" s="3" t="s">
        <v>5372</v>
      </c>
      <c r="GZN1" s="3" t="s">
        <v>5373</v>
      </c>
      <c r="GZO1" s="3" t="s">
        <v>5374</v>
      </c>
      <c r="GZP1" s="3" t="s">
        <v>5375</v>
      </c>
      <c r="GZQ1" s="3" t="s">
        <v>5376</v>
      </c>
      <c r="GZR1" s="3" t="s">
        <v>5377</v>
      </c>
      <c r="GZS1" s="3" t="s">
        <v>5378</v>
      </c>
      <c r="GZT1" s="3" t="s">
        <v>5379</v>
      </c>
      <c r="GZU1" s="3" t="s">
        <v>5380</v>
      </c>
      <c r="GZV1" s="3" t="s">
        <v>5381</v>
      </c>
      <c r="GZW1" s="3" t="s">
        <v>5382</v>
      </c>
      <c r="GZX1" s="3" t="s">
        <v>5383</v>
      </c>
      <c r="GZY1" s="3" t="s">
        <v>5384</v>
      </c>
      <c r="GZZ1" s="3" t="s">
        <v>5385</v>
      </c>
      <c r="HAA1" s="3" t="s">
        <v>5386</v>
      </c>
      <c r="HAB1" s="3" t="s">
        <v>5387</v>
      </c>
      <c r="HAC1" s="3" t="s">
        <v>5388</v>
      </c>
      <c r="HAD1" s="3" t="s">
        <v>5389</v>
      </c>
      <c r="HAE1" s="3" t="s">
        <v>5390</v>
      </c>
      <c r="HAF1" s="3" t="s">
        <v>5391</v>
      </c>
      <c r="HAG1" s="3" t="s">
        <v>5392</v>
      </c>
      <c r="HAH1" s="3" t="s">
        <v>5393</v>
      </c>
      <c r="HAI1" s="3" t="s">
        <v>5394</v>
      </c>
      <c r="HAJ1" s="3" t="s">
        <v>5395</v>
      </c>
      <c r="HAK1" s="3" t="s">
        <v>5396</v>
      </c>
      <c r="HAL1" s="3" t="s">
        <v>5397</v>
      </c>
      <c r="HAM1" s="3" t="s">
        <v>5398</v>
      </c>
      <c r="HAN1" s="3" t="s">
        <v>5399</v>
      </c>
      <c r="HAO1" s="3" t="s">
        <v>5400</v>
      </c>
      <c r="HAP1" s="3" t="s">
        <v>5401</v>
      </c>
      <c r="HAQ1" s="3" t="s">
        <v>5402</v>
      </c>
      <c r="HAR1" s="3" t="s">
        <v>5403</v>
      </c>
      <c r="HAS1" s="3" t="s">
        <v>5404</v>
      </c>
      <c r="HAT1" s="3" t="s">
        <v>5405</v>
      </c>
      <c r="HAU1" s="3" t="s">
        <v>5406</v>
      </c>
      <c r="HAV1" s="3" t="s">
        <v>5407</v>
      </c>
      <c r="HAW1" s="3" t="s">
        <v>5408</v>
      </c>
      <c r="HAX1" s="3" t="s">
        <v>5409</v>
      </c>
      <c r="HAY1" s="3" t="s">
        <v>5410</v>
      </c>
      <c r="HAZ1" s="3" t="s">
        <v>5411</v>
      </c>
      <c r="HBA1" s="3" t="s">
        <v>5412</v>
      </c>
      <c r="HBB1" s="3" t="s">
        <v>5413</v>
      </c>
      <c r="HBC1" s="3" t="s">
        <v>5414</v>
      </c>
      <c r="HBD1" s="3" t="s">
        <v>5415</v>
      </c>
      <c r="HBE1" s="3" t="s">
        <v>5416</v>
      </c>
      <c r="HBF1" s="3" t="s">
        <v>5417</v>
      </c>
      <c r="HBG1" s="3" t="s">
        <v>5418</v>
      </c>
      <c r="HBH1" s="3" t="s">
        <v>5419</v>
      </c>
      <c r="HBI1" s="3" t="s">
        <v>5420</v>
      </c>
      <c r="HBJ1" s="3" t="s">
        <v>5421</v>
      </c>
      <c r="HBK1" s="3" t="s">
        <v>5422</v>
      </c>
      <c r="HBL1" s="3" t="s">
        <v>5423</v>
      </c>
      <c r="HBM1" s="3" t="s">
        <v>5424</v>
      </c>
      <c r="HBN1" s="3" t="s">
        <v>5425</v>
      </c>
      <c r="HBO1" s="3" t="s">
        <v>5426</v>
      </c>
      <c r="HBP1" s="3" t="s">
        <v>5427</v>
      </c>
      <c r="HBQ1" s="3" t="s">
        <v>5428</v>
      </c>
      <c r="HBR1" s="3" t="s">
        <v>5429</v>
      </c>
      <c r="HBS1" s="3" t="s">
        <v>5430</v>
      </c>
      <c r="HBT1" s="3" t="s">
        <v>5431</v>
      </c>
      <c r="HBU1" s="3" t="s">
        <v>5432</v>
      </c>
      <c r="HBV1" s="3" t="s">
        <v>5433</v>
      </c>
      <c r="HBW1" s="3" t="s">
        <v>5434</v>
      </c>
      <c r="HBX1" s="3" t="s">
        <v>5435</v>
      </c>
      <c r="HBY1" s="3" t="s">
        <v>5436</v>
      </c>
      <c r="HBZ1" s="3" t="s">
        <v>5437</v>
      </c>
      <c r="HCA1" s="3" t="s">
        <v>5438</v>
      </c>
      <c r="HCB1" s="3" t="s">
        <v>5439</v>
      </c>
      <c r="HCC1" s="3" t="s">
        <v>5440</v>
      </c>
      <c r="HCD1" s="3" t="s">
        <v>5441</v>
      </c>
      <c r="HCE1" s="3" t="s">
        <v>5442</v>
      </c>
      <c r="HCF1" s="3" t="s">
        <v>5443</v>
      </c>
      <c r="HCG1" s="3" t="s">
        <v>5444</v>
      </c>
      <c r="HCH1" s="3" t="s">
        <v>5445</v>
      </c>
      <c r="HCI1" s="3" t="s">
        <v>5446</v>
      </c>
      <c r="HCJ1" s="3" t="s">
        <v>5447</v>
      </c>
      <c r="HCK1" s="3" t="s">
        <v>5448</v>
      </c>
      <c r="HCL1" s="3" t="s">
        <v>5449</v>
      </c>
      <c r="HCM1" s="3" t="s">
        <v>5450</v>
      </c>
      <c r="HCN1" s="3" t="s">
        <v>5451</v>
      </c>
      <c r="HCO1" s="3" t="s">
        <v>5452</v>
      </c>
      <c r="HCP1" s="3" t="s">
        <v>5453</v>
      </c>
      <c r="HCQ1" s="3" t="s">
        <v>5454</v>
      </c>
      <c r="HCR1" s="3" t="s">
        <v>5455</v>
      </c>
      <c r="HCS1" s="3" t="s">
        <v>5456</v>
      </c>
      <c r="HCT1" s="3" t="s">
        <v>5457</v>
      </c>
      <c r="HCU1" s="3" t="s">
        <v>5458</v>
      </c>
      <c r="HCV1" s="3" t="s">
        <v>5459</v>
      </c>
      <c r="HCW1" s="3" t="s">
        <v>5460</v>
      </c>
      <c r="HCX1" s="3" t="s">
        <v>5461</v>
      </c>
      <c r="HCY1" s="3" t="s">
        <v>5462</v>
      </c>
      <c r="HCZ1" s="3" t="s">
        <v>5463</v>
      </c>
      <c r="HDA1" s="3" t="s">
        <v>5464</v>
      </c>
      <c r="HDB1" s="3" t="s">
        <v>5465</v>
      </c>
      <c r="HDC1" s="3" t="s">
        <v>5466</v>
      </c>
      <c r="HDD1" s="3" t="s">
        <v>5467</v>
      </c>
      <c r="HDE1" s="3" t="s">
        <v>5468</v>
      </c>
      <c r="HDF1" s="3" t="s">
        <v>5469</v>
      </c>
      <c r="HDG1" s="3" t="s">
        <v>5470</v>
      </c>
      <c r="HDH1" s="3" t="s">
        <v>5471</v>
      </c>
      <c r="HDI1" s="3" t="s">
        <v>5472</v>
      </c>
      <c r="HDJ1" s="3" t="s">
        <v>5473</v>
      </c>
      <c r="HDK1" s="3" t="s">
        <v>5474</v>
      </c>
      <c r="HDL1" s="3" t="s">
        <v>5475</v>
      </c>
      <c r="HDM1" s="3" t="s">
        <v>5476</v>
      </c>
      <c r="HDN1" s="3" t="s">
        <v>5477</v>
      </c>
      <c r="HDO1" s="3" t="s">
        <v>5478</v>
      </c>
      <c r="HDP1" s="3" t="s">
        <v>5479</v>
      </c>
      <c r="HDQ1" s="3" t="s">
        <v>5480</v>
      </c>
      <c r="HDR1" s="3" t="s">
        <v>5481</v>
      </c>
      <c r="HDS1" s="3" t="s">
        <v>5482</v>
      </c>
      <c r="HDT1" s="3" t="s">
        <v>5483</v>
      </c>
      <c r="HDU1" s="3" t="s">
        <v>5484</v>
      </c>
      <c r="HDV1" s="3" t="s">
        <v>5485</v>
      </c>
      <c r="HDW1" s="3" t="s">
        <v>5486</v>
      </c>
      <c r="HDX1" s="3" t="s">
        <v>5487</v>
      </c>
      <c r="HDY1" s="3" t="s">
        <v>5488</v>
      </c>
      <c r="HDZ1" s="3" t="s">
        <v>5489</v>
      </c>
      <c r="HEA1" s="3" t="s">
        <v>5490</v>
      </c>
      <c r="HEB1" s="3" t="s">
        <v>5491</v>
      </c>
      <c r="HEC1" s="3" t="s">
        <v>5492</v>
      </c>
      <c r="HED1" s="3" t="s">
        <v>5493</v>
      </c>
      <c r="HEE1" s="3" t="s">
        <v>5494</v>
      </c>
      <c r="HEF1" s="3" t="s">
        <v>5495</v>
      </c>
      <c r="HEG1" s="3" t="s">
        <v>5496</v>
      </c>
      <c r="HEH1" s="3" t="s">
        <v>5497</v>
      </c>
      <c r="HEI1" s="3" t="s">
        <v>5498</v>
      </c>
      <c r="HEJ1" s="3" t="s">
        <v>5499</v>
      </c>
      <c r="HEK1" s="3" t="s">
        <v>5500</v>
      </c>
      <c r="HEL1" s="3" t="s">
        <v>5501</v>
      </c>
      <c r="HEM1" s="3" t="s">
        <v>5502</v>
      </c>
      <c r="HEN1" s="3" t="s">
        <v>5503</v>
      </c>
      <c r="HEO1" s="3" t="s">
        <v>5504</v>
      </c>
      <c r="HEP1" s="3" t="s">
        <v>5505</v>
      </c>
      <c r="HEQ1" s="3" t="s">
        <v>5506</v>
      </c>
      <c r="HER1" s="3" t="s">
        <v>5507</v>
      </c>
      <c r="HES1" s="3" t="s">
        <v>5508</v>
      </c>
      <c r="HET1" s="3" t="s">
        <v>5509</v>
      </c>
      <c r="HEU1" s="3" t="s">
        <v>5510</v>
      </c>
      <c r="HEV1" s="3" t="s">
        <v>5511</v>
      </c>
      <c r="HEW1" s="3" t="s">
        <v>5512</v>
      </c>
      <c r="HEX1" s="3" t="s">
        <v>5513</v>
      </c>
      <c r="HEY1" s="3" t="s">
        <v>5514</v>
      </c>
      <c r="HEZ1" s="3" t="s">
        <v>5515</v>
      </c>
      <c r="HFA1" s="3" t="s">
        <v>5516</v>
      </c>
      <c r="HFB1" s="3" t="s">
        <v>5517</v>
      </c>
      <c r="HFC1" s="3" t="s">
        <v>5518</v>
      </c>
      <c r="HFD1" s="3" t="s">
        <v>5519</v>
      </c>
      <c r="HFE1" s="3" t="s">
        <v>5520</v>
      </c>
      <c r="HFF1" s="3" t="s">
        <v>5521</v>
      </c>
      <c r="HFG1" s="3" t="s">
        <v>5522</v>
      </c>
      <c r="HFH1" s="3" t="s">
        <v>5523</v>
      </c>
      <c r="HFI1" s="3" t="s">
        <v>5524</v>
      </c>
      <c r="HFJ1" s="3" t="s">
        <v>5525</v>
      </c>
      <c r="HFK1" s="3" t="s">
        <v>5526</v>
      </c>
      <c r="HFL1" s="3" t="s">
        <v>5527</v>
      </c>
      <c r="HFM1" s="3" t="s">
        <v>5528</v>
      </c>
      <c r="HFN1" s="3" t="s">
        <v>5529</v>
      </c>
      <c r="HFO1" s="3" t="s">
        <v>5530</v>
      </c>
      <c r="HFP1" s="3" t="s">
        <v>5531</v>
      </c>
      <c r="HFQ1" s="3" t="s">
        <v>5532</v>
      </c>
      <c r="HFR1" s="3" t="s">
        <v>5533</v>
      </c>
      <c r="HFS1" s="3" t="s">
        <v>5534</v>
      </c>
      <c r="HFT1" s="3" t="s">
        <v>5535</v>
      </c>
      <c r="HFU1" s="3" t="s">
        <v>5536</v>
      </c>
      <c r="HFV1" s="3" t="s">
        <v>5537</v>
      </c>
      <c r="HFW1" s="3" t="s">
        <v>5538</v>
      </c>
      <c r="HFX1" s="3" t="s">
        <v>5539</v>
      </c>
      <c r="HFY1" s="3" t="s">
        <v>5540</v>
      </c>
      <c r="HFZ1" s="3" t="s">
        <v>5541</v>
      </c>
      <c r="HGA1" s="3" t="s">
        <v>5542</v>
      </c>
      <c r="HGB1" s="3" t="s">
        <v>5543</v>
      </c>
      <c r="HGC1" s="3" t="s">
        <v>5544</v>
      </c>
      <c r="HGD1" s="3" t="s">
        <v>5545</v>
      </c>
      <c r="HGE1" s="3" t="s">
        <v>5546</v>
      </c>
      <c r="HGF1" s="3" t="s">
        <v>5547</v>
      </c>
      <c r="HGG1" s="3" t="s">
        <v>5548</v>
      </c>
      <c r="HGH1" s="3" t="s">
        <v>5549</v>
      </c>
      <c r="HGI1" s="3" t="s">
        <v>5550</v>
      </c>
      <c r="HGJ1" s="3" t="s">
        <v>5551</v>
      </c>
      <c r="HGK1" s="3" t="s">
        <v>5552</v>
      </c>
      <c r="HGL1" s="3" t="s">
        <v>5553</v>
      </c>
      <c r="HGM1" s="3" t="s">
        <v>5554</v>
      </c>
      <c r="HGN1" s="3" t="s">
        <v>5555</v>
      </c>
      <c r="HGO1" s="3" t="s">
        <v>5556</v>
      </c>
      <c r="HGP1" s="3" t="s">
        <v>5557</v>
      </c>
      <c r="HGQ1" s="3" t="s">
        <v>5558</v>
      </c>
      <c r="HGR1" s="3" t="s">
        <v>5559</v>
      </c>
      <c r="HGS1" s="3" t="s">
        <v>5560</v>
      </c>
      <c r="HGT1" s="3" t="s">
        <v>5561</v>
      </c>
      <c r="HGU1" s="3" t="s">
        <v>5562</v>
      </c>
      <c r="HGV1" s="3" t="s">
        <v>5563</v>
      </c>
      <c r="HGW1" s="3" t="s">
        <v>5564</v>
      </c>
      <c r="HGX1" s="3" t="s">
        <v>5565</v>
      </c>
      <c r="HGY1" s="3" t="s">
        <v>5566</v>
      </c>
      <c r="HGZ1" s="3" t="s">
        <v>5567</v>
      </c>
      <c r="HHA1" s="3" t="s">
        <v>5568</v>
      </c>
      <c r="HHB1" s="3" t="s">
        <v>5569</v>
      </c>
      <c r="HHC1" s="3" t="s">
        <v>5570</v>
      </c>
      <c r="HHD1" s="3" t="s">
        <v>5571</v>
      </c>
      <c r="HHE1" s="3" t="s">
        <v>5572</v>
      </c>
      <c r="HHF1" s="3" t="s">
        <v>5573</v>
      </c>
      <c r="HHG1" s="3" t="s">
        <v>5574</v>
      </c>
      <c r="HHH1" s="3" t="s">
        <v>5575</v>
      </c>
      <c r="HHI1" s="3" t="s">
        <v>5576</v>
      </c>
      <c r="HHJ1" s="3" t="s">
        <v>5577</v>
      </c>
      <c r="HHK1" s="3" t="s">
        <v>5578</v>
      </c>
      <c r="HHL1" s="3" t="s">
        <v>5579</v>
      </c>
      <c r="HHM1" s="3" t="s">
        <v>5580</v>
      </c>
      <c r="HHN1" s="3" t="s">
        <v>5581</v>
      </c>
      <c r="HHO1" s="3" t="s">
        <v>5582</v>
      </c>
      <c r="HHP1" s="3" t="s">
        <v>5583</v>
      </c>
      <c r="HHQ1" s="3" t="s">
        <v>5584</v>
      </c>
      <c r="HHR1" s="3" t="s">
        <v>5585</v>
      </c>
      <c r="HHS1" s="3" t="s">
        <v>5586</v>
      </c>
      <c r="HHT1" s="3" t="s">
        <v>5587</v>
      </c>
      <c r="HHU1" s="3" t="s">
        <v>5588</v>
      </c>
      <c r="HHV1" s="3" t="s">
        <v>5589</v>
      </c>
      <c r="HHW1" s="3" t="s">
        <v>5590</v>
      </c>
      <c r="HHX1" s="3" t="s">
        <v>5591</v>
      </c>
      <c r="HHY1" s="3" t="s">
        <v>5592</v>
      </c>
      <c r="HHZ1" s="3" t="s">
        <v>5593</v>
      </c>
      <c r="HIA1" s="3" t="s">
        <v>5594</v>
      </c>
      <c r="HIB1" s="3" t="s">
        <v>5595</v>
      </c>
      <c r="HIC1" s="3" t="s">
        <v>5596</v>
      </c>
      <c r="HID1" s="3" t="s">
        <v>5597</v>
      </c>
      <c r="HIE1" s="3" t="s">
        <v>5598</v>
      </c>
      <c r="HIF1" s="3" t="s">
        <v>5599</v>
      </c>
      <c r="HIG1" s="3" t="s">
        <v>5600</v>
      </c>
      <c r="HIH1" s="3" t="s">
        <v>5601</v>
      </c>
      <c r="HII1" s="3" t="s">
        <v>5602</v>
      </c>
      <c r="HIJ1" s="3" t="s">
        <v>5603</v>
      </c>
      <c r="HIK1" s="3" t="s">
        <v>5604</v>
      </c>
      <c r="HIL1" s="3" t="s">
        <v>5605</v>
      </c>
      <c r="HIM1" s="3" t="s">
        <v>5606</v>
      </c>
      <c r="HIN1" s="3" t="s">
        <v>5607</v>
      </c>
      <c r="HIO1" s="3" t="s">
        <v>5608</v>
      </c>
      <c r="HIP1" s="3" t="s">
        <v>5609</v>
      </c>
      <c r="HIQ1" s="3" t="s">
        <v>5610</v>
      </c>
      <c r="HIR1" s="3" t="s">
        <v>5611</v>
      </c>
      <c r="HIS1" s="3" t="s">
        <v>5612</v>
      </c>
      <c r="HIT1" s="3" t="s">
        <v>5613</v>
      </c>
      <c r="HIU1" s="3" t="s">
        <v>5614</v>
      </c>
      <c r="HIV1" s="3" t="s">
        <v>5615</v>
      </c>
      <c r="HIW1" s="3" t="s">
        <v>5616</v>
      </c>
      <c r="HIX1" s="3" t="s">
        <v>5617</v>
      </c>
      <c r="HIY1" s="3" t="s">
        <v>5618</v>
      </c>
      <c r="HIZ1" s="3" t="s">
        <v>5619</v>
      </c>
      <c r="HJA1" s="3" t="s">
        <v>5620</v>
      </c>
      <c r="HJB1" s="3" t="s">
        <v>5621</v>
      </c>
      <c r="HJC1" s="3" t="s">
        <v>5622</v>
      </c>
      <c r="HJD1" s="3" t="s">
        <v>5623</v>
      </c>
      <c r="HJE1" s="3" t="s">
        <v>5624</v>
      </c>
      <c r="HJF1" s="3" t="s">
        <v>5625</v>
      </c>
      <c r="HJG1" s="3" t="s">
        <v>5626</v>
      </c>
      <c r="HJH1" s="3" t="s">
        <v>5627</v>
      </c>
      <c r="HJI1" s="3" t="s">
        <v>5628</v>
      </c>
      <c r="HJJ1" s="3" t="s">
        <v>5629</v>
      </c>
      <c r="HJK1" s="3" t="s">
        <v>5630</v>
      </c>
      <c r="HJL1" s="3" t="s">
        <v>5631</v>
      </c>
      <c r="HJM1" s="3" t="s">
        <v>5632</v>
      </c>
      <c r="HJN1" s="3" t="s">
        <v>5633</v>
      </c>
      <c r="HJO1" s="3" t="s">
        <v>5634</v>
      </c>
      <c r="HJP1" s="3" t="s">
        <v>5635</v>
      </c>
      <c r="HJQ1" s="3" t="s">
        <v>5636</v>
      </c>
      <c r="HJR1" s="3" t="s">
        <v>5637</v>
      </c>
      <c r="HJS1" s="3" t="s">
        <v>5638</v>
      </c>
      <c r="HJT1" s="3" t="s">
        <v>5639</v>
      </c>
      <c r="HJU1" s="3" t="s">
        <v>5640</v>
      </c>
      <c r="HJV1" s="3" t="s">
        <v>5641</v>
      </c>
      <c r="HJW1" s="3" t="s">
        <v>5642</v>
      </c>
      <c r="HJX1" s="3" t="s">
        <v>5643</v>
      </c>
      <c r="HJY1" s="3" t="s">
        <v>5644</v>
      </c>
      <c r="HJZ1" s="3" t="s">
        <v>5645</v>
      </c>
      <c r="HKA1" s="3" t="s">
        <v>5646</v>
      </c>
      <c r="HKB1" s="3" t="s">
        <v>5647</v>
      </c>
      <c r="HKC1" s="3" t="s">
        <v>5648</v>
      </c>
      <c r="HKD1" s="3" t="s">
        <v>5649</v>
      </c>
      <c r="HKE1" s="3" t="s">
        <v>5650</v>
      </c>
      <c r="HKF1" s="3" t="s">
        <v>5651</v>
      </c>
      <c r="HKG1" s="3" t="s">
        <v>5652</v>
      </c>
      <c r="HKH1" s="3" t="s">
        <v>5653</v>
      </c>
      <c r="HKI1" s="3" t="s">
        <v>5654</v>
      </c>
      <c r="HKJ1" s="3" t="s">
        <v>5655</v>
      </c>
      <c r="HKK1" s="3" t="s">
        <v>5656</v>
      </c>
      <c r="HKL1" s="3" t="s">
        <v>5657</v>
      </c>
      <c r="HKM1" s="3" t="s">
        <v>5658</v>
      </c>
      <c r="HKN1" s="3" t="s">
        <v>5659</v>
      </c>
      <c r="HKO1" s="3" t="s">
        <v>5660</v>
      </c>
      <c r="HKP1" s="3" t="s">
        <v>5661</v>
      </c>
      <c r="HKQ1" s="3" t="s">
        <v>5662</v>
      </c>
      <c r="HKR1" s="3" t="s">
        <v>5663</v>
      </c>
      <c r="HKS1" s="3" t="s">
        <v>5664</v>
      </c>
      <c r="HKT1" s="3" t="s">
        <v>5665</v>
      </c>
      <c r="HKU1" s="3" t="s">
        <v>5666</v>
      </c>
      <c r="HKV1" s="3" t="s">
        <v>5667</v>
      </c>
      <c r="HKW1" s="3" t="s">
        <v>5668</v>
      </c>
      <c r="HKX1" s="3" t="s">
        <v>5669</v>
      </c>
      <c r="HKY1" s="3" t="s">
        <v>5670</v>
      </c>
      <c r="HKZ1" s="3" t="s">
        <v>5671</v>
      </c>
      <c r="HLA1" s="3" t="s">
        <v>5672</v>
      </c>
      <c r="HLB1" s="3" t="s">
        <v>5673</v>
      </c>
      <c r="HLC1" s="3" t="s">
        <v>5674</v>
      </c>
      <c r="HLD1" s="3" t="s">
        <v>5675</v>
      </c>
      <c r="HLE1" s="3" t="s">
        <v>5676</v>
      </c>
      <c r="HLF1" s="3" t="s">
        <v>5677</v>
      </c>
      <c r="HLG1" s="3" t="s">
        <v>5678</v>
      </c>
      <c r="HLH1" s="3" t="s">
        <v>5679</v>
      </c>
      <c r="HLI1" s="3" t="s">
        <v>5680</v>
      </c>
      <c r="HLJ1" s="3" t="s">
        <v>5681</v>
      </c>
      <c r="HLK1" s="3" t="s">
        <v>5682</v>
      </c>
      <c r="HLL1" s="3" t="s">
        <v>5683</v>
      </c>
      <c r="HLM1" s="3" t="s">
        <v>5684</v>
      </c>
      <c r="HLN1" s="3" t="s">
        <v>5685</v>
      </c>
      <c r="HLO1" s="3" t="s">
        <v>5686</v>
      </c>
      <c r="HLP1" s="3" t="s">
        <v>5687</v>
      </c>
      <c r="HLQ1" s="3" t="s">
        <v>5688</v>
      </c>
      <c r="HLR1" s="3" t="s">
        <v>5689</v>
      </c>
      <c r="HLS1" s="3" t="s">
        <v>5690</v>
      </c>
      <c r="HLT1" s="3" t="s">
        <v>5691</v>
      </c>
      <c r="HLU1" s="3" t="s">
        <v>5692</v>
      </c>
      <c r="HLV1" s="3" t="s">
        <v>5693</v>
      </c>
      <c r="HLW1" s="3" t="s">
        <v>5694</v>
      </c>
      <c r="HLX1" s="3" t="s">
        <v>5695</v>
      </c>
      <c r="HLY1" s="3" t="s">
        <v>5696</v>
      </c>
      <c r="HLZ1" s="3" t="s">
        <v>5697</v>
      </c>
      <c r="HMA1" s="3" t="s">
        <v>5698</v>
      </c>
      <c r="HMB1" s="3" t="s">
        <v>5699</v>
      </c>
      <c r="HMC1" s="3" t="s">
        <v>5700</v>
      </c>
      <c r="HMD1" s="3" t="s">
        <v>5701</v>
      </c>
      <c r="HME1" s="3" t="s">
        <v>5702</v>
      </c>
      <c r="HMF1" s="3" t="s">
        <v>5703</v>
      </c>
      <c r="HMG1" s="3" t="s">
        <v>5704</v>
      </c>
      <c r="HMH1" s="3" t="s">
        <v>5705</v>
      </c>
      <c r="HMI1" s="3" t="s">
        <v>5706</v>
      </c>
      <c r="HMJ1" s="3" t="s">
        <v>5707</v>
      </c>
      <c r="HMK1" s="3" t="s">
        <v>5708</v>
      </c>
      <c r="HML1" s="3" t="s">
        <v>5709</v>
      </c>
      <c r="HMM1" s="3" t="s">
        <v>5710</v>
      </c>
      <c r="HMN1" s="3" t="s">
        <v>5711</v>
      </c>
      <c r="HMO1" s="3" t="s">
        <v>5712</v>
      </c>
      <c r="HMP1" s="3" t="s">
        <v>5713</v>
      </c>
      <c r="HMQ1" s="3" t="s">
        <v>5714</v>
      </c>
      <c r="HMR1" s="3" t="s">
        <v>5715</v>
      </c>
      <c r="HMS1" s="3" t="s">
        <v>5716</v>
      </c>
      <c r="HMT1" s="3" t="s">
        <v>5717</v>
      </c>
      <c r="HMU1" s="3" t="s">
        <v>5718</v>
      </c>
      <c r="HMV1" s="3" t="s">
        <v>5719</v>
      </c>
      <c r="HMW1" s="3" t="s">
        <v>5720</v>
      </c>
      <c r="HMX1" s="3" t="s">
        <v>5721</v>
      </c>
      <c r="HMY1" s="3" t="s">
        <v>5722</v>
      </c>
      <c r="HMZ1" s="3" t="s">
        <v>5723</v>
      </c>
      <c r="HNA1" s="3" t="s">
        <v>5724</v>
      </c>
      <c r="HNB1" s="3" t="s">
        <v>5725</v>
      </c>
      <c r="HNC1" s="3" t="s">
        <v>5726</v>
      </c>
      <c r="HND1" s="3" t="s">
        <v>5727</v>
      </c>
      <c r="HNE1" s="3" t="s">
        <v>5728</v>
      </c>
      <c r="HNF1" s="3" t="s">
        <v>5729</v>
      </c>
      <c r="HNG1" s="3" t="s">
        <v>5730</v>
      </c>
      <c r="HNH1" s="3" t="s">
        <v>5731</v>
      </c>
      <c r="HNI1" s="3" t="s">
        <v>5732</v>
      </c>
      <c r="HNJ1" s="3" t="s">
        <v>5733</v>
      </c>
      <c r="HNK1" s="3" t="s">
        <v>5734</v>
      </c>
      <c r="HNL1" s="3" t="s">
        <v>5735</v>
      </c>
      <c r="HNM1" s="3" t="s">
        <v>5736</v>
      </c>
      <c r="HNN1" s="3" t="s">
        <v>5737</v>
      </c>
      <c r="HNO1" s="3" t="s">
        <v>5738</v>
      </c>
      <c r="HNP1" s="3" t="s">
        <v>5739</v>
      </c>
      <c r="HNQ1" s="3" t="s">
        <v>5740</v>
      </c>
      <c r="HNR1" s="3" t="s">
        <v>5741</v>
      </c>
      <c r="HNS1" s="3" t="s">
        <v>5742</v>
      </c>
      <c r="HNT1" s="3" t="s">
        <v>5743</v>
      </c>
      <c r="HNU1" s="3" t="s">
        <v>5744</v>
      </c>
      <c r="HNV1" s="3" t="s">
        <v>5745</v>
      </c>
      <c r="HNW1" s="3" t="s">
        <v>5746</v>
      </c>
      <c r="HNX1" s="3" t="s">
        <v>5747</v>
      </c>
      <c r="HNY1" s="3" t="s">
        <v>5748</v>
      </c>
      <c r="HNZ1" s="3" t="s">
        <v>5749</v>
      </c>
      <c r="HOA1" s="3" t="s">
        <v>5750</v>
      </c>
      <c r="HOB1" s="3" t="s">
        <v>5751</v>
      </c>
      <c r="HOC1" s="3" t="s">
        <v>5752</v>
      </c>
      <c r="HOD1" s="3" t="s">
        <v>5753</v>
      </c>
      <c r="HOE1" s="3" t="s">
        <v>5754</v>
      </c>
      <c r="HOF1" s="3" t="s">
        <v>5755</v>
      </c>
      <c r="HOG1" s="3" t="s">
        <v>5756</v>
      </c>
      <c r="HOH1" s="3" t="s">
        <v>5757</v>
      </c>
      <c r="HOI1" s="3" t="s">
        <v>5758</v>
      </c>
      <c r="HOJ1" s="3" t="s">
        <v>5759</v>
      </c>
      <c r="HOK1" s="3" t="s">
        <v>5760</v>
      </c>
      <c r="HOL1" s="3" t="s">
        <v>5761</v>
      </c>
      <c r="HOM1" s="3" t="s">
        <v>5762</v>
      </c>
      <c r="HON1" s="3" t="s">
        <v>5763</v>
      </c>
      <c r="HOO1" s="3" t="s">
        <v>5764</v>
      </c>
      <c r="HOP1" s="3" t="s">
        <v>5765</v>
      </c>
      <c r="HOQ1" s="3" t="s">
        <v>5766</v>
      </c>
      <c r="HOR1" s="3" t="s">
        <v>5767</v>
      </c>
      <c r="HOS1" s="3" t="s">
        <v>5768</v>
      </c>
      <c r="HOT1" s="3" t="s">
        <v>5769</v>
      </c>
      <c r="HOU1" s="3" t="s">
        <v>5770</v>
      </c>
      <c r="HOV1" s="3" t="s">
        <v>5771</v>
      </c>
      <c r="HOW1" s="3" t="s">
        <v>5772</v>
      </c>
      <c r="HOX1" s="3" t="s">
        <v>5773</v>
      </c>
      <c r="HOY1" s="3" t="s">
        <v>5774</v>
      </c>
      <c r="HOZ1" s="3" t="s">
        <v>5775</v>
      </c>
      <c r="HPA1" s="3" t="s">
        <v>5776</v>
      </c>
      <c r="HPB1" s="3" t="s">
        <v>5777</v>
      </c>
      <c r="HPC1" s="3" t="s">
        <v>5778</v>
      </c>
      <c r="HPD1" s="3" t="s">
        <v>5779</v>
      </c>
      <c r="HPE1" s="3" t="s">
        <v>5780</v>
      </c>
      <c r="HPF1" s="3" t="s">
        <v>5781</v>
      </c>
      <c r="HPG1" s="3" t="s">
        <v>5782</v>
      </c>
      <c r="HPH1" s="3" t="s">
        <v>5783</v>
      </c>
      <c r="HPI1" s="3" t="s">
        <v>5784</v>
      </c>
      <c r="HPJ1" s="3" t="s">
        <v>5785</v>
      </c>
      <c r="HPK1" s="3" t="s">
        <v>5786</v>
      </c>
      <c r="HPL1" s="3" t="s">
        <v>5787</v>
      </c>
      <c r="HPM1" s="3" t="s">
        <v>5788</v>
      </c>
      <c r="HPN1" s="3" t="s">
        <v>5789</v>
      </c>
      <c r="HPO1" s="3" t="s">
        <v>5790</v>
      </c>
      <c r="HPP1" s="3" t="s">
        <v>5791</v>
      </c>
      <c r="HPQ1" s="3" t="s">
        <v>5792</v>
      </c>
      <c r="HPR1" s="3" t="s">
        <v>5793</v>
      </c>
      <c r="HPS1" s="3" t="s">
        <v>5794</v>
      </c>
      <c r="HPT1" s="3" t="s">
        <v>5795</v>
      </c>
      <c r="HPU1" s="3" t="s">
        <v>5796</v>
      </c>
      <c r="HPV1" s="3" t="s">
        <v>5797</v>
      </c>
      <c r="HPW1" s="3" t="s">
        <v>5798</v>
      </c>
      <c r="HPX1" s="3" t="s">
        <v>5799</v>
      </c>
      <c r="HPY1" s="3" t="s">
        <v>5800</v>
      </c>
      <c r="HPZ1" s="3" t="s">
        <v>5801</v>
      </c>
      <c r="HQA1" s="3" t="s">
        <v>5802</v>
      </c>
      <c r="HQB1" s="3" t="s">
        <v>5803</v>
      </c>
      <c r="HQC1" s="3" t="s">
        <v>5804</v>
      </c>
      <c r="HQD1" s="3" t="s">
        <v>5805</v>
      </c>
      <c r="HQE1" s="3" t="s">
        <v>5806</v>
      </c>
      <c r="HQF1" s="3" t="s">
        <v>5807</v>
      </c>
      <c r="HQG1" s="3" t="s">
        <v>5808</v>
      </c>
      <c r="HQH1" s="3" t="s">
        <v>5809</v>
      </c>
      <c r="HQI1" s="3" t="s">
        <v>5810</v>
      </c>
      <c r="HQJ1" s="3" t="s">
        <v>5811</v>
      </c>
      <c r="HQK1" s="3" t="s">
        <v>5812</v>
      </c>
      <c r="HQL1" s="3" t="s">
        <v>5813</v>
      </c>
      <c r="HQM1" s="3" t="s">
        <v>5814</v>
      </c>
      <c r="HQN1" s="3" t="s">
        <v>5815</v>
      </c>
      <c r="HQO1" s="3" t="s">
        <v>5816</v>
      </c>
      <c r="HQP1" s="3" t="s">
        <v>5817</v>
      </c>
      <c r="HQQ1" s="3" t="s">
        <v>5818</v>
      </c>
      <c r="HQR1" s="3" t="s">
        <v>5819</v>
      </c>
      <c r="HQS1" s="3" t="s">
        <v>5820</v>
      </c>
      <c r="HQT1" s="3" t="s">
        <v>5821</v>
      </c>
      <c r="HQU1" s="3" t="s">
        <v>5822</v>
      </c>
      <c r="HQV1" s="3" t="s">
        <v>5823</v>
      </c>
      <c r="HQW1" s="3" t="s">
        <v>5824</v>
      </c>
      <c r="HQX1" s="3" t="s">
        <v>5825</v>
      </c>
      <c r="HQY1" s="3" t="s">
        <v>5826</v>
      </c>
      <c r="HQZ1" s="3" t="s">
        <v>5827</v>
      </c>
      <c r="HRA1" s="3" t="s">
        <v>5828</v>
      </c>
      <c r="HRB1" s="3" t="s">
        <v>5829</v>
      </c>
      <c r="HRC1" s="3" t="s">
        <v>5830</v>
      </c>
      <c r="HRD1" s="3" t="s">
        <v>5831</v>
      </c>
      <c r="HRE1" s="3" t="s">
        <v>5832</v>
      </c>
      <c r="HRF1" s="3" t="s">
        <v>5833</v>
      </c>
      <c r="HRG1" s="3" t="s">
        <v>5834</v>
      </c>
      <c r="HRH1" s="3" t="s">
        <v>5835</v>
      </c>
      <c r="HRI1" s="3" t="s">
        <v>5836</v>
      </c>
      <c r="HRJ1" s="3" t="s">
        <v>5837</v>
      </c>
      <c r="HRK1" s="3" t="s">
        <v>5838</v>
      </c>
      <c r="HRL1" s="3" t="s">
        <v>5839</v>
      </c>
      <c r="HRM1" s="3" t="s">
        <v>5840</v>
      </c>
      <c r="HRN1" s="3" t="s">
        <v>5841</v>
      </c>
      <c r="HRO1" s="3" t="s">
        <v>5842</v>
      </c>
      <c r="HRP1" s="3" t="s">
        <v>5843</v>
      </c>
      <c r="HRQ1" s="3" t="s">
        <v>5844</v>
      </c>
      <c r="HRR1" s="3" t="s">
        <v>5845</v>
      </c>
      <c r="HRS1" s="3" t="s">
        <v>5846</v>
      </c>
      <c r="HRT1" s="3" t="s">
        <v>5847</v>
      </c>
      <c r="HRU1" s="3" t="s">
        <v>5848</v>
      </c>
      <c r="HRV1" s="3" t="s">
        <v>5849</v>
      </c>
      <c r="HRW1" s="3" t="s">
        <v>5850</v>
      </c>
      <c r="HRX1" s="3" t="s">
        <v>5851</v>
      </c>
      <c r="HRY1" s="3" t="s">
        <v>5852</v>
      </c>
      <c r="HRZ1" s="3" t="s">
        <v>5853</v>
      </c>
      <c r="HSA1" s="3" t="s">
        <v>5854</v>
      </c>
      <c r="HSB1" s="3" t="s">
        <v>5855</v>
      </c>
      <c r="HSC1" s="3" t="s">
        <v>5856</v>
      </c>
      <c r="HSD1" s="3" t="s">
        <v>5857</v>
      </c>
      <c r="HSE1" s="3" t="s">
        <v>5858</v>
      </c>
      <c r="HSF1" s="3" t="s">
        <v>5859</v>
      </c>
      <c r="HSG1" s="3" t="s">
        <v>5860</v>
      </c>
      <c r="HSH1" s="3" t="s">
        <v>5861</v>
      </c>
      <c r="HSI1" s="3" t="s">
        <v>5862</v>
      </c>
      <c r="HSJ1" s="3" t="s">
        <v>5863</v>
      </c>
      <c r="HSK1" s="3" t="s">
        <v>5864</v>
      </c>
      <c r="HSL1" s="3" t="s">
        <v>5865</v>
      </c>
      <c r="HSM1" s="3" t="s">
        <v>5866</v>
      </c>
      <c r="HSN1" s="3" t="s">
        <v>5867</v>
      </c>
      <c r="HSO1" s="3" t="s">
        <v>5868</v>
      </c>
      <c r="HSP1" s="3" t="s">
        <v>5869</v>
      </c>
      <c r="HSQ1" s="3" t="s">
        <v>5870</v>
      </c>
      <c r="HSR1" s="3" t="s">
        <v>5871</v>
      </c>
      <c r="HSS1" s="3" t="s">
        <v>5872</v>
      </c>
      <c r="HST1" s="3" t="s">
        <v>5873</v>
      </c>
      <c r="HSU1" s="3" t="s">
        <v>5874</v>
      </c>
      <c r="HSV1" s="3" t="s">
        <v>5875</v>
      </c>
      <c r="HSW1" s="3" t="s">
        <v>5876</v>
      </c>
      <c r="HSX1" s="3" t="s">
        <v>5877</v>
      </c>
      <c r="HSY1" s="3" t="s">
        <v>5878</v>
      </c>
      <c r="HSZ1" s="3" t="s">
        <v>5879</v>
      </c>
      <c r="HTA1" s="3" t="s">
        <v>5880</v>
      </c>
      <c r="HTB1" s="3" t="s">
        <v>5881</v>
      </c>
      <c r="HTC1" s="3" t="s">
        <v>5882</v>
      </c>
      <c r="HTD1" s="3" t="s">
        <v>5883</v>
      </c>
      <c r="HTE1" s="3" t="s">
        <v>5884</v>
      </c>
      <c r="HTF1" s="3" t="s">
        <v>5885</v>
      </c>
      <c r="HTG1" s="3" t="s">
        <v>5886</v>
      </c>
      <c r="HTH1" s="3" t="s">
        <v>5887</v>
      </c>
      <c r="HTI1" s="3" t="s">
        <v>5888</v>
      </c>
      <c r="HTJ1" s="3" t="s">
        <v>5889</v>
      </c>
      <c r="HTK1" s="3" t="s">
        <v>5890</v>
      </c>
      <c r="HTL1" s="3" t="s">
        <v>5891</v>
      </c>
      <c r="HTM1" s="3" t="s">
        <v>5892</v>
      </c>
      <c r="HTN1" s="3" t="s">
        <v>5893</v>
      </c>
      <c r="HTO1" s="3" t="s">
        <v>5894</v>
      </c>
      <c r="HTP1" s="3" t="s">
        <v>5895</v>
      </c>
      <c r="HTQ1" s="3" t="s">
        <v>5896</v>
      </c>
      <c r="HTR1" s="3" t="s">
        <v>5897</v>
      </c>
      <c r="HTS1" s="3" t="s">
        <v>5898</v>
      </c>
      <c r="HTT1" s="3" t="s">
        <v>5899</v>
      </c>
      <c r="HTU1" s="3" t="s">
        <v>5900</v>
      </c>
      <c r="HTV1" s="3" t="s">
        <v>5901</v>
      </c>
      <c r="HTW1" s="3" t="s">
        <v>5902</v>
      </c>
      <c r="HTX1" s="3" t="s">
        <v>5903</v>
      </c>
      <c r="HTY1" s="3" t="s">
        <v>5904</v>
      </c>
      <c r="HTZ1" s="3" t="s">
        <v>5905</v>
      </c>
      <c r="HUA1" s="3" t="s">
        <v>5906</v>
      </c>
      <c r="HUB1" s="3" t="s">
        <v>5907</v>
      </c>
      <c r="HUC1" s="3" t="s">
        <v>5908</v>
      </c>
      <c r="HUD1" s="3" t="s">
        <v>5909</v>
      </c>
      <c r="HUE1" s="3" t="s">
        <v>5910</v>
      </c>
      <c r="HUF1" s="3" t="s">
        <v>5911</v>
      </c>
      <c r="HUG1" s="3" t="s">
        <v>5912</v>
      </c>
      <c r="HUH1" s="3" t="s">
        <v>5913</v>
      </c>
      <c r="HUI1" s="3" t="s">
        <v>5914</v>
      </c>
      <c r="HUJ1" s="3" t="s">
        <v>5915</v>
      </c>
      <c r="HUK1" s="3" t="s">
        <v>5916</v>
      </c>
      <c r="HUL1" s="3" t="s">
        <v>5917</v>
      </c>
      <c r="HUM1" s="3" t="s">
        <v>5918</v>
      </c>
      <c r="HUN1" s="3" t="s">
        <v>5919</v>
      </c>
      <c r="HUO1" s="3" t="s">
        <v>5920</v>
      </c>
      <c r="HUP1" s="3" t="s">
        <v>5921</v>
      </c>
      <c r="HUQ1" s="3" t="s">
        <v>5922</v>
      </c>
      <c r="HUR1" s="3" t="s">
        <v>5923</v>
      </c>
      <c r="HUS1" s="3" t="s">
        <v>5924</v>
      </c>
      <c r="HUT1" s="3" t="s">
        <v>5925</v>
      </c>
      <c r="HUU1" s="3" t="s">
        <v>5926</v>
      </c>
      <c r="HUV1" s="3" t="s">
        <v>5927</v>
      </c>
      <c r="HUW1" s="3" t="s">
        <v>5928</v>
      </c>
      <c r="HUX1" s="3" t="s">
        <v>5929</v>
      </c>
      <c r="HUY1" s="3" t="s">
        <v>5930</v>
      </c>
      <c r="HUZ1" s="3" t="s">
        <v>5931</v>
      </c>
      <c r="HVA1" s="3" t="s">
        <v>5932</v>
      </c>
      <c r="HVB1" s="3" t="s">
        <v>5933</v>
      </c>
      <c r="HVC1" s="3" t="s">
        <v>5934</v>
      </c>
      <c r="HVD1" s="3" t="s">
        <v>5935</v>
      </c>
      <c r="HVE1" s="3" t="s">
        <v>5936</v>
      </c>
      <c r="HVF1" s="3" t="s">
        <v>5937</v>
      </c>
      <c r="HVG1" s="3" t="s">
        <v>5938</v>
      </c>
      <c r="HVH1" s="3" t="s">
        <v>5939</v>
      </c>
      <c r="HVI1" s="3" t="s">
        <v>5940</v>
      </c>
      <c r="HVJ1" s="3" t="s">
        <v>5941</v>
      </c>
      <c r="HVK1" s="3" t="s">
        <v>5942</v>
      </c>
      <c r="HVL1" s="3" t="s">
        <v>5943</v>
      </c>
      <c r="HVM1" s="3" t="s">
        <v>5944</v>
      </c>
      <c r="HVN1" s="3" t="s">
        <v>5945</v>
      </c>
      <c r="HVO1" s="3" t="s">
        <v>5946</v>
      </c>
      <c r="HVP1" s="3" t="s">
        <v>5947</v>
      </c>
      <c r="HVQ1" s="3" t="s">
        <v>5948</v>
      </c>
      <c r="HVR1" s="3" t="s">
        <v>5949</v>
      </c>
      <c r="HVS1" s="3" t="s">
        <v>5950</v>
      </c>
      <c r="HVT1" s="3" t="s">
        <v>5951</v>
      </c>
      <c r="HVU1" s="3" t="s">
        <v>5952</v>
      </c>
      <c r="HVV1" s="3" t="s">
        <v>5953</v>
      </c>
      <c r="HVW1" s="3" t="s">
        <v>5954</v>
      </c>
      <c r="HVX1" s="3" t="s">
        <v>5955</v>
      </c>
      <c r="HVY1" s="3" t="s">
        <v>5956</v>
      </c>
      <c r="HVZ1" s="3" t="s">
        <v>5957</v>
      </c>
      <c r="HWA1" s="3" t="s">
        <v>5958</v>
      </c>
      <c r="HWB1" s="3" t="s">
        <v>5959</v>
      </c>
      <c r="HWC1" s="3" t="s">
        <v>5960</v>
      </c>
      <c r="HWD1" s="3" t="s">
        <v>5961</v>
      </c>
      <c r="HWE1" s="3" t="s">
        <v>5962</v>
      </c>
      <c r="HWF1" s="3" t="s">
        <v>5963</v>
      </c>
      <c r="HWG1" s="3" t="s">
        <v>5964</v>
      </c>
      <c r="HWH1" s="3" t="s">
        <v>5965</v>
      </c>
      <c r="HWI1" s="3" t="s">
        <v>5966</v>
      </c>
      <c r="HWJ1" s="3" t="s">
        <v>5967</v>
      </c>
      <c r="HWK1" s="3" t="s">
        <v>5968</v>
      </c>
      <c r="HWL1" s="3" t="s">
        <v>5969</v>
      </c>
      <c r="HWM1" s="3" t="s">
        <v>5970</v>
      </c>
      <c r="HWN1" s="3" t="s">
        <v>5971</v>
      </c>
      <c r="HWO1" s="3" t="s">
        <v>5972</v>
      </c>
      <c r="HWP1" s="3" t="s">
        <v>5973</v>
      </c>
      <c r="HWQ1" s="3" t="s">
        <v>5974</v>
      </c>
      <c r="HWR1" s="3" t="s">
        <v>5975</v>
      </c>
      <c r="HWS1" s="3" t="s">
        <v>5976</v>
      </c>
      <c r="HWT1" s="3" t="s">
        <v>5977</v>
      </c>
      <c r="HWU1" s="3" t="s">
        <v>5978</v>
      </c>
      <c r="HWV1" s="3" t="s">
        <v>5979</v>
      </c>
      <c r="HWW1" s="3" t="s">
        <v>5980</v>
      </c>
      <c r="HWX1" s="3" t="s">
        <v>5981</v>
      </c>
      <c r="HWY1" s="3" t="s">
        <v>5982</v>
      </c>
      <c r="HWZ1" s="3" t="s">
        <v>5983</v>
      </c>
      <c r="HXA1" s="3" t="s">
        <v>5984</v>
      </c>
      <c r="HXB1" s="3" t="s">
        <v>5985</v>
      </c>
      <c r="HXC1" s="3" t="s">
        <v>5986</v>
      </c>
      <c r="HXD1" s="3" t="s">
        <v>5987</v>
      </c>
      <c r="HXE1" s="3" t="s">
        <v>5988</v>
      </c>
      <c r="HXF1" s="3" t="s">
        <v>5989</v>
      </c>
      <c r="HXG1" s="3" t="s">
        <v>5990</v>
      </c>
      <c r="HXH1" s="3" t="s">
        <v>5991</v>
      </c>
      <c r="HXI1" s="3" t="s">
        <v>5992</v>
      </c>
      <c r="HXJ1" s="3" t="s">
        <v>5993</v>
      </c>
      <c r="HXK1" s="3" t="s">
        <v>5994</v>
      </c>
      <c r="HXL1" s="3" t="s">
        <v>5995</v>
      </c>
      <c r="HXM1" s="3" t="s">
        <v>5996</v>
      </c>
      <c r="HXN1" s="3" t="s">
        <v>5997</v>
      </c>
      <c r="HXO1" s="3" t="s">
        <v>5998</v>
      </c>
      <c r="HXP1" s="3" t="s">
        <v>5999</v>
      </c>
      <c r="HXQ1" s="3" t="s">
        <v>6000</v>
      </c>
      <c r="HXR1" s="3" t="s">
        <v>6001</v>
      </c>
      <c r="HXS1" s="3" t="s">
        <v>6002</v>
      </c>
      <c r="HXT1" s="3" t="s">
        <v>6003</v>
      </c>
      <c r="HXU1" s="3" t="s">
        <v>6004</v>
      </c>
      <c r="HXV1" s="3" t="s">
        <v>6005</v>
      </c>
      <c r="HXW1" s="3" t="s">
        <v>6006</v>
      </c>
      <c r="HXX1" s="3" t="s">
        <v>6007</v>
      </c>
      <c r="HXY1" s="3" t="s">
        <v>6008</v>
      </c>
      <c r="HXZ1" s="3" t="s">
        <v>6009</v>
      </c>
      <c r="HYA1" s="3" t="s">
        <v>6010</v>
      </c>
      <c r="HYB1" s="3" t="s">
        <v>6011</v>
      </c>
      <c r="HYC1" s="3" t="s">
        <v>6012</v>
      </c>
      <c r="HYD1" s="3" t="s">
        <v>6013</v>
      </c>
      <c r="HYE1" s="3" t="s">
        <v>6014</v>
      </c>
      <c r="HYF1" s="3" t="s">
        <v>6015</v>
      </c>
      <c r="HYG1" s="3" t="s">
        <v>6016</v>
      </c>
      <c r="HYH1" s="3" t="s">
        <v>6017</v>
      </c>
      <c r="HYI1" s="3" t="s">
        <v>6018</v>
      </c>
      <c r="HYJ1" s="3" t="s">
        <v>6019</v>
      </c>
      <c r="HYK1" s="3" t="s">
        <v>6020</v>
      </c>
      <c r="HYL1" s="3" t="s">
        <v>6021</v>
      </c>
      <c r="HYM1" s="3" t="s">
        <v>6022</v>
      </c>
      <c r="HYN1" s="3" t="s">
        <v>6023</v>
      </c>
      <c r="HYO1" s="3" t="s">
        <v>6024</v>
      </c>
      <c r="HYP1" s="3" t="s">
        <v>6025</v>
      </c>
      <c r="HYQ1" s="3" t="s">
        <v>6026</v>
      </c>
      <c r="HYR1" s="3" t="s">
        <v>6027</v>
      </c>
      <c r="HYS1" s="3" t="s">
        <v>6028</v>
      </c>
      <c r="HYT1" s="3" t="s">
        <v>6029</v>
      </c>
      <c r="HYU1" s="3" t="s">
        <v>6030</v>
      </c>
      <c r="HYV1" s="3" t="s">
        <v>6031</v>
      </c>
      <c r="HYW1" s="3" t="s">
        <v>6032</v>
      </c>
      <c r="HYX1" s="3" t="s">
        <v>6033</v>
      </c>
      <c r="HYY1" s="3" t="s">
        <v>6034</v>
      </c>
      <c r="HYZ1" s="3" t="s">
        <v>6035</v>
      </c>
      <c r="HZA1" s="3" t="s">
        <v>6036</v>
      </c>
      <c r="HZB1" s="3" t="s">
        <v>6037</v>
      </c>
      <c r="HZC1" s="3" t="s">
        <v>6038</v>
      </c>
      <c r="HZD1" s="3" t="s">
        <v>6039</v>
      </c>
      <c r="HZE1" s="3" t="s">
        <v>6040</v>
      </c>
      <c r="HZF1" s="3" t="s">
        <v>6041</v>
      </c>
      <c r="HZG1" s="3" t="s">
        <v>6042</v>
      </c>
      <c r="HZH1" s="3" t="s">
        <v>6043</v>
      </c>
      <c r="HZI1" s="3" t="s">
        <v>6044</v>
      </c>
      <c r="HZJ1" s="3" t="s">
        <v>6045</v>
      </c>
      <c r="HZK1" s="3" t="s">
        <v>6046</v>
      </c>
      <c r="HZL1" s="3" t="s">
        <v>6047</v>
      </c>
      <c r="HZM1" s="3" t="s">
        <v>6048</v>
      </c>
      <c r="HZN1" s="3" t="s">
        <v>6049</v>
      </c>
      <c r="HZO1" s="3" t="s">
        <v>6050</v>
      </c>
      <c r="HZP1" s="3" t="s">
        <v>6051</v>
      </c>
      <c r="HZQ1" s="3" t="s">
        <v>6052</v>
      </c>
      <c r="HZR1" s="3" t="s">
        <v>6053</v>
      </c>
      <c r="HZS1" s="3" t="s">
        <v>6054</v>
      </c>
      <c r="HZT1" s="3" t="s">
        <v>6055</v>
      </c>
      <c r="HZU1" s="3" t="s">
        <v>6056</v>
      </c>
      <c r="HZV1" s="3" t="s">
        <v>6057</v>
      </c>
      <c r="HZW1" s="3" t="s">
        <v>6058</v>
      </c>
      <c r="HZX1" s="3" t="s">
        <v>6059</v>
      </c>
      <c r="HZY1" s="3" t="s">
        <v>6060</v>
      </c>
      <c r="HZZ1" s="3" t="s">
        <v>6061</v>
      </c>
      <c r="IAA1" s="3" t="s">
        <v>6062</v>
      </c>
      <c r="IAB1" s="3" t="s">
        <v>6063</v>
      </c>
      <c r="IAC1" s="3" t="s">
        <v>6064</v>
      </c>
      <c r="IAD1" s="3" t="s">
        <v>6065</v>
      </c>
      <c r="IAE1" s="3" t="s">
        <v>6066</v>
      </c>
      <c r="IAF1" s="3" t="s">
        <v>6067</v>
      </c>
      <c r="IAG1" s="3" t="s">
        <v>6068</v>
      </c>
      <c r="IAH1" s="3" t="s">
        <v>6069</v>
      </c>
      <c r="IAI1" s="3" t="s">
        <v>6070</v>
      </c>
      <c r="IAJ1" s="3" t="s">
        <v>6071</v>
      </c>
      <c r="IAK1" s="3" t="s">
        <v>6072</v>
      </c>
      <c r="IAL1" s="3" t="s">
        <v>6073</v>
      </c>
      <c r="IAM1" s="3" t="s">
        <v>6074</v>
      </c>
      <c r="IAN1" s="3" t="s">
        <v>6075</v>
      </c>
      <c r="IAO1" s="3" t="s">
        <v>6076</v>
      </c>
      <c r="IAP1" s="3" t="s">
        <v>6077</v>
      </c>
      <c r="IAQ1" s="3" t="s">
        <v>6078</v>
      </c>
      <c r="IAR1" s="3" t="s">
        <v>6079</v>
      </c>
      <c r="IAS1" s="3" t="s">
        <v>6080</v>
      </c>
      <c r="IAT1" s="3" t="s">
        <v>6081</v>
      </c>
      <c r="IAU1" s="3" t="s">
        <v>6082</v>
      </c>
      <c r="IAV1" s="3" t="s">
        <v>6083</v>
      </c>
      <c r="IAW1" s="3" t="s">
        <v>6084</v>
      </c>
      <c r="IAX1" s="3" t="s">
        <v>6085</v>
      </c>
      <c r="IAY1" s="3" t="s">
        <v>6086</v>
      </c>
      <c r="IAZ1" s="3" t="s">
        <v>6087</v>
      </c>
      <c r="IBA1" s="3" t="s">
        <v>6088</v>
      </c>
      <c r="IBB1" s="3" t="s">
        <v>6089</v>
      </c>
      <c r="IBC1" s="3" t="s">
        <v>6090</v>
      </c>
      <c r="IBD1" s="3" t="s">
        <v>6091</v>
      </c>
      <c r="IBE1" s="3" t="s">
        <v>6092</v>
      </c>
      <c r="IBF1" s="3" t="s">
        <v>6093</v>
      </c>
      <c r="IBG1" s="3" t="s">
        <v>6094</v>
      </c>
      <c r="IBH1" s="3" t="s">
        <v>6095</v>
      </c>
      <c r="IBI1" s="3" t="s">
        <v>6096</v>
      </c>
      <c r="IBJ1" s="3" t="s">
        <v>6097</v>
      </c>
      <c r="IBK1" s="3" t="s">
        <v>6098</v>
      </c>
      <c r="IBL1" s="3" t="s">
        <v>6099</v>
      </c>
      <c r="IBM1" s="3" t="s">
        <v>6100</v>
      </c>
      <c r="IBN1" s="3" t="s">
        <v>6101</v>
      </c>
      <c r="IBO1" s="3" t="s">
        <v>6102</v>
      </c>
      <c r="IBP1" s="3" t="s">
        <v>6103</v>
      </c>
      <c r="IBQ1" s="3" t="s">
        <v>6104</v>
      </c>
      <c r="IBR1" s="3" t="s">
        <v>6105</v>
      </c>
      <c r="IBS1" s="3" t="s">
        <v>6106</v>
      </c>
      <c r="IBT1" s="3" t="s">
        <v>6107</v>
      </c>
      <c r="IBU1" s="3" t="s">
        <v>6108</v>
      </c>
      <c r="IBV1" s="3" t="s">
        <v>6109</v>
      </c>
      <c r="IBW1" s="3" t="s">
        <v>6110</v>
      </c>
      <c r="IBX1" s="3" t="s">
        <v>6111</v>
      </c>
      <c r="IBY1" s="3" t="s">
        <v>6112</v>
      </c>
      <c r="IBZ1" s="3" t="s">
        <v>6113</v>
      </c>
      <c r="ICA1" s="3" t="s">
        <v>6114</v>
      </c>
      <c r="ICB1" s="3" t="s">
        <v>6115</v>
      </c>
      <c r="ICC1" s="3" t="s">
        <v>6116</v>
      </c>
      <c r="ICD1" s="3" t="s">
        <v>6117</v>
      </c>
      <c r="ICE1" s="3" t="s">
        <v>6118</v>
      </c>
      <c r="ICF1" s="3" t="s">
        <v>6119</v>
      </c>
      <c r="ICG1" s="3" t="s">
        <v>6120</v>
      </c>
      <c r="ICH1" s="3" t="s">
        <v>6121</v>
      </c>
      <c r="ICI1" s="3" t="s">
        <v>6122</v>
      </c>
      <c r="ICJ1" s="3" t="s">
        <v>6123</v>
      </c>
      <c r="ICK1" s="3" t="s">
        <v>6124</v>
      </c>
      <c r="ICL1" s="3" t="s">
        <v>6125</v>
      </c>
      <c r="ICM1" s="3" t="s">
        <v>6126</v>
      </c>
      <c r="ICN1" s="3" t="s">
        <v>6127</v>
      </c>
      <c r="ICO1" s="3" t="s">
        <v>6128</v>
      </c>
      <c r="ICP1" s="3" t="s">
        <v>6129</v>
      </c>
      <c r="ICQ1" s="3" t="s">
        <v>6130</v>
      </c>
      <c r="ICR1" s="3" t="s">
        <v>6131</v>
      </c>
      <c r="ICS1" s="3" t="s">
        <v>6132</v>
      </c>
      <c r="ICT1" s="3" t="s">
        <v>6133</v>
      </c>
      <c r="ICU1" s="3" t="s">
        <v>6134</v>
      </c>
      <c r="ICV1" s="3" t="s">
        <v>6135</v>
      </c>
      <c r="ICW1" s="3" t="s">
        <v>6136</v>
      </c>
      <c r="ICX1" s="3" t="s">
        <v>6137</v>
      </c>
      <c r="ICY1" s="3" t="s">
        <v>6138</v>
      </c>
      <c r="ICZ1" s="3" t="s">
        <v>6139</v>
      </c>
      <c r="IDA1" s="3" t="s">
        <v>6140</v>
      </c>
      <c r="IDB1" s="3" t="s">
        <v>6141</v>
      </c>
      <c r="IDC1" s="3" t="s">
        <v>6142</v>
      </c>
      <c r="IDD1" s="3" t="s">
        <v>6143</v>
      </c>
      <c r="IDE1" s="3" t="s">
        <v>6144</v>
      </c>
      <c r="IDF1" s="3" t="s">
        <v>6145</v>
      </c>
      <c r="IDG1" s="3" t="s">
        <v>6146</v>
      </c>
      <c r="IDH1" s="3" t="s">
        <v>6147</v>
      </c>
      <c r="IDI1" s="3" t="s">
        <v>6148</v>
      </c>
      <c r="IDJ1" s="3" t="s">
        <v>6149</v>
      </c>
      <c r="IDK1" s="3" t="s">
        <v>6150</v>
      </c>
      <c r="IDL1" s="3" t="s">
        <v>6151</v>
      </c>
      <c r="IDM1" s="3" t="s">
        <v>6152</v>
      </c>
      <c r="IDN1" s="3" t="s">
        <v>6153</v>
      </c>
      <c r="IDO1" s="3" t="s">
        <v>6154</v>
      </c>
      <c r="IDP1" s="3" t="s">
        <v>6155</v>
      </c>
      <c r="IDQ1" s="3" t="s">
        <v>6156</v>
      </c>
      <c r="IDR1" s="3" t="s">
        <v>6157</v>
      </c>
      <c r="IDS1" s="3" t="s">
        <v>6158</v>
      </c>
      <c r="IDT1" s="3" t="s">
        <v>6159</v>
      </c>
      <c r="IDU1" s="3" t="s">
        <v>6160</v>
      </c>
      <c r="IDV1" s="3" t="s">
        <v>6161</v>
      </c>
      <c r="IDW1" s="3" t="s">
        <v>6162</v>
      </c>
      <c r="IDX1" s="3" t="s">
        <v>6163</v>
      </c>
      <c r="IDY1" s="3" t="s">
        <v>6164</v>
      </c>
      <c r="IDZ1" s="3" t="s">
        <v>6165</v>
      </c>
      <c r="IEA1" s="3" t="s">
        <v>6166</v>
      </c>
      <c r="IEB1" s="3" t="s">
        <v>6167</v>
      </c>
      <c r="IEC1" s="3" t="s">
        <v>6168</v>
      </c>
      <c r="IED1" s="3" t="s">
        <v>6169</v>
      </c>
      <c r="IEE1" s="3" t="s">
        <v>6170</v>
      </c>
      <c r="IEF1" s="3" t="s">
        <v>6171</v>
      </c>
      <c r="IEG1" s="3" t="s">
        <v>6172</v>
      </c>
      <c r="IEH1" s="3" t="s">
        <v>6173</v>
      </c>
      <c r="IEI1" s="3" t="s">
        <v>6174</v>
      </c>
      <c r="IEJ1" s="3" t="s">
        <v>6175</v>
      </c>
      <c r="IEK1" s="3" t="s">
        <v>6176</v>
      </c>
      <c r="IEL1" s="3" t="s">
        <v>6177</v>
      </c>
      <c r="IEM1" s="3" t="s">
        <v>6178</v>
      </c>
      <c r="IEN1" s="3" t="s">
        <v>6179</v>
      </c>
      <c r="IEO1" s="3" t="s">
        <v>6180</v>
      </c>
      <c r="IEP1" s="3" t="s">
        <v>6181</v>
      </c>
      <c r="IEQ1" s="3" t="s">
        <v>6182</v>
      </c>
      <c r="IER1" s="3" t="s">
        <v>6183</v>
      </c>
      <c r="IES1" s="3" t="s">
        <v>6184</v>
      </c>
      <c r="IET1" s="3" t="s">
        <v>6185</v>
      </c>
      <c r="IEU1" s="3" t="s">
        <v>6186</v>
      </c>
      <c r="IEV1" s="3" t="s">
        <v>6187</v>
      </c>
      <c r="IEW1" s="3" t="s">
        <v>6188</v>
      </c>
      <c r="IEX1" s="3" t="s">
        <v>6189</v>
      </c>
      <c r="IEY1" s="3" t="s">
        <v>6190</v>
      </c>
      <c r="IEZ1" s="3" t="s">
        <v>6191</v>
      </c>
      <c r="IFA1" s="3" t="s">
        <v>6192</v>
      </c>
      <c r="IFB1" s="3" t="s">
        <v>6193</v>
      </c>
      <c r="IFC1" s="3" t="s">
        <v>6194</v>
      </c>
      <c r="IFD1" s="3" t="s">
        <v>6195</v>
      </c>
      <c r="IFE1" s="3" t="s">
        <v>6196</v>
      </c>
      <c r="IFF1" s="3" t="s">
        <v>6197</v>
      </c>
      <c r="IFG1" s="3" t="s">
        <v>6198</v>
      </c>
      <c r="IFH1" s="3" t="s">
        <v>6199</v>
      </c>
      <c r="IFI1" s="3" t="s">
        <v>6200</v>
      </c>
      <c r="IFJ1" s="3" t="s">
        <v>6201</v>
      </c>
      <c r="IFK1" s="3" t="s">
        <v>6202</v>
      </c>
      <c r="IFL1" s="3" t="s">
        <v>6203</v>
      </c>
      <c r="IFM1" s="3" t="s">
        <v>6204</v>
      </c>
      <c r="IFN1" s="3" t="s">
        <v>6205</v>
      </c>
      <c r="IFO1" s="3" t="s">
        <v>6206</v>
      </c>
      <c r="IFP1" s="3" t="s">
        <v>6207</v>
      </c>
      <c r="IFQ1" s="3" t="s">
        <v>6208</v>
      </c>
      <c r="IFR1" s="3" t="s">
        <v>6209</v>
      </c>
      <c r="IFS1" s="3" t="s">
        <v>6210</v>
      </c>
      <c r="IFT1" s="3" t="s">
        <v>6211</v>
      </c>
      <c r="IFU1" s="3" t="s">
        <v>6212</v>
      </c>
      <c r="IFV1" s="3" t="s">
        <v>6213</v>
      </c>
      <c r="IFW1" s="3" t="s">
        <v>6214</v>
      </c>
      <c r="IFX1" s="3" t="s">
        <v>6215</v>
      </c>
      <c r="IFY1" s="3" t="s">
        <v>6216</v>
      </c>
      <c r="IFZ1" s="3" t="s">
        <v>6217</v>
      </c>
      <c r="IGA1" s="3" t="s">
        <v>6218</v>
      </c>
      <c r="IGB1" s="3" t="s">
        <v>6219</v>
      </c>
      <c r="IGC1" s="3" t="s">
        <v>6220</v>
      </c>
      <c r="IGD1" s="3" t="s">
        <v>6221</v>
      </c>
      <c r="IGE1" s="3" t="s">
        <v>6222</v>
      </c>
      <c r="IGF1" s="3" t="s">
        <v>6223</v>
      </c>
      <c r="IGG1" s="3" t="s">
        <v>6224</v>
      </c>
      <c r="IGH1" s="3" t="s">
        <v>6225</v>
      </c>
      <c r="IGI1" s="3" t="s">
        <v>6226</v>
      </c>
      <c r="IGJ1" s="3" t="s">
        <v>6227</v>
      </c>
      <c r="IGK1" s="3" t="s">
        <v>6228</v>
      </c>
      <c r="IGL1" s="3" t="s">
        <v>6229</v>
      </c>
      <c r="IGM1" s="3" t="s">
        <v>6230</v>
      </c>
      <c r="IGN1" s="3" t="s">
        <v>6231</v>
      </c>
      <c r="IGO1" s="3" t="s">
        <v>6232</v>
      </c>
      <c r="IGP1" s="3" t="s">
        <v>6233</v>
      </c>
      <c r="IGQ1" s="3" t="s">
        <v>6234</v>
      </c>
      <c r="IGR1" s="3" t="s">
        <v>6235</v>
      </c>
      <c r="IGS1" s="3" t="s">
        <v>6236</v>
      </c>
      <c r="IGT1" s="3" t="s">
        <v>6237</v>
      </c>
      <c r="IGU1" s="3" t="s">
        <v>6238</v>
      </c>
      <c r="IGV1" s="3" t="s">
        <v>6239</v>
      </c>
      <c r="IGW1" s="3" t="s">
        <v>6240</v>
      </c>
      <c r="IGX1" s="3" t="s">
        <v>6241</v>
      </c>
      <c r="IGY1" s="3" t="s">
        <v>6242</v>
      </c>
      <c r="IGZ1" s="3" t="s">
        <v>6243</v>
      </c>
      <c r="IHA1" s="3" t="s">
        <v>6244</v>
      </c>
      <c r="IHB1" s="3" t="s">
        <v>6245</v>
      </c>
      <c r="IHC1" s="3" t="s">
        <v>6246</v>
      </c>
      <c r="IHD1" s="3" t="s">
        <v>6247</v>
      </c>
      <c r="IHE1" s="3" t="s">
        <v>6248</v>
      </c>
      <c r="IHF1" s="3" t="s">
        <v>6249</v>
      </c>
      <c r="IHG1" s="3" t="s">
        <v>6250</v>
      </c>
      <c r="IHH1" s="3" t="s">
        <v>6251</v>
      </c>
      <c r="IHI1" s="3" t="s">
        <v>6252</v>
      </c>
      <c r="IHJ1" s="3" t="s">
        <v>6253</v>
      </c>
      <c r="IHK1" s="3" t="s">
        <v>6254</v>
      </c>
      <c r="IHL1" s="3" t="s">
        <v>6255</v>
      </c>
      <c r="IHM1" s="3" t="s">
        <v>6256</v>
      </c>
      <c r="IHN1" s="3" t="s">
        <v>6257</v>
      </c>
      <c r="IHO1" s="3" t="s">
        <v>6258</v>
      </c>
      <c r="IHP1" s="3" t="s">
        <v>6259</v>
      </c>
      <c r="IHQ1" s="3" t="s">
        <v>6260</v>
      </c>
      <c r="IHR1" s="3" t="s">
        <v>6261</v>
      </c>
      <c r="IHS1" s="3" t="s">
        <v>6262</v>
      </c>
      <c r="IHT1" s="3" t="s">
        <v>6263</v>
      </c>
      <c r="IHU1" s="3" t="s">
        <v>6264</v>
      </c>
      <c r="IHV1" s="3" t="s">
        <v>6265</v>
      </c>
      <c r="IHW1" s="3" t="s">
        <v>6266</v>
      </c>
      <c r="IHX1" s="3" t="s">
        <v>6267</v>
      </c>
      <c r="IHY1" s="3" t="s">
        <v>6268</v>
      </c>
      <c r="IHZ1" s="3" t="s">
        <v>6269</v>
      </c>
      <c r="IIA1" s="3" t="s">
        <v>6270</v>
      </c>
      <c r="IIB1" s="3" t="s">
        <v>6271</v>
      </c>
      <c r="IIC1" s="3" t="s">
        <v>6272</v>
      </c>
      <c r="IID1" s="3" t="s">
        <v>6273</v>
      </c>
      <c r="IIE1" s="3" t="s">
        <v>6274</v>
      </c>
      <c r="IIF1" s="3" t="s">
        <v>6275</v>
      </c>
      <c r="IIG1" s="3" t="s">
        <v>6276</v>
      </c>
      <c r="IIH1" s="3" t="s">
        <v>6277</v>
      </c>
      <c r="III1" s="3" t="s">
        <v>6278</v>
      </c>
      <c r="IIJ1" s="3" t="s">
        <v>6279</v>
      </c>
      <c r="IIK1" s="3" t="s">
        <v>6280</v>
      </c>
      <c r="IIL1" s="3" t="s">
        <v>6281</v>
      </c>
      <c r="IIM1" s="3" t="s">
        <v>6282</v>
      </c>
      <c r="IIN1" s="3" t="s">
        <v>6283</v>
      </c>
      <c r="IIO1" s="3" t="s">
        <v>6284</v>
      </c>
      <c r="IIP1" s="3" t="s">
        <v>6285</v>
      </c>
      <c r="IIQ1" s="3" t="s">
        <v>6286</v>
      </c>
      <c r="IIR1" s="3" t="s">
        <v>6287</v>
      </c>
      <c r="IIS1" s="3" t="s">
        <v>6288</v>
      </c>
      <c r="IIT1" s="3" t="s">
        <v>6289</v>
      </c>
      <c r="IIU1" s="3" t="s">
        <v>6290</v>
      </c>
      <c r="IIV1" s="3" t="s">
        <v>6291</v>
      </c>
      <c r="IIW1" s="3" t="s">
        <v>6292</v>
      </c>
      <c r="IIX1" s="3" t="s">
        <v>6293</v>
      </c>
      <c r="IIY1" s="3" t="s">
        <v>6294</v>
      </c>
      <c r="IIZ1" s="3" t="s">
        <v>6295</v>
      </c>
      <c r="IJA1" s="3" t="s">
        <v>6296</v>
      </c>
      <c r="IJB1" s="3" t="s">
        <v>6297</v>
      </c>
      <c r="IJC1" s="3" t="s">
        <v>6298</v>
      </c>
      <c r="IJD1" s="3" t="s">
        <v>6299</v>
      </c>
      <c r="IJE1" s="3" t="s">
        <v>6300</v>
      </c>
      <c r="IJF1" s="3" t="s">
        <v>6301</v>
      </c>
      <c r="IJG1" s="3" t="s">
        <v>6302</v>
      </c>
      <c r="IJH1" s="3" t="s">
        <v>6303</v>
      </c>
      <c r="IJI1" s="3" t="s">
        <v>6304</v>
      </c>
      <c r="IJJ1" s="3" t="s">
        <v>6305</v>
      </c>
      <c r="IJK1" s="3" t="s">
        <v>6306</v>
      </c>
      <c r="IJL1" s="3" t="s">
        <v>6307</v>
      </c>
      <c r="IJM1" s="3" t="s">
        <v>6308</v>
      </c>
      <c r="IJN1" s="3" t="s">
        <v>6309</v>
      </c>
      <c r="IJO1" s="3" t="s">
        <v>6310</v>
      </c>
      <c r="IJP1" s="3" t="s">
        <v>6311</v>
      </c>
      <c r="IJQ1" s="3" t="s">
        <v>6312</v>
      </c>
      <c r="IJR1" s="3" t="s">
        <v>6313</v>
      </c>
      <c r="IJS1" s="3" t="s">
        <v>6314</v>
      </c>
      <c r="IJT1" s="3" t="s">
        <v>6315</v>
      </c>
      <c r="IJU1" s="3" t="s">
        <v>6316</v>
      </c>
      <c r="IJV1" s="3" t="s">
        <v>6317</v>
      </c>
      <c r="IJW1" s="3" t="s">
        <v>6318</v>
      </c>
      <c r="IJX1" s="3" t="s">
        <v>6319</v>
      </c>
      <c r="IJY1" s="3" t="s">
        <v>6320</v>
      </c>
      <c r="IJZ1" s="3" t="s">
        <v>6321</v>
      </c>
      <c r="IKA1" s="3" t="s">
        <v>6322</v>
      </c>
      <c r="IKB1" s="3" t="s">
        <v>6323</v>
      </c>
      <c r="IKC1" s="3" t="s">
        <v>6324</v>
      </c>
      <c r="IKD1" s="3" t="s">
        <v>6325</v>
      </c>
      <c r="IKE1" s="3" t="s">
        <v>6326</v>
      </c>
      <c r="IKF1" s="3" t="s">
        <v>6327</v>
      </c>
      <c r="IKG1" s="3" t="s">
        <v>6328</v>
      </c>
      <c r="IKH1" s="3" t="s">
        <v>6329</v>
      </c>
      <c r="IKI1" s="3" t="s">
        <v>6330</v>
      </c>
      <c r="IKJ1" s="3" t="s">
        <v>6331</v>
      </c>
      <c r="IKK1" s="3" t="s">
        <v>6332</v>
      </c>
      <c r="IKL1" s="3" t="s">
        <v>6333</v>
      </c>
      <c r="IKM1" s="3" t="s">
        <v>6334</v>
      </c>
      <c r="IKN1" s="3" t="s">
        <v>6335</v>
      </c>
      <c r="IKO1" s="3" t="s">
        <v>6336</v>
      </c>
      <c r="IKP1" s="3" t="s">
        <v>6337</v>
      </c>
      <c r="IKQ1" s="3" t="s">
        <v>6338</v>
      </c>
      <c r="IKR1" s="3" t="s">
        <v>6339</v>
      </c>
      <c r="IKS1" s="3" t="s">
        <v>6340</v>
      </c>
      <c r="IKT1" s="3" t="s">
        <v>6341</v>
      </c>
      <c r="IKU1" s="3" t="s">
        <v>6342</v>
      </c>
      <c r="IKV1" s="3" t="s">
        <v>6343</v>
      </c>
      <c r="IKW1" s="3" t="s">
        <v>6344</v>
      </c>
      <c r="IKX1" s="3" t="s">
        <v>6345</v>
      </c>
      <c r="IKY1" s="3" t="s">
        <v>6346</v>
      </c>
      <c r="IKZ1" s="3" t="s">
        <v>6347</v>
      </c>
      <c r="ILA1" s="3" t="s">
        <v>6348</v>
      </c>
      <c r="ILB1" s="3" t="s">
        <v>6349</v>
      </c>
      <c r="ILC1" s="3" t="s">
        <v>6350</v>
      </c>
      <c r="ILD1" s="3" t="s">
        <v>6351</v>
      </c>
      <c r="ILE1" s="3" t="s">
        <v>6352</v>
      </c>
      <c r="ILF1" s="3" t="s">
        <v>6353</v>
      </c>
      <c r="ILG1" s="3" t="s">
        <v>6354</v>
      </c>
      <c r="ILH1" s="3" t="s">
        <v>6355</v>
      </c>
      <c r="ILI1" s="3" t="s">
        <v>6356</v>
      </c>
      <c r="ILJ1" s="3" t="s">
        <v>6357</v>
      </c>
      <c r="ILK1" s="3" t="s">
        <v>6358</v>
      </c>
      <c r="ILL1" s="3" t="s">
        <v>6359</v>
      </c>
      <c r="ILM1" s="3" t="s">
        <v>6360</v>
      </c>
      <c r="ILN1" s="3" t="s">
        <v>6361</v>
      </c>
      <c r="ILO1" s="3" t="s">
        <v>6362</v>
      </c>
      <c r="ILP1" s="3" t="s">
        <v>6363</v>
      </c>
      <c r="ILQ1" s="3" t="s">
        <v>6364</v>
      </c>
      <c r="ILR1" s="3" t="s">
        <v>6365</v>
      </c>
      <c r="ILS1" s="3" t="s">
        <v>6366</v>
      </c>
      <c r="ILT1" s="3" t="s">
        <v>6367</v>
      </c>
      <c r="ILU1" s="3" t="s">
        <v>6368</v>
      </c>
      <c r="ILV1" s="3" t="s">
        <v>6369</v>
      </c>
      <c r="ILW1" s="3" t="s">
        <v>6370</v>
      </c>
      <c r="ILX1" s="3" t="s">
        <v>6371</v>
      </c>
      <c r="ILY1" s="3" t="s">
        <v>6372</v>
      </c>
      <c r="ILZ1" s="3" t="s">
        <v>6373</v>
      </c>
      <c r="IMA1" s="3" t="s">
        <v>6374</v>
      </c>
      <c r="IMB1" s="3" t="s">
        <v>6375</v>
      </c>
      <c r="IMC1" s="3" t="s">
        <v>6376</v>
      </c>
      <c r="IMD1" s="3" t="s">
        <v>6377</v>
      </c>
      <c r="IME1" s="3" t="s">
        <v>6378</v>
      </c>
      <c r="IMF1" s="3" t="s">
        <v>6379</v>
      </c>
      <c r="IMG1" s="3" t="s">
        <v>6380</v>
      </c>
      <c r="IMH1" s="3" t="s">
        <v>6381</v>
      </c>
      <c r="IMI1" s="3" t="s">
        <v>6382</v>
      </c>
      <c r="IMJ1" s="3" t="s">
        <v>6383</v>
      </c>
      <c r="IMK1" s="3" t="s">
        <v>6384</v>
      </c>
      <c r="IML1" s="3" t="s">
        <v>6385</v>
      </c>
      <c r="IMM1" s="3" t="s">
        <v>6386</v>
      </c>
      <c r="IMN1" s="3" t="s">
        <v>6387</v>
      </c>
      <c r="IMO1" s="3" t="s">
        <v>6388</v>
      </c>
      <c r="IMP1" s="3" t="s">
        <v>6389</v>
      </c>
      <c r="IMQ1" s="3" t="s">
        <v>6390</v>
      </c>
      <c r="IMR1" s="3" t="s">
        <v>6391</v>
      </c>
      <c r="IMS1" s="3" t="s">
        <v>6392</v>
      </c>
      <c r="IMT1" s="3" t="s">
        <v>6393</v>
      </c>
      <c r="IMU1" s="3" t="s">
        <v>6394</v>
      </c>
      <c r="IMV1" s="3" t="s">
        <v>6395</v>
      </c>
      <c r="IMW1" s="3" t="s">
        <v>6396</v>
      </c>
      <c r="IMX1" s="3" t="s">
        <v>6397</v>
      </c>
      <c r="IMY1" s="3" t="s">
        <v>6398</v>
      </c>
      <c r="IMZ1" s="3" t="s">
        <v>6399</v>
      </c>
      <c r="INA1" s="3" t="s">
        <v>6400</v>
      </c>
      <c r="INB1" s="3" t="s">
        <v>6401</v>
      </c>
      <c r="INC1" s="3" t="s">
        <v>6402</v>
      </c>
      <c r="IND1" s="3" t="s">
        <v>6403</v>
      </c>
      <c r="INE1" s="3" t="s">
        <v>6404</v>
      </c>
      <c r="INF1" s="3" t="s">
        <v>6405</v>
      </c>
      <c r="ING1" s="3" t="s">
        <v>6406</v>
      </c>
      <c r="INH1" s="3" t="s">
        <v>6407</v>
      </c>
      <c r="INI1" s="3" t="s">
        <v>6408</v>
      </c>
      <c r="INJ1" s="3" t="s">
        <v>6409</v>
      </c>
      <c r="INK1" s="3" t="s">
        <v>6410</v>
      </c>
      <c r="INL1" s="3" t="s">
        <v>6411</v>
      </c>
      <c r="INM1" s="3" t="s">
        <v>6412</v>
      </c>
      <c r="INN1" s="3" t="s">
        <v>6413</v>
      </c>
      <c r="INO1" s="3" t="s">
        <v>6414</v>
      </c>
      <c r="INP1" s="3" t="s">
        <v>6415</v>
      </c>
      <c r="INQ1" s="3" t="s">
        <v>6416</v>
      </c>
      <c r="INR1" s="3" t="s">
        <v>6417</v>
      </c>
      <c r="INS1" s="3" t="s">
        <v>6418</v>
      </c>
      <c r="INT1" s="3" t="s">
        <v>6419</v>
      </c>
      <c r="INU1" s="3" t="s">
        <v>6420</v>
      </c>
      <c r="INV1" s="3" t="s">
        <v>6421</v>
      </c>
      <c r="INW1" s="3" t="s">
        <v>6422</v>
      </c>
      <c r="INX1" s="3" t="s">
        <v>6423</v>
      </c>
      <c r="INY1" s="3" t="s">
        <v>6424</v>
      </c>
      <c r="INZ1" s="3" t="s">
        <v>6425</v>
      </c>
      <c r="IOA1" s="3" t="s">
        <v>6426</v>
      </c>
      <c r="IOB1" s="3" t="s">
        <v>6427</v>
      </c>
      <c r="IOC1" s="3" t="s">
        <v>6428</v>
      </c>
      <c r="IOD1" s="3" t="s">
        <v>6429</v>
      </c>
      <c r="IOE1" s="3" t="s">
        <v>6430</v>
      </c>
      <c r="IOF1" s="3" t="s">
        <v>6431</v>
      </c>
      <c r="IOG1" s="3" t="s">
        <v>6432</v>
      </c>
      <c r="IOH1" s="3" t="s">
        <v>6433</v>
      </c>
      <c r="IOI1" s="3" t="s">
        <v>6434</v>
      </c>
      <c r="IOJ1" s="3" t="s">
        <v>6435</v>
      </c>
      <c r="IOK1" s="3" t="s">
        <v>6436</v>
      </c>
      <c r="IOL1" s="3" t="s">
        <v>6437</v>
      </c>
      <c r="IOM1" s="3" t="s">
        <v>6438</v>
      </c>
      <c r="ION1" s="3" t="s">
        <v>6439</v>
      </c>
      <c r="IOO1" s="3" t="s">
        <v>6440</v>
      </c>
      <c r="IOP1" s="3" t="s">
        <v>6441</v>
      </c>
      <c r="IOQ1" s="3" t="s">
        <v>6442</v>
      </c>
      <c r="IOR1" s="3" t="s">
        <v>6443</v>
      </c>
      <c r="IOS1" s="3" t="s">
        <v>6444</v>
      </c>
      <c r="IOT1" s="3" t="s">
        <v>6445</v>
      </c>
      <c r="IOU1" s="3" t="s">
        <v>6446</v>
      </c>
      <c r="IOV1" s="3" t="s">
        <v>6447</v>
      </c>
      <c r="IOW1" s="3" t="s">
        <v>6448</v>
      </c>
      <c r="IOX1" s="3" t="s">
        <v>6449</v>
      </c>
      <c r="IOY1" s="3" t="s">
        <v>6450</v>
      </c>
      <c r="IOZ1" s="3" t="s">
        <v>6451</v>
      </c>
      <c r="IPA1" s="3" t="s">
        <v>6452</v>
      </c>
      <c r="IPB1" s="3" t="s">
        <v>6453</v>
      </c>
      <c r="IPC1" s="3" t="s">
        <v>6454</v>
      </c>
      <c r="IPD1" s="3" t="s">
        <v>6455</v>
      </c>
      <c r="IPE1" s="3" t="s">
        <v>6456</v>
      </c>
      <c r="IPF1" s="3" t="s">
        <v>6457</v>
      </c>
      <c r="IPG1" s="3" t="s">
        <v>6458</v>
      </c>
      <c r="IPH1" s="3" t="s">
        <v>6459</v>
      </c>
      <c r="IPI1" s="3" t="s">
        <v>6460</v>
      </c>
      <c r="IPJ1" s="3" t="s">
        <v>6461</v>
      </c>
      <c r="IPK1" s="3" t="s">
        <v>6462</v>
      </c>
      <c r="IPL1" s="3" t="s">
        <v>6463</v>
      </c>
      <c r="IPM1" s="3" t="s">
        <v>6464</v>
      </c>
      <c r="IPN1" s="3" t="s">
        <v>6465</v>
      </c>
      <c r="IPO1" s="3" t="s">
        <v>6466</v>
      </c>
      <c r="IPP1" s="3" t="s">
        <v>6467</v>
      </c>
      <c r="IPQ1" s="3" t="s">
        <v>6468</v>
      </c>
      <c r="IPR1" s="3" t="s">
        <v>6469</v>
      </c>
      <c r="IPS1" s="3" t="s">
        <v>6470</v>
      </c>
      <c r="IPT1" s="3" t="s">
        <v>6471</v>
      </c>
      <c r="IPU1" s="3" t="s">
        <v>6472</v>
      </c>
      <c r="IPV1" s="3" t="s">
        <v>6473</v>
      </c>
      <c r="IPW1" s="3" t="s">
        <v>6474</v>
      </c>
      <c r="IPX1" s="3" t="s">
        <v>6475</v>
      </c>
      <c r="IPY1" s="3" t="s">
        <v>6476</v>
      </c>
      <c r="IPZ1" s="3" t="s">
        <v>6477</v>
      </c>
      <c r="IQA1" s="3" t="s">
        <v>6478</v>
      </c>
      <c r="IQB1" s="3" t="s">
        <v>6479</v>
      </c>
      <c r="IQC1" s="3" t="s">
        <v>6480</v>
      </c>
      <c r="IQD1" s="3" t="s">
        <v>6481</v>
      </c>
      <c r="IQE1" s="3" t="s">
        <v>6482</v>
      </c>
      <c r="IQF1" s="3" t="s">
        <v>6483</v>
      </c>
      <c r="IQG1" s="3" t="s">
        <v>6484</v>
      </c>
      <c r="IQH1" s="3" t="s">
        <v>6485</v>
      </c>
      <c r="IQI1" s="3" t="s">
        <v>6486</v>
      </c>
      <c r="IQJ1" s="3" t="s">
        <v>6487</v>
      </c>
      <c r="IQK1" s="3" t="s">
        <v>6488</v>
      </c>
      <c r="IQL1" s="3" t="s">
        <v>6489</v>
      </c>
      <c r="IQM1" s="3" t="s">
        <v>6490</v>
      </c>
      <c r="IQN1" s="3" t="s">
        <v>6491</v>
      </c>
      <c r="IQO1" s="3" t="s">
        <v>6492</v>
      </c>
      <c r="IQP1" s="3" t="s">
        <v>6493</v>
      </c>
      <c r="IQQ1" s="3" t="s">
        <v>6494</v>
      </c>
      <c r="IQR1" s="3" t="s">
        <v>6495</v>
      </c>
      <c r="IQS1" s="3" t="s">
        <v>6496</v>
      </c>
      <c r="IQT1" s="3" t="s">
        <v>6497</v>
      </c>
      <c r="IQU1" s="3" t="s">
        <v>6498</v>
      </c>
      <c r="IQV1" s="3" t="s">
        <v>6499</v>
      </c>
      <c r="IQW1" s="3" t="s">
        <v>6500</v>
      </c>
      <c r="IQX1" s="3" t="s">
        <v>6501</v>
      </c>
      <c r="IQY1" s="3" t="s">
        <v>6502</v>
      </c>
      <c r="IQZ1" s="3" t="s">
        <v>6503</v>
      </c>
      <c r="IRA1" s="3" t="s">
        <v>6504</v>
      </c>
      <c r="IRB1" s="3" t="s">
        <v>6505</v>
      </c>
      <c r="IRC1" s="3" t="s">
        <v>6506</v>
      </c>
      <c r="IRD1" s="3" t="s">
        <v>6507</v>
      </c>
      <c r="IRE1" s="3" t="s">
        <v>6508</v>
      </c>
      <c r="IRF1" s="3" t="s">
        <v>6509</v>
      </c>
      <c r="IRG1" s="3" t="s">
        <v>6510</v>
      </c>
      <c r="IRH1" s="3" t="s">
        <v>6511</v>
      </c>
      <c r="IRI1" s="3" t="s">
        <v>6512</v>
      </c>
      <c r="IRJ1" s="3" t="s">
        <v>6513</v>
      </c>
      <c r="IRK1" s="3" t="s">
        <v>6514</v>
      </c>
      <c r="IRL1" s="3" t="s">
        <v>6515</v>
      </c>
      <c r="IRM1" s="3" t="s">
        <v>6516</v>
      </c>
      <c r="IRN1" s="3" t="s">
        <v>6517</v>
      </c>
      <c r="IRO1" s="3" t="s">
        <v>6518</v>
      </c>
      <c r="IRP1" s="3" t="s">
        <v>6519</v>
      </c>
      <c r="IRQ1" s="3" t="s">
        <v>6520</v>
      </c>
      <c r="IRR1" s="3" t="s">
        <v>6521</v>
      </c>
      <c r="IRS1" s="3" t="s">
        <v>6522</v>
      </c>
      <c r="IRT1" s="3" t="s">
        <v>6523</v>
      </c>
      <c r="IRU1" s="3" t="s">
        <v>6524</v>
      </c>
      <c r="IRV1" s="3" t="s">
        <v>6525</v>
      </c>
      <c r="IRW1" s="3" t="s">
        <v>6526</v>
      </c>
      <c r="IRX1" s="3" t="s">
        <v>6527</v>
      </c>
      <c r="IRY1" s="3" t="s">
        <v>6528</v>
      </c>
      <c r="IRZ1" s="3" t="s">
        <v>6529</v>
      </c>
      <c r="ISA1" s="3" t="s">
        <v>6530</v>
      </c>
      <c r="ISB1" s="3" t="s">
        <v>6531</v>
      </c>
      <c r="ISC1" s="3" t="s">
        <v>6532</v>
      </c>
      <c r="ISD1" s="3" t="s">
        <v>6533</v>
      </c>
      <c r="ISE1" s="3" t="s">
        <v>6534</v>
      </c>
      <c r="ISF1" s="3" t="s">
        <v>6535</v>
      </c>
      <c r="ISG1" s="3" t="s">
        <v>6536</v>
      </c>
      <c r="ISH1" s="3" t="s">
        <v>6537</v>
      </c>
      <c r="ISI1" s="3" t="s">
        <v>6538</v>
      </c>
      <c r="ISJ1" s="3" t="s">
        <v>6539</v>
      </c>
      <c r="ISK1" s="3" t="s">
        <v>6540</v>
      </c>
      <c r="ISL1" s="3" t="s">
        <v>6541</v>
      </c>
      <c r="ISM1" s="3" t="s">
        <v>6542</v>
      </c>
      <c r="ISN1" s="3" t="s">
        <v>6543</v>
      </c>
      <c r="ISO1" s="3" t="s">
        <v>6544</v>
      </c>
      <c r="ISP1" s="3" t="s">
        <v>6545</v>
      </c>
      <c r="ISQ1" s="3" t="s">
        <v>6546</v>
      </c>
      <c r="ISR1" s="3" t="s">
        <v>6547</v>
      </c>
      <c r="ISS1" s="3" t="s">
        <v>6548</v>
      </c>
      <c r="IST1" s="3" t="s">
        <v>6549</v>
      </c>
      <c r="ISU1" s="3" t="s">
        <v>6550</v>
      </c>
      <c r="ISV1" s="3" t="s">
        <v>6551</v>
      </c>
      <c r="ISW1" s="3" t="s">
        <v>6552</v>
      </c>
      <c r="ISX1" s="3" t="s">
        <v>6553</v>
      </c>
      <c r="ISY1" s="3" t="s">
        <v>6554</v>
      </c>
      <c r="ISZ1" s="3" t="s">
        <v>6555</v>
      </c>
      <c r="ITA1" s="3" t="s">
        <v>6556</v>
      </c>
      <c r="ITB1" s="3" t="s">
        <v>6557</v>
      </c>
      <c r="ITC1" s="3" t="s">
        <v>6558</v>
      </c>
      <c r="ITD1" s="3" t="s">
        <v>6559</v>
      </c>
      <c r="ITE1" s="3" t="s">
        <v>6560</v>
      </c>
      <c r="ITF1" s="3" t="s">
        <v>6561</v>
      </c>
      <c r="ITG1" s="3" t="s">
        <v>6562</v>
      </c>
      <c r="ITH1" s="3" t="s">
        <v>6563</v>
      </c>
      <c r="ITI1" s="3" t="s">
        <v>6564</v>
      </c>
      <c r="ITJ1" s="3" t="s">
        <v>6565</v>
      </c>
      <c r="ITK1" s="3" t="s">
        <v>6566</v>
      </c>
      <c r="ITL1" s="3" t="s">
        <v>6567</v>
      </c>
      <c r="ITM1" s="3" t="s">
        <v>6568</v>
      </c>
      <c r="ITN1" s="3" t="s">
        <v>6569</v>
      </c>
      <c r="ITO1" s="3" t="s">
        <v>6570</v>
      </c>
      <c r="ITP1" s="3" t="s">
        <v>6571</v>
      </c>
      <c r="ITQ1" s="3" t="s">
        <v>6572</v>
      </c>
      <c r="ITR1" s="3" t="s">
        <v>6573</v>
      </c>
      <c r="ITS1" s="3" t="s">
        <v>6574</v>
      </c>
      <c r="ITT1" s="3" t="s">
        <v>6575</v>
      </c>
      <c r="ITU1" s="3" t="s">
        <v>6576</v>
      </c>
      <c r="ITV1" s="3" t="s">
        <v>6577</v>
      </c>
      <c r="ITW1" s="3" t="s">
        <v>6578</v>
      </c>
      <c r="ITX1" s="3" t="s">
        <v>6579</v>
      </c>
      <c r="ITY1" s="3" t="s">
        <v>6580</v>
      </c>
      <c r="ITZ1" s="3" t="s">
        <v>6581</v>
      </c>
      <c r="IUA1" s="3" t="s">
        <v>6582</v>
      </c>
      <c r="IUB1" s="3" t="s">
        <v>6583</v>
      </c>
      <c r="IUC1" s="3" t="s">
        <v>6584</v>
      </c>
      <c r="IUD1" s="3" t="s">
        <v>6585</v>
      </c>
      <c r="IUE1" s="3" t="s">
        <v>6586</v>
      </c>
      <c r="IUF1" s="3" t="s">
        <v>6587</v>
      </c>
      <c r="IUG1" s="3" t="s">
        <v>6588</v>
      </c>
      <c r="IUH1" s="3" t="s">
        <v>6589</v>
      </c>
      <c r="IUI1" s="3" t="s">
        <v>6590</v>
      </c>
      <c r="IUJ1" s="3" t="s">
        <v>6591</v>
      </c>
      <c r="IUK1" s="3" t="s">
        <v>6592</v>
      </c>
      <c r="IUL1" s="3" t="s">
        <v>6593</v>
      </c>
      <c r="IUM1" s="3" t="s">
        <v>6594</v>
      </c>
      <c r="IUN1" s="3" t="s">
        <v>6595</v>
      </c>
      <c r="IUO1" s="3" t="s">
        <v>6596</v>
      </c>
      <c r="IUP1" s="3" t="s">
        <v>6597</v>
      </c>
      <c r="IUQ1" s="3" t="s">
        <v>6598</v>
      </c>
      <c r="IUR1" s="3" t="s">
        <v>6599</v>
      </c>
      <c r="IUS1" s="3" t="s">
        <v>6600</v>
      </c>
      <c r="IUT1" s="3" t="s">
        <v>6601</v>
      </c>
      <c r="IUU1" s="3" t="s">
        <v>6602</v>
      </c>
      <c r="IUV1" s="3" t="s">
        <v>6603</v>
      </c>
      <c r="IUW1" s="3" t="s">
        <v>6604</v>
      </c>
      <c r="IUX1" s="3" t="s">
        <v>6605</v>
      </c>
      <c r="IUY1" s="3" t="s">
        <v>6606</v>
      </c>
      <c r="IUZ1" s="3" t="s">
        <v>6607</v>
      </c>
      <c r="IVA1" s="3" t="s">
        <v>6608</v>
      </c>
      <c r="IVB1" s="3" t="s">
        <v>6609</v>
      </c>
      <c r="IVC1" s="3" t="s">
        <v>6610</v>
      </c>
      <c r="IVD1" s="3" t="s">
        <v>6611</v>
      </c>
      <c r="IVE1" s="3" t="s">
        <v>6612</v>
      </c>
      <c r="IVF1" s="3" t="s">
        <v>6613</v>
      </c>
      <c r="IVG1" s="3" t="s">
        <v>6614</v>
      </c>
      <c r="IVH1" s="3" t="s">
        <v>6615</v>
      </c>
      <c r="IVI1" s="3" t="s">
        <v>6616</v>
      </c>
      <c r="IVJ1" s="3" t="s">
        <v>6617</v>
      </c>
      <c r="IVK1" s="3" t="s">
        <v>6618</v>
      </c>
      <c r="IVL1" s="3" t="s">
        <v>6619</v>
      </c>
      <c r="IVM1" s="3" t="s">
        <v>6620</v>
      </c>
      <c r="IVN1" s="3" t="s">
        <v>6621</v>
      </c>
      <c r="IVO1" s="3" t="s">
        <v>6622</v>
      </c>
      <c r="IVP1" s="3" t="s">
        <v>6623</v>
      </c>
      <c r="IVQ1" s="3" t="s">
        <v>6624</v>
      </c>
      <c r="IVR1" s="3" t="s">
        <v>6625</v>
      </c>
      <c r="IVS1" s="3" t="s">
        <v>6626</v>
      </c>
      <c r="IVT1" s="3" t="s">
        <v>6627</v>
      </c>
      <c r="IVU1" s="3" t="s">
        <v>6628</v>
      </c>
      <c r="IVV1" s="3" t="s">
        <v>6629</v>
      </c>
      <c r="IVW1" s="3" t="s">
        <v>6630</v>
      </c>
      <c r="IVX1" s="3" t="s">
        <v>6631</v>
      </c>
      <c r="IVY1" s="3" t="s">
        <v>6632</v>
      </c>
      <c r="IVZ1" s="3" t="s">
        <v>6633</v>
      </c>
      <c r="IWA1" s="3" t="s">
        <v>6634</v>
      </c>
      <c r="IWB1" s="3" t="s">
        <v>6635</v>
      </c>
      <c r="IWC1" s="3" t="s">
        <v>6636</v>
      </c>
      <c r="IWD1" s="3" t="s">
        <v>6637</v>
      </c>
      <c r="IWE1" s="3" t="s">
        <v>6638</v>
      </c>
      <c r="IWF1" s="3" t="s">
        <v>6639</v>
      </c>
      <c r="IWG1" s="3" t="s">
        <v>6640</v>
      </c>
      <c r="IWH1" s="3" t="s">
        <v>6641</v>
      </c>
      <c r="IWI1" s="3" t="s">
        <v>6642</v>
      </c>
      <c r="IWJ1" s="3" t="s">
        <v>6643</v>
      </c>
      <c r="IWK1" s="3" t="s">
        <v>6644</v>
      </c>
      <c r="IWL1" s="3" t="s">
        <v>6645</v>
      </c>
      <c r="IWM1" s="3" t="s">
        <v>6646</v>
      </c>
      <c r="IWN1" s="3" t="s">
        <v>6647</v>
      </c>
      <c r="IWO1" s="3" t="s">
        <v>6648</v>
      </c>
      <c r="IWP1" s="3" t="s">
        <v>6649</v>
      </c>
      <c r="IWQ1" s="3" t="s">
        <v>6650</v>
      </c>
      <c r="IWR1" s="3" t="s">
        <v>6651</v>
      </c>
      <c r="IWS1" s="3" t="s">
        <v>6652</v>
      </c>
      <c r="IWT1" s="3" t="s">
        <v>6653</v>
      </c>
      <c r="IWU1" s="3" t="s">
        <v>6654</v>
      </c>
      <c r="IWV1" s="3" t="s">
        <v>6655</v>
      </c>
      <c r="IWW1" s="3" t="s">
        <v>6656</v>
      </c>
      <c r="IWX1" s="3" t="s">
        <v>6657</v>
      </c>
      <c r="IWY1" s="3" t="s">
        <v>6658</v>
      </c>
      <c r="IWZ1" s="3" t="s">
        <v>6659</v>
      </c>
      <c r="IXA1" s="3" t="s">
        <v>6660</v>
      </c>
      <c r="IXB1" s="3" t="s">
        <v>6661</v>
      </c>
      <c r="IXC1" s="3" t="s">
        <v>6662</v>
      </c>
      <c r="IXD1" s="3" t="s">
        <v>6663</v>
      </c>
      <c r="IXE1" s="3" t="s">
        <v>6664</v>
      </c>
      <c r="IXF1" s="3" t="s">
        <v>6665</v>
      </c>
      <c r="IXG1" s="3" t="s">
        <v>6666</v>
      </c>
      <c r="IXH1" s="3" t="s">
        <v>6667</v>
      </c>
      <c r="IXI1" s="3" t="s">
        <v>6668</v>
      </c>
      <c r="IXJ1" s="3" t="s">
        <v>6669</v>
      </c>
      <c r="IXK1" s="3" t="s">
        <v>6670</v>
      </c>
      <c r="IXL1" s="3" t="s">
        <v>6671</v>
      </c>
      <c r="IXM1" s="3" t="s">
        <v>6672</v>
      </c>
      <c r="IXN1" s="3" t="s">
        <v>6673</v>
      </c>
      <c r="IXO1" s="3" t="s">
        <v>6674</v>
      </c>
      <c r="IXP1" s="3" t="s">
        <v>6675</v>
      </c>
      <c r="IXQ1" s="3" t="s">
        <v>6676</v>
      </c>
      <c r="IXR1" s="3" t="s">
        <v>6677</v>
      </c>
      <c r="IXS1" s="3" t="s">
        <v>6678</v>
      </c>
      <c r="IXT1" s="3" t="s">
        <v>6679</v>
      </c>
      <c r="IXU1" s="3" t="s">
        <v>6680</v>
      </c>
      <c r="IXV1" s="3" t="s">
        <v>6681</v>
      </c>
      <c r="IXW1" s="3" t="s">
        <v>6682</v>
      </c>
      <c r="IXX1" s="3" t="s">
        <v>6683</v>
      </c>
      <c r="IXY1" s="3" t="s">
        <v>6684</v>
      </c>
      <c r="IXZ1" s="3" t="s">
        <v>6685</v>
      </c>
      <c r="IYA1" s="3" t="s">
        <v>6686</v>
      </c>
      <c r="IYB1" s="3" t="s">
        <v>6687</v>
      </c>
      <c r="IYC1" s="3" t="s">
        <v>6688</v>
      </c>
      <c r="IYD1" s="3" t="s">
        <v>6689</v>
      </c>
      <c r="IYE1" s="3" t="s">
        <v>6690</v>
      </c>
      <c r="IYF1" s="3" t="s">
        <v>6691</v>
      </c>
      <c r="IYG1" s="3" t="s">
        <v>6692</v>
      </c>
      <c r="IYH1" s="3" t="s">
        <v>6693</v>
      </c>
      <c r="IYI1" s="3" t="s">
        <v>6694</v>
      </c>
      <c r="IYJ1" s="3" t="s">
        <v>6695</v>
      </c>
      <c r="IYK1" s="3" t="s">
        <v>6696</v>
      </c>
      <c r="IYL1" s="3" t="s">
        <v>6697</v>
      </c>
      <c r="IYM1" s="3" t="s">
        <v>6698</v>
      </c>
      <c r="IYN1" s="3" t="s">
        <v>6699</v>
      </c>
      <c r="IYO1" s="3" t="s">
        <v>6700</v>
      </c>
      <c r="IYP1" s="3" t="s">
        <v>6701</v>
      </c>
      <c r="IYQ1" s="3" t="s">
        <v>6702</v>
      </c>
      <c r="IYR1" s="3" t="s">
        <v>6703</v>
      </c>
      <c r="IYS1" s="3" t="s">
        <v>6704</v>
      </c>
      <c r="IYT1" s="3" t="s">
        <v>6705</v>
      </c>
      <c r="IYU1" s="3" t="s">
        <v>6706</v>
      </c>
      <c r="IYV1" s="3" t="s">
        <v>6707</v>
      </c>
      <c r="IYW1" s="3" t="s">
        <v>6708</v>
      </c>
      <c r="IYX1" s="3" t="s">
        <v>6709</v>
      </c>
      <c r="IYY1" s="3" t="s">
        <v>6710</v>
      </c>
      <c r="IYZ1" s="3" t="s">
        <v>6711</v>
      </c>
      <c r="IZA1" s="3" t="s">
        <v>6712</v>
      </c>
      <c r="IZB1" s="3" t="s">
        <v>6713</v>
      </c>
      <c r="IZC1" s="3" t="s">
        <v>6714</v>
      </c>
      <c r="IZD1" s="3" t="s">
        <v>6715</v>
      </c>
      <c r="IZE1" s="3" t="s">
        <v>6716</v>
      </c>
      <c r="IZF1" s="3" t="s">
        <v>6717</v>
      </c>
      <c r="IZG1" s="3" t="s">
        <v>6718</v>
      </c>
      <c r="IZH1" s="3" t="s">
        <v>6719</v>
      </c>
      <c r="IZI1" s="3" t="s">
        <v>6720</v>
      </c>
      <c r="IZJ1" s="3" t="s">
        <v>6721</v>
      </c>
      <c r="IZK1" s="3" t="s">
        <v>6722</v>
      </c>
      <c r="IZL1" s="3" t="s">
        <v>6723</v>
      </c>
      <c r="IZM1" s="3" t="s">
        <v>6724</v>
      </c>
      <c r="IZN1" s="3" t="s">
        <v>6725</v>
      </c>
      <c r="IZO1" s="3" t="s">
        <v>6726</v>
      </c>
      <c r="IZP1" s="3" t="s">
        <v>6727</v>
      </c>
      <c r="IZQ1" s="3" t="s">
        <v>6728</v>
      </c>
      <c r="IZR1" s="3" t="s">
        <v>6729</v>
      </c>
      <c r="IZS1" s="3" t="s">
        <v>6730</v>
      </c>
      <c r="IZT1" s="3" t="s">
        <v>6731</v>
      </c>
      <c r="IZU1" s="3" t="s">
        <v>6732</v>
      </c>
      <c r="IZV1" s="3" t="s">
        <v>6733</v>
      </c>
      <c r="IZW1" s="3" t="s">
        <v>6734</v>
      </c>
      <c r="IZX1" s="3" t="s">
        <v>6735</v>
      </c>
      <c r="IZY1" s="3" t="s">
        <v>6736</v>
      </c>
      <c r="IZZ1" s="3" t="s">
        <v>6737</v>
      </c>
      <c r="JAA1" s="3" t="s">
        <v>6738</v>
      </c>
      <c r="JAB1" s="3" t="s">
        <v>6739</v>
      </c>
      <c r="JAC1" s="3" t="s">
        <v>6740</v>
      </c>
      <c r="JAD1" s="3" t="s">
        <v>6741</v>
      </c>
      <c r="JAE1" s="3" t="s">
        <v>6742</v>
      </c>
      <c r="JAF1" s="3" t="s">
        <v>6743</v>
      </c>
      <c r="JAG1" s="3" t="s">
        <v>6744</v>
      </c>
      <c r="JAH1" s="3" t="s">
        <v>6745</v>
      </c>
      <c r="JAI1" s="3" t="s">
        <v>6746</v>
      </c>
      <c r="JAJ1" s="3" t="s">
        <v>6747</v>
      </c>
      <c r="JAK1" s="3" t="s">
        <v>6748</v>
      </c>
      <c r="JAL1" s="3" t="s">
        <v>6749</v>
      </c>
      <c r="JAM1" s="3" t="s">
        <v>6750</v>
      </c>
      <c r="JAN1" s="3" t="s">
        <v>6751</v>
      </c>
      <c r="JAO1" s="3" t="s">
        <v>6752</v>
      </c>
      <c r="JAP1" s="3" t="s">
        <v>6753</v>
      </c>
      <c r="JAQ1" s="3" t="s">
        <v>6754</v>
      </c>
      <c r="JAR1" s="3" t="s">
        <v>6755</v>
      </c>
      <c r="JAS1" s="3" t="s">
        <v>6756</v>
      </c>
      <c r="JAT1" s="3" t="s">
        <v>6757</v>
      </c>
      <c r="JAU1" s="3" t="s">
        <v>6758</v>
      </c>
      <c r="JAV1" s="3" t="s">
        <v>6759</v>
      </c>
      <c r="JAW1" s="3" t="s">
        <v>6760</v>
      </c>
      <c r="JAX1" s="3" t="s">
        <v>6761</v>
      </c>
      <c r="JAY1" s="3" t="s">
        <v>6762</v>
      </c>
      <c r="JAZ1" s="3" t="s">
        <v>6763</v>
      </c>
      <c r="JBA1" s="3" t="s">
        <v>6764</v>
      </c>
      <c r="JBB1" s="3" t="s">
        <v>6765</v>
      </c>
      <c r="JBC1" s="3" t="s">
        <v>6766</v>
      </c>
      <c r="JBD1" s="3" t="s">
        <v>6767</v>
      </c>
      <c r="JBE1" s="3" t="s">
        <v>6768</v>
      </c>
      <c r="JBF1" s="3" t="s">
        <v>6769</v>
      </c>
      <c r="JBG1" s="3" t="s">
        <v>6770</v>
      </c>
      <c r="JBH1" s="3" t="s">
        <v>6771</v>
      </c>
      <c r="JBI1" s="3" t="s">
        <v>6772</v>
      </c>
      <c r="JBJ1" s="3" t="s">
        <v>6773</v>
      </c>
      <c r="JBK1" s="3" t="s">
        <v>6774</v>
      </c>
      <c r="JBL1" s="3" t="s">
        <v>6775</v>
      </c>
      <c r="JBM1" s="3" t="s">
        <v>6776</v>
      </c>
      <c r="JBN1" s="3" t="s">
        <v>6777</v>
      </c>
      <c r="JBO1" s="3" t="s">
        <v>6778</v>
      </c>
      <c r="JBP1" s="3" t="s">
        <v>6779</v>
      </c>
      <c r="JBQ1" s="3" t="s">
        <v>6780</v>
      </c>
      <c r="JBR1" s="3" t="s">
        <v>6781</v>
      </c>
      <c r="JBS1" s="3" t="s">
        <v>6782</v>
      </c>
      <c r="JBT1" s="3" t="s">
        <v>6783</v>
      </c>
      <c r="JBU1" s="3" t="s">
        <v>6784</v>
      </c>
      <c r="JBV1" s="3" t="s">
        <v>6785</v>
      </c>
      <c r="JBW1" s="3" t="s">
        <v>6786</v>
      </c>
      <c r="JBX1" s="3" t="s">
        <v>6787</v>
      </c>
      <c r="JBY1" s="3" t="s">
        <v>6788</v>
      </c>
      <c r="JBZ1" s="3" t="s">
        <v>6789</v>
      </c>
      <c r="JCA1" s="3" t="s">
        <v>6790</v>
      </c>
      <c r="JCB1" s="3" t="s">
        <v>6791</v>
      </c>
      <c r="JCC1" s="3" t="s">
        <v>6792</v>
      </c>
      <c r="JCD1" s="3" t="s">
        <v>6793</v>
      </c>
      <c r="JCE1" s="3" t="s">
        <v>6794</v>
      </c>
      <c r="JCF1" s="3" t="s">
        <v>6795</v>
      </c>
      <c r="JCG1" s="3" t="s">
        <v>6796</v>
      </c>
      <c r="JCH1" s="3" t="s">
        <v>6797</v>
      </c>
      <c r="JCI1" s="3" t="s">
        <v>6798</v>
      </c>
      <c r="JCJ1" s="3" t="s">
        <v>6799</v>
      </c>
      <c r="JCK1" s="3" t="s">
        <v>6800</v>
      </c>
      <c r="JCL1" s="3" t="s">
        <v>6801</v>
      </c>
      <c r="JCM1" s="3" t="s">
        <v>6802</v>
      </c>
      <c r="JCN1" s="3" t="s">
        <v>6803</v>
      </c>
      <c r="JCO1" s="3" t="s">
        <v>6804</v>
      </c>
      <c r="JCP1" s="3" t="s">
        <v>6805</v>
      </c>
      <c r="JCQ1" s="3" t="s">
        <v>6806</v>
      </c>
      <c r="JCR1" s="3" t="s">
        <v>6807</v>
      </c>
      <c r="JCS1" s="3" t="s">
        <v>6808</v>
      </c>
      <c r="JCT1" s="3" t="s">
        <v>6809</v>
      </c>
      <c r="JCU1" s="3" t="s">
        <v>6810</v>
      </c>
      <c r="JCV1" s="3" t="s">
        <v>6811</v>
      </c>
      <c r="JCW1" s="3" t="s">
        <v>6812</v>
      </c>
      <c r="JCX1" s="3" t="s">
        <v>6813</v>
      </c>
      <c r="JCY1" s="3" t="s">
        <v>6814</v>
      </c>
      <c r="JCZ1" s="3" t="s">
        <v>6815</v>
      </c>
      <c r="JDA1" s="3" t="s">
        <v>6816</v>
      </c>
      <c r="JDB1" s="3" t="s">
        <v>6817</v>
      </c>
      <c r="JDC1" s="3" t="s">
        <v>6818</v>
      </c>
      <c r="JDD1" s="3" t="s">
        <v>6819</v>
      </c>
      <c r="JDE1" s="3" t="s">
        <v>6820</v>
      </c>
      <c r="JDF1" s="3" t="s">
        <v>6821</v>
      </c>
      <c r="JDG1" s="3" t="s">
        <v>6822</v>
      </c>
      <c r="JDH1" s="3" t="s">
        <v>6823</v>
      </c>
      <c r="JDI1" s="3" t="s">
        <v>6824</v>
      </c>
      <c r="JDJ1" s="3" t="s">
        <v>6825</v>
      </c>
      <c r="JDK1" s="3" t="s">
        <v>6826</v>
      </c>
      <c r="JDL1" s="3" t="s">
        <v>6827</v>
      </c>
      <c r="JDM1" s="3" t="s">
        <v>6828</v>
      </c>
      <c r="JDN1" s="3" t="s">
        <v>6829</v>
      </c>
      <c r="JDO1" s="3" t="s">
        <v>6830</v>
      </c>
      <c r="JDP1" s="3" t="s">
        <v>6831</v>
      </c>
      <c r="JDQ1" s="3" t="s">
        <v>6832</v>
      </c>
      <c r="JDR1" s="3" t="s">
        <v>6833</v>
      </c>
      <c r="JDS1" s="3" t="s">
        <v>6834</v>
      </c>
      <c r="JDT1" s="3" t="s">
        <v>6835</v>
      </c>
      <c r="JDU1" s="3" t="s">
        <v>6836</v>
      </c>
      <c r="JDV1" s="3" t="s">
        <v>6837</v>
      </c>
      <c r="JDW1" s="3" t="s">
        <v>6838</v>
      </c>
      <c r="JDX1" s="3" t="s">
        <v>6839</v>
      </c>
      <c r="JDY1" s="3" t="s">
        <v>6840</v>
      </c>
      <c r="JDZ1" s="3" t="s">
        <v>6841</v>
      </c>
      <c r="JEA1" s="3" t="s">
        <v>6842</v>
      </c>
      <c r="JEB1" s="3" t="s">
        <v>6843</v>
      </c>
      <c r="JEC1" s="3" t="s">
        <v>6844</v>
      </c>
      <c r="JED1" s="3" t="s">
        <v>6845</v>
      </c>
      <c r="JEE1" s="3" t="s">
        <v>6846</v>
      </c>
      <c r="JEF1" s="3" t="s">
        <v>6847</v>
      </c>
      <c r="JEG1" s="3" t="s">
        <v>6848</v>
      </c>
      <c r="JEH1" s="3" t="s">
        <v>6849</v>
      </c>
      <c r="JEI1" s="3" t="s">
        <v>6850</v>
      </c>
      <c r="JEJ1" s="3" t="s">
        <v>6851</v>
      </c>
      <c r="JEK1" s="3" t="s">
        <v>6852</v>
      </c>
      <c r="JEL1" s="3" t="s">
        <v>6853</v>
      </c>
      <c r="JEM1" s="3" t="s">
        <v>6854</v>
      </c>
      <c r="JEN1" s="3" t="s">
        <v>6855</v>
      </c>
      <c r="JEO1" s="3" t="s">
        <v>6856</v>
      </c>
      <c r="JEP1" s="3" t="s">
        <v>6857</v>
      </c>
      <c r="JEQ1" s="3" t="s">
        <v>6858</v>
      </c>
      <c r="JER1" s="3" t="s">
        <v>6859</v>
      </c>
      <c r="JES1" s="3" t="s">
        <v>6860</v>
      </c>
      <c r="JET1" s="3" t="s">
        <v>6861</v>
      </c>
      <c r="JEU1" s="3" t="s">
        <v>6862</v>
      </c>
      <c r="JEV1" s="3" t="s">
        <v>6863</v>
      </c>
      <c r="JEW1" s="3" t="s">
        <v>6864</v>
      </c>
      <c r="JEX1" s="3" t="s">
        <v>6865</v>
      </c>
      <c r="JEY1" s="3" t="s">
        <v>6866</v>
      </c>
      <c r="JEZ1" s="3" t="s">
        <v>6867</v>
      </c>
      <c r="JFA1" s="3" t="s">
        <v>6868</v>
      </c>
      <c r="JFB1" s="3" t="s">
        <v>6869</v>
      </c>
      <c r="JFC1" s="3" t="s">
        <v>6870</v>
      </c>
      <c r="JFD1" s="3" t="s">
        <v>6871</v>
      </c>
      <c r="JFE1" s="3" t="s">
        <v>6872</v>
      </c>
      <c r="JFF1" s="3" t="s">
        <v>6873</v>
      </c>
      <c r="JFG1" s="3" t="s">
        <v>6874</v>
      </c>
      <c r="JFH1" s="3" t="s">
        <v>6875</v>
      </c>
      <c r="JFI1" s="3" t="s">
        <v>6876</v>
      </c>
      <c r="JFJ1" s="3" t="s">
        <v>6877</v>
      </c>
      <c r="JFK1" s="3" t="s">
        <v>6878</v>
      </c>
      <c r="JFL1" s="3" t="s">
        <v>6879</v>
      </c>
      <c r="JFM1" s="3" t="s">
        <v>6880</v>
      </c>
      <c r="JFN1" s="3" t="s">
        <v>6881</v>
      </c>
      <c r="JFO1" s="3" t="s">
        <v>6882</v>
      </c>
      <c r="JFP1" s="3" t="s">
        <v>6883</v>
      </c>
      <c r="JFQ1" s="3" t="s">
        <v>6884</v>
      </c>
      <c r="JFR1" s="3" t="s">
        <v>6885</v>
      </c>
      <c r="JFS1" s="3" t="s">
        <v>6886</v>
      </c>
      <c r="JFT1" s="3" t="s">
        <v>6887</v>
      </c>
      <c r="JFU1" s="3" t="s">
        <v>6888</v>
      </c>
      <c r="JFV1" s="3" t="s">
        <v>6889</v>
      </c>
      <c r="JFW1" s="3" t="s">
        <v>6890</v>
      </c>
      <c r="JFX1" s="3" t="s">
        <v>6891</v>
      </c>
      <c r="JFY1" s="3" t="s">
        <v>6892</v>
      </c>
      <c r="JFZ1" s="3" t="s">
        <v>6893</v>
      </c>
      <c r="JGA1" s="3" t="s">
        <v>6894</v>
      </c>
      <c r="JGB1" s="3" t="s">
        <v>6895</v>
      </c>
      <c r="JGC1" s="3" t="s">
        <v>6896</v>
      </c>
      <c r="JGD1" s="3" t="s">
        <v>6897</v>
      </c>
      <c r="JGE1" s="3" t="s">
        <v>6898</v>
      </c>
      <c r="JGF1" s="3" t="s">
        <v>6899</v>
      </c>
      <c r="JGG1" s="3" t="s">
        <v>6900</v>
      </c>
      <c r="JGH1" s="3" t="s">
        <v>6901</v>
      </c>
      <c r="JGI1" s="3" t="s">
        <v>6902</v>
      </c>
      <c r="JGJ1" s="3" t="s">
        <v>6903</v>
      </c>
      <c r="JGK1" s="3" t="s">
        <v>6904</v>
      </c>
      <c r="JGL1" s="3" t="s">
        <v>6905</v>
      </c>
      <c r="JGM1" s="3" t="s">
        <v>6906</v>
      </c>
      <c r="JGN1" s="3" t="s">
        <v>6907</v>
      </c>
      <c r="JGO1" s="3" t="s">
        <v>6908</v>
      </c>
      <c r="JGP1" s="3" t="s">
        <v>6909</v>
      </c>
      <c r="JGQ1" s="3" t="s">
        <v>6910</v>
      </c>
      <c r="JGR1" s="3" t="s">
        <v>6911</v>
      </c>
      <c r="JGS1" s="3" t="s">
        <v>6912</v>
      </c>
      <c r="JGT1" s="3" t="s">
        <v>6913</v>
      </c>
      <c r="JGU1" s="3" t="s">
        <v>6914</v>
      </c>
      <c r="JGV1" s="3" t="s">
        <v>6915</v>
      </c>
      <c r="JGW1" s="3" t="s">
        <v>6916</v>
      </c>
      <c r="JGX1" s="3" t="s">
        <v>6917</v>
      </c>
      <c r="JGY1" s="3" t="s">
        <v>6918</v>
      </c>
      <c r="JGZ1" s="3" t="s">
        <v>6919</v>
      </c>
      <c r="JHA1" s="3" t="s">
        <v>6920</v>
      </c>
      <c r="JHB1" s="3" t="s">
        <v>6921</v>
      </c>
      <c r="JHC1" s="3" t="s">
        <v>6922</v>
      </c>
      <c r="JHD1" s="3" t="s">
        <v>6923</v>
      </c>
      <c r="JHE1" s="3" t="s">
        <v>6924</v>
      </c>
      <c r="JHF1" s="3" t="s">
        <v>6925</v>
      </c>
      <c r="JHG1" s="3" t="s">
        <v>6926</v>
      </c>
      <c r="JHH1" s="3" t="s">
        <v>6927</v>
      </c>
      <c r="JHI1" s="3" t="s">
        <v>6928</v>
      </c>
      <c r="JHJ1" s="3" t="s">
        <v>6929</v>
      </c>
      <c r="JHK1" s="3" t="s">
        <v>6930</v>
      </c>
      <c r="JHL1" s="3" t="s">
        <v>6931</v>
      </c>
      <c r="JHM1" s="3" t="s">
        <v>6932</v>
      </c>
      <c r="JHN1" s="3" t="s">
        <v>6933</v>
      </c>
      <c r="JHO1" s="3" t="s">
        <v>6934</v>
      </c>
      <c r="JHP1" s="3" t="s">
        <v>6935</v>
      </c>
      <c r="JHQ1" s="3" t="s">
        <v>6936</v>
      </c>
      <c r="JHR1" s="3" t="s">
        <v>6937</v>
      </c>
      <c r="JHS1" s="3" t="s">
        <v>6938</v>
      </c>
      <c r="JHT1" s="3" t="s">
        <v>6939</v>
      </c>
      <c r="JHU1" s="3" t="s">
        <v>6940</v>
      </c>
      <c r="JHV1" s="3" t="s">
        <v>6941</v>
      </c>
      <c r="JHW1" s="3" t="s">
        <v>6942</v>
      </c>
      <c r="JHX1" s="3" t="s">
        <v>6943</v>
      </c>
      <c r="JHY1" s="3" t="s">
        <v>6944</v>
      </c>
      <c r="JHZ1" s="3" t="s">
        <v>6945</v>
      </c>
      <c r="JIA1" s="3" t="s">
        <v>6946</v>
      </c>
      <c r="JIB1" s="3" t="s">
        <v>6947</v>
      </c>
      <c r="JIC1" s="3" t="s">
        <v>6948</v>
      </c>
      <c r="JID1" s="3" t="s">
        <v>6949</v>
      </c>
      <c r="JIE1" s="3" t="s">
        <v>6950</v>
      </c>
      <c r="JIF1" s="3" t="s">
        <v>6951</v>
      </c>
      <c r="JIG1" s="3" t="s">
        <v>6952</v>
      </c>
      <c r="JIH1" s="3" t="s">
        <v>6953</v>
      </c>
      <c r="JII1" s="3" t="s">
        <v>6954</v>
      </c>
      <c r="JIJ1" s="3" t="s">
        <v>6955</v>
      </c>
      <c r="JIK1" s="3" t="s">
        <v>6956</v>
      </c>
      <c r="JIL1" s="3" t="s">
        <v>6957</v>
      </c>
      <c r="JIM1" s="3" t="s">
        <v>6958</v>
      </c>
      <c r="JIN1" s="3" t="s">
        <v>6959</v>
      </c>
      <c r="JIO1" s="3" t="s">
        <v>6960</v>
      </c>
      <c r="JIP1" s="3" t="s">
        <v>6961</v>
      </c>
      <c r="JIQ1" s="3" t="s">
        <v>6962</v>
      </c>
      <c r="JIR1" s="3" t="s">
        <v>6963</v>
      </c>
      <c r="JIS1" s="3" t="s">
        <v>6964</v>
      </c>
      <c r="JIT1" s="3" t="s">
        <v>6965</v>
      </c>
      <c r="JIU1" s="3" t="s">
        <v>6966</v>
      </c>
      <c r="JIV1" s="3" t="s">
        <v>6967</v>
      </c>
      <c r="JIW1" s="3" t="s">
        <v>6968</v>
      </c>
      <c r="JIX1" s="3" t="s">
        <v>6969</v>
      </c>
      <c r="JIY1" s="3" t="s">
        <v>6970</v>
      </c>
      <c r="JIZ1" s="3" t="s">
        <v>6971</v>
      </c>
      <c r="JJA1" s="3" t="s">
        <v>6972</v>
      </c>
      <c r="JJB1" s="3" t="s">
        <v>6973</v>
      </c>
      <c r="JJC1" s="3" t="s">
        <v>6974</v>
      </c>
      <c r="JJD1" s="3" t="s">
        <v>6975</v>
      </c>
      <c r="JJE1" s="3" t="s">
        <v>6976</v>
      </c>
      <c r="JJF1" s="3" t="s">
        <v>6977</v>
      </c>
      <c r="JJG1" s="3" t="s">
        <v>6978</v>
      </c>
      <c r="JJH1" s="3" t="s">
        <v>6979</v>
      </c>
      <c r="JJI1" s="3" t="s">
        <v>6980</v>
      </c>
      <c r="JJJ1" s="3" t="s">
        <v>6981</v>
      </c>
      <c r="JJK1" s="3" t="s">
        <v>6982</v>
      </c>
      <c r="JJL1" s="3" t="s">
        <v>6983</v>
      </c>
      <c r="JJM1" s="3" t="s">
        <v>6984</v>
      </c>
      <c r="JJN1" s="3" t="s">
        <v>6985</v>
      </c>
      <c r="JJO1" s="3" t="s">
        <v>6986</v>
      </c>
      <c r="JJP1" s="3" t="s">
        <v>6987</v>
      </c>
      <c r="JJQ1" s="3" t="s">
        <v>6988</v>
      </c>
      <c r="JJR1" s="3" t="s">
        <v>6989</v>
      </c>
      <c r="JJS1" s="3" t="s">
        <v>6990</v>
      </c>
      <c r="JJT1" s="3" t="s">
        <v>6991</v>
      </c>
      <c r="JJU1" s="3" t="s">
        <v>6992</v>
      </c>
      <c r="JJV1" s="3" t="s">
        <v>6993</v>
      </c>
      <c r="JJW1" s="3" t="s">
        <v>6994</v>
      </c>
      <c r="JJX1" s="3" t="s">
        <v>6995</v>
      </c>
      <c r="JJY1" s="3" t="s">
        <v>6996</v>
      </c>
      <c r="JJZ1" s="3" t="s">
        <v>6997</v>
      </c>
      <c r="JKA1" s="3" t="s">
        <v>6998</v>
      </c>
      <c r="JKB1" s="3" t="s">
        <v>6999</v>
      </c>
      <c r="JKC1" s="3" t="s">
        <v>7000</v>
      </c>
      <c r="JKD1" s="3" t="s">
        <v>7001</v>
      </c>
      <c r="JKE1" s="3" t="s">
        <v>7002</v>
      </c>
      <c r="JKF1" s="3" t="s">
        <v>7003</v>
      </c>
      <c r="JKG1" s="3" t="s">
        <v>7004</v>
      </c>
      <c r="JKH1" s="3" t="s">
        <v>7005</v>
      </c>
      <c r="JKI1" s="3" t="s">
        <v>7006</v>
      </c>
      <c r="JKJ1" s="3" t="s">
        <v>7007</v>
      </c>
      <c r="JKK1" s="3" t="s">
        <v>7008</v>
      </c>
      <c r="JKL1" s="3" t="s">
        <v>7009</v>
      </c>
      <c r="JKM1" s="3" t="s">
        <v>7010</v>
      </c>
      <c r="JKN1" s="3" t="s">
        <v>7011</v>
      </c>
      <c r="JKO1" s="3" t="s">
        <v>7012</v>
      </c>
      <c r="JKP1" s="3" t="s">
        <v>7013</v>
      </c>
      <c r="JKQ1" s="3" t="s">
        <v>7014</v>
      </c>
      <c r="JKR1" s="3" t="s">
        <v>7015</v>
      </c>
      <c r="JKS1" s="3" t="s">
        <v>7016</v>
      </c>
      <c r="JKT1" s="3" t="s">
        <v>7017</v>
      </c>
      <c r="JKU1" s="3" t="s">
        <v>7018</v>
      </c>
      <c r="JKV1" s="3" t="s">
        <v>7019</v>
      </c>
      <c r="JKW1" s="3" t="s">
        <v>7020</v>
      </c>
      <c r="JKX1" s="3" t="s">
        <v>7021</v>
      </c>
      <c r="JKY1" s="3" t="s">
        <v>7022</v>
      </c>
      <c r="JKZ1" s="3" t="s">
        <v>7023</v>
      </c>
      <c r="JLA1" s="3" t="s">
        <v>7024</v>
      </c>
      <c r="JLB1" s="3" t="s">
        <v>7025</v>
      </c>
      <c r="JLC1" s="3" t="s">
        <v>7026</v>
      </c>
      <c r="JLD1" s="3" t="s">
        <v>7027</v>
      </c>
      <c r="JLE1" s="3" t="s">
        <v>7028</v>
      </c>
      <c r="JLF1" s="3" t="s">
        <v>7029</v>
      </c>
      <c r="JLG1" s="3" t="s">
        <v>7030</v>
      </c>
      <c r="JLH1" s="3" t="s">
        <v>7031</v>
      </c>
      <c r="JLI1" s="3" t="s">
        <v>7032</v>
      </c>
      <c r="JLJ1" s="3" t="s">
        <v>7033</v>
      </c>
      <c r="JLK1" s="3" t="s">
        <v>7034</v>
      </c>
      <c r="JLL1" s="3" t="s">
        <v>7035</v>
      </c>
      <c r="JLM1" s="3" t="s">
        <v>7036</v>
      </c>
      <c r="JLN1" s="3" t="s">
        <v>7037</v>
      </c>
      <c r="JLO1" s="3" t="s">
        <v>7038</v>
      </c>
      <c r="JLP1" s="3" t="s">
        <v>7039</v>
      </c>
      <c r="JLQ1" s="3" t="s">
        <v>7040</v>
      </c>
      <c r="JLR1" s="3" t="s">
        <v>7041</v>
      </c>
      <c r="JLS1" s="3" t="s">
        <v>7042</v>
      </c>
      <c r="JLT1" s="3" t="s">
        <v>7043</v>
      </c>
      <c r="JLU1" s="3" t="s">
        <v>7044</v>
      </c>
      <c r="JLV1" s="3" t="s">
        <v>7045</v>
      </c>
      <c r="JLW1" s="3" t="s">
        <v>7046</v>
      </c>
      <c r="JLX1" s="3" t="s">
        <v>7047</v>
      </c>
      <c r="JLY1" s="3" t="s">
        <v>7048</v>
      </c>
      <c r="JLZ1" s="3" t="s">
        <v>7049</v>
      </c>
      <c r="JMA1" s="3" t="s">
        <v>7050</v>
      </c>
      <c r="JMB1" s="3" t="s">
        <v>7051</v>
      </c>
      <c r="JMC1" s="3" t="s">
        <v>7052</v>
      </c>
      <c r="JMD1" s="3" t="s">
        <v>7053</v>
      </c>
      <c r="JME1" s="3" t="s">
        <v>7054</v>
      </c>
      <c r="JMF1" s="3" t="s">
        <v>7055</v>
      </c>
      <c r="JMG1" s="3" t="s">
        <v>7056</v>
      </c>
      <c r="JMH1" s="3" t="s">
        <v>7057</v>
      </c>
      <c r="JMI1" s="3" t="s">
        <v>7058</v>
      </c>
      <c r="JMJ1" s="3" t="s">
        <v>7059</v>
      </c>
      <c r="JMK1" s="3" t="s">
        <v>7060</v>
      </c>
      <c r="JML1" s="3" t="s">
        <v>7061</v>
      </c>
      <c r="JMM1" s="3" t="s">
        <v>7062</v>
      </c>
      <c r="JMN1" s="3" t="s">
        <v>7063</v>
      </c>
      <c r="JMO1" s="3" t="s">
        <v>7064</v>
      </c>
      <c r="JMP1" s="3" t="s">
        <v>7065</v>
      </c>
      <c r="JMQ1" s="3" t="s">
        <v>7066</v>
      </c>
      <c r="JMR1" s="3" t="s">
        <v>7067</v>
      </c>
      <c r="JMS1" s="3" t="s">
        <v>7068</v>
      </c>
      <c r="JMT1" s="3" t="s">
        <v>7069</v>
      </c>
      <c r="JMU1" s="3" t="s">
        <v>7070</v>
      </c>
      <c r="JMV1" s="3" t="s">
        <v>7071</v>
      </c>
      <c r="JMW1" s="3" t="s">
        <v>7072</v>
      </c>
      <c r="JMX1" s="3" t="s">
        <v>7073</v>
      </c>
      <c r="JMY1" s="3" t="s">
        <v>7074</v>
      </c>
      <c r="JMZ1" s="3" t="s">
        <v>7075</v>
      </c>
      <c r="JNA1" s="3" t="s">
        <v>7076</v>
      </c>
      <c r="JNB1" s="3" t="s">
        <v>7077</v>
      </c>
      <c r="JNC1" s="3" t="s">
        <v>7078</v>
      </c>
      <c r="JND1" s="3" t="s">
        <v>7079</v>
      </c>
      <c r="JNE1" s="3" t="s">
        <v>7080</v>
      </c>
      <c r="JNF1" s="3" t="s">
        <v>7081</v>
      </c>
      <c r="JNG1" s="3" t="s">
        <v>7082</v>
      </c>
      <c r="JNH1" s="3" t="s">
        <v>7083</v>
      </c>
      <c r="JNI1" s="3" t="s">
        <v>7084</v>
      </c>
      <c r="JNJ1" s="3" t="s">
        <v>7085</v>
      </c>
      <c r="JNK1" s="3" t="s">
        <v>7086</v>
      </c>
      <c r="JNL1" s="3" t="s">
        <v>7087</v>
      </c>
      <c r="JNM1" s="3" t="s">
        <v>7088</v>
      </c>
      <c r="JNN1" s="3" t="s">
        <v>7089</v>
      </c>
      <c r="JNO1" s="3" t="s">
        <v>7090</v>
      </c>
      <c r="JNP1" s="3" t="s">
        <v>7091</v>
      </c>
      <c r="JNQ1" s="3" t="s">
        <v>7092</v>
      </c>
      <c r="JNR1" s="3" t="s">
        <v>7093</v>
      </c>
      <c r="JNS1" s="3" t="s">
        <v>7094</v>
      </c>
      <c r="JNT1" s="3" t="s">
        <v>7095</v>
      </c>
      <c r="JNU1" s="3" t="s">
        <v>7096</v>
      </c>
      <c r="JNV1" s="3" t="s">
        <v>7097</v>
      </c>
      <c r="JNW1" s="3" t="s">
        <v>7098</v>
      </c>
      <c r="JNX1" s="3" t="s">
        <v>7099</v>
      </c>
      <c r="JNY1" s="3" t="s">
        <v>7100</v>
      </c>
      <c r="JNZ1" s="3" t="s">
        <v>7101</v>
      </c>
      <c r="JOA1" s="3" t="s">
        <v>7102</v>
      </c>
      <c r="JOB1" s="3" t="s">
        <v>7103</v>
      </c>
      <c r="JOC1" s="3" t="s">
        <v>7104</v>
      </c>
      <c r="JOD1" s="3" t="s">
        <v>7105</v>
      </c>
      <c r="JOE1" s="3" t="s">
        <v>7106</v>
      </c>
      <c r="JOF1" s="3" t="s">
        <v>7107</v>
      </c>
      <c r="JOG1" s="3" t="s">
        <v>7108</v>
      </c>
      <c r="JOH1" s="3" t="s">
        <v>7109</v>
      </c>
      <c r="JOI1" s="3" t="s">
        <v>7110</v>
      </c>
      <c r="JOJ1" s="3" t="s">
        <v>7111</v>
      </c>
      <c r="JOK1" s="3" t="s">
        <v>7112</v>
      </c>
      <c r="JOL1" s="3" t="s">
        <v>7113</v>
      </c>
      <c r="JOM1" s="3" t="s">
        <v>7114</v>
      </c>
      <c r="JON1" s="3" t="s">
        <v>7115</v>
      </c>
      <c r="JOO1" s="3" t="s">
        <v>7116</v>
      </c>
      <c r="JOP1" s="3" t="s">
        <v>7117</v>
      </c>
      <c r="JOQ1" s="3" t="s">
        <v>7118</v>
      </c>
      <c r="JOR1" s="3" t="s">
        <v>7119</v>
      </c>
      <c r="JOS1" s="3" t="s">
        <v>7120</v>
      </c>
      <c r="JOT1" s="3" t="s">
        <v>7121</v>
      </c>
      <c r="JOU1" s="3" t="s">
        <v>7122</v>
      </c>
      <c r="JOV1" s="3" t="s">
        <v>7123</v>
      </c>
      <c r="JOW1" s="3" t="s">
        <v>7124</v>
      </c>
      <c r="JOX1" s="3" t="s">
        <v>7125</v>
      </c>
      <c r="JOY1" s="3" t="s">
        <v>7126</v>
      </c>
      <c r="JOZ1" s="3" t="s">
        <v>7127</v>
      </c>
      <c r="JPA1" s="3" t="s">
        <v>7128</v>
      </c>
      <c r="JPB1" s="3" t="s">
        <v>7129</v>
      </c>
      <c r="JPC1" s="3" t="s">
        <v>7130</v>
      </c>
      <c r="JPD1" s="3" t="s">
        <v>7131</v>
      </c>
      <c r="JPE1" s="3" t="s">
        <v>7132</v>
      </c>
      <c r="JPF1" s="3" t="s">
        <v>7133</v>
      </c>
      <c r="JPG1" s="3" t="s">
        <v>7134</v>
      </c>
      <c r="JPH1" s="3" t="s">
        <v>7135</v>
      </c>
      <c r="JPI1" s="3" t="s">
        <v>7136</v>
      </c>
      <c r="JPJ1" s="3" t="s">
        <v>7137</v>
      </c>
      <c r="JPK1" s="3" t="s">
        <v>7138</v>
      </c>
      <c r="JPL1" s="3" t="s">
        <v>7139</v>
      </c>
      <c r="JPM1" s="3" t="s">
        <v>7140</v>
      </c>
      <c r="JPN1" s="3" t="s">
        <v>7141</v>
      </c>
      <c r="JPO1" s="3" t="s">
        <v>7142</v>
      </c>
      <c r="JPP1" s="3" t="s">
        <v>7143</v>
      </c>
      <c r="JPQ1" s="3" t="s">
        <v>7144</v>
      </c>
      <c r="JPR1" s="3" t="s">
        <v>7145</v>
      </c>
      <c r="JPS1" s="3" t="s">
        <v>7146</v>
      </c>
      <c r="JPT1" s="3" t="s">
        <v>7147</v>
      </c>
      <c r="JPU1" s="3" t="s">
        <v>7148</v>
      </c>
      <c r="JPV1" s="3" t="s">
        <v>7149</v>
      </c>
      <c r="JPW1" s="3" t="s">
        <v>7150</v>
      </c>
      <c r="JPX1" s="3" t="s">
        <v>7151</v>
      </c>
      <c r="JPY1" s="3" t="s">
        <v>7152</v>
      </c>
      <c r="JPZ1" s="3" t="s">
        <v>7153</v>
      </c>
      <c r="JQA1" s="3" t="s">
        <v>7154</v>
      </c>
      <c r="JQB1" s="3" t="s">
        <v>7155</v>
      </c>
      <c r="JQC1" s="3" t="s">
        <v>7156</v>
      </c>
      <c r="JQD1" s="3" t="s">
        <v>7157</v>
      </c>
      <c r="JQE1" s="3" t="s">
        <v>7158</v>
      </c>
      <c r="JQF1" s="3" t="s">
        <v>7159</v>
      </c>
      <c r="JQG1" s="3" t="s">
        <v>7160</v>
      </c>
      <c r="JQH1" s="3" t="s">
        <v>7161</v>
      </c>
      <c r="JQI1" s="3" t="s">
        <v>7162</v>
      </c>
      <c r="JQJ1" s="3" t="s">
        <v>7163</v>
      </c>
      <c r="JQK1" s="3" t="s">
        <v>7164</v>
      </c>
      <c r="JQL1" s="3" t="s">
        <v>7165</v>
      </c>
      <c r="JQM1" s="3" t="s">
        <v>7166</v>
      </c>
      <c r="JQN1" s="3" t="s">
        <v>7167</v>
      </c>
      <c r="JQO1" s="3" t="s">
        <v>7168</v>
      </c>
      <c r="JQP1" s="3" t="s">
        <v>7169</v>
      </c>
      <c r="JQQ1" s="3" t="s">
        <v>7170</v>
      </c>
      <c r="JQR1" s="3" t="s">
        <v>7171</v>
      </c>
      <c r="JQS1" s="3" t="s">
        <v>7172</v>
      </c>
      <c r="JQT1" s="3" t="s">
        <v>7173</v>
      </c>
      <c r="JQU1" s="3" t="s">
        <v>7174</v>
      </c>
      <c r="JQV1" s="3" t="s">
        <v>7175</v>
      </c>
      <c r="JQW1" s="3" t="s">
        <v>7176</v>
      </c>
      <c r="JQX1" s="3" t="s">
        <v>7177</v>
      </c>
      <c r="JQY1" s="3" t="s">
        <v>7178</v>
      </c>
      <c r="JQZ1" s="3" t="s">
        <v>7179</v>
      </c>
      <c r="JRA1" s="3" t="s">
        <v>7180</v>
      </c>
      <c r="JRB1" s="3" t="s">
        <v>7181</v>
      </c>
      <c r="JRC1" s="3" t="s">
        <v>7182</v>
      </c>
      <c r="JRD1" s="3" t="s">
        <v>7183</v>
      </c>
      <c r="JRE1" s="3" t="s">
        <v>7184</v>
      </c>
      <c r="JRF1" s="3" t="s">
        <v>7185</v>
      </c>
      <c r="JRG1" s="3" t="s">
        <v>7186</v>
      </c>
      <c r="JRH1" s="3" t="s">
        <v>7187</v>
      </c>
      <c r="JRI1" s="3" t="s">
        <v>7188</v>
      </c>
      <c r="JRJ1" s="3" t="s">
        <v>7189</v>
      </c>
      <c r="JRK1" s="3" t="s">
        <v>7190</v>
      </c>
      <c r="JRL1" s="3" t="s">
        <v>7191</v>
      </c>
      <c r="JRM1" s="3" t="s">
        <v>7192</v>
      </c>
      <c r="JRN1" s="3" t="s">
        <v>7193</v>
      </c>
      <c r="JRO1" s="3" t="s">
        <v>7194</v>
      </c>
      <c r="JRP1" s="3" t="s">
        <v>7195</v>
      </c>
      <c r="JRQ1" s="3" t="s">
        <v>7196</v>
      </c>
      <c r="JRR1" s="3" t="s">
        <v>7197</v>
      </c>
      <c r="JRS1" s="3" t="s">
        <v>7198</v>
      </c>
      <c r="JRT1" s="3" t="s">
        <v>7199</v>
      </c>
      <c r="JRU1" s="3" t="s">
        <v>7200</v>
      </c>
      <c r="JRV1" s="3" t="s">
        <v>7201</v>
      </c>
      <c r="JRW1" s="3" t="s">
        <v>7202</v>
      </c>
      <c r="JRX1" s="3" t="s">
        <v>7203</v>
      </c>
      <c r="JRY1" s="3" t="s">
        <v>7204</v>
      </c>
      <c r="JRZ1" s="3" t="s">
        <v>7205</v>
      </c>
      <c r="JSA1" s="3" t="s">
        <v>7206</v>
      </c>
      <c r="JSB1" s="3" t="s">
        <v>7207</v>
      </c>
      <c r="JSC1" s="3" t="s">
        <v>7208</v>
      </c>
      <c r="JSD1" s="3" t="s">
        <v>7209</v>
      </c>
      <c r="JSE1" s="3" t="s">
        <v>7210</v>
      </c>
      <c r="JSF1" s="3" t="s">
        <v>7211</v>
      </c>
      <c r="JSG1" s="3" t="s">
        <v>7212</v>
      </c>
      <c r="JSH1" s="3" t="s">
        <v>7213</v>
      </c>
      <c r="JSI1" s="3" t="s">
        <v>7214</v>
      </c>
      <c r="JSJ1" s="3" t="s">
        <v>7215</v>
      </c>
      <c r="JSK1" s="3" t="s">
        <v>7216</v>
      </c>
      <c r="JSL1" s="3" t="s">
        <v>7217</v>
      </c>
      <c r="JSM1" s="3" t="s">
        <v>7218</v>
      </c>
      <c r="JSN1" s="3" t="s">
        <v>7219</v>
      </c>
      <c r="JSO1" s="3" t="s">
        <v>7220</v>
      </c>
      <c r="JSP1" s="3" t="s">
        <v>7221</v>
      </c>
      <c r="JSQ1" s="3" t="s">
        <v>7222</v>
      </c>
      <c r="JSR1" s="3" t="s">
        <v>7223</v>
      </c>
      <c r="JSS1" s="3" t="s">
        <v>7224</v>
      </c>
      <c r="JST1" s="3" t="s">
        <v>7225</v>
      </c>
      <c r="JSU1" s="3" t="s">
        <v>7226</v>
      </c>
      <c r="JSV1" s="3" t="s">
        <v>7227</v>
      </c>
      <c r="JSW1" s="3" t="s">
        <v>7228</v>
      </c>
      <c r="JSX1" s="3" t="s">
        <v>7229</v>
      </c>
      <c r="JSY1" s="3" t="s">
        <v>7230</v>
      </c>
      <c r="JSZ1" s="3" t="s">
        <v>7231</v>
      </c>
      <c r="JTA1" s="3" t="s">
        <v>7232</v>
      </c>
      <c r="JTB1" s="3" t="s">
        <v>7233</v>
      </c>
      <c r="JTC1" s="3" t="s">
        <v>7234</v>
      </c>
      <c r="JTD1" s="3" t="s">
        <v>7235</v>
      </c>
      <c r="JTE1" s="3" t="s">
        <v>7236</v>
      </c>
      <c r="JTF1" s="3" t="s">
        <v>7237</v>
      </c>
      <c r="JTG1" s="3" t="s">
        <v>7238</v>
      </c>
      <c r="JTH1" s="3" t="s">
        <v>7239</v>
      </c>
      <c r="JTI1" s="3" t="s">
        <v>7240</v>
      </c>
      <c r="JTJ1" s="3" t="s">
        <v>7241</v>
      </c>
      <c r="JTK1" s="3" t="s">
        <v>7242</v>
      </c>
      <c r="JTL1" s="3" t="s">
        <v>7243</v>
      </c>
      <c r="JTM1" s="3" t="s">
        <v>7244</v>
      </c>
      <c r="JTN1" s="3" t="s">
        <v>7245</v>
      </c>
      <c r="JTO1" s="3" t="s">
        <v>7246</v>
      </c>
      <c r="JTP1" s="3" t="s">
        <v>7247</v>
      </c>
      <c r="JTQ1" s="3" t="s">
        <v>7248</v>
      </c>
      <c r="JTR1" s="3" t="s">
        <v>7249</v>
      </c>
      <c r="JTS1" s="3" t="s">
        <v>7250</v>
      </c>
      <c r="JTT1" s="3" t="s">
        <v>7251</v>
      </c>
      <c r="JTU1" s="3" t="s">
        <v>7252</v>
      </c>
      <c r="JTV1" s="3" t="s">
        <v>7253</v>
      </c>
      <c r="JTW1" s="3" t="s">
        <v>7254</v>
      </c>
      <c r="JTX1" s="3" t="s">
        <v>7255</v>
      </c>
      <c r="JTY1" s="3" t="s">
        <v>7256</v>
      </c>
      <c r="JTZ1" s="3" t="s">
        <v>7257</v>
      </c>
      <c r="JUA1" s="3" t="s">
        <v>7258</v>
      </c>
      <c r="JUB1" s="3" t="s">
        <v>7259</v>
      </c>
      <c r="JUC1" s="3" t="s">
        <v>7260</v>
      </c>
      <c r="JUD1" s="3" t="s">
        <v>7261</v>
      </c>
      <c r="JUE1" s="3" t="s">
        <v>7262</v>
      </c>
      <c r="JUF1" s="3" t="s">
        <v>7263</v>
      </c>
      <c r="JUG1" s="3" t="s">
        <v>7264</v>
      </c>
      <c r="JUH1" s="3" t="s">
        <v>7265</v>
      </c>
      <c r="JUI1" s="3" t="s">
        <v>7266</v>
      </c>
      <c r="JUJ1" s="3" t="s">
        <v>7267</v>
      </c>
      <c r="JUK1" s="3" t="s">
        <v>7268</v>
      </c>
      <c r="JUL1" s="3" t="s">
        <v>7269</v>
      </c>
      <c r="JUM1" s="3" t="s">
        <v>7270</v>
      </c>
      <c r="JUN1" s="3" t="s">
        <v>7271</v>
      </c>
      <c r="JUO1" s="3" t="s">
        <v>7272</v>
      </c>
      <c r="JUP1" s="3" t="s">
        <v>7273</v>
      </c>
      <c r="JUQ1" s="3" t="s">
        <v>7274</v>
      </c>
      <c r="JUR1" s="3" t="s">
        <v>7275</v>
      </c>
      <c r="JUS1" s="3" t="s">
        <v>7276</v>
      </c>
      <c r="JUT1" s="3" t="s">
        <v>7277</v>
      </c>
      <c r="JUU1" s="3" t="s">
        <v>7278</v>
      </c>
      <c r="JUV1" s="3" t="s">
        <v>7279</v>
      </c>
      <c r="JUW1" s="3" t="s">
        <v>7280</v>
      </c>
      <c r="JUX1" s="3" t="s">
        <v>7281</v>
      </c>
      <c r="JUY1" s="3" t="s">
        <v>7282</v>
      </c>
      <c r="JUZ1" s="3" t="s">
        <v>7283</v>
      </c>
      <c r="JVA1" s="3" t="s">
        <v>7284</v>
      </c>
      <c r="JVB1" s="3" t="s">
        <v>7285</v>
      </c>
      <c r="JVC1" s="3" t="s">
        <v>7286</v>
      </c>
      <c r="JVD1" s="3" t="s">
        <v>7287</v>
      </c>
      <c r="JVE1" s="3" t="s">
        <v>7288</v>
      </c>
      <c r="JVF1" s="3" t="s">
        <v>7289</v>
      </c>
      <c r="JVG1" s="3" t="s">
        <v>7290</v>
      </c>
      <c r="JVH1" s="3" t="s">
        <v>7291</v>
      </c>
      <c r="JVI1" s="3" t="s">
        <v>7292</v>
      </c>
      <c r="JVJ1" s="3" t="s">
        <v>7293</v>
      </c>
      <c r="JVK1" s="3" t="s">
        <v>7294</v>
      </c>
      <c r="JVL1" s="3" t="s">
        <v>7295</v>
      </c>
      <c r="JVM1" s="3" t="s">
        <v>7296</v>
      </c>
      <c r="JVN1" s="3" t="s">
        <v>7297</v>
      </c>
      <c r="JVO1" s="3" t="s">
        <v>7298</v>
      </c>
      <c r="JVP1" s="3" t="s">
        <v>7299</v>
      </c>
      <c r="JVQ1" s="3" t="s">
        <v>7300</v>
      </c>
      <c r="JVR1" s="3" t="s">
        <v>7301</v>
      </c>
      <c r="JVS1" s="3" t="s">
        <v>7302</v>
      </c>
      <c r="JVT1" s="3" t="s">
        <v>7303</v>
      </c>
      <c r="JVU1" s="3" t="s">
        <v>7304</v>
      </c>
      <c r="JVV1" s="3" t="s">
        <v>7305</v>
      </c>
      <c r="JVW1" s="3" t="s">
        <v>7306</v>
      </c>
      <c r="JVX1" s="3" t="s">
        <v>7307</v>
      </c>
      <c r="JVY1" s="3" t="s">
        <v>7308</v>
      </c>
      <c r="JVZ1" s="3" t="s">
        <v>7309</v>
      </c>
      <c r="JWA1" s="3" t="s">
        <v>7310</v>
      </c>
      <c r="JWB1" s="3" t="s">
        <v>7311</v>
      </c>
      <c r="JWC1" s="3" t="s">
        <v>7312</v>
      </c>
      <c r="JWD1" s="3" t="s">
        <v>7313</v>
      </c>
      <c r="JWE1" s="3" t="s">
        <v>7314</v>
      </c>
      <c r="JWF1" s="3" t="s">
        <v>7315</v>
      </c>
      <c r="JWG1" s="3" t="s">
        <v>7316</v>
      </c>
      <c r="JWH1" s="3" t="s">
        <v>7317</v>
      </c>
      <c r="JWI1" s="3" t="s">
        <v>7318</v>
      </c>
      <c r="JWJ1" s="3" t="s">
        <v>7319</v>
      </c>
      <c r="JWK1" s="3" t="s">
        <v>7320</v>
      </c>
      <c r="JWL1" s="3" t="s">
        <v>7321</v>
      </c>
      <c r="JWM1" s="3" t="s">
        <v>7322</v>
      </c>
      <c r="JWN1" s="3" t="s">
        <v>7323</v>
      </c>
      <c r="JWO1" s="3" t="s">
        <v>7324</v>
      </c>
      <c r="JWP1" s="3" t="s">
        <v>7325</v>
      </c>
      <c r="JWQ1" s="3" t="s">
        <v>7326</v>
      </c>
      <c r="JWR1" s="3" t="s">
        <v>7327</v>
      </c>
      <c r="JWS1" s="3" t="s">
        <v>7328</v>
      </c>
      <c r="JWT1" s="3" t="s">
        <v>7329</v>
      </c>
      <c r="JWU1" s="3" t="s">
        <v>7330</v>
      </c>
      <c r="JWV1" s="3" t="s">
        <v>7331</v>
      </c>
      <c r="JWW1" s="3" t="s">
        <v>7332</v>
      </c>
      <c r="JWX1" s="3" t="s">
        <v>7333</v>
      </c>
      <c r="JWY1" s="3" t="s">
        <v>7334</v>
      </c>
      <c r="JWZ1" s="3" t="s">
        <v>7335</v>
      </c>
      <c r="JXA1" s="3" t="s">
        <v>7336</v>
      </c>
      <c r="JXB1" s="3" t="s">
        <v>7337</v>
      </c>
      <c r="JXC1" s="3" t="s">
        <v>7338</v>
      </c>
      <c r="JXD1" s="3" t="s">
        <v>7339</v>
      </c>
      <c r="JXE1" s="3" t="s">
        <v>7340</v>
      </c>
      <c r="JXF1" s="3" t="s">
        <v>7341</v>
      </c>
      <c r="JXG1" s="3" t="s">
        <v>7342</v>
      </c>
      <c r="JXH1" s="3" t="s">
        <v>7343</v>
      </c>
      <c r="JXI1" s="3" t="s">
        <v>7344</v>
      </c>
      <c r="JXJ1" s="3" t="s">
        <v>7345</v>
      </c>
      <c r="JXK1" s="3" t="s">
        <v>7346</v>
      </c>
      <c r="JXL1" s="3" t="s">
        <v>7347</v>
      </c>
      <c r="JXM1" s="3" t="s">
        <v>7348</v>
      </c>
      <c r="JXN1" s="3" t="s">
        <v>7349</v>
      </c>
      <c r="JXO1" s="3" t="s">
        <v>7350</v>
      </c>
      <c r="JXP1" s="3" t="s">
        <v>7351</v>
      </c>
      <c r="JXQ1" s="3" t="s">
        <v>7352</v>
      </c>
      <c r="JXR1" s="3" t="s">
        <v>7353</v>
      </c>
      <c r="JXS1" s="3" t="s">
        <v>7354</v>
      </c>
      <c r="JXT1" s="3" t="s">
        <v>7355</v>
      </c>
      <c r="JXU1" s="3" t="s">
        <v>7356</v>
      </c>
      <c r="JXV1" s="3" t="s">
        <v>7357</v>
      </c>
      <c r="JXW1" s="3" t="s">
        <v>7358</v>
      </c>
      <c r="JXX1" s="3" t="s">
        <v>7359</v>
      </c>
      <c r="JXY1" s="3" t="s">
        <v>7360</v>
      </c>
      <c r="JXZ1" s="3" t="s">
        <v>7361</v>
      </c>
      <c r="JYA1" s="3" t="s">
        <v>7362</v>
      </c>
      <c r="JYB1" s="3" t="s">
        <v>7363</v>
      </c>
      <c r="JYC1" s="3" t="s">
        <v>7364</v>
      </c>
      <c r="JYD1" s="3" t="s">
        <v>7365</v>
      </c>
      <c r="JYE1" s="3" t="s">
        <v>7366</v>
      </c>
      <c r="JYF1" s="3" t="s">
        <v>7367</v>
      </c>
      <c r="JYG1" s="3" t="s">
        <v>7368</v>
      </c>
      <c r="JYH1" s="3" t="s">
        <v>7369</v>
      </c>
      <c r="JYI1" s="3" t="s">
        <v>7370</v>
      </c>
      <c r="JYJ1" s="3" t="s">
        <v>7371</v>
      </c>
      <c r="JYK1" s="3" t="s">
        <v>7372</v>
      </c>
      <c r="JYL1" s="3" t="s">
        <v>7373</v>
      </c>
      <c r="JYM1" s="3" t="s">
        <v>7374</v>
      </c>
      <c r="JYN1" s="3" t="s">
        <v>7375</v>
      </c>
      <c r="JYO1" s="3" t="s">
        <v>7376</v>
      </c>
      <c r="JYP1" s="3" t="s">
        <v>7377</v>
      </c>
      <c r="JYQ1" s="3" t="s">
        <v>7378</v>
      </c>
      <c r="JYR1" s="3" t="s">
        <v>7379</v>
      </c>
      <c r="JYS1" s="3" t="s">
        <v>7380</v>
      </c>
      <c r="JYT1" s="3" t="s">
        <v>7381</v>
      </c>
      <c r="JYU1" s="3" t="s">
        <v>7382</v>
      </c>
      <c r="JYV1" s="3" t="s">
        <v>7383</v>
      </c>
      <c r="JYW1" s="3" t="s">
        <v>7384</v>
      </c>
      <c r="JYX1" s="3" t="s">
        <v>7385</v>
      </c>
      <c r="JYY1" s="3" t="s">
        <v>7386</v>
      </c>
      <c r="JYZ1" s="3" t="s">
        <v>7387</v>
      </c>
      <c r="JZA1" s="3" t="s">
        <v>7388</v>
      </c>
      <c r="JZB1" s="3" t="s">
        <v>7389</v>
      </c>
      <c r="JZC1" s="3" t="s">
        <v>7390</v>
      </c>
      <c r="JZD1" s="3" t="s">
        <v>7391</v>
      </c>
      <c r="JZE1" s="3" t="s">
        <v>7392</v>
      </c>
      <c r="JZF1" s="3" t="s">
        <v>7393</v>
      </c>
      <c r="JZG1" s="3" t="s">
        <v>7394</v>
      </c>
      <c r="JZH1" s="3" t="s">
        <v>7395</v>
      </c>
      <c r="JZI1" s="3" t="s">
        <v>7396</v>
      </c>
      <c r="JZJ1" s="3" t="s">
        <v>7397</v>
      </c>
      <c r="JZK1" s="3" t="s">
        <v>7398</v>
      </c>
      <c r="JZL1" s="3" t="s">
        <v>7399</v>
      </c>
      <c r="JZM1" s="3" t="s">
        <v>7400</v>
      </c>
      <c r="JZN1" s="3" t="s">
        <v>7401</v>
      </c>
      <c r="JZO1" s="3" t="s">
        <v>7402</v>
      </c>
      <c r="JZP1" s="3" t="s">
        <v>7403</v>
      </c>
      <c r="JZQ1" s="3" t="s">
        <v>7404</v>
      </c>
      <c r="JZR1" s="3" t="s">
        <v>7405</v>
      </c>
      <c r="JZS1" s="3" t="s">
        <v>7406</v>
      </c>
      <c r="JZT1" s="3" t="s">
        <v>7407</v>
      </c>
      <c r="JZU1" s="3" t="s">
        <v>7408</v>
      </c>
      <c r="JZV1" s="3" t="s">
        <v>7409</v>
      </c>
      <c r="JZW1" s="3" t="s">
        <v>7410</v>
      </c>
      <c r="JZX1" s="3" t="s">
        <v>7411</v>
      </c>
      <c r="JZY1" s="3" t="s">
        <v>7412</v>
      </c>
      <c r="JZZ1" s="3" t="s">
        <v>7413</v>
      </c>
      <c r="KAA1" s="3" t="s">
        <v>7414</v>
      </c>
      <c r="KAB1" s="3" t="s">
        <v>7415</v>
      </c>
      <c r="KAC1" s="3" t="s">
        <v>7416</v>
      </c>
      <c r="KAD1" s="3" t="s">
        <v>7417</v>
      </c>
      <c r="KAE1" s="3" t="s">
        <v>7418</v>
      </c>
      <c r="KAF1" s="3" t="s">
        <v>7419</v>
      </c>
      <c r="KAG1" s="3" t="s">
        <v>7420</v>
      </c>
      <c r="KAH1" s="3" t="s">
        <v>7421</v>
      </c>
      <c r="KAI1" s="3" t="s">
        <v>7422</v>
      </c>
      <c r="KAJ1" s="3" t="s">
        <v>7423</v>
      </c>
      <c r="KAK1" s="3" t="s">
        <v>7424</v>
      </c>
      <c r="KAL1" s="3" t="s">
        <v>7425</v>
      </c>
      <c r="KAM1" s="3" t="s">
        <v>7426</v>
      </c>
      <c r="KAN1" s="3" t="s">
        <v>7427</v>
      </c>
      <c r="KAO1" s="3" t="s">
        <v>7428</v>
      </c>
      <c r="KAP1" s="3" t="s">
        <v>7429</v>
      </c>
      <c r="KAQ1" s="3" t="s">
        <v>7430</v>
      </c>
      <c r="KAR1" s="3" t="s">
        <v>7431</v>
      </c>
      <c r="KAS1" s="3" t="s">
        <v>7432</v>
      </c>
      <c r="KAT1" s="3" t="s">
        <v>7433</v>
      </c>
      <c r="KAU1" s="3" t="s">
        <v>7434</v>
      </c>
      <c r="KAV1" s="3" t="s">
        <v>7435</v>
      </c>
      <c r="KAW1" s="3" t="s">
        <v>7436</v>
      </c>
      <c r="KAX1" s="3" t="s">
        <v>7437</v>
      </c>
      <c r="KAY1" s="3" t="s">
        <v>7438</v>
      </c>
      <c r="KAZ1" s="3" t="s">
        <v>7439</v>
      </c>
      <c r="KBA1" s="3" t="s">
        <v>7440</v>
      </c>
      <c r="KBB1" s="3" t="s">
        <v>7441</v>
      </c>
      <c r="KBC1" s="3" t="s">
        <v>7442</v>
      </c>
      <c r="KBD1" s="3" t="s">
        <v>7443</v>
      </c>
      <c r="KBE1" s="3" t="s">
        <v>7444</v>
      </c>
      <c r="KBF1" s="3" t="s">
        <v>7445</v>
      </c>
      <c r="KBG1" s="3" t="s">
        <v>7446</v>
      </c>
      <c r="KBH1" s="3" t="s">
        <v>7447</v>
      </c>
      <c r="KBI1" s="3" t="s">
        <v>7448</v>
      </c>
      <c r="KBJ1" s="3" t="s">
        <v>7449</v>
      </c>
      <c r="KBK1" s="3" t="s">
        <v>7450</v>
      </c>
      <c r="KBL1" s="3" t="s">
        <v>7451</v>
      </c>
      <c r="KBM1" s="3" t="s">
        <v>7452</v>
      </c>
      <c r="KBN1" s="3" t="s">
        <v>7453</v>
      </c>
      <c r="KBO1" s="3" t="s">
        <v>7454</v>
      </c>
      <c r="KBP1" s="3" t="s">
        <v>7455</v>
      </c>
      <c r="KBQ1" s="3" t="s">
        <v>7456</v>
      </c>
      <c r="KBR1" s="3" t="s">
        <v>7457</v>
      </c>
      <c r="KBS1" s="3" t="s">
        <v>7458</v>
      </c>
      <c r="KBT1" s="3" t="s">
        <v>7459</v>
      </c>
      <c r="KBU1" s="3" t="s">
        <v>7460</v>
      </c>
      <c r="KBV1" s="3" t="s">
        <v>7461</v>
      </c>
      <c r="KBW1" s="3" t="s">
        <v>7462</v>
      </c>
      <c r="KBX1" s="3" t="s">
        <v>7463</v>
      </c>
      <c r="KBY1" s="3" t="s">
        <v>7464</v>
      </c>
      <c r="KBZ1" s="3" t="s">
        <v>7465</v>
      </c>
      <c r="KCA1" s="3" t="s">
        <v>7466</v>
      </c>
      <c r="KCB1" s="3" t="s">
        <v>7467</v>
      </c>
      <c r="KCC1" s="3" t="s">
        <v>7468</v>
      </c>
      <c r="KCD1" s="3" t="s">
        <v>7469</v>
      </c>
      <c r="KCE1" s="3" t="s">
        <v>7470</v>
      </c>
      <c r="KCF1" s="3" t="s">
        <v>7471</v>
      </c>
      <c r="KCG1" s="3" t="s">
        <v>7472</v>
      </c>
      <c r="KCH1" s="3" t="s">
        <v>7473</v>
      </c>
      <c r="KCI1" s="3" t="s">
        <v>7474</v>
      </c>
      <c r="KCJ1" s="3" t="s">
        <v>7475</v>
      </c>
      <c r="KCK1" s="3" t="s">
        <v>7476</v>
      </c>
      <c r="KCL1" s="3" t="s">
        <v>7477</v>
      </c>
      <c r="KCM1" s="3" t="s">
        <v>7478</v>
      </c>
      <c r="KCN1" s="3" t="s">
        <v>7479</v>
      </c>
      <c r="KCO1" s="3" t="s">
        <v>7480</v>
      </c>
      <c r="KCP1" s="3" t="s">
        <v>7481</v>
      </c>
      <c r="KCQ1" s="3" t="s">
        <v>7482</v>
      </c>
      <c r="KCR1" s="3" t="s">
        <v>7483</v>
      </c>
      <c r="KCS1" s="3" t="s">
        <v>7484</v>
      </c>
      <c r="KCT1" s="3" t="s">
        <v>7485</v>
      </c>
      <c r="KCU1" s="3" t="s">
        <v>7486</v>
      </c>
      <c r="KCV1" s="3" t="s">
        <v>7487</v>
      </c>
      <c r="KCW1" s="3" t="s">
        <v>7488</v>
      </c>
      <c r="KCX1" s="3" t="s">
        <v>7489</v>
      </c>
      <c r="KCY1" s="3" t="s">
        <v>7490</v>
      </c>
      <c r="KCZ1" s="3" t="s">
        <v>7491</v>
      </c>
      <c r="KDA1" s="3" t="s">
        <v>7492</v>
      </c>
      <c r="KDB1" s="3" t="s">
        <v>7493</v>
      </c>
      <c r="KDC1" s="3" t="s">
        <v>7494</v>
      </c>
      <c r="KDD1" s="3" t="s">
        <v>7495</v>
      </c>
      <c r="KDE1" s="3" t="s">
        <v>7496</v>
      </c>
      <c r="KDF1" s="3" t="s">
        <v>7497</v>
      </c>
      <c r="KDG1" s="3" t="s">
        <v>7498</v>
      </c>
      <c r="KDH1" s="3" t="s">
        <v>7499</v>
      </c>
      <c r="KDI1" s="3" t="s">
        <v>7500</v>
      </c>
      <c r="KDJ1" s="3" t="s">
        <v>7501</v>
      </c>
      <c r="KDK1" s="3" t="s">
        <v>7502</v>
      </c>
      <c r="KDL1" s="3" t="s">
        <v>7503</v>
      </c>
      <c r="KDM1" s="3" t="s">
        <v>7504</v>
      </c>
      <c r="KDN1" s="3" t="s">
        <v>7505</v>
      </c>
      <c r="KDO1" s="3" t="s">
        <v>7506</v>
      </c>
      <c r="KDP1" s="3" t="s">
        <v>7507</v>
      </c>
      <c r="KDQ1" s="3" t="s">
        <v>7508</v>
      </c>
      <c r="KDR1" s="3" t="s">
        <v>7509</v>
      </c>
      <c r="KDS1" s="3" t="s">
        <v>7510</v>
      </c>
      <c r="KDT1" s="3" t="s">
        <v>7511</v>
      </c>
      <c r="KDU1" s="3" t="s">
        <v>7512</v>
      </c>
      <c r="KDV1" s="3" t="s">
        <v>7513</v>
      </c>
      <c r="KDW1" s="3" t="s">
        <v>7514</v>
      </c>
      <c r="KDX1" s="3" t="s">
        <v>7515</v>
      </c>
      <c r="KDY1" s="3" t="s">
        <v>7516</v>
      </c>
      <c r="KDZ1" s="3" t="s">
        <v>7517</v>
      </c>
      <c r="KEA1" s="3" t="s">
        <v>7518</v>
      </c>
      <c r="KEB1" s="3" t="s">
        <v>7519</v>
      </c>
      <c r="KEC1" s="3" t="s">
        <v>7520</v>
      </c>
      <c r="KED1" s="3" t="s">
        <v>7521</v>
      </c>
      <c r="KEE1" s="3" t="s">
        <v>7522</v>
      </c>
      <c r="KEF1" s="3" t="s">
        <v>7523</v>
      </c>
      <c r="KEG1" s="3" t="s">
        <v>7524</v>
      </c>
      <c r="KEH1" s="3" t="s">
        <v>7525</v>
      </c>
      <c r="KEI1" s="3" t="s">
        <v>7526</v>
      </c>
      <c r="KEJ1" s="3" t="s">
        <v>7527</v>
      </c>
      <c r="KEK1" s="3" t="s">
        <v>7528</v>
      </c>
      <c r="KEL1" s="3" t="s">
        <v>7529</v>
      </c>
      <c r="KEM1" s="3" t="s">
        <v>7530</v>
      </c>
      <c r="KEN1" s="3" t="s">
        <v>7531</v>
      </c>
      <c r="KEO1" s="3" t="s">
        <v>7532</v>
      </c>
      <c r="KEP1" s="3" t="s">
        <v>7533</v>
      </c>
      <c r="KEQ1" s="3" t="s">
        <v>7534</v>
      </c>
      <c r="KER1" s="3" t="s">
        <v>7535</v>
      </c>
      <c r="KES1" s="3" t="s">
        <v>7536</v>
      </c>
      <c r="KET1" s="3" t="s">
        <v>7537</v>
      </c>
      <c r="KEU1" s="3" t="s">
        <v>7538</v>
      </c>
      <c r="KEV1" s="3" t="s">
        <v>7539</v>
      </c>
      <c r="KEW1" s="3" t="s">
        <v>7540</v>
      </c>
      <c r="KEX1" s="3" t="s">
        <v>7541</v>
      </c>
      <c r="KEY1" s="3" t="s">
        <v>7542</v>
      </c>
      <c r="KEZ1" s="3" t="s">
        <v>7543</v>
      </c>
      <c r="KFA1" s="3" t="s">
        <v>7544</v>
      </c>
      <c r="KFB1" s="3" t="s">
        <v>7545</v>
      </c>
      <c r="KFC1" s="3" t="s">
        <v>7546</v>
      </c>
      <c r="KFD1" s="3" t="s">
        <v>7547</v>
      </c>
      <c r="KFE1" s="3" t="s">
        <v>7552</v>
      </c>
      <c r="KFF1" s="3" t="s">
        <v>7553</v>
      </c>
      <c r="KFG1" s="3" t="s">
        <v>7554</v>
      </c>
      <c r="KFH1" s="3" t="s">
        <v>7555</v>
      </c>
      <c r="KFI1" s="3" t="s">
        <v>7556</v>
      </c>
      <c r="KFJ1" s="3" t="s">
        <v>7557</v>
      </c>
      <c r="KFK1" s="3" t="s">
        <v>7558</v>
      </c>
      <c r="KFL1" s="3" t="s">
        <v>7559</v>
      </c>
      <c r="KFM1" s="3" t="s">
        <v>7560</v>
      </c>
      <c r="KFN1" s="3" t="s">
        <v>7561</v>
      </c>
      <c r="KFO1" s="3" t="s">
        <v>7562</v>
      </c>
      <c r="KFP1" s="3" t="s">
        <v>7563</v>
      </c>
      <c r="KFQ1" s="3" t="s">
        <v>7564</v>
      </c>
      <c r="KFR1" s="3" t="s">
        <v>7565</v>
      </c>
      <c r="KFS1" s="3" t="s">
        <v>7566</v>
      </c>
      <c r="KFT1" s="3" t="s">
        <v>7567</v>
      </c>
      <c r="KFU1" s="3" t="s">
        <v>7568</v>
      </c>
      <c r="KFV1" s="3" t="s">
        <v>7569</v>
      </c>
      <c r="KFW1" s="3" t="s">
        <v>7570</v>
      </c>
      <c r="KFX1" s="3" t="s">
        <v>7571</v>
      </c>
      <c r="KFY1" s="3" t="s">
        <v>7572</v>
      </c>
      <c r="KFZ1" s="3" t="s">
        <v>7573</v>
      </c>
      <c r="KGA1" s="3" t="s">
        <v>7574</v>
      </c>
      <c r="KGB1" s="3" t="s">
        <v>7575</v>
      </c>
      <c r="KGC1" s="3" t="s">
        <v>7576</v>
      </c>
      <c r="KGD1" s="3" t="s">
        <v>7577</v>
      </c>
      <c r="KGE1" s="3" t="s">
        <v>7578</v>
      </c>
      <c r="KGF1" s="3" t="s">
        <v>7579</v>
      </c>
      <c r="KGG1" s="3" t="s">
        <v>7580</v>
      </c>
      <c r="KGH1" s="3" t="s">
        <v>7581</v>
      </c>
      <c r="KGI1" s="3" t="s">
        <v>7582</v>
      </c>
      <c r="KGJ1" s="3" t="s">
        <v>7583</v>
      </c>
      <c r="KGK1" s="3" t="s">
        <v>7584</v>
      </c>
      <c r="KGL1" s="3" t="s">
        <v>7585</v>
      </c>
      <c r="KGM1" s="3" t="s">
        <v>7586</v>
      </c>
      <c r="KGN1" s="3" t="s">
        <v>7587</v>
      </c>
      <c r="KGO1" s="3" t="s">
        <v>7588</v>
      </c>
      <c r="KGP1" s="3" t="s">
        <v>7589</v>
      </c>
      <c r="KGQ1" s="3" t="s">
        <v>7590</v>
      </c>
      <c r="KGR1" s="3" t="s">
        <v>7591</v>
      </c>
      <c r="KGS1" s="3" t="s">
        <v>7596</v>
      </c>
      <c r="KGT1" s="3" t="s">
        <v>7597</v>
      </c>
      <c r="KGU1" s="1">
        <v>1</v>
      </c>
      <c r="KGV1">
        <v>2</v>
      </c>
      <c r="KGW1">
        <v>3</v>
      </c>
      <c r="KGX1">
        <v>4</v>
      </c>
      <c r="KGY1">
        <v>5</v>
      </c>
      <c r="KGZ1">
        <v>6</v>
      </c>
      <c r="KHA1">
        <v>7</v>
      </c>
      <c r="KHB1">
        <v>8</v>
      </c>
      <c r="KHC1">
        <v>9</v>
      </c>
      <c r="KHD1">
        <v>10</v>
      </c>
      <c r="KHE1">
        <v>11</v>
      </c>
      <c r="KHF1">
        <v>12</v>
      </c>
      <c r="KHG1">
        <v>13</v>
      </c>
      <c r="KHH1">
        <v>14</v>
      </c>
      <c r="KHI1">
        <v>15</v>
      </c>
      <c r="KHJ1">
        <v>16</v>
      </c>
      <c r="KHK1">
        <v>17</v>
      </c>
      <c r="KHL1">
        <v>18</v>
      </c>
      <c r="KHM1">
        <v>19</v>
      </c>
      <c r="KHN1">
        <v>20</v>
      </c>
      <c r="KHO1">
        <v>21</v>
      </c>
      <c r="KHP1">
        <v>22</v>
      </c>
      <c r="KHQ1">
        <v>23</v>
      </c>
      <c r="KHR1">
        <v>24</v>
      </c>
      <c r="KHS1">
        <v>25</v>
      </c>
      <c r="KHT1">
        <v>26</v>
      </c>
      <c r="KHU1">
        <v>27</v>
      </c>
      <c r="KHV1">
        <v>28</v>
      </c>
      <c r="KHW1">
        <v>29</v>
      </c>
      <c r="KHX1">
        <v>30</v>
      </c>
      <c r="KHY1">
        <v>31</v>
      </c>
      <c r="KHZ1">
        <v>32</v>
      </c>
      <c r="KIA1">
        <v>33</v>
      </c>
      <c r="KIB1">
        <v>34</v>
      </c>
      <c r="KIC1">
        <v>35</v>
      </c>
      <c r="KID1">
        <v>36</v>
      </c>
      <c r="KIE1">
        <v>37</v>
      </c>
      <c r="KIF1">
        <v>38</v>
      </c>
      <c r="KIG1">
        <v>39</v>
      </c>
      <c r="KIH1">
        <v>40</v>
      </c>
      <c r="KII1">
        <v>41</v>
      </c>
      <c r="KIJ1">
        <v>42</v>
      </c>
      <c r="KIK1">
        <v>43</v>
      </c>
      <c r="KIL1">
        <v>44</v>
      </c>
      <c r="KIM1">
        <v>45</v>
      </c>
      <c r="KIN1">
        <v>46</v>
      </c>
      <c r="KIO1">
        <v>47</v>
      </c>
      <c r="KIP1">
        <v>48</v>
      </c>
      <c r="KIQ1">
        <v>49</v>
      </c>
      <c r="KIR1">
        <v>50</v>
      </c>
      <c r="KIS1">
        <v>51</v>
      </c>
      <c r="KIT1">
        <v>52</v>
      </c>
      <c r="KIU1">
        <v>53</v>
      </c>
      <c r="KIV1">
        <v>54</v>
      </c>
      <c r="KIW1">
        <v>55</v>
      </c>
      <c r="KIX1">
        <v>56</v>
      </c>
      <c r="KIY1">
        <v>57</v>
      </c>
      <c r="KIZ1">
        <v>58</v>
      </c>
      <c r="KJA1">
        <v>59</v>
      </c>
      <c r="KJB1">
        <v>60</v>
      </c>
      <c r="KJC1">
        <v>61</v>
      </c>
      <c r="KJD1">
        <v>62</v>
      </c>
      <c r="KJE1">
        <v>63</v>
      </c>
      <c r="KJF1">
        <v>64</v>
      </c>
      <c r="KJG1">
        <v>65</v>
      </c>
      <c r="KJH1">
        <v>66</v>
      </c>
      <c r="KJI1">
        <v>67</v>
      </c>
      <c r="KJJ1">
        <v>68</v>
      </c>
      <c r="KJK1">
        <v>69</v>
      </c>
      <c r="KJL1">
        <v>70</v>
      </c>
      <c r="KJM1">
        <v>71</v>
      </c>
      <c r="KJN1">
        <v>72</v>
      </c>
      <c r="KJO1">
        <v>73</v>
      </c>
      <c r="KJP1">
        <v>74</v>
      </c>
      <c r="KJQ1">
        <v>75</v>
      </c>
      <c r="KJR1">
        <v>76</v>
      </c>
      <c r="KJS1">
        <v>77</v>
      </c>
      <c r="KJT1">
        <v>78</v>
      </c>
      <c r="KJU1">
        <v>79</v>
      </c>
      <c r="KJV1">
        <v>80</v>
      </c>
      <c r="KJW1">
        <v>81</v>
      </c>
      <c r="KJX1">
        <v>82</v>
      </c>
      <c r="KJY1">
        <v>83</v>
      </c>
      <c r="KJZ1">
        <v>84</v>
      </c>
      <c r="KKA1">
        <v>85</v>
      </c>
      <c r="KKB1">
        <v>86</v>
      </c>
      <c r="KKC1">
        <v>87</v>
      </c>
      <c r="KKD1">
        <v>88</v>
      </c>
      <c r="KKE1">
        <v>89</v>
      </c>
      <c r="KKF1">
        <v>90</v>
      </c>
      <c r="KKG1">
        <v>91</v>
      </c>
      <c r="KKH1">
        <v>92</v>
      </c>
      <c r="KKI1">
        <v>93</v>
      </c>
      <c r="KKJ1">
        <v>94</v>
      </c>
      <c r="KKK1">
        <v>95</v>
      </c>
      <c r="KKL1">
        <v>96</v>
      </c>
      <c r="KKM1">
        <v>97</v>
      </c>
      <c r="KKN1">
        <v>98</v>
      </c>
      <c r="KKO1">
        <v>99</v>
      </c>
      <c r="KKP1">
        <v>100</v>
      </c>
      <c r="KKQ1">
        <v>101</v>
      </c>
      <c r="KKR1" t="s">
        <v>7548</v>
      </c>
      <c r="KKS1" t="s">
        <v>7592</v>
      </c>
      <c r="KKT1" t="s">
        <v>7551</v>
      </c>
      <c r="KKU1" t="s">
        <v>7549</v>
      </c>
      <c r="KKV1" t="s">
        <v>7550</v>
      </c>
      <c r="KKW1" t="s">
        <v>7551</v>
      </c>
    </row>
    <row r="2" spans="1:7745">
      <c r="A2" t="s">
        <v>1</v>
      </c>
      <c r="B2">
        <v>7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APG2">
        <v>2</v>
      </c>
      <c r="APH2">
        <v>2</v>
      </c>
      <c r="API2">
        <v>2</v>
      </c>
      <c r="APJ2">
        <v>2</v>
      </c>
      <c r="APK2">
        <v>2</v>
      </c>
      <c r="APL2">
        <v>2</v>
      </c>
      <c r="APM2">
        <v>2</v>
      </c>
      <c r="APN2">
        <v>2</v>
      </c>
      <c r="APO2">
        <v>2</v>
      </c>
      <c r="APP2">
        <v>2</v>
      </c>
      <c r="APQ2">
        <v>2</v>
      </c>
      <c r="APR2">
        <v>2</v>
      </c>
      <c r="APS2">
        <v>2</v>
      </c>
      <c r="APT2">
        <v>2</v>
      </c>
      <c r="APU2">
        <v>2</v>
      </c>
      <c r="APV2">
        <v>2</v>
      </c>
      <c r="APW2">
        <v>2</v>
      </c>
      <c r="APX2">
        <v>2</v>
      </c>
      <c r="APY2">
        <v>2</v>
      </c>
      <c r="APZ2">
        <v>2</v>
      </c>
      <c r="AQA2">
        <v>2</v>
      </c>
      <c r="AQB2">
        <v>2</v>
      </c>
      <c r="AQC2">
        <v>2</v>
      </c>
      <c r="AQD2">
        <v>2</v>
      </c>
      <c r="AQE2">
        <v>2</v>
      </c>
      <c r="AQF2">
        <v>2</v>
      </c>
      <c r="AQG2">
        <v>2</v>
      </c>
      <c r="AQH2">
        <v>2</v>
      </c>
      <c r="AQI2">
        <v>2</v>
      </c>
      <c r="AQJ2">
        <v>2</v>
      </c>
      <c r="AQK2">
        <v>2</v>
      </c>
      <c r="AQL2">
        <v>2</v>
      </c>
      <c r="AQM2">
        <v>2</v>
      </c>
      <c r="AQN2">
        <v>2</v>
      </c>
      <c r="AQO2">
        <v>2</v>
      </c>
      <c r="AQP2">
        <v>2</v>
      </c>
      <c r="AQQ2">
        <v>2</v>
      </c>
      <c r="AQR2">
        <v>2</v>
      </c>
      <c r="AQS2">
        <v>2</v>
      </c>
      <c r="AQT2">
        <v>2</v>
      </c>
      <c r="AQU2">
        <v>2</v>
      </c>
      <c r="AQV2">
        <v>2</v>
      </c>
      <c r="AQW2">
        <v>2</v>
      </c>
      <c r="AQX2">
        <v>2</v>
      </c>
      <c r="AQY2">
        <v>2</v>
      </c>
      <c r="AQZ2">
        <v>2</v>
      </c>
      <c r="ARA2">
        <v>2</v>
      </c>
      <c r="ARB2">
        <v>2</v>
      </c>
      <c r="ARC2">
        <v>2</v>
      </c>
      <c r="ARD2">
        <v>2</v>
      </c>
      <c r="ARE2">
        <v>2</v>
      </c>
      <c r="ARF2">
        <v>2</v>
      </c>
      <c r="ARG2">
        <v>2</v>
      </c>
      <c r="ARH2">
        <v>2</v>
      </c>
      <c r="ARI2">
        <v>2</v>
      </c>
      <c r="ARJ2">
        <v>2</v>
      </c>
      <c r="ARK2">
        <v>2</v>
      </c>
      <c r="ARL2">
        <v>2</v>
      </c>
      <c r="ARM2">
        <v>2</v>
      </c>
      <c r="ARN2">
        <v>2</v>
      </c>
      <c r="ARO2">
        <v>2</v>
      </c>
      <c r="ARP2">
        <v>2</v>
      </c>
      <c r="ARQ2">
        <v>2</v>
      </c>
      <c r="ARR2">
        <v>2</v>
      </c>
      <c r="ARS2">
        <v>2</v>
      </c>
      <c r="ART2">
        <v>2</v>
      </c>
      <c r="ARU2">
        <v>2</v>
      </c>
      <c r="ARV2">
        <v>2</v>
      </c>
      <c r="ARW2">
        <v>2</v>
      </c>
      <c r="ARX2">
        <v>2</v>
      </c>
      <c r="ARY2">
        <v>2</v>
      </c>
      <c r="ARZ2">
        <v>2</v>
      </c>
      <c r="ASA2">
        <v>2</v>
      </c>
      <c r="ASB2">
        <v>2</v>
      </c>
      <c r="ASC2">
        <v>2</v>
      </c>
      <c r="ASD2">
        <v>2</v>
      </c>
      <c r="ASE2">
        <v>2</v>
      </c>
      <c r="ASF2">
        <v>2</v>
      </c>
      <c r="ASG2">
        <v>2</v>
      </c>
      <c r="ASH2">
        <v>2</v>
      </c>
      <c r="ASI2">
        <v>2</v>
      </c>
      <c r="ASJ2">
        <v>2</v>
      </c>
      <c r="ASK2">
        <v>2</v>
      </c>
      <c r="ASL2">
        <v>2</v>
      </c>
      <c r="ASM2">
        <v>2</v>
      </c>
      <c r="ASN2">
        <v>2</v>
      </c>
      <c r="ASO2">
        <v>2</v>
      </c>
      <c r="ASP2">
        <v>2</v>
      </c>
      <c r="ASQ2">
        <v>2</v>
      </c>
      <c r="ASR2">
        <v>2</v>
      </c>
      <c r="ASS2">
        <v>2</v>
      </c>
      <c r="AST2">
        <v>2</v>
      </c>
      <c r="ASU2">
        <v>2</v>
      </c>
      <c r="ASV2">
        <v>2</v>
      </c>
      <c r="ASW2">
        <v>2</v>
      </c>
      <c r="ASX2">
        <v>2</v>
      </c>
      <c r="ASY2">
        <v>2</v>
      </c>
      <c r="ASZ2">
        <v>2</v>
      </c>
      <c r="ATA2">
        <v>2</v>
      </c>
      <c r="ATB2">
        <v>2</v>
      </c>
      <c r="ATC2">
        <v>2</v>
      </c>
      <c r="ATD2">
        <v>2</v>
      </c>
      <c r="ATE2">
        <v>2</v>
      </c>
      <c r="ATF2">
        <v>2</v>
      </c>
      <c r="ATG2">
        <v>2</v>
      </c>
      <c r="ATH2">
        <v>2</v>
      </c>
      <c r="ATI2">
        <v>2</v>
      </c>
      <c r="ATJ2">
        <v>2</v>
      </c>
      <c r="ATK2">
        <v>2</v>
      </c>
      <c r="ATL2">
        <v>2</v>
      </c>
      <c r="ATM2">
        <v>2</v>
      </c>
      <c r="ATN2">
        <v>2</v>
      </c>
      <c r="ATO2">
        <v>2</v>
      </c>
      <c r="ATP2">
        <v>2</v>
      </c>
      <c r="ATQ2">
        <v>2</v>
      </c>
      <c r="ATR2">
        <v>2</v>
      </c>
      <c r="ATS2">
        <v>2</v>
      </c>
      <c r="ATT2">
        <v>2</v>
      </c>
      <c r="ATU2">
        <v>2</v>
      </c>
      <c r="ATV2">
        <v>2</v>
      </c>
      <c r="ATW2">
        <v>2</v>
      </c>
      <c r="ATX2">
        <v>2</v>
      </c>
      <c r="ATY2">
        <v>2</v>
      </c>
      <c r="ATZ2">
        <v>2</v>
      </c>
      <c r="AUA2">
        <v>2</v>
      </c>
      <c r="AUB2">
        <v>2</v>
      </c>
      <c r="AUC2">
        <v>2</v>
      </c>
      <c r="AUD2">
        <v>2</v>
      </c>
      <c r="AUE2">
        <v>2</v>
      </c>
      <c r="AUF2">
        <v>2</v>
      </c>
      <c r="AUG2">
        <v>2</v>
      </c>
      <c r="AUH2">
        <v>2</v>
      </c>
      <c r="AUI2">
        <v>2</v>
      </c>
      <c r="AUJ2">
        <v>2</v>
      </c>
      <c r="AUK2">
        <v>2</v>
      </c>
      <c r="AUL2">
        <v>2</v>
      </c>
      <c r="AUM2">
        <v>2</v>
      </c>
      <c r="AUN2">
        <v>2</v>
      </c>
      <c r="AUO2">
        <v>2</v>
      </c>
      <c r="AUP2">
        <v>2</v>
      </c>
      <c r="AUQ2">
        <v>2</v>
      </c>
      <c r="AUR2">
        <v>2</v>
      </c>
      <c r="AUS2">
        <v>2</v>
      </c>
      <c r="AUT2">
        <v>2</v>
      </c>
      <c r="AUU2">
        <v>2</v>
      </c>
      <c r="AUV2">
        <v>2</v>
      </c>
      <c r="AUW2">
        <v>2</v>
      </c>
      <c r="AUX2">
        <v>2</v>
      </c>
      <c r="AUY2">
        <v>2</v>
      </c>
      <c r="AUZ2">
        <v>2</v>
      </c>
      <c r="AVA2">
        <v>2</v>
      </c>
      <c r="AVB2">
        <v>2</v>
      </c>
      <c r="AVC2">
        <v>2</v>
      </c>
      <c r="AVD2">
        <v>2</v>
      </c>
      <c r="AVE2">
        <v>2</v>
      </c>
      <c r="AVF2">
        <v>2</v>
      </c>
      <c r="AVG2">
        <v>2</v>
      </c>
      <c r="AVH2">
        <v>2</v>
      </c>
      <c r="AVI2">
        <v>2</v>
      </c>
      <c r="AVJ2">
        <v>2</v>
      </c>
      <c r="AVK2">
        <v>2</v>
      </c>
      <c r="AVL2">
        <v>2</v>
      </c>
      <c r="AVM2">
        <v>2</v>
      </c>
      <c r="AVN2">
        <v>2</v>
      </c>
      <c r="AVO2">
        <v>2</v>
      </c>
      <c r="AVP2">
        <v>2</v>
      </c>
      <c r="AVQ2">
        <v>2</v>
      </c>
      <c r="AVR2">
        <v>2</v>
      </c>
      <c r="AVS2">
        <v>2</v>
      </c>
      <c r="AVT2">
        <v>2</v>
      </c>
      <c r="AVU2">
        <v>2</v>
      </c>
      <c r="AVV2">
        <v>2</v>
      </c>
      <c r="AVW2">
        <v>2</v>
      </c>
      <c r="AVX2">
        <v>2</v>
      </c>
      <c r="AVY2">
        <v>2</v>
      </c>
      <c r="AVZ2">
        <v>2</v>
      </c>
      <c r="AWA2">
        <v>2</v>
      </c>
      <c r="AWB2">
        <v>2</v>
      </c>
      <c r="AWC2">
        <v>2</v>
      </c>
      <c r="AWD2">
        <v>2</v>
      </c>
      <c r="AWE2">
        <v>2</v>
      </c>
      <c r="AWF2">
        <v>2</v>
      </c>
      <c r="AWG2">
        <v>2</v>
      </c>
      <c r="AWH2">
        <v>2</v>
      </c>
      <c r="AWI2">
        <v>2</v>
      </c>
      <c r="AWJ2">
        <v>2</v>
      </c>
      <c r="AWK2">
        <v>2</v>
      </c>
      <c r="AWL2">
        <v>2</v>
      </c>
      <c r="AWM2">
        <v>2</v>
      </c>
      <c r="AWN2">
        <v>2</v>
      </c>
      <c r="AWO2">
        <v>2</v>
      </c>
      <c r="AWP2">
        <v>2</v>
      </c>
      <c r="AWQ2">
        <v>2</v>
      </c>
      <c r="AWR2">
        <v>2</v>
      </c>
      <c r="AWS2">
        <v>2</v>
      </c>
      <c r="AWT2">
        <v>2</v>
      </c>
      <c r="AWU2">
        <v>2</v>
      </c>
      <c r="AWV2">
        <v>2</v>
      </c>
      <c r="AWW2">
        <v>2</v>
      </c>
      <c r="AWX2">
        <v>2</v>
      </c>
      <c r="AWY2">
        <v>2</v>
      </c>
      <c r="AWZ2">
        <v>2</v>
      </c>
      <c r="AXA2">
        <v>2</v>
      </c>
      <c r="AXB2">
        <v>2</v>
      </c>
      <c r="AXC2">
        <v>2</v>
      </c>
      <c r="AXD2">
        <v>2</v>
      </c>
      <c r="AXE2">
        <v>2</v>
      </c>
      <c r="AXF2">
        <v>2</v>
      </c>
      <c r="AXG2">
        <v>2</v>
      </c>
      <c r="AXH2">
        <v>2</v>
      </c>
      <c r="AXI2">
        <v>2</v>
      </c>
      <c r="AXJ2">
        <v>2</v>
      </c>
      <c r="AXK2">
        <v>2</v>
      </c>
      <c r="AXL2">
        <v>2</v>
      </c>
      <c r="AXM2">
        <v>2</v>
      </c>
      <c r="AXN2">
        <v>2</v>
      </c>
      <c r="AXO2">
        <v>2</v>
      </c>
      <c r="AXP2">
        <v>2</v>
      </c>
      <c r="AXQ2">
        <v>2</v>
      </c>
      <c r="AXR2">
        <v>2</v>
      </c>
      <c r="AXS2">
        <v>2</v>
      </c>
      <c r="AXT2">
        <v>2</v>
      </c>
      <c r="AXU2">
        <v>2</v>
      </c>
      <c r="AXV2">
        <v>2</v>
      </c>
      <c r="AXW2">
        <v>2</v>
      </c>
      <c r="AXX2">
        <v>2</v>
      </c>
      <c r="AXY2">
        <v>2</v>
      </c>
      <c r="AXZ2">
        <v>2</v>
      </c>
      <c r="AYA2">
        <v>2</v>
      </c>
      <c r="AYB2">
        <v>2</v>
      </c>
      <c r="AYC2">
        <v>2</v>
      </c>
      <c r="AYD2">
        <v>2</v>
      </c>
      <c r="AYE2">
        <v>2</v>
      </c>
      <c r="AYF2">
        <v>2</v>
      </c>
      <c r="AYG2">
        <v>2</v>
      </c>
      <c r="AYH2">
        <v>2</v>
      </c>
      <c r="AYI2">
        <v>2</v>
      </c>
      <c r="AYJ2">
        <v>2</v>
      </c>
      <c r="AYK2">
        <v>2</v>
      </c>
      <c r="AYL2">
        <v>2</v>
      </c>
      <c r="AYM2">
        <v>2</v>
      </c>
      <c r="AYN2">
        <v>2</v>
      </c>
      <c r="AYO2">
        <v>2</v>
      </c>
      <c r="AYP2">
        <v>2</v>
      </c>
      <c r="AYQ2">
        <v>2</v>
      </c>
      <c r="AYR2">
        <v>2</v>
      </c>
      <c r="AYS2">
        <v>2</v>
      </c>
      <c r="AYT2">
        <v>2</v>
      </c>
      <c r="AYU2">
        <v>2</v>
      </c>
      <c r="AYV2">
        <v>2</v>
      </c>
      <c r="AYW2">
        <v>2</v>
      </c>
      <c r="AYX2">
        <v>2</v>
      </c>
      <c r="AYY2">
        <v>2</v>
      </c>
      <c r="AYZ2">
        <v>2</v>
      </c>
      <c r="AZA2">
        <v>2</v>
      </c>
      <c r="AZB2">
        <v>2</v>
      </c>
      <c r="AZC2">
        <v>2</v>
      </c>
      <c r="AZD2">
        <v>2</v>
      </c>
      <c r="AZE2">
        <v>2</v>
      </c>
      <c r="AZF2">
        <v>2</v>
      </c>
      <c r="AZG2">
        <v>2</v>
      </c>
      <c r="AZH2">
        <v>2</v>
      </c>
      <c r="AZI2">
        <v>2</v>
      </c>
      <c r="AZJ2">
        <v>2</v>
      </c>
      <c r="AZK2">
        <v>2</v>
      </c>
      <c r="AZL2">
        <v>2</v>
      </c>
      <c r="AZM2">
        <v>2</v>
      </c>
      <c r="AZN2">
        <v>2</v>
      </c>
      <c r="AZO2">
        <v>2</v>
      </c>
      <c r="AZP2">
        <v>2</v>
      </c>
      <c r="AZQ2">
        <v>2</v>
      </c>
      <c r="AZR2">
        <v>2</v>
      </c>
      <c r="AZS2">
        <v>2</v>
      </c>
      <c r="AZT2">
        <v>2</v>
      </c>
      <c r="AZU2">
        <v>2</v>
      </c>
      <c r="AZV2">
        <v>2</v>
      </c>
      <c r="AZW2">
        <v>2</v>
      </c>
      <c r="AZX2">
        <v>2</v>
      </c>
      <c r="AZY2">
        <v>2</v>
      </c>
      <c r="CBU2">
        <v>3</v>
      </c>
      <c r="CBV2">
        <v>3</v>
      </c>
      <c r="CBW2">
        <v>3</v>
      </c>
      <c r="CBX2">
        <v>3</v>
      </c>
      <c r="CBY2">
        <v>3</v>
      </c>
      <c r="CBZ2">
        <v>3</v>
      </c>
      <c r="CCA2">
        <v>3</v>
      </c>
      <c r="CCB2">
        <v>3</v>
      </c>
      <c r="CCC2">
        <v>3</v>
      </c>
      <c r="CCD2">
        <v>3</v>
      </c>
      <c r="CCE2">
        <v>3</v>
      </c>
      <c r="CCF2">
        <v>3</v>
      </c>
      <c r="CCG2">
        <v>3</v>
      </c>
      <c r="CCH2">
        <v>3</v>
      </c>
      <c r="CCI2">
        <v>3</v>
      </c>
      <c r="CCJ2">
        <v>3</v>
      </c>
      <c r="CCK2">
        <v>3</v>
      </c>
      <c r="CCL2">
        <v>3</v>
      </c>
      <c r="CCM2">
        <v>3</v>
      </c>
      <c r="CCN2">
        <v>3</v>
      </c>
      <c r="CCO2">
        <v>3</v>
      </c>
      <c r="CCP2">
        <v>3</v>
      </c>
      <c r="CCQ2">
        <v>3</v>
      </c>
      <c r="CCR2">
        <v>3</v>
      </c>
      <c r="CCS2">
        <v>3</v>
      </c>
      <c r="CCT2">
        <v>3</v>
      </c>
      <c r="CCU2">
        <v>3</v>
      </c>
      <c r="CCV2">
        <v>3</v>
      </c>
      <c r="CCW2">
        <v>3</v>
      </c>
      <c r="CCX2">
        <v>3</v>
      </c>
      <c r="CCY2">
        <v>3</v>
      </c>
      <c r="CCZ2">
        <v>3</v>
      </c>
      <c r="CDA2">
        <v>3</v>
      </c>
      <c r="CDB2">
        <v>3</v>
      </c>
      <c r="CDC2">
        <v>3</v>
      </c>
      <c r="CDD2">
        <v>3</v>
      </c>
      <c r="CDE2">
        <v>3</v>
      </c>
      <c r="CDF2">
        <v>3</v>
      </c>
      <c r="CDG2">
        <v>3</v>
      </c>
      <c r="CDH2">
        <v>3</v>
      </c>
      <c r="CDI2">
        <v>3</v>
      </c>
      <c r="CDJ2">
        <v>3</v>
      </c>
      <c r="CDK2">
        <v>3</v>
      </c>
      <c r="CDL2">
        <v>3</v>
      </c>
      <c r="CDM2">
        <v>3</v>
      </c>
      <c r="CDN2">
        <v>3</v>
      </c>
      <c r="CDO2">
        <v>3</v>
      </c>
      <c r="CDP2">
        <v>3</v>
      </c>
      <c r="CDQ2">
        <v>3</v>
      </c>
      <c r="CDR2">
        <v>3</v>
      </c>
      <c r="CDS2">
        <v>3</v>
      </c>
      <c r="CDT2">
        <v>3</v>
      </c>
      <c r="CDU2">
        <v>3</v>
      </c>
      <c r="CDV2">
        <v>3</v>
      </c>
      <c r="CDW2">
        <v>3</v>
      </c>
      <c r="CDX2">
        <v>3</v>
      </c>
      <c r="CDY2">
        <v>3</v>
      </c>
      <c r="CDZ2">
        <v>3</v>
      </c>
      <c r="CEA2">
        <v>3</v>
      </c>
      <c r="CEB2">
        <v>3</v>
      </c>
      <c r="CEC2">
        <v>3</v>
      </c>
      <c r="CED2">
        <v>3</v>
      </c>
      <c r="CEE2">
        <v>3</v>
      </c>
      <c r="CEF2">
        <v>3</v>
      </c>
      <c r="CEG2">
        <v>3</v>
      </c>
      <c r="CEH2">
        <v>3</v>
      </c>
      <c r="CEI2">
        <v>3</v>
      </c>
      <c r="CEJ2">
        <v>3</v>
      </c>
      <c r="CEK2">
        <v>3</v>
      </c>
      <c r="CEL2">
        <v>3</v>
      </c>
      <c r="CEM2">
        <v>3</v>
      </c>
      <c r="CEN2">
        <v>3</v>
      </c>
      <c r="CEO2">
        <v>3</v>
      </c>
      <c r="CEP2">
        <v>3</v>
      </c>
      <c r="CEQ2">
        <v>3</v>
      </c>
      <c r="CER2">
        <v>3</v>
      </c>
      <c r="CES2">
        <v>3</v>
      </c>
      <c r="CET2">
        <v>3</v>
      </c>
      <c r="CEU2">
        <v>3</v>
      </c>
      <c r="CEV2">
        <v>3</v>
      </c>
      <c r="CEW2">
        <v>3</v>
      </c>
      <c r="CEX2">
        <v>3</v>
      </c>
      <c r="CEY2">
        <v>3</v>
      </c>
      <c r="CEZ2">
        <v>3</v>
      </c>
      <c r="CFA2">
        <v>3</v>
      </c>
      <c r="CFB2">
        <v>3</v>
      </c>
      <c r="CFC2">
        <v>3</v>
      </c>
      <c r="CFD2">
        <v>3</v>
      </c>
      <c r="CFE2">
        <v>3</v>
      </c>
      <c r="CFF2">
        <v>3</v>
      </c>
      <c r="CFG2">
        <v>3</v>
      </c>
      <c r="CFH2">
        <v>3</v>
      </c>
      <c r="CFI2">
        <v>3</v>
      </c>
      <c r="CFJ2">
        <v>3</v>
      </c>
      <c r="CFK2">
        <v>3</v>
      </c>
      <c r="CFL2">
        <v>3</v>
      </c>
      <c r="CFM2">
        <v>3</v>
      </c>
      <c r="CFN2">
        <v>3</v>
      </c>
      <c r="CFO2">
        <v>3</v>
      </c>
      <c r="CFP2">
        <v>3</v>
      </c>
      <c r="CFQ2">
        <v>3</v>
      </c>
      <c r="CFR2">
        <v>3</v>
      </c>
      <c r="CFS2">
        <v>3</v>
      </c>
      <c r="CFT2">
        <v>3</v>
      </c>
      <c r="CFU2">
        <v>3</v>
      </c>
      <c r="CFV2">
        <v>3</v>
      </c>
      <c r="CFW2">
        <v>3</v>
      </c>
      <c r="CFX2">
        <v>3</v>
      </c>
      <c r="CFY2">
        <v>3</v>
      </c>
      <c r="CFZ2">
        <v>3</v>
      </c>
      <c r="CGA2">
        <v>3</v>
      </c>
      <c r="CGB2">
        <v>3</v>
      </c>
      <c r="CGC2">
        <v>3</v>
      </c>
      <c r="CGD2">
        <v>3</v>
      </c>
      <c r="CGE2">
        <v>3</v>
      </c>
      <c r="CGF2">
        <v>3</v>
      </c>
      <c r="CGG2">
        <v>3</v>
      </c>
      <c r="CGH2">
        <v>3</v>
      </c>
      <c r="CGI2">
        <v>3</v>
      </c>
      <c r="CGJ2">
        <v>3</v>
      </c>
      <c r="CGK2">
        <v>3</v>
      </c>
      <c r="CGL2">
        <v>3</v>
      </c>
      <c r="CGM2">
        <v>3</v>
      </c>
      <c r="CGN2">
        <v>3</v>
      </c>
      <c r="CGO2">
        <v>3</v>
      </c>
      <c r="CGP2">
        <v>3</v>
      </c>
      <c r="CGQ2">
        <v>3</v>
      </c>
      <c r="CGR2">
        <v>3</v>
      </c>
      <c r="CGS2">
        <v>3</v>
      </c>
      <c r="CGT2">
        <v>3</v>
      </c>
      <c r="CGU2">
        <v>3</v>
      </c>
      <c r="CGV2">
        <v>3</v>
      </c>
      <c r="CGW2">
        <v>3</v>
      </c>
      <c r="CGX2">
        <v>3</v>
      </c>
      <c r="CGY2">
        <v>3</v>
      </c>
      <c r="CGZ2">
        <v>3</v>
      </c>
      <c r="CHA2">
        <v>3</v>
      </c>
      <c r="CHB2">
        <v>3</v>
      </c>
      <c r="CHC2">
        <v>3</v>
      </c>
      <c r="CHD2">
        <v>3</v>
      </c>
      <c r="CHE2">
        <v>3</v>
      </c>
      <c r="CHF2">
        <v>3</v>
      </c>
      <c r="CHG2">
        <v>3</v>
      </c>
      <c r="CHH2">
        <v>3</v>
      </c>
      <c r="CHI2">
        <v>3</v>
      </c>
      <c r="CHJ2">
        <v>3</v>
      </c>
      <c r="CHK2">
        <v>3</v>
      </c>
      <c r="CHL2">
        <v>3</v>
      </c>
      <c r="CHM2">
        <v>3</v>
      </c>
      <c r="CHN2">
        <v>3</v>
      </c>
      <c r="CHO2">
        <v>3</v>
      </c>
      <c r="CHP2">
        <v>3</v>
      </c>
      <c r="CHQ2">
        <v>3</v>
      </c>
      <c r="CHR2">
        <v>3</v>
      </c>
      <c r="CHS2">
        <v>3</v>
      </c>
      <c r="CHT2">
        <v>3</v>
      </c>
      <c r="CHU2">
        <v>3</v>
      </c>
      <c r="CHV2">
        <v>3</v>
      </c>
      <c r="CHW2">
        <v>3</v>
      </c>
      <c r="CHX2">
        <v>3</v>
      </c>
      <c r="CHY2">
        <v>3</v>
      </c>
      <c r="CHZ2">
        <v>3</v>
      </c>
      <c r="CIA2">
        <v>3</v>
      </c>
      <c r="CIB2">
        <v>3</v>
      </c>
      <c r="CIC2">
        <v>3</v>
      </c>
      <c r="CID2">
        <v>3</v>
      </c>
      <c r="CIE2">
        <v>3</v>
      </c>
      <c r="CIF2">
        <v>3</v>
      </c>
      <c r="CIG2">
        <v>3</v>
      </c>
      <c r="CIH2">
        <v>3</v>
      </c>
      <c r="CII2">
        <v>3</v>
      </c>
      <c r="CIJ2">
        <v>3</v>
      </c>
      <c r="CIK2">
        <v>3</v>
      </c>
      <c r="CIL2">
        <v>3</v>
      </c>
      <c r="CIM2">
        <v>3</v>
      </c>
      <c r="CIN2">
        <v>3</v>
      </c>
      <c r="CIO2">
        <v>3</v>
      </c>
      <c r="CIP2">
        <v>3</v>
      </c>
      <c r="CIQ2">
        <v>3</v>
      </c>
      <c r="CIR2">
        <v>3</v>
      </c>
      <c r="CIS2">
        <v>3</v>
      </c>
      <c r="CIT2">
        <v>3</v>
      </c>
      <c r="CIU2">
        <v>3</v>
      </c>
      <c r="CIV2">
        <v>3</v>
      </c>
      <c r="CIW2">
        <v>3</v>
      </c>
      <c r="CIX2">
        <v>3</v>
      </c>
      <c r="CIY2">
        <v>3</v>
      </c>
      <c r="CIZ2">
        <v>3</v>
      </c>
      <c r="CJA2">
        <v>3</v>
      </c>
      <c r="CJB2">
        <v>3</v>
      </c>
      <c r="CJC2">
        <v>3</v>
      </c>
      <c r="CJD2">
        <v>3</v>
      </c>
      <c r="CJE2">
        <v>3</v>
      </c>
      <c r="CJF2">
        <v>3</v>
      </c>
      <c r="CJG2">
        <v>3</v>
      </c>
      <c r="CJH2">
        <v>3</v>
      </c>
      <c r="CJI2">
        <v>3</v>
      </c>
      <c r="CJJ2">
        <v>3</v>
      </c>
      <c r="CJK2">
        <v>3</v>
      </c>
      <c r="CJL2">
        <v>3</v>
      </c>
      <c r="CJM2">
        <v>3</v>
      </c>
      <c r="CJN2">
        <v>3</v>
      </c>
      <c r="CJO2">
        <v>3</v>
      </c>
      <c r="CJP2">
        <v>3</v>
      </c>
      <c r="CJQ2">
        <v>3</v>
      </c>
      <c r="CJR2">
        <v>3</v>
      </c>
      <c r="CJS2">
        <v>3</v>
      </c>
      <c r="CJT2">
        <v>3</v>
      </c>
      <c r="CJU2">
        <v>3</v>
      </c>
      <c r="CJV2">
        <v>3</v>
      </c>
      <c r="CJW2">
        <v>3</v>
      </c>
      <c r="CJX2">
        <v>3</v>
      </c>
      <c r="CJY2">
        <v>3</v>
      </c>
      <c r="CJZ2">
        <v>3</v>
      </c>
      <c r="CKA2">
        <v>3</v>
      </c>
      <c r="CKB2">
        <v>3</v>
      </c>
      <c r="CKC2">
        <v>3</v>
      </c>
      <c r="CKD2">
        <v>3</v>
      </c>
      <c r="CKE2">
        <v>3</v>
      </c>
      <c r="CKF2">
        <v>3</v>
      </c>
      <c r="CKG2">
        <v>3</v>
      </c>
      <c r="CKH2">
        <v>3</v>
      </c>
      <c r="CKI2">
        <v>3</v>
      </c>
      <c r="CKJ2">
        <v>3</v>
      </c>
      <c r="CKK2">
        <v>3</v>
      </c>
      <c r="CKL2">
        <v>3</v>
      </c>
      <c r="CKM2">
        <v>3</v>
      </c>
      <c r="CKN2">
        <v>3</v>
      </c>
      <c r="CKO2">
        <v>3</v>
      </c>
      <c r="CKP2">
        <v>3</v>
      </c>
      <c r="CKQ2">
        <v>3</v>
      </c>
      <c r="DKL2">
        <v>4</v>
      </c>
      <c r="DKM2">
        <v>4</v>
      </c>
      <c r="DKN2">
        <v>4</v>
      </c>
      <c r="DKO2">
        <v>4</v>
      </c>
      <c r="DKP2">
        <v>4</v>
      </c>
      <c r="DKQ2">
        <v>4</v>
      </c>
      <c r="DKR2">
        <v>4</v>
      </c>
      <c r="DKS2">
        <v>4</v>
      </c>
      <c r="DKT2">
        <v>4</v>
      </c>
      <c r="DKU2">
        <v>4</v>
      </c>
      <c r="DKV2">
        <v>4</v>
      </c>
      <c r="DKW2">
        <v>4</v>
      </c>
      <c r="DKX2">
        <v>4</v>
      </c>
      <c r="DKY2">
        <v>4</v>
      </c>
      <c r="DKZ2">
        <v>4</v>
      </c>
      <c r="DLA2">
        <v>4</v>
      </c>
      <c r="DLB2">
        <v>4</v>
      </c>
      <c r="DLC2">
        <v>4</v>
      </c>
      <c r="DLD2">
        <v>4</v>
      </c>
      <c r="DLE2">
        <v>4</v>
      </c>
      <c r="DLF2">
        <v>4</v>
      </c>
      <c r="DLG2">
        <v>4</v>
      </c>
      <c r="DLH2">
        <v>4</v>
      </c>
      <c r="DLI2">
        <v>4</v>
      </c>
      <c r="DLJ2">
        <v>4</v>
      </c>
      <c r="DLK2">
        <v>4</v>
      </c>
      <c r="DLL2">
        <v>4</v>
      </c>
      <c r="DLM2">
        <v>4</v>
      </c>
      <c r="DLN2">
        <v>4</v>
      </c>
      <c r="DLO2">
        <v>4</v>
      </c>
      <c r="DLP2">
        <v>4</v>
      </c>
      <c r="DLQ2">
        <v>4</v>
      </c>
      <c r="DLR2">
        <v>4</v>
      </c>
      <c r="DLS2">
        <v>4</v>
      </c>
      <c r="DLT2">
        <v>4</v>
      </c>
      <c r="DLU2">
        <v>4</v>
      </c>
      <c r="DLV2">
        <v>4</v>
      </c>
      <c r="DLW2">
        <v>4</v>
      </c>
      <c r="DLX2">
        <v>4</v>
      </c>
      <c r="DLY2">
        <v>4</v>
      </c>
      <c r="DLZ2">
        <v>4</v>
      </c>
      <c r="DMA2">
        <v>4</v>
      </c>
      <c r="DMB2">
        <v>4</v>
      </c>
      <c r="DMC2">
        <v>4</v>
      </c>
      <c r="DMD2">
        <v>4</v>
      </c>
      <c r="DME2">
        <v>4</v>
      </c>
      <c r="DMF2">
        <v>4</v>
      </c>
      <c r="DMG2">
        <v>4</v>
      </c>
      <c r="DMH2">
        <v>4</v>
      </c>
      <c r="DMI2">
        <v>4</v>
      </c>
      <c r="DMJ2">
        <v>4</v>
      </c>
      <c r="DMK2">
        <v>4</v>
      </c>
      <c r="DML2">
        <v>4</v>
      </c>
      <c r="DMM2">
        <v>4</v>
      </c>
      <c r="DMN2">
        <v>4</v>
      </c>
      <c r="DMO2">
        <v>4</v>
      </c>
      <c r="DMP2">
        <v>4</v>
      </c>
      <c r="DMQ2">
        <v>4</v>
      </c>
      <c r="DMR2">
        <v>4</v>
      </c>
      <c r="DMS2">
        <v>4</v>
      </c>
      <c r="DMT2">
        <v>4</v>
      </c>
      <c r="DMU2">
        <v>4</v>
      </c>
      <c r="DMV2">
        <v>4</v>
      </c>
      <c r="DMW2">
        <v>4</v>
      </c>
      <c r="DMX2">
        <v>4</v>
      </c>
      <c r="DMY2">
        <v>4</v>
      </c>
      <c r="DMZ2">
        <v>4</v>
      </c>
      <c r="DNA2">
        <v>4</v>
      </c>
      <c r="DNB2">
        <v>4</v>
      </c>
      <c r="DNC2">
        <v>4</v>
      </c>
      <c r="DND2">
        <v>4</v>
      </c>
      <c r="DNE2">
        <v>4</v>
      </c>
      <c r="DNF2">
        <v>4</v>
      </c>
      <c r="DNG2">
        <v>4</v>
      </c>
      <c r="DNH2">
        <v>4</v>
      </c>
      <c r="DNI2">
        <v>4</v>
      </c>
      <c r="DNJ2">
        <v>4</v>
      </c>
      <c r="DNK2">
        <v>4</v>
      </c>
      <c r="DNL2">
        <v>4</v>
      </c>
      <c r="DNM2">
        <v>4</v>
      </c>
      <c r="DNN2">
        <v>4</v>
      </c>
      <c r="DNO2">
        <v>4</v>
      </c>
      <c r="DNP2">
        <v>4</v>
      </c>
      <c r="DNQ2">
        <v>4</v>
      </c>
      <c r="DNR2">
        <v>4</v>
      </c>
      <c r="DNS2">
        <v>4</v>
      </c>
      <c r="DNT2">
        <v>4</v>
      </c>
      <c r="DNU2">
        <v>4</v>
      </c>
      <c r="DNV2">
        <v>4</v>
      </c>
      <c r="DNW2">
        <v>4</v>
      </c>
      <c r="DNX2">
        <v>4</v>
      </c>
      <c r="DNY2">
        <v>4</v>
      </c>
      <c r="DNZ2">
        <v>4</v>
      </c>
      <c r="DOA2">
        <v>4</v>
      </c>
      <c r="DOB2">
        <v>4</v>
      </c>
      <c r="DOC2">
        <v>4</v>
      </c>
      <c r="DOD2">
        <v>4</v>
      </c>
      <c r="DOE2">
        <v>4</v>
      </c>
      <c r="DOF2">
        <v>4</v>
      </c>
      <c r="DOG2">
        <v>4</v>
      </c>
      <c r="DOH2">
        <v>4</v>
      </c>
      <c r="DOI2">
        <v>4</v>
      </c>
      <c r="DOJ2">
        <v>4</v>
      </c>
      <c r="DOK2">
        <v>4</v>
      </c>
      <c r="DOL2">
        <v>4</v>
      </c>
      <c r="DOM2">
        <v>4</v>
      </c>
      <c r="DON2">
        <v>4</v>
      </c>
      <c r="DOO2">
        <v>4</v>
      </c>
      <c r="DOP2">
        <v>4</v>
      </c>
      <c r="DOQ2">
        <v>4</v>
      </c>
      <c r="DOR2">
        <v>4</v>
      </c>
      <c r="DOS2">
        <v>4</v>
      </c>
      <c r="DOT2">
        <v>4</v>
      </c>
      <c r="DOU2">
        <v>4</v>
      </c>
      <c r="DOV2">
        <v>4</v>
      </c>
      <c r="DOW2">
        <v>4</v>
      </c>
      <c r="DOX2">
        <v>4</v>
      </c>
      <c r="DOY2">
        <v>4</v>
      </c>
      <c r="DOZ2">
        <v>4</v>
      </c>
      <c r="DPA2">
        <v>4</v>
      </c>
      <c r="DPB2">
        <v>4</v>
      </c>
      <c r="DPC2">
        <v>4</v>
      </c>
      <c r="DPD2">
        <v>4</v>
      </c>
      <c r="DPE2">
        <v>4</v>
      </c>
      <c r="DPF2">
        <v>4</v>
      </c>
      <c r="DPG2">
        <v>4</v>
      </c>
      <c r="DPH2">
        <v>4</v>
      </c>
      <c r="DPI2">
        <v>4</v>
      </c>
      <c r="DPJ2">
        <v>4</v>
      </c>
      <c r="DPK2">
        <v>4</v>
      </c>
      <c r="DPL2">
        <v>4</v>
      </c>
      <c r="DPM2">
        <v>4</v>
      </c>
      <c r="DPN2">
        <v>4</v>
      </c>
      <c r="DPO2">
        <v>4</v>
      </c>
      <c r="DPP2">
        <v>4</v>
      </c>
      <c r="DPQ2">
        <v>4</v>
      </c>
      <c r="DPR2">
        <v>4</v>
      </c>
      <c r="DPS2">
        <v>4</v>
      </c>
      <c r="DPT2">
        <v>4</v>
      </c>
      <c r="DPU2">
        <v>4</v>
      </c>
      <c r="DPV2">
        <v>4</v>
      </c>
      <c r="DPW2">
        <v>4</v>
      </c>
      <c r="DPX2">
        <v>4</v>
      </c>
      <c r="DPY2">
        <v>4</v>
      </c>
      <c r="DPZ2">
        <v>4</v>
      </c>
      <c r="DQA2">
        <v>4</v>
      </c>
      <c r="DQB2">
        <v>4</v>
      </c>
      <c r="DQC2">
        <v>4</v>
      </c>
      <c r="DQD2">
        <v>4</v>
      </c>
      <c r="DQE2">
        <v>4</v>
      </c>
      <c r="DQF2">
        <v>4</v>
      </c>
      <c r="DQG2">
        <v>4</v>
      </c>
      <c r="DQH2">
        <v>4</v>
      </c>
      <c r="DQI2">
        <v>4</v>
      </c>
      <c r="DQJ2">
        <v>4</v>
      </c>
      <c r="DQK2">
        <v>4</v>
      </c>
      <c r="DQL2">
        <v>4</v>
      </c>
      <c r="DQM2">
        <v>4</v>
      </c>
      <c r="DQN2">
        <v>4</v>
      </c>
      <c r="DQO2">
        <v>4</v>
      </c>
      <c r="DQP2">
        <v>4</v>
      </c>
      <c r="DQQ2">
        <v>4</v>
      </c>
      <c r="DQR2">
        <v>4</v>
      </c>
      <c r="DQS2">
        <v>4</v>
      </c>
      <c r="DQT2">
        <v>4</v>
      </c>
      <c r="DQU2">
        <v>4</v>
      </c>
      <c r="DQV2">
        <v>4</v>
      </c>
      <c r="DQW2">
        <v>4</v>
      </c>
      <c r="DQX2">
        <v>4</v>
      </c>
      <c r="DQY2">
        <v>4</v>
      </c>
      <c r="DQZ2">
        <v>4</v>
      </c>
      <c r="DRA2">
        <v>4</v>
      </c>
      <c r="DRB2">
        <v>4</v>
      </c>
      <c r="DRC2">
        <v>4</v>
      </c>
      <c r="DRD2">
        <v>4</v>
      </c>
      <c r="DRE2">
        <v>4</v>
      </c>
      <c r="DRF2">
        <v>4</v>
      </c>
      <c r="DRG2">
        <v>4</v>
      </c>
      <c r="DRH2">
        <v>4</v>
      </c>
      <c r="ELH2">
        <v>5</v>
      </c>
      <c r="ELI2">
        <v>5</v>
      </c>
      <c r="ELJ2">
        <v>5</v>
      </c>
      <c r="ELK2">
        <v>5</v>
      </c>
      <c r="ELL2">
        <v>5</v>
      </c>
      <c r="ELM2">
        <v>5</v>
      </c>
      <c r="ELN2">
        <v>5</v>
      </c>
      <c r="ELO2">
        <v>5</v>
      </c>
      <c r="ELP2">
        <v>5</v>
      </c>
      <c r="ELQ2">
        <v>5</v>
      </c>
      <c r="ELR2">
        <v>5</v>
      </c>
      <c r="ELS2">
        <v>5</v>
      </c>
      <c r="ELT2">
        <v>5</v>
      </c>
      <c r="ELU2">
        <v>5</v>
      </c>
      <c r="ELV2">
        <v>5</v>
      </c>
      <c r="ELW2">
        <v>5</v>
      </c>
      <c r="ELX2">
        <v>5</v>
      </c>
      <c r="ELY2">
        <v>5</v>
      </c>
      <c r="ELZ2">
        <v>5</v>
      </c>
      <c r="EMA2">
        <v>5</v>
      </c>
      <c r="EMB2">
        <v>5</v>
      </c>
      <c r="EMC2">
        <v>5</v>
      </c>
      <c r="EMD2">
        <v>5</v>
      </c>
      <c r="EME2">
        <v>5</v>
      </c>
      <c r="EMF2">
        <v>5</v>
      </c>
      <c r="EMG2">
        <v>5</v>
      </c>
      <c r="EMH2">
        <v>5</v>
      </c>
      <c r="EMI2">
        <v>5</v>
      </c>
      <c r="EMJ2">
        <v>5</v>
      </c>
      <c r="EMK2">
        <v>5</v>
      </c>
      <c r="EML2">
        <v>5</v>
      </c>
      <c r="EMM2">
        <v>5</v>
      </c>
      <c r="EMN2">
        <v>5</v>
      </c>
      <c r="EMO2">
        <v>5</v>
      </c>
      <c r="EMP2">
        <v>5</v>
      </c>
      <c r="EMQ2">
        <v>5</v>
      </c>
      <c r="EMR2">
        <v>5</v>
      </c>
      <c r="EMS2">
        <v>5</v>
      </c>
      <c r="EMT2">
        <v>5</v>
      </c>
      <c r="EMU2">
        <v>5</v>
      </c>
      <c r="EMV2">
        <v>5</v>
      </c>
      <c r="EMW2">
        <v>5</v>
      </c>
      <c r="EMX2">
        <v>5</v>
      </c>
      <c r="EMY2">
        <v>5</v>
      </c>
      <c r="EMZ2">
        <v>5</v>
      </c>
      <c r="ENA2">
        <v>5</v>
      </c>
      <c r="ENB2">
        <v>5</v>
      </c>
      <c r="ENC2">
        <v>5</v>
      </c>
      <c r="END2">
        <v>5</v>
      </c>
      <c r="ENE2">
        <v>5</v>
      </c>
      <c r="ENF2">
        <v>5</v>
      </c>
      <c r="ENG2">
        <v>5</v>
      </c>
      <c r="ENH2">
        <v>5</v>
      </c>
      <c r="ENI2">
        <v>5</v>
      </c>
      <c r="ENJ2">
        <v>5</v>
      </c>
      <c r="ENK2">
        <v>5</v>
      </c>
      <c r="ENL2">
        <v>5</v>
      </c>
      <c r="ENM2">
        <v>5</v>
      </c>
      <c r="ENN2">
        <v>5</v>
      </c>
      <c r="ENO2">
        <v>5</v>
      </c>
      <c r="ENP2">
        <v>5</v>
      </c>
      <c r="ENQ2">
        <v>5</v>
      </c>
      <c r="ENR2">
        <v>5</v>
      </c>
      <c r="ENS2">
        <v>5</v>
      </c>
      <c r="ENT2">
        <v>5</v>
      </c>
      <c r="ENU2">
        <v>5</v>
      </c>
      <c r="ENV2">
        <v>5</v>
      </c>
      <c r="ENW2">
        <v>5</v>
      </c>
      <c r="ENX2">
        <v>5</v>
      </c>
      <c r="ENY2">
        <v>5</v>
      </c>
      <c r="ENZ2">
        <v>5</v>
      </c>
      <c r="EOA2">
        <v>5</v>
      </c>
      <c r="EOB2">
        <v>5</v>
      </c>
      <c r="EOC2">
        <v>5</v>
      </c>
      <c r="EOD2">
        <v>5</v>
      </c>
      <c r="EOE2">
        <v>5</v>
      </c>
      <c r="EOF2">
        <v>5</v>
      </c>
      <c r="EOG2">
        <v>5</v>
      </c>
      <c r="EOH2">
        <v>5</v>
      </c>
      <c r="EOI2">
        <v>5</v>
      </c>
      <c r="EOJ2">
        <v>5</v>
      </c>
      <c r="EOK2">
        <v>5</v>
      </c>
      <c r="EOL2">
        <v>5</v>
      </c>
      <c r="EOM2">
        <v>5</v>
      </c>
      <c r="EON2">
        <v>5</v>
      </c>
      <c r="EOO2">
        <v>5</v>
      </c>
      <c r="EOP2">
        <v>5</v>
      </c>
      <c r="EOQ2">
        <v>5</v>
      </c>
      <c r="EOR2">
        <v>5</v>
      </c>
      <c r="EOS2">
        <v>5</v>
      </c>
      <c r="EOT2">
        <v>5</v>
      </c>
      <c r="EOU2">
        <v>5</v>
      </c>
      <c r="EOV2">
        <v>5</v>
      </c>
      <c r="EOW2">
        <v>5</v>
      </c>
      <c r="EOX2">
        <v>5</v>
      </c>
      <c r="EOY2">
        <v>5</v>
      </c>
      <c r="EOZ2">
        <v>5</v>
      </c>
      <c r="EPA2">
        <v>5</v>
      </c>
      <c r="EPB2">
        <v>5</v>
      </c>
      <c r="EPC2">
        <v>5</v>
      </c>
      <c r="EPD2">
        <v>5</v>
      </c>
      <c r="EPE2">
        <v>5</v>
      </c>
      <c r="EPF2">
        <v>5</v>
      </c>
      <c r="EPG2">
        <v>5</v>
      </c>
      <c r="EPH2">
        <v>5</v>
      </c>
      <c r="EPI2">
        <v>5</v>
      </c>
      <c r="EPJ2">
        <v>5</v>
      </c>
      <c r="EPK2">
        <v>5</v>
      </c>
      <c r="EPL2">
        <v>5</v>
      </c>
      <c r="EPM2">
        <v>5</v>
      </c>
      <c r="EPN2">
        <v>5</v>
      </c>
      <c r="EPO2">
        <v>5</v>
      </c>
      <c r="EPP2">
        <v>5</v>
      </c>
      <c r="EPQ2">
        <v>5</v>
      </c>
      <c r="EPR2">
        <v>5</v>
      </c>
      <c r="EPS2">
        <v>5</v>
      </c>
      <c r="EPT2">
        <v>5</v>
      </c>
      <c r="EPU2">
        <v>5</v>
      </c>
      <c r="EPV2">
        <v>5</v>
      </c>
      <c r="EPW2">
        <v>5</v>
      </c>
      <c r="EPX2">
        <v>5</v>
      </c>
      <c r="EPY2">
        <v>5</v>
      </c>
      <c r="EPZ2">
        <v>5</v>
      </c>
      <c r="EQA2">
        <v>5</v>
      </c>
      <c r="EQB2">
        <v>5</v>
      </c>
      <c r="EQC2">
        <v>5</v>
      </c>
      <c r="EQD2">
        <v>5</v>
      </c>
      <c r="EQE2">
        <v>5</v>
      </c>
      <c r="EQF2">
        <v>5</v>
      </c>
      <c r="EQG2">
        <v>5</v>
      </c>
      <c r="EQH2">
        <v>5</v>
      </c>
      <c r="EQI2">
        <v>5</v>
      </c>
      <c r="EQJ2">
        <v>5</v>
      </c>
      <c r="EQK2">
        <v>5</v>
      </c>
      <c r="EQL2">
        <v>5</v>
      </c>
      <c r="EQM2">
        <v>5</v>
      </c>
      <c r="EQN2">
        <v>5</v>
      </c>
      <c r="EQO2">
        <v>5</v>
      </c>
      <c r="EQP2">
        <v>5</v>
      </c>
      <c r="EQQ2">
        <v>5</v>
      </c>
      <c r="EQR2">
        <v>5</v>
      </c>
      <c r="EQS2">
        <v>5</v>
      </c>
      <c r="EQT2">
        <v>5</v>
      </c>
      <c r="EQU2">
        <v>5</v>
      </c>
      <c r="EQV2">
        <v>5</v>
      </c>
      <c r="EQW2">
        <v>5</v>
      </c>
      <c r="EQX2">
        <v>5</v>
      </c>
      <c r="EQY2">
        <v>5</v>
      </c>
      <c r="EQZ2">
        <v>5</v>
      </c>
      <c r="ERA2">
        <v>5</v>
      </c>
      <c r="ERB2">
        <v>5</v>
      </c>
      <c r="ERC2">
        <v>5</v>
      </c>
      <c r="ERD2">
        <v>5</v>
      </c>
      <c r="ERE2">
        <v>5</v>
      </c>
      <c r="ERF2">
        <v>5</v>
      </c>
      <c r="ERG2">
        <v>5</v>
      </c>
      <c r="ERH2">
        <v>5</v>
      </c>
      <c r="ERI2">
        <v>5</v>
      </c>
      <c r="ERJ2">
        <v>5</v>
      </c>
      <c r="ERK2">
        <v>5</v>
      </c>
      <c r="ERL2">
        <v>5</v>
      </c>
      <c r="ERM2">
        <v>5</v>
      </c>
      <c r="ERN2">
        <v>5</v>
      </c>
      <c r="ERO2">
        <v>5</v>
      </c>
      <c r="ERP2">
        <v>5</v>
      </c>
      <c r="ERQ2">
        <v>5</v>
      </c>
      <c r="ERR2">
        <v>5</v>
      </c>
      <c r="ERS2">
        <v>5</v>
      </c>
      <c r="ERT2">
        <v>5</v>
      </c>
      <c r="ERU2">
        <v>5</v>
      </c>
      <c r="ERV2">
        <v>5</v>
      </c>
      <c r="ERW2">
        <v>5</v>
      </c>
      <c r="ERX2">
        <v>5</v>
      </c>
      <c r="ERY2">
        <v>5</v>
      </c>
      <c r="ERZ2">
        <v>5</v>
      </c>
      <c r="ESA2">
        <v>5</v>
      </c>
      <c r="ESB2">
        <v>5</v>
      </c>
      <c r="ESC2">
        <v>5</v>
      </c>
      <c r="ESD2">
        <v>5</v>
      </c>
      <c r="ESE2">
        <v>5</v>
      </c>
      <c r="ESF2">
        <v>5</v>
      </c>
      <c r="ESG2">
        <v>5</v>
      </c>
      <c r="ESH2">
        <v>5</v>
      </c>
      <c r="ESI2">
        <v>5</v>
      </c>
      <c r="ESJ2">
        <v>5</v>
      </c>
      <c r="ESK2">
        <v>5</v>
      </c>
      <c r="ESL2">
        <v>5</v>
      </c>
      <c r="ESM2">
        <v>5</v>
      </c>
      <c r="ESN2">
        <v>5</v>
      </c>
      <c r="ESO2">
        <v>5</v>
      </c>
      <c r="ESP2">
        <v>5</v>
      </c>
      <c r="ESQ2">
        <v>5</v>
      </c>
      <c r="ESR2">
        <v>5</v>
      </c>
      <c r="ESS2">
        <v>5</v>
      </c>
      <c r="EST2">
        <v>5</v>
      </c>
      <c r="ESU2">
        <v>5</v>
      </c>
      <c r="ESV2">
        <v>5</v>
      </c>
      <c r="ESW2">
        <v>5</v>
      </c>
      <c r="ESX2">
        <v>5</v>
      </c>
      <c r="ESY2">
        <v>5</v>
      </c>
      <c r="ESZ2">
        <v>5</v>
      </c>
      <c r="ETA2">
        <v>5</v>
      </c>
      <c r="ETB2">
        <v>5</v>
      </c>
      <c r="ETC2">
        <v>5</v>
      </c>
      <c r="ETD2">
        <v>5</v>
      </c>
      <c r="ETE2">
        <v>5</v>
      </c>
      <c r="ETF2">
        <v>5</v>
      </c>
      <c r="ETG2">
        <v>5</v>
      </c>
      <c r="ETH2">
        <v>5</v>
      </c>
      <c r="ETI2">
        <v>5</v>
      </c>
      <c r="ETJ2">
        <v>5</v>
      </c>
      <c r="ETK2">
        <v>5</v>
      </c>
      <c r="ETL2">
        <v>5</v>
      </c>
      <c r="ETM2">
        <v>5</v>
      </c>
      <c r="ETN2">
        <v>5</v>
      </c>
      <c r="ETO2">
        <v>5</v>
      </c>
      <c r="ETP2">
        <v>5</v>
      </c>
      <c r="ETQ2">
        <v>5</v>
      </c>
      <c r="ETR2">
        <v>5</v>
      </c>
      <c r="ETS2">
        <v>5</v>
      </c>
      <c r="ETT2">
        <v>5</v>
      </c>
      <c r="ETU2">
        <v>5</v>
      </c>
      <c r="ETV2">
        <v>5</v>
      </c>
      <c r="ETW2">
        <v>5</v>
      </c>
      <c r="ETX2">
        <v>5</v>
      </c>
      <c r="ETY2">
        <v>5</v>
      </c>
      <c r="ETZ2">
        <v>5</v>
      </c>
      <c r="EUA2">
        <v>5</v>
      </c>
      <c r="EUB2">
        <v>5</v>
      </c>
      <c r="EUC2">
        <v>5</v>
      </c>
      <c r="EUD2">
        <v>5</v>
      </c>
      <c r="EUE2">
        <v>5</v>
      </c>
      <c r="EUF2">
        <v>5</v>
      </c>
      <c r="EUG2">
        <v>5</v>
      </c>
      <c r="EUH2">
        <v>5</v>
      </c>
      <c r="EUI2">
        <v>5</v>
      </c>
      <c r="EUJ2">
        <v>5</v>
      </c>
      <c r="EUK2">
        <v>5</v>
      </c>
      <c r="EUL2">
        <v>5</v>
      </c>
      <c r="EUM2">
        <v>5</v>
      </c>
      <c r="EUN2">
        <v>5</v>
      </c>
      <c r="EUO2">
        <v>5</v>
      </c>
      <c r="EUP2">
        <v>5</v>
      </c>
      <c r="EUQ2">
        <v>5</v>
      </c>
      <c r="EUR2">
        <v>5</v>
      </c>
      <c r="EUS2">
        <v>5</v>
      </c>
      <c r="EUT2">
        <v>5</v>
      </c>
      <c r="EUU2">
        <v>5</v>
      </c>
      <c r="EUV2">
        <v>5</v>
      </c>
      <c r="EUW2">
        <v>5</v>
      </c>
      <c r="EUX2">
        <v>5</v>
      </c>
      <c r="EUY2">
        <v>5</v>
      </c>
      <c r="EUZ2">
        <v>5</v>
      </c>
      <c r="EVA2">
        <v>5</v>
      </c>
      <c r="EVB2">
        <v>5</v>
      </c>
      <c r="EVC2">
        <v>5</v>
      </c>
      <c r="EVD2">
        <v>5</v>
      </c>
      <c r="EVE2">
        <v>5</v>
      </c>
      <c r="GXH2">
        <v>6</v>
      </c>
      <c r="GXI2">
        <v>6</v>
      </c>
      <c r="GXJ2">
        <v>6</v>
      </c>
      <c r="GXK2">
        <v>6</v>
      </c>
      <c r="GXL2">
        <v>6</v>
      </c>
      <c r="GXM2">
        <v>6</v>
      </c>
      <c r="GXN2">
        <v>6</v>
      </c>
      <c r="GXO2">
        <v>6</v>
      </c>
      <c r="GXP2">
        <v>6</v>
      </c>
      <c r="GXQ2">
        <v>6</v>
      </c>
      <c r="GXR2">
        <v>6</v>
      </c>
      <c r="GXS2">
        <v>6</v>
      </c>
      <c r="GXT2">
        <v>6</v>
      </c>
      <c r="GXU2">
        <v>6</v>
      </c>
      <c r="GXV2">
        <v>6</v>
      </c>
      <c r="GXW2">
        <v>6</v>
      </c>
      <c r="GXX2">
        <v>6</v>
      </c>
      <c r="GXY2">
        <v>6</v>
      </c>
      <c r="GXZ2">
        <v>6</v>
      </c>
      <c r="GYA2">
        <v>6</v>
      </c>
      <c r="GYB2">
        <v>6</v>
      </c>
      <c r="GYC2">
        <v>6</v>
      </c>
      <c r="GYD2">
        <v>6</v>
      </c>
      <c r="GYE2">
        <v>6</v>
      </c>
      <c r="GYF2">
        <v>6</v>
      </c>
      <c r="GYG2">
        <v>6</v>
      </c>
      <c r="GYH2">
        <v>6</v>
      </c>
      <c r="GYI2">
        <v>6</v>
      </c>
      <c r="GYJ2">
        <v>6</v>
      </c>
      <c r="GYK2">
        <v>6</v>
      </c>
      <c r="GYL2">
        <v>6</v>
      </c>
      <c r="GYM2">
        <v>6</v>
      </c>
      <c r="GYN2">
        <v>6</v>
      </c>
      <c r="GYO2">
        <v>6</v>
      </c>
      <c r="GYP2">
        <v>6</v>
      </c>
      <c r="GYQ2">
        <v>6</v>
      </c>
      <c r="GYR2">
        <v>6</v>
      </c>
      <c r="GYS2">
        <v>6</v>
      </c>
      <c r="GYT2">
        <v>6</v>
      </c>
      <c r="GYU2">
        <v>6</v>
      </c>
      <c r="GYV2">
        <v>6</v>
      </c>
      <c r="GYW2">
        <v>6</v>
      </c>
      <c r="GYX2">
        <v>6</v>
      </c>
      <c r="GYY2">
        <v>6</v>
      </c>
      <c r="GYZ2">
        <v>6</v>
      </c>
      <c r="GZA2">
        <v>6</v>
      </c>
      <c r="GZB2">
        <v>6</v>
      </c>
      <c r="GZC2">
        <v>6</v>
      </c>
      <c r="GZD2">
        <v>6</v>
      </c>
      <c r="GZE2">
        <v>6</v>
      </c>
      <c r="GZF2">
        <v>6</v>
      </c>
      <c r="GZG2">
        <v>6</v>
      </c>
      <c r="GZH2">
        <v>6</v>
      </c>
      <c r="GZI2">
        <v>6</v>
      </c>
      <c r="GZJ2">
        <v>6</v>
      </c>
      <c r="GZK2">
        <v>6</v>
      </c>
      <c r="GZL2">
        <v>6</v>
      </c>
      <c r="GZM2">
        <v>6</v>
      </c>
      <c r="GZN2">
        <v>6</v>
      </c>
      <c r="GZO2">
        <v>6</v>
      </c>
      <c r="GZP2">
        <v>6</v>
      </c>
      <c r="GZQ2">
        <v>6</v>
      </c>
      <c r="GZR2">
        <v>6</v>
      </c>
      <c r="GZS2">
        <v>6</v>
      </c>
      <c r="GZT2">
        <v>6</v>
      </c>
      <c r="GZU2">
        <v>6</v>
      </c>
      <c r="GZV2">
        <v>6</v>
      </c>
      <c r="GZW2">
        <v>6</v>
      </c>
      <c r="GZX2">
        <v>6</v>
      </c>
      <c r="GZY2">
        <v>6</v>
      </c>
      <c r="GZZ2">
        <v>6</v>
      </c>
      <c r="HAA2">
        <v>6</v>
      </c>
      <c r="HAB2">
        <v>6</v>
      </c>
      <c r="HAC2">
        <v>6</v>
      </c>
      <c r="HAD2">
        <v>6</v>
      </c>
      <c r="HAE2">
        <v>6</v>
      </c>
      <c r="HAF2">
        <v>6</v>
      </c>
      <c r="HAG2">
        <v>6</v>
      </c>
      <c r="HAH2">
        <v>6</v>
      </c>
      <c r="HAI2">
        <v>6</v>
      </c>
      <c r="HAJ2">
        <v>6</v>
      </c>
      <c r="HAK2">
        <v>6</v>
      </c>
      <c r="HAL2">
        <v>6</v>
      </c>
      <c r="HAM2">
        <v>6</v>
      </c>
      <c r="HAN2">
        <v>6</v>
      </c>
      <c r="HAO2">
        <v>6</v>
      </c>
      <c r="HAP2">
        <v>6</v>
      </c>
      <c r="HAQ2">
        <v>6</v>
      </c>
      <c r="HAR2">
        <v>6</v>
      </c>
      <c r="HAS2">
        <v>6</v>
      </c>
      <c r="HAT2">
        <v>6</v>
      </c>
      <c r="HAU2">
        <v>6</v>
      </c>
      <c r="HAV2">
        <v>6</v>
      </c>
      <c r="HAW2">
        <v>6</v>
      </c>
      <c r="HAX2">
        <v>6</v>
      </c>
      <c r="HAY2">
        <v>6</v>
      </c>
      <c r="HAZ2">
        <v>6</v>
      </c>
      <c r="HBA2">
        <v>6</v>
      </c>
      <c r="HBB2">
        <v>6</v>
      </c>
      <c r="HBC2">
        <v>6</v>
      </c>
      <c r="HBD2">
        <v>6</v>
      </c>
      <c r="HBE2">
        <v>6</v>
      </c>
      <c r="HBF2">
        <v>6</v>
      </c>
      <c r="HBG2">
        <v>6</v>
      </c>
      <c r="HBH2">
        <v>6</v>
      </c>
      <c r="HBI2">
        <v>6</v>
      </c>
      <c r="HBJ2">
        <v>6</v>
      </c>
      <c r="HBK2">
        <v>6</v>
      </c>
      <c r="HBL2">
        <v>6</v>
      </c>
      <c r="HBM2">
        <v>6</v>
      </c>
      <c r="HBN2">
        <v>6</v>
      </c>
      <c r="HBO2">
        <v>6</v>
      </c>
      <c r="HBP2">
        <v>6</v>
      </c>
      <c r="HBQ2">
        <v>6</v>
      </c>
      <c r="HBR2">
        <v>6</v>
      </c>
      <c r="HBS2">
        <v>6</v>
      </c>
      <c r="HBT2">
        <v>6</v>
      </c>
      <c r="HBU2">
        <v>6</v>
      </c>
      <c r="HBV2">
        <v>6</v>
      </c>
      <c r="HBW2">
        <v>6</v>
      </c>
      <c r="HBX2">
        <v>6</v>
      </c>
      <c r="HBY2">
        <v>6</v>
      </c>
      <c r="HBZ2">
        <v>6</v>
      </c>
      <c r="HCA2">
        <v>6</v>
      </c>
      <c r="HCB2">
        <v>6</v>
      </c>
      <c r="HCC2">
        <v>6</v>
      </c>
      <c r="HCD2">
        <v>6</v>
      </c>
      <c r="HCE2">
        <v>6</v>
      </c>
      <c r="HCF2">
        <v>6</v>
      </c>
      <c r="HCG2">
        <v>6</v>
      </c>
      <c r="HCH2">
        <v>6</v>
      </c>
      <c r="HCI2">
        <v>6</v>
      </c>
      <c r="HCJ2">
        <v>6</v>
      </c>
      <c r="HCK2">
        <v>6</v>
      </c>
      <c r="HCL2">
        <v>6</v>
      </c>
      <c r="HCM2">
        <v>6</v>
      </c>
      <c r="HCN2">
        <v>6</v>
      </c>
      <c r="HCO2">
        <v>6</v>
      </c>
      <c r="HCP2">
        <v>6</v>
      </c>
      <c r="HCQ2">
        <v>6</v>
      </c>
      <c r="HCR2">
        <v>6</v>
      </c>
      <c r="HCS2">
        <v>6</v>
      </c>
      <c r="HCT2">
        <v>6</v>
      </c>
      <c r="HCU2">
        <v>6</v>
      </c>
      <c r="HCV2">
        <v>6</v>
      </c>
      <c r="HCW2">
        <v>6</v>
      </c>
      <c r="HCX2">
        <v>6</v>
      </c>
      <c r="HCY2">
        <v>6</v>
      </c>
      <c r="HCZ2">
        <v>6</v>
      </c>
      <c r="HDA2">
        <v>6</v>
      </c>
      <c r="HDB2">
        <v>6</v>
      </c>
      <c r="HDC2">
        <v>6</v>
      </c>
      <c r="HDD2">
        <v>6</v>
      </c>
      <c r="HDE2">
        <v>6</v>
      </c>
      <c r="HDF2">
        <v>6</v>
      </c>
      <c r="HDG2">
        <v>6</v>
      </c>
      <c r="HDH2">
        <v>6</v>
      </c>
      <c r="HDI2">
        <v>6</v>
      </c>
      <c r="HDJ2">
        <v>6</v>
      </c>
      <c r="HDK2">
        <v>6</v>
      </c>
      <c r="HDL2">
        <v>6</v>
      </c>
      <c r="HDM2">
        <v>6</v>
      </c>
      <c r="HDN2">
        <v>6</v>
      </c>
      <c r="HDO2">
        <v>6</v>
      </c>
      <c r="HDP2">
        <v>6</v>
      </c>
      <c r="HDQ2">
        <v>6</v>
      </c>
      <c r="HDR2">
        <v>6</v>
      </c>
      <c r="HDS2">
        <v>6</v>
      </c>
      <c r="HDT2">
        <v>6</v>
      </c>
      <c r="HDU2">
        <v>6</v>
      </c>
      <c r="HDV2">
        <v>6</v>
      </c>
      <c r="HDW2">
        <v>6</v>
      </c>
      <c r="HDX2">
        <v>6</v>
      </c>
      <c r="HDY2">
        <v>6</v>
      </c>
      <c r="HDZ2">
        <v>6</v>
      </c>
      <c r="HEA2">
        <v>6</v>
      </c>
      <c r="HEB2">
        <v>6</v>
      </c>
      <c r="HEC2">
        <v>6</v>
      </c>
      <c r="HED2">
        <v>6</v>
      </c>
      <c r="HEE2">
        <v>6</v>
      </c>
      <c r="HEF2">
        <v>6</v>
      </c>
      <c r="HEG2">
        <v>6</v>
      </c>
      <c r="HEH2">
        <v>6</v>
      </c>
      <c r="HEI2">
        <v>6</v>
      </c>
      <c r="HEJ2">
        <v>6</v>
      </c>
      <c r="HEK2">
        <v>6</v>
      </c>
      <c r="HEL2">
        <v>6</v>
      </c>
      <c r="HEM2">
        <v>6</v>
      </c>
      <c r="HEN2">
        <v>6</v>
      </c>
      <c r="HEO2">
        <v>6</v>
      </c>
      <c r="HEP2">
        <v>6</v>
      </c>
      <c r="HEQ2">
        <v>6</v>
      </c>
      <c r="HER2">
        <v>6</v>
      </c>
      <c r="HES2">
        <v>6</v>
      </c>
      <c r="HET2">
        <v>6</v>
      </c>
      <c r="HEU2">
        <v>6</v>
      </c>
      <c r="HEV2">
        <v>6</v>
      </c>
      <c r="HEW2">
        <v>6</v>
      </c>
      <c r="HEX2">
        <v>6</v>
      </c>
      <c r="HEY2">
        <v>6</v>
      </c>
      <c r="HEZ2">
        <v>6</v>
      </c>
      <c r="HFA2">
        <v>6</v>
      </c>
      <c r="HFB2">
        <v>6</v>
      </c>
      <c r="HFC2">
        <v>6</v>
      </c>
      <c r="HFD2">
        <v>6</v>
      </c>
      <c r="HFE2">
        <v>6</v>
      </c>
      <c r="HFF2">
        <v>6</v>
      </c>
      <c r="HFG2">
        <v>6</v>
      </c>
      <c r="HFH2">
        <v>6</v>
      </c>
      <c r="HFI2">
        <v>6</v>
      </c>
      <c r="HFJ2">
        <v>6</v>
      </c>
      <c r="HFK2">
        <v>6</v>
      </c>
      <c r="HFL2">
        <v>6</v>
      </c>
      <c r="HFM2">
        <v>6</v>
      </c>
      <c r="HFN2">
        <v>6</v>
      </c>
      <c r="HFO2">
        <v>6</v>
      </c>
      <c r="HFP2">
        <v>6</v>
      </c>
      <c r="HFQ2">
        <v>6</v>
      </c>
      <c r="HFR2">
        <v>6</v>
      </c>
      <c r="HFS2">
        <v>6</v>
      </c>
      <c r="HFT2">
        <v>6</v>
      </c>
      <c r="HFU2">
        <v>6</v>
      </c>
      <c r="HFV2">
        <v>6</v>
      </c>
      <c r="HFW2">
        <v>6</v>
      </c>
      <c r="HFX2">
        <v>6</v>
      </c>
      <c r="HFY2">
        <v>6</v>
      </c>
      <c r="HFZ2">
        <v>6</v>
      </c>
      <c r="HGA2">
        <v>6</v>
      </c>
      <c r="HGB2">
        <v>6</v>
      </c>
      <c r="HGC2">
        <v>6</v>
      </c>
      <c r="HGD2">
        <v>6</v>
      </c>
      <c r="HGE2">
        <v>6</v>
      </c>
      <c r="HGF2">
        <v>6</v>
      </c>
      <c r="HGG2">
        <v>6</v>
      </c>
      <c r="HGH2">
        <v>6</v>
      </c>
      <c r="HGI2">
        <v>6</v>
      </c>
      <c r="HGJ2">
        <v>6</v>
      </c>
      <c r="HGK2">
        <v>6</v>
      </c>
      <c r="HGL2">
        <v>6</v>
      </c>
      <c r="HGM2">
        <v>6</v>
      </c>
      <c r="HGN2">
        <v>6</v>
      </c>
      <c r="HGO2">
        <v>6</v>
      </c>
      <c r="HGP2">
        <v>6</v>
      </c>
      <c r="HGQ2">
        <v>6</v>
      </c>
      <c r="HGR2">
        <v>6</v>
      </c>
      <c r="HGS2">
        <v>6</v>
      </c>
      <c r="HGT2">
        <v>6</v>
      </c>
      <c r="HGU2">
        <v>6</v>
      </c>
      <c r="HGV2">
        <v>6</v>
      </c>
      <c r="HGW2">
        <v>6</v>
      </c>
      <c r="HGX2">
        <v>6</v>
      </c>
      <c r="HGY2">
        <v>6</v>
      </c>
      <c r="HGZ2">
        <v>6</v>
      </c>
      <c r="HHA2">
        <v>6</v>
      </c>
      <c r="HHB2">
        <v>6</v>
      </c>
      <c r="HHC2">
        <v>6</v>
      </c>
      <c r="HHD2">
        <v>6</v>
      </c>
      <c r="HHE2">
        <v>6</v>
      </c>
      <c r="HHF2">
        <v>6</v>
      </c>
      <c r="HHG2">
        <v>6</v>
      </c>
      <c r="HHH2">
        <v>6</v>
      </c>
      <c r="HHI2">
        <v>6</v>
      </c>
      <c r="HHJ2">
        <v>6</v>
      </c>
      <c r="HHK2">
        <v>6</v>
      </c>
      <c r="HHL2">
        <v>6</v>
      </c>
      <c r="HHM2">
        <v>6</v>
      </c>
      <c r="HHN2">
        <v>6</v>
      </c>
      <c r="HHO2">
        <v>6</v>
      </c>
      <c r="HHP2">
        <v>6</v>
      </c>
      <c r="HHQ2">
        <v>6</v>
      </c>
      <c r="HHR2">
        <v>6</v>
      </c>
      <c r="HHS2">
        <v>6</v>
      </c>
      <c r="HHT2">
        <v>6</v>
      </c>
      <c r="HHU2">
        <v>6</v>
      </c>
      <c r="HHV2">
        <v>6</v>
      </c>
      <c r="HHW2">
        <v>6</v>
      </c>
      <c r="HHX2">
        <v>6</v>
      </c>
      <c r="HHY2">
        <v>6</v>
      </c>
      <c r="HHZ2">
        <v>6</v>
      </c>
      <c r="HIA2">
        <v>6</v>
      </c>
      <c r="HIB2">
        <v>6</v>
      </c>
      <c r="HIC2">
        <v>6</v>
      </c>
      <c r="HID2">
        <v>6</v>
      </c>
      <c r="HIE2">
        <v>6</v>
      </c>
      <c r="HIF2">
        <v>6</v>
      </c>
      <c r="HIG2">
        <v>6</v>
      </c>
      <c r="HIH2">
        <v>6</v>
      </c>
      <c r="HII2">
        <v>6</v>
      </c>
      <c r="HIJ2">
        <v>6</v>
      </c>
      <c r="HIK2">
        <v>6</v>
      </c>
      <c r="HIL2">
        <v>6</v>
      </c>
      <c r="HIM2">
        <v>6</v>
      </c>
      <c r="HIN2">
        <v>6</v>
      </c>
      <c r="HIO2">
        <v>6</v>
      </c>
      <c r="HIP2">
        <v>6</v>
      </c>
      <c r="HIQ2">
        <v>6</v>
      </c>
      <c r="HIR2">
        <v>6</v>
      </c>
      <c r="HIS2">
        <v>6</v>
      </c>
      <c r="HIT2">
        <v>6</v>
      </c>
      <c r="HIU2">
        <v>6</v>
      </c>
      <c r="HIV2">
        <v>6</v>
      </c>
      <c r="HIW2">
        <v>6</v>
      </c>
      <c r="HIX2">
        <v>6</v>
      </c>
      <c r="HIY2">
        <v>6</v>
      </c>
      <c r="HIZ2">
        <v>6</v>
      </c>
      <c r="HJA2">
        <v>6</v>
      </c>
      <c r="HJB2">
        <v>6</v>
      </c>
      <c r="HJC2">
        <v>6</v>
      </c>
      <c r="HJD2">
        <v>6</v>
      </c>
      <c r="HJE2">
        <v>6</v>
      </c>
      <c r="HJF2">
        <v>6</v>
      </c>
      <c r="HJG2">
        <v>6</v>
      </c>
      <c r="HJH2">
        <v>6</v>
      </c>
      <c r="HJI2">
        <v>6</v>
      </c>
      <c r="HJJ2">
        <v>6</v>
      </c>
      <c r="HJK2">
        <v>6</v>
      </c>
      <c r="HJL2">
        <v>6</v>
      </c>
      <c r="HJM2">
        <v>6</v>
      </c>
      <c r="HJN2">
        <v>6</v>
      </c>
      <c r="HJO2">
        <v>6</v>
      </c>
      <c r="HJP2">
        <v>6</v>
      </c>
      <c r="HJQ2">
        <v>6</v>
      </c>
      <c r="HJR2">
        <v>6</v>
      </c>
      <c r="HJS2">
        <v>6</v>
      </c>
      <c r="HJT2">
        <v>6</v>
      </c>
      <c r="HJU2">
        <v>6</v>
      </c>
      <c r="HJV2">
        <v>6</v>
      </c>
      <c r="HJW2">
        <v>6</v>
      </c>
      <c r="HJX2">
        <v>6</v>
      </c>
      <c r="HJY2">
        <v>6</v>
      </c>
      <c r="HJZ2">
        <v>6</v>
      </c>
      <c r="HKA2">
        <v>6</v>
      </c>
      <c r="HKB2">
        <v>6</v>
      </c>
      <c r="HKC2">
        <v>6</v>
      </c>
      <c r="HKD2">
        <v>6</v>
      </c>
      <c r="HKE2">
        <v>6</v>
      </c>
      <c r="HKF2">
        <v>6</v>
      </c>
      <c r="HKG2">
        <v>6</v>
      </c>
      <c r="HKH2">
        <v>6</v>
      </c>
      <c r="HKI2">
        <v>6</v>
      </c>
      <c r="HKJ2">
        <v>6</v>
      </c>
      <c r="HKK2">
        <v>6</v>
      </c>
      <c r="HKL2">
        <v>6</v>
      </c>
      <c r="HKM2">
        <v>6</v>
      </c>
      <c r="HKN2">
        <v>6</v>
      </c>
      <c r="HKO2">
        <v>6</v>
      </c>
      <c r="HKP2">
        <v>6</v>
      </c>
      <c r="HZF2">
        <v>7</v>
      </c>
      <c r="HZG2">
        <v>7</v>
      </c>
      <c r="HZH2">
        <v>7</v>
      </c>
      <c r="HZI2">
        <v>7</v>
      </c>
      <c r="HZJ2">
        <v>7</v>
      </c>
      <c r="HZK2">
        <v>7</v>
      </c>
      <c r="HZL2">
        <v>7</v>
      </c>
      <c r="HZM2">
        <v>7</v>
      </c>
      <c r="HZN2">
        <v>7</v>
      </c>
      <c r="HZO2">
        <v>7</v>
      </c>
      <c r="HZP2">
        <v>7</v>
      </c>
      <c r="HZQ2">
        <v>7</v>
      </c>
      <c r="HZR2">
        <v>7</v>
      </c>
      <c r="HZS2">
        <v>7</v>
      </c>
      <c r="HZT2">
        <v>7</v>
      </c>
      <c r="HZU2">
        <v>7</v>
      </c>
      <c r="HZV2">
        <v>7</v>
      </c>
      <c r="HZW2">
        <v>7</v>
      </c>
      <c r="HZX2">
        <v>7</v>
      </c>
      <c r="HZY2">
        <v>7</v>
      </c>
      <c r="HZZ2">
        <v>7</v>
      </c>
      <c r="IAA2">
        <v>7</v>
      </c>
      <c r="IAB2">
        <v>7</v>
      </c>
      <c r="IAC2">
        <v>7</v>
      </c>
      <c r="IAD2">
        <v>7</v>
      </c>
      <c r="IAE2">
        <v>7</v>
      </c>
      <c r="IAF2">
        <v>7</v>
      </c>
      <c r="IAG2">
        <v>7</v>
      </c>
      <c r="IAH2">
        <v>7</v>
      </c>
      <c r="IAI2">
        <v>7</v>
      </c>
      <c r="IAJ2">
        <v>7</v>
      </c>
      <c r="IAK2">
        <v>7</v>
      </c>
      <c r="IAL2">
        <v>7</v>
      </c>
      <c r="IAM2">
        <v>7</v>
      </c>
      <c r="IAN2">
        <v>7</v>
      </c>
      <c r="IAO2">
        <v>7</v>
      </c>
      <c r="IAP2">
        <v>7</v>
      </c>
      <c r="IAQ2">
        <v>7</v>
      </c>
      <c r="IAR2">
        <v>7</v>
      </c>
      <c r="IAS2">
        <v>7</v>
      </c>
      <c r="IAT2">
        <v>7</v>
      </c>
      <c r="IAU2">
        <v>7</v>
      </c>
      <c r="IAV2">
        <v>7</v>
      </c>
      <c r="IAW2">
        <v>7</v>
      </c>
      <c r="IAX2">
        <v>7</v>
      </c>
      <c r="IAY2">
        <v>7</v>
      </c>
      <c r="IAZ2">
        <v>7</v>
      </c>
      <c r="IBA2">
        <v>7</v>
      </c>
      <c r="IBB2">
        <v>7</v>
      </c>
      <c r="IBC2">
        <v>7</v>
      </c>
      <c r="IBD2">
        <v>7</v>
      </c>
      <c r="IBE2">
        <v>7</v>
      </c>
      <c r="IBF2">
        <v>7</v>
      </c>
      <c r="IBG2">
        <v>7</v>
      </c>
      <c r="IBH2">
        <v>7</v>
      </c>
      <c r="IBI2">
        <v>7</v>
      </c>
      <c r="IBJ2">
        <v>7</v>
      </c>
      <c r="IBK2">
        <v>7</v>
      </c>
      <c r="IBL2">
        <v>7</v>
      </c>
      <c r="IBM2">
        <v>7</v>
      </c>
      <c r="IBN2">
        <v>7</v>
      </c>
      <c r="IBO2">
        <v>7</v>
      </c>
      <c r="IBP2">
        <v>7</v>
      </c>
      <c r="IBQ2">
        <v>7</v>
      </c>
      <c r="IBR2">
        <v>7</v>
      </c>
      <c r="IBS2">
        <v>7</v>
      </c>
      <c r="IBT2">
        <v>7</v>
      </c>
      <c r="IBU2">
        <v>7</v>
      </c>
      <c r="IBV2">
        <v>7</v>
      </c>
      <c r="IBW2">
        <v>7</v>
      </c>
      <c r="IBX2">
        <v>7</v>
      </c>
      <c r="IBY2">
        <v>7</v>
      </c>
      <c r="IBZ2">
        <v>7</v>
      </c>
      <c r="ICA2">
        <v>7</v>
      </c>
      <c r="ICB2">
        <v>7</v>
      </c>
      <c r="ICC2">
        <v>7</v>
      </c>
      <c r="ICD2">
        <v>7</v>
      </c>
      <c r="ICE2">
        <v>7</v>
      </c>
      <c r="ICF2">
        <v>7</v>
      </c>
      <c r="ICG2">
        <v>7</v>
      </c>
      <c r="ICH2">
        <v>7</v>
      </c>
      <c r="ICI2">
        <v>7</v>
      </c>
      <c r="ICJ2">
        <v>7</v>
      </c>
      <c r="ICK2">
        <v>7</v>
      </c>
      <c r="ICL2">
        <v>7</v>
      </c>
      <c r="ICM2">
        <v>7</v>
      </c>
      <c r="ICN2">
        <v>7</v>
      </c>
      <c r="ICO2">
        <v>7</v>
      </c>
      <c r="ICP2">
        <v>7</v>
      </c>
      <c r="ICQ2">
        <v>7</v>
      </c>
      <c r="ICR2">
        <v>7</v>
      </c>
      <c r="ICS2">
        <v>7</v>
      </c>
      <c r="ICT2">
        <v>7</v>
      </c>
      <c r="ICU2">
        <v>7</v>
      </c>
      <c r="ICV2">
        <v>7</v>
      </c>
      <c r="ICW2">
        <v>7</v>
      </c>
      <c r="ICX2">
        <v>7</v>
      </c>
      <c r="ICY2">
        <v>7</v>
      </c>
      <c r="ICZ2">
        <v>7</v>
      </c>
      <c r="IDA2">
        <v>7</v>
      </c>
      <c r="IDB2">
        <v>7</v>
      </c>
      <c r="IDC2">
        <v>7</v>
      </c>
      <c r="IDD2">
        <v>7</v>
      </c>
      <c r="IDE2">
        <v>7</v>
      </c>
      <c r="IDF2">
        <v>7</v>
      </c>
      <c r="IDG2">
        <v>7</v>
      </c>
      <c r="IDH2">
        <v>7</v>
      </c>
      <c r="IDI2">
        <v>7</v>
      </c>
      <c r="IDJ2">
        <v>7</v>
      </c>
      <c r="IDK2">
        <v>7</v>
      </c>
      <c r="IDL2">
        <v>7</v>
      </c>
      <c r="IDM2">
        <v>7</v>
      </c>
      <c r="IDN2">
        <v>7</v>
      </c>
      <c r="IDO2">
        <v>7</v>
      </c>
      <c r="IDP2">
        <v>7</v>
      </c>
      <c r="IDQ2">
        <v>7</v>
      </c>
      <c r="IDR2">
        <v>7</v>
      </c>
      <c r="IDS2">
        <v>7</v>
      </c>
      <c r="IDT2">
        <v>7</v>
      </c>
      <c r="IDU2">
        <v>7</v>
      </c>
      <c r="IDV2">
        <v>7</v>
      </c>
      <c r="IDW2">
        <v>7</v>
      </c>
      <c r="IDX2">
        <v>7</v>
      </c>
      <c r="IDY2">
        <v>7</v>
      </c>
      <c r="IDZ2">
        <v>7</v>
      </c>
      <c r="IEA2">
        <v>7</v>
      </c>
      <c r="IEB2">
        <v>7</v>
      </c>
      <c r="IEC2">
        <v>7</v>
      </c>
      <c r="IED2">
        <v>7</v>
      </c>
      <c r="IEE2">
        <v>7</v>
      </c>
      <c r="IEF2">
        <v>7</v>
      </c>
      <c r="IEG2">
        <v>7</v>
      </c>
      <c r="IEH2">
        <v>7</v>
      </c>
      <c r="IEI2">
        <v>7</v>
      </c>
      <c r="IEJ2">
        <v>7</v>
      </c>
      <c r="IEK2">
        <v>7</v>
      </c>
      <c r="IEL2">
        <v>7</v>
      </c>
      <c r="IEM2">
        <v>7</v>
      </c>
      <c r="IEN2">
        <v>7</v>
      </c>
      <c r="IEO2">
        <v>7</v>
      </c>
      <c r="IEP2">
        <v>7</v>
      </c>
      <c r="IEQ2">
        <v>7</v>
      </c>
      <c r="IER2">
        <v>7</v>
      </c>
      <c r="IES2">
        <v>7</v>
      </c>
      <c r="IET2">
        <v>7</v>
      </c>
      <c r="IEU2">
        <v>7</v>
      </c>
      <c r="IEV2">
        <v>7</v>
      </c>
      <c r="IEW2">
        <v>7</v>
      </c>
      <c r="IEX2">
        <v>7</v>
      </c>
      <c r="IEY2">
        <v>7</v>
      </c>
      <c r="IEZ2">
        <v>7</v>
      </c>
      <c r="IFA2">
        <v>7</v>
      </c>
      <c r="IFB2">
        <v>7</v>
      </c>
      <c r="IFC2">
        <v>7</v>
      </c>
      <c r="IFD2">
        <v>7</v>
      </c>
      <c r="IFE2">
        <v>7</v>
      </c>
      <c r="IFF2">
        <v>7</v>
      </c>
      <c r="IFG2">
        <v>7</v>
      </c>
      <c r="IFH2">
        <v>7</v>
      </c>
      <c r="IFI2">
        <v>7</v>
      </c>
      <c r="IFJ2">
        <v>7</v>
      </c>
      <c r="IFK2">
        <v>7</v>
      </c>
      <c r="IFL2">
        <v>7</v>
      </c>
      <c r="IFM2">
        <v>7</v>
      </c>
      <c r="IFN2">
        <v>7</v>
      </c>
      <c r="IFO2">
        <v>7</v>
      </c>
      <c r="IFP2">
        <v>7</v>
      </c>
      <c r="IFQ2">
        <v>7</v>
      </c>
      <c r="IFR2">
        <v>7</v>
      </c>
      <c r="IFS2">
        <v>7</v>
      </c>
      <c r="IFT2">
        <v>7</v>
      </c>
      <c r="IFU2">
        <v>7</v>
      </c>
      <c r="IFV2">
        <v>7</v>
      </c>
      <c r="IFW2">
        <v>7</v>
      </c>
      <c r="IFX2">
        <v>7</v>
      </c>
      <c r="IFY2">
        <v>7</v>
      </c>
      <c r="IFZ2">
        <v>7</v>
      </c>
      <c r="IGA2">
        <v>7</v>
      </c>
      <c r="IGB2">
        <v>7</v>
      </c>
      <c r="IGC2">
        <v>7</v>
      </c>
      <c r="IGD2">
        <v>7</v>
      </c>
      <c r="IGE2">
        <v>7</v>
      </c>
      <c r="IGF2">
        <v>7</v>
      </c>
      <c r="IGG2">
        <v>7</v>
      </c>
      <c r="IGH2">
        <v>7</v>
      </c>
      <c r="IGI2">
        <v>7</v>
      </c>
      <c r="IGJ2">
        <v>7</v>
      </c>
      <c r="IGK2">
        <v>7</v>
      </c>
      <c r="IGL2">
        <v>7</v>
      </c>
      <c r="IGM2">
        <v>7</v>
      </c>
      <c r="IGN2">
        <v>7</v>
      </c>
      <c r="IGO2">
        <v>7</v>
      </c>
      <c r="IGP2">
        <v>7</v>
      </c>
      <c r="IGQ2">
        <v>7</v>
      </c>
      <c r="IGR2">
        <v>7</v>
      </c>
      <c r="IGS2">
        <v>7</v>
      </c>
      <c r="IGT2">
        <v>7</v>
      </c>
      <c r="IGU2">
        <v>7</v>
      </c>
      <c r="IGV2">
        <v>7</v>
      </c>
      <c r="IGW2">
        <v>7</v>
      </c>
      <c r="IGX2">
        <v>7</v>
      </c>
      <c r="IGY2">
        <v>7</v>
      </c>
      <c r="IGZ2">
        <v>7</v>
      </c>
      <c r="IHA2">
        <v>7</v>
      </c>
      <c r="IHB2">
        <v>7</v>
      </c>
      <c r="IHC2">
        <v>7</v>
      </c>
      <c r="IHD2">
        <v>7</v>
      </c>
      <c r="IHE2">
        <v>7</v>
      </c>
      <c r="IHF2">
        <v>7</v>
      </c>
      <c r="IHG2">
        <v>7</v>
      </c>
      <c r="IHH2">
        <v>7</v>
      </c>
      <c r="IHI2">
        <v>7</v>
      </c>
      <c r="IHJ2">
        <v>7</v>
      </c>
      <c r="IHK2">
        <v>7</v>
      </c>
      <c r="IHL2">
        <v>7</v>
      </c>
      <c r="IHM2">
        <v>7</v>
      </c>
      <c r="IHN2">
        <v>7</v>
      </c>
      <c r="IHO2">
        <v>7</v>
      </c>
      <c r="IHP2">
        <v>7</v>
      </c>
      <c r="IHQ2">
        <v>7</v>
      </c>
      <c r="IHR2">
        <v>7</v>
      </c>
      <c r="IHS2">
        <v>7</v>
      </c>
      <c r="IHT2">
        <v>7</v>
      </c>
      <c r="IHU2">
        <v>7</v>
      </c>
      <c r="IHV2">
        <v>7</v>
      </c>
      <c r="IHW2">
        <v>7</v>
      </c>
      <c r="IHX2">
        <v>7</v>
      </c>
      <c r="IHY2">
        <v>7</v>
      </c>
      <c r="IHZ2">
        <v>7</v>
      </c>
      <c r="IIA2">
        <v>7</v>
      </c>
      <c r="IIB2">
        <v>7</v>
      </c>
      <c r="IIC2">
        <v>7</v>
      </c>
      <c r="IID2">
        <v>7</v>
      </c>
      <c r="IIE2">
        <v>7</v>
      </c>
      <c r="IIF2">
        <v>7</v>
      </c>
      <c r="IIG2">
        <v>7</v>
      </c>
      <c r="IIH2">
        <v>7</v>
      </c>
      <c r="III2">
        <v>7</v>
      </c>
      <c r="IIJ2">
        <v>7</v>
      </c>
      <c r="IIK2">
        <v>7</v>
      </c>
      <c r="IIL2">
        <v>7</v>
      </c>
      <c r="IIM2">
        <v>7</v>
      </c>
      <c r="IIN2">
        <v>7</v>
      </c>
      <c r="IIO2">
        <v>7</v>
      </c>
      <c r="IIP2">
        <v>7</v>
      </c>
      <c r="IIQ2">
        <v>7</v>
      </c>
      <c r="IIR2">
        <v>7</v>
      </c>
      <c r="IIS2">
        <v>7</v>
      </c>
      <c r="IIT2">
        <v>7</v>
      </c>
      <c r="IIU2">
        <v>7</v>
      </c>
      <c r="IIV2">
        <v>7</v>
      </c>
      <c r="IIW2">
        <v>7</v>
      </c>
      <c r="IIX2">
        <v>7</v>
      </c>
      <c r="IIY2">
        <v>7</v>
      </c>
      <c r="IIZ2">
        <v>7</v>
      </c>
      <c r="IJA2">
        <v>7</v>
      </c>
      <c r="IJB2">
        <v>7</v>
      </c>
      <c r="IJC2">
        <v>7</v>
      </c>
      <c r="IJD2">
        <v>7</v>
      </c>
      <c r="IJE2">
        <v>7</v>
      </c>
      <c r="IJF2">
        <v>7</v>
      </c>
      <c r="IJG2">
        <v>7</v>
      </c>
      <c r="IJH2">
        <v>7</v>
      </c>
      <c r="IJI2">
        <v>7</v>
      </c>
      <c r="IJJ2">
        <v>7</v>
      </c>
      <c r="IJK2">
        <v>7</v>
      </c>
      <c r="IJL2">
        <v>7</v>
      </c>
      <c r="IJM2">
        <v>7</v>
      </c>
      <c r="IJN2">
        <v>7</v>
      </c>
      <c r="IJO2">
        <v>7</v>
      </c>
      <c r="IJP2">
        <v>7</v>
      </c>
      <c r="IJQ2">
        <v>7</v>
      </c>
      <c r="IJR2">
        <v>7</v>
      </c>
      <c r="IJS2">
        <v>7</v>
      </c>
      <c r="IJT2">
        <v>7</v>
      </c>
      <c r="IJU2">
        <v>7</v>
      </c>
      <c r="IJV2">
        <v>7</v>
      </c>
      <c r="IJW2">
        <v>7</v>
      </c>
      <c r="IJX2">
        <v>7</v>
      </c>
      <c r="IJY2">
        <v>7</v>
      </c>
      <c r="IJZ2">
        <v>7</v>
      </c>
      <c r="IKA2">
        <v>7</v>
      </c>
      <c r="IKB2">
        <v>7</v>
      </c>
      <c r="IKC2">
        <v>7</v>
      </c>
      <c r="IKD2">
        <v>7</v>
      </c>
      <c r="IKE2">
        <v>7</v>
      </c>
      <c r="IKF2">
        <v>7</v>
      </c>
      <c r="IKG2">
        <v>7</v>
      </c>
      <c r="IKH2">
        <v>7</v>
      </c>
      <c r="IKI2">
        <v>7</v>
      </c>
      <c r="IKJ2">
        <v>7</v>
      </c>
      <c r="IKK2">
        <v>7</v>
      </c>
      <c r="IKL2">
        <v>7</v>
      </c>
      <c r="IKM2">
        <v>7</v>
      </c>
      <c r="IKN2">
        <v>7</v>
      </c>
      <c r="IKO2">
        <v>7</v>
      </c>
      <c r="IKP2">
        <v>7</v>
      </c>
      <c r="IKQ2">
        <v>7</v>
      </c>
      <c r="IKR2">
        <v>7</v>
      </c>
      <c r="IKS2">
        <v>7</v>
      </c>
      <c r="IKT2">
        <v>7</v>
      </c>
      <c r="IKU2">
        <v>7</v>
      </c>
      <c r="IKV2">
        <v>7</v>
      </c>
      <c r="IKW2">
        <v>7</v>
      </c>
      <c r="IKX2">
        <v>7</v>
      </c>
      <c r="IKY2">
        <v>7</v>
      </c>
      <c r="IKZ2">
        <v>7</v>
      </c>
      <c r="ILA2">
        <v>7</v>
      </c>
      <c r="ILB2">
        <v>7</v>
      </c>
      <c r="ILC2">
        <v>7</v>
      </c>
      <c r="ILD2">
        <v>7</v>
      </c>
      <c r="ILE2">
        <v>7</v>
      </c>
      <c r="ILF2">
        <v>7</v>
      </c>
      <c r="ILG2">
        <v>7</v>
      </c>
      <c r="ILH2">
        <v>7</v>
      </c>
      <c r="ILI2">
        <v>7</v>
      </c>
      <c r="ILJ2">
        <v>7</v>
      </c>
      <c r="ILK2">
        <v>7</v>
      </c>
      <c r="ILL2">
        <v>7</v>
      </c>
      <c r="ILM2">
        <v>7</v>
      </c>
      <c r="ILN2">
        <v>7</v>
      </c>
      <c r="ILO2">
        <v>7</v>
      </c>
      <c r="ILP2">
        <v>7</v>
      </c>
      <c r="ILQ2">
        <v>7</v>
      </c>
      <c r="ILR2">
        <v>7</v>
      </c>
      <c r="ILS2">
        <v>7</v>
      </c>
      <c r="ILT2">
        <v>7</v>
      </c>
      <c r="ILU2">
        <v>7</v>
      </c>
      <c r="ILV2">
        <v>7</v>
      </c>
      <c r="ILW2">
        <v>7</v>
      </c>
      <c r="ILX2">
        <v>7</v>
      </c>
      <c r="ILY2">
        <v>7</v>
      </c>
      <c r="ILZ2">
        <v>7</v>
      </c>
      <c r="IMA2">
        <v>7</v>
      </c>
      <c r="IMB2">
        <v>7</v>
      </c>
      <c r="IMC2">
        <v>7</v>
      </c>
      <c r="IMD2">
        <v>7</v>
      </c>
      <c r="IME2">
        <v>7</v>
      </c>
      <c r="IMF2">
        <v>7</v>
      </c>
      <c r="IMG2">
        <v>7</v>
      </c>
      <c r="IMH2">
        <v>7</v>
      </c>
      <c r="IMI2">
        <v>7</v>
      </c>
      <c r="IMJ2">
        <v>7</v>
      </c>
      <c r="IMK2">
        <v>7</v>
      </c>
      <c r="IML2">
        <v>7</v>
      </c>
      <c r="IMM2">
        <v>7</v>
      </c>
      <c r="IMN2">
        <v>7</v>
      </c>
      <c r="IMO2">
        <v>7</v>
      </c>
      <c r="IMP2">
        <v>7</v>
      </c>
      <c r="IMQ2">
        <v>7</v>
      </c>
      <c r="IMR2">
        <v>7</v>
      </c>
      <c r="IMS2">
        <v>7</v>
      </c>
      <c r="IMT2">
        <v>7</v>
      </c>
      <c r="IMU2">
        <v>7</v>
      </c>
      <c r="IMV2">
        <v>7</v>
      </c>
      <c r="IMW2">
        <v>7</v>
      </c>
      <c r="IMX2">
        <v>7</v>
      </c>
      <c r="IMY2">
        <v>7</v>
      </c>
      <c r="IMZ2">
        <v>7</v>
      </c>
      <c r="INA2">
        <v>7</v>
      </c>
      <c r="INB2">
        <v>7</v>
      </c>
      <c r="INC2">
        <v>7</v>
      </c>
      <c r="IND2">
        <v>7</v>
      </c>
      <c r="INE2">
        <v>7</v>
      </c>
      <c r="INF2">
        <v>7</v>
      </c>
      <c r="ING2">
        <v>7</v>
      </c>
      <c r="INH2">
        <v>7</v>
      </c>
      <c r="INI2">
        <v>7</v>
      </c>
      <c r="INJ2">
        <v>7</v>
      </c>
      <c r="INK2">
        <v>7</v>
      </c>
      <c r="INL2">
        <v>7</v>
      </c>
      <c r="INM2">
        <v>7</v>
      </c>
      <c r="INN2">
        <v>7</v>
      </c>
      <c r="INO2">
        <v>7</v>
      </c>
      <c r="INP2">
        <v>7</v>
      </c>
      <c r="INQ2">
        <v>7</v>
      </c>
      <c r="INR2">
        <v>7</v>
      </c>
      <c r="INS2">
        <v>7</v>
      </c>
      <c r="INT2">
        <v>7</v>
      </c>
      <c r="INU2">
        <v>7</v>
      </c>
      <c r="INV2">
        <v>7</v>
      </c>
      <c r="INW2">
        <v>7</v>
      </c>
      <c r="INX2">
        <v>7</v>
      </c>
      <c r="INY2">
        <v>7</v>
      </c>
      <c r="INZ2">
        <v>7</v>
      </c>
      <c r="IOA2">
        <v>7</v>
      </c>
      <c r="IOB2">
        <v>7</v>
      </c>
      <c r="IOC2">
        <v>7</v>
      </c>
      <c r="IOD2">
        <v>7</v>
      </c>
      <c r="IOE2">
        <v>7</v>
      </c>
      <c r="IOF2">
        <v>7</v>
      </c>
      <c r="IOG2">
        <v>7</v>
      </c>
      <c r="IOH2">
        <v>7</v>
      </c>
      <c r="KGU2" s="1">
        <f t="shared" ref="KGU2:KGU81" si="0">COUNTIF($C2:$KFD2,"1")</f>
        <v>201</v>
      </c>
      <c r="KGV2">
        <f t="shared" ref="KGV2:KGV81" si="1">COUNTIF($C2:$KFD2,"2")</f>
        <v>279</v>
      </c>
      <c r="KGW2">
        <f t="shared" ref="KGW2:KGW81" si="2">COUNTIF($C2:$KFD2,"3")</f>
        <v>231</v>
      </c>
      <c r="KGX2">
        <f t="shared" ref="KGX2:KGX81" si="3">COUNTIF($C2:$KFD2,"4")</f>
        <v>179</v>
      </c>
      <c r="KGY2">
        <f t="shared" ref="KGY2:KGY81" si="4">COUNTIF($C2:$KFD2,"5")</f>
        <v>258</v>
      </c>
      <c r="KGZ2">
        <f t="shared" ref="KGZ2:KGZ81" si="5">COUNTIF($C2:$KFD2,"6")</f>
        <v>347</v>
      </c>
      <c r="KHA2">
        <f t="shared" ref="KHA2:KHA81" si="6">COUNTIF($C2:$KFD2,"7")</f>
        <v>393</v>
      </c>
      <c r="KHB2">
        <f t="shared" ref="KHB2:KHB81" si="7">COUNTIF($C2:$KFD2,"8")</f>
        <v>0</v>
      </c>
      <c r="KHC2">
        <f t="shared" ref="KHC2:KHC81" si="8">COUNTIF($C2:$KFD2,"9")</f>
        <v>0</v>
      </c>
      <c r="KHD2">
        <f t="shared" ref="KHD2:KHD81" si="9">COUNTIF($C2:$KFD2,"10")</f>
        <v>0</v>
      </c>
      <c r="KHE2">
        <f t="shared" ref="KHE2:KHE81" si="10">COUNTIF($C2:$KFD2,"11")</f>
        <v>0</v>
      </c>
      <c r="KHF2">
        <f t="shared" ref="KHF2:KHF81" si="11">COUNTIF($C2:$KFD2,"12")</f>
        <v>0</v>
      </c>
      <c r="KHG2">
        <f t="shared" ref="KHG2:KHG81" si="12">COUNTIF($C2:$KFD2,"13")</f>
        <v>0</v>
      </c>
      <c r="KHH2">
        <f t="shared" ref="KHH2:KHH81" si="13">COUNTIF($C2:$KFD2,"14")</f>
        <v>0</v>
      </c>
      <c r="KHI2">
        <f t="shared" ref="KHI2:KHI81" si="14">COUNTIF($C2:$KFD2,"15")</f>
        <v>0</v>
      </c>
      <c r="KHJ2">
        <f t="shared" ref="KHJ2:KHJ81" si="15">COUNTIF($C2:$KFD2,"16")</f>
        <v>0</v>
      </c>
      <c r="KHK2">
        <f t="shared" ref="KHK2:KHK81" si="16">COUNTIF($C2:$KFD2,"17")</f>
        <v>0</v>
      </c>
      <c r="KHL2">
        <f t="shared" ref="KHL2:KHL81" si="17">COUNTIF($C2:$KFD2,"18")</f>
        <v>0</v>
      </c>
      <c r="KHM2">
        <f t="shared" ref="KHM2:KHM81" si="18">COUNTIF($C2:$KFD2,"19")</f>
        <v>0</v>
      </c>
      <c r="KHN2">
        <f t="shared" ref="KHN2:KHN81" si="19">COUNTIF($C2:$KFD2,"20")</f>
        <v>0</v>
      </c>
      <c r="KHO2">
        <f t="shared" ref="KHO2:KHO81" si="20">COUNTIF($C2:$KFD2,"21")</f>
        <v>0</v>
      </c>
      <c r="KHP2">
        <f t="shared" ref="KHP2:KHP81" si="21">COUNTIF($C2:$KFD2,"22")</f>
        <v>0</v>
      </c>
      <c r="KHQ2">
        <f t="shared" ref="KHQ2:KHQ81" si="22">COUNTIF($C2:$KFD2,"23")</f>
        <v>0</v>
      </c>
      <c r="KHR2">
        <f t="shared" ref="KHR2:KHR81" si="23">COUNTIF($C2:$KFD2,"24")</f>
        <v>0</v>
      </c>
      <c r="KHS2">
        <f t="shared" ref="KHS2:KHS81" si="24">COUNTIF($C2:$KFD2,"25")</f>
        <v>0</v>
      </c>
      <c r="KHT2">
        <f t="shared" ref="KHT2:KHT81" si="25">COUNTIF($C2:$KFD2,"26")</f>
        <v>0</v>
      </c>
      <c r="KHU2">
        <f t="shared" ref="KHU2:KHU81" si="26">COUNTIF($C2:$KFD2,"27")</f>
        <v>0</v>
      </c>
      <c r="KHV2">
        <f t="shared" ref="KHV2:KHV81" si="27">COUNTIF($C2:$KFD2,"28")</f>
        <v>0</v>
      </c>
      <c r="KHW2">
        <f t="shared" ref="KHW2:KHW81" si="28">COUNTIF($C2:$KFD2,"29")</f>
        <v>0</v>
      </c>
      <c r="KHX2">
        <f t="shared" ref="KHX2:KHX81" si="29">COUNTIF($C2:$KFD2,"30")</f>
        <v>0</v>
      </c>
      <c r="KHY2">
        <f t="shared" ref="KHY2:KHY81" si="30">COUNTIF($C2:$KFD2,"31")</f>
        <v>0</v>
      </c>
      <c r="KHZ2">
        <f t="shared" ref="KHZ2:KHZ81" si="31">COUNTIF($C2:$KFD2,"32")</f>
        <v>0</v>
      </c>
      <c r="KIA2">
        <f t="shared" ref="KIA2:KIA81" si="32">COUNTIF($C2:$KFD2,"33")</f>
        <v>0</v>
      </c>
      <c r="KIB2">
        <f t="shared" ref="KIB2:KIB81" si="33">COUNTIF($C2:$KFD2,"34")</f>
        <v>0</v>
      </c>
      <c r="KIC2">
        <f t="shared" ref="KIC2:KIC81" si="34">COUNTIF($C2:$KFD2,"35")</f>
        <v>0</v>
      </c>
      <c r="KID2">
        <f t="shared" ref="KID2:KID81" si="35">COUNTIF($C2:$KFD2,"36")</f>
        <v>0</v>
      </c>
      <c r="KIE2">
        <f t="shared" ref="KIE2:KIE81" si="36">COUNTIF($C2:$KFD2,"37")</f>
        <v>0</v>
      </c>
      <c r="KIF2">
        <f t="shared" ref="KIF2:KIF81" si="37">COUNTIF($C2:$KFD2,"38")</f>
        <v>0</v>
      </c>
      <c r="KIG2">
        <f t="shared" ref="KIG2:KIG81" si="38">COUNTIF($C2:$KFD2,"39")</f>
        <v>0</v>
      </c>
      <c r="KIH2">
        <f t="shared" ref="KIH2:KIH81" si="39">COUNTIF($C2:$KFD2,"40")</f>
        <v>0</v>
      </c>
      <c r="KII2">
        <f t="shared" ref="KII2:KII81" si="40">COUNTIF($C2:$KFD2,"41")</f>
        <v>0</v>
      </c>
      <c r="KIJ2">
        <f t="shared" ref="KIJ2:KIJ81" si="41">COUNTIF($C2:$KFD2,"42")</f>
        <v>0</v>
      </c>
      <c r="KIK2">
        <f t="shared" ref="KIK2:KIK81" si="42">COUNTIF($C2:$KFD2,"43")</f>
        <v>0</v>
      </c>
      <c r="KIL2">
        <f t="shared" ref="KIL2:KIL81" si="43">COUNTIF($C2:$KFD2,"44")</f>
        <v>0</v>
      </c>
      <c r="KIM2">
        <f t="shared" ref="KIM2:KIM81" si="44">COUNTIF($C2:$KFD2,"45")</f>
        <v>0</v>
      </c>
      <c r="KIN2">
        <f t="shared" ref="KIN2:KIN81" si="45">COUNTIF($C2:$KFD2,"46")</f>
        <v>0</v>
      </c>
      <c r="KIO2">
        <f t="shared" ref="KIO2:KIO81" si="46">COUNTIF($C2:$KFD2,"47")</f>
        <v>0</v>
      </c>
      <c r="KIP2">
        <f t="shared" ref="KIP2:KIP81" si="47">COUNTIF($C2:$KFD2,"48")</f>
        <v>0</v>
      </c>
      <c r="KIQ2">
        <f t="shared" ref="KIQ2:KIQ81" si="48">COUNTIF($C2:$KFD2,"49")</f>
        <v>0</v>
      </c>
      <c r="KIR2">
        <f t="shared" ref="KIR2:KIR81" si="49">COUNTIF($C2:$KFD2,"50")</f>
        <v>0</v>
      </c>
      <c r="KIS2">
        <f t="shared" ref="KIS2:KIS81" si="50">COUNTIF($C2:$KFD2,"51")</f>
        <v>0</v>
      </c>
      <c r="KIT2">
        <f t="shared" ref="KIT2:KIT81" si="51">COUNTIF($C2:$KFD2,"52")</f>
        <v>0</v>
      </c>
      <c r="KIU2">
        <f t="shared" ref="KIU2:KIU81" si="52">COUNTIF($C2:$KFD2,"53")</f>
        <v>0</v>
      </c>
      <c r="KIV2">
        <f t="shared" ref="KIV2:KIV81" si="53">COUNTIF($C2:$KFD2,"54")</f>
        <v>0</v>
      </c>
      <c r="KIW2">
        <f t="shared" ref="KIW2:KIW81" si="54">COUNTIF($C2:$KFD2,"55")</f>
        <v>0</v>
      </c>
      <c r="KIX2">
        <f t="shared" ref="KIX2:KIX81" si="55">COUNTIF($C2:$KFD2,"56")</f>
        <v>0</v>
      </c>
      <c r="KIY2">
        <f t="shared" ref="KIY2:KIY81" si="56">COUNTIF($C2:$KFD2,"57")</f>
        <v>0</v>
      </c>
      <c r="KIZ2">
        <f t="shared" ref="KIZ2:KIZ81" si="57">COUNTIF($C2:$KFD2,"58")</f>
        <v>0</v>
      </c>
      <c r="KJA2">
        <f t="shared" ref="KJA2:KJA81" si="58">COUNTIF($C2:$KFD2,"59")</f>
        <v>0</v>
      </c>
      <c r="KJB2">
        <f t="shared" ref="KJB2:KJB81" si="59">COUNTIF($C2:$KFD2,"60")</f>
        <v>0</v>
      </c>
      <c r="KJC2">
        <f t="shared" ref="KJC2:KJC81" si="60">COUNTIF($C2:$KFD2,"61")</f>
        <v>0</v>
      </c>
      <c r="KJD2">
        <f t="shared" ref="KJD2:KJD81" si="61">COUNTIF($C2:$KFD2,"62")</f>
        <v>0</v>
      </c>
      <c r="KJE2">
        <f t="shared" ref="KJE2:KJE81" si="62">COUNTIF($C2:$KFD2,"63")</f>
        <v>0</v>
      </c>
      <c r="KJF2">
        <f t="shared" ref="KJF2:KJF81" si="63">COUNTIF($C2:$KFD2,"64")</f>
        <v>0</v>
      </c>
      <c r="KJG2">
        <f t="shared" ref="KJG2:KJG81" si="64">COUNTIF($C2:$KFD2,"65")</f>
        <v>0</v>
      </c>
      <c r="KJH2">
        <f t="shared" ref="KJH2:KJH81" si="65">COUNTIF($C2:$KFD2,"66")</f>
        <v>0</v>
      </c>
      <c r="KJI2">
        <f t="shared" ref="KJI2:KJI81" si="66">COUNTIF($C2:$KFD2,"67")</f>
        <v>0</v>
      </c>
      <c r="KJJ2">
        <f t="shared" ref="KJJ2:KJJ81" si="67">COUNTIF($C2:$KFD2,"68")</f>
        <v>0</v>
      </c>
      <c r="KJK2">
        <f t="shared" ref="KJK2:KJK81" si="68">COUNTIF($C2:$KFD2,"69")</f>
        <v>0</v>
      </c>
      <c r="KJL2">
        <f t="shared" ref="KJL2:KJL81" si="69">COUNTIF($C2:$KFD2,"70")</f>
        <v>0</v>
      </c>
      <c r="KJM2">
        <f t="shared" ref="KJM2:KJM81" si="70">COUNTIF($C2:$KFD2,"71")</f>
        <v>0</v>
      </c>
      <c r="KJN2">
        <f t="shared" ref="KJN2:KJN81" si="71">COUNTIF($C2:$KFD2,"72")</f>
        <v>0</v>
      </c>
      <c r="KJO2">
        <f t="shared" ref="KJO2:KJO81" si="72">COUNTIF($C2:$KFD2,"73")</f>
        <v>0</v>
      </c>
      <c r="KJP2">
        <f t="shared" ref="KJP2:KJP81" si="73">COUNTIF($C2:$KFD2,"74")</f>
        <v>0</v>
      </c>
      <c r="KJQ2">
        <f t="shared" ref="KJQ2:KJQ81" si="74">COUNTIF($C2:$KFD2,"75")</f>
        <v>0</v>
      </c>
      <c r="KJR2">
        <f t="shared" ref="KJR2:KJR81" si="75">COUNTIF($C2:$KFD2,"76")</f>
        <v>0</v>
      </c>
      <c r="KJS2">
        <f t="shared" ref="KJS2:KJS81" si="76">COUNTIF($C2:$KFD2,"70")</f>
        <v>0</v>
      </c>
      <c r="KJT2">
        <f t="shared" ref="KJT2:KJT81" si="77">COUNTIF($C2:$KFD2,"78")</f>
        <v>0</v>
      </c>
      <c r="KJU2">
        <f t="shared" ref="KJU2:KJU81" si="78">COUNTIF($C2:$KFD2,"79")</f>
        <v>0</v>
      </c>
      <c r="KJV2">
        <f t="shared" ref="KJV2:KJV81" si="79">COUNTIF($C2:$KFD2,"80")</f>
        <v>0</v>
      </c>
      <c r="KJW2">
        <f t="shared" ref="KJW2:KJW81" si="80">COUNTIF($C2:$KFD2,"81")</f>
        <v>0</v>
      </c>
      <c r="KJX2">
        <f t="shared" ref="KJX2:KJX81" si="81">COUNTIF($C2:$KFD2,"82")</f>
        <v>0</v>
      </c>
      <c r="KJY2">
        <f t="shared" ref="KJY2:KJY81" si="82">COUNTIF($C2:$KFD2,"83")</f>
        <v>0</v>
      </c>
      <c r="KJZ2">
        <f t="shared" ref="KJZ2:KJZ81" si="83">COUNTIF($C2:$KFD2,"84")</f>
        <v>0</v>
      </c>
      <c r="KKA2">
        <f t="shared" ref="KKA2:KKA81" si="84">COUNTIF($C2:$KFD2,"85")</f>
        <v>0</v>
      </c>
      <c r="KKB2">
        <f t="shared" ref="KKB2:KKB81" si="85">COUNTIF($C2:$KFD2,"86")</f>
        <v>0</v>
      </c>
      <c r="KKC2">
        <f t="shared" ref="KKC2:KKC81" si="86">COUNTIF($C2:$KFD2,"87")</f>
        <v>0</v>
      </c>
      <c r="KKD2">
        <f t="shared" ref="KKD2:KKD81" si="87">COUNTIF($C2:$KFD2,"88")</f>
        <v>0</v>
      </c>
      <c r="KKE2">
        <f t="shared" ref="KKE2:KKE81" si="88">COUNTIF($C2:$KFD2,"89")</f>
        <v>0</v>
      </c>
      <c r="KKF2">
        <f t="shared" ref="KKF2:KKF81" si="89">COUNTIF($C2:$KFD2,"90")</f>
        <v>0</v>
      </c>
      <c r="KKG2">
        <f t="shared" ref="KKG2:KKG81" si="90">COUNTIF($C2:$KFD2,"91")</f>
        <v>0</v>
      </c>
      <c r="KKH2">
        <f t="shared" ref="KKH2:KKH81" si="91">COUNTIF($C2:$KFD2,"92")</f>
        <v>0</v>
      </c>
      <c r="KKI2">
        <f t="shared" ref="KKI2:KKI81" si="92">COUNTIF($C2:$KFD2,"93")</f>
        <v>0</v>
      </c>
      <c r="KKJ2">
        <f t="shared" ref="KKJ2:KKJ81" si="93">COUNTIF($C2:$KFD2,"94")</f>
        <v>0</v>
      </c>
      <c r="KKK2">
        <f t="shared" ref="KKK2:KKK81" si="94">COUNTIF($C2:$KFD2,"95")</f>
        <v>0</v>
      </c>
      <c r="KKL2">
        <f t="shared" ref="KKL2:KKL81" si="95">COUNTIF($C2:$KFD2,"96")</f>
        <v>0</v>
      </c>
      <c r="KKM2">
        <f t="shared" ref="KKM2:KKM81" si="96">COUNTIF($C2:$KFD2,"97")</f>
        <v>0</v>
      </c>
      <c r="KKN2">
        <f t="shared" ref="KKN2:KKN81" si="97">COUNTIF($C2:$KFD2,"98")</f>
        <v>0</v>
      </c>
      <c r="KKO2">
        <f t="shared" ref="KKO2:KKO81" si="98">COUNTIF($C2:$KFD2,"99")</f>
        <v>0</v>
      </c>
      <c r="KKP2">
        <f t="shared" ref="KKP2:KKP81" si="99">COUNTIF($C2:$KFD2,"100")</f>
        <v>0</v>
      </c>
      <c r="KKR2">
        <f>SUM($KGU2:$KKQ2)</f>
        <v>1888</v>
      </c>
      <c r="KKS2">
        <f>SUM($KGU2:$KKQ2)</f>
        <v>1888</v>
      </c>
      <c r="KKU2">
        <f>$KKR2*40/1000</f>
        <v>75.52</v>
      </c>
      <c r="KKV2">
        <f>$KKR2*40/1000</f>
        <v>75.52</v>
      </c>
    </row>
    <row r="3" spans="1:7745">
      <c r="A3" t="s">
        <v>2</v>
      </c>
      <c r="B3">
        <v>7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1</v>
      </c>
      <c r="APP3">
        <v>1</v>
      </c>
      <c r="BTB3">
        <v>2</v>
      </c>
      <c r="BTC3">
        <v>2</v>
      </c>
      <c r="BTD3">
        <v>2</v>
      </c>
      <c r="BTE3">
        <v>2</v>
      </c>
      <c r="BTF3">
        <v>2</v>
      </c>
      <c r="BTG3">
        <v>2</v>
      </c>
      <c r="BTH3">
        <v>2</v>
      </c>
      <c r="BTI3">
        <v>2</v>
      </c>
      <c r="BTJ3">
        <v>2</v>
      </c>
      <c r="BTK3">
        <v>2</v>
      </c>
      <c r="BTL3">
        <v>2</v>
      </c>
      <c r="BTM3">
        <v>2</v>
      </c>
      <c r="BTN3">
        <v>2</v>
      </c>
      <c r="BTO3">
        <v>2</v>
      </c>
      <c r="BTP3">
        <v>2</v>
      </c>
      <c r="BTQ3">
        <v>2</v>
      </c>
      <c r="BTR3">
        <v>2</v>
      </c>
      <c r="BTS3">
        <v>2</v>
      </c>
      <c r="BTT3">
        <v>2</v>
      </c>
      <c r="BTU3">
        <v>2</v>
      </c>
      <c r="BTV3">
        <v>2</v>
      </c>
      <c r="BTW3">
        <v>2</v>
      </c>
      <c r="BTX3">
        <v>2</v>
      </c>
      <c r="BTY3">
        <v>2</v>
      </c>
      <c r="BTZ3">
        <v>2</v>
      </c>
      <c r="BUA3">
        <v>2</v>
      </c>
      <c r="BUB3">
        <v>2</v>
      </c>
      <c r="BUC3">
        <v>2</v>
      </c>
      <c r="BUD3">
        <v>2</v>
      </c>
      <c r="BUE3">
        <v>2</v>
      </c>
      <c r="BUF3">
        <v>2</v>
      </c>
      <c r="BUG3">
        <v>2</v>
      </c>
      <c r="BUH3">
        <v>2</v>
      </c>
      <c r="BUI3">
        <v>2</v>
      </c>
      <c r="BUJ3">
        <v>2</v>
      </c>
      <c r="BUK3">
        <v>2</v>
      </c>
      <c r="BUL3">
        <v>2</v>
      </c>
      <c r="BUM3">
        <v>2</v>
      </c>
      <c r="BUN3">
        <v>2</v>
      </c>
      <c r="BUO3">
        <v>2</v>
      </c>
      <c r="BUP3">
        <v>2</v>
      </c>
      <c r="BUQ3">
        <v>2</v>
      </c>
      <c r="BUR3">
        <v>2</v>
      </c>
      <c r="BUS3">
        <v>2</v>
      </c>
      <c r="BUT3">
        <v>2</v>
      </c>
      <c r="BUU3">
        <v>2</v>
      </c>
      <c r="BUV3">
        <v>2</v>
      </c>
      <c r="BUW3">
        <v>2</v>
      </c>
      <c r="BUX3">
        <v>2</v>
      </c>
      <c r="BUY3">
        <v>2</v>
      </c>
      <c r="BUZ3">
        <v>2</v>
      </c>
      <c r="BVA3">
        <v>2</v>
      </c>
      <c r="BVB3">
        <v>2</v>
      </c>
      <c r="BVC3">
        <v>2</v>
      </c>
      <c r="BVD3">
        <v>2</v>
      </c>
      <c r="BVE3">
        <v>2</v>
      </c>
      <c r="BVF3">
        <v>2</v>
      </c>
      <c r="BVG3">
        <v>2</v>
      </c>
      <c r="BVH3">
        <v>2</v>
      </c>
      <c r="BVI3">
        <v>2</v>
      </c>
      <c r="BVJ3">
        <v>2</v>
      </c>
      <c r="BVK3">
        <v>2</v>
      </c>
      <c r="BVL3">
        <v>2</v>
      </c>
      <c r="BVM3">
        <v>2</v>
      </c>
      <c r="BVN3">
        <v>2</v>
      </c>
      <c r="BVO3">
        <v>2</v>
      </c>
      <c r="BVP3">
        <v>2</v>
      </c>
      <c r="BVQ3">
        <v>2</v>
      </c>
      <c r="BVR3">
        <v>2</v>
      </c>
      <c r="BVS3">
        <v>2</v>
      </c>
      <c r="BVT3">
        <v>2</v>
      </c>
      <c r="BVU3">
        <v>2</v>
      </c>
      <c r="BVV3">
        <v>2</v>
      </c>
      <c r="BVW3">
        <v>2</v>
      </c>
      <c r="BVX3">
        <v>2</v>
      </c>
      <c r="BVY3">
        <v>2</v>
      </c>
      <c r="BVZ3">
        <v>2</v>
      </c>
      <c r="BWA3">
        <v>2</v>
      </c>
      <c r="BWB3">
        <v>2</v>
      </c>
      <c r="BWC3">
        <v>2</v>
      </c>
      <c r="BWD3">
        <v>2</v>
      </c>
      <c r="BWE3">
        <v>2</v>
      </c>
      <c r="BWF3">
        <v>2</v>
      </c>
      <c r="BWG3">
        <v>2</v>
      </c>
      <c r="BWH3">
        <v>2</v>
      </c>
      <c r="BWI3">
        <v>2</v>
      </c>
      <c r="BWJ3">
        <v>2</v>
      </c>
      <c r="BWK3">
        <v>2</v>
      </c>
      <c r="BWL3">
        <v>2</v>
      </c>
      <c r="BWM3">
        <v>2</v>
      </c>
      <c r="BWN3">
        <v>2</v>
      </c>
      <c r="BWO3">
        <v>2</v>
      </c>
      <c r="BWP3">
        <v>2</v>
      </c>
      <c r="BWQ3">
        <v>2</v>
      </c>
      <c r="BWR3">
        <v>2</v>
      </c>
      <c r="BWS3">
        <v>2</v>
      </c>
      <c r="BWT3">
        <v>2</v>
      </c>
      <c r="BWU3">
        <v>2</v>
      </c>
      <c r="BWV3">
        <v>2</v>
      </c>
      <c r="BWW3">
        <v>2</v>
      </c>
      <c r="BWX3">
        <v>2</v>
      </c>
      <c r="BWY3">
        <v>2</v>
      </c>
      <c r="BWZ3">
        <v>2</v>
      </c>
      <c r="BXA3">
        <v>2</v>
      </c>
      <c r="BXB3">
        <v>2</v>
      </c>
      <c r="BXC3">
        <v>2</v>
      </c>
      <c r="BXD3">
        <v>2</v>
      </c>
      <c r="BXE3">
        <v>2</v>
      </c>
      <c r="BXF3">
        <v>2</v>
      </c>
      <c r="BXG3">
        <v>2</v>
      </c>
      <c r="BXH3">
        <v>2</v>
      </c>
      <c r="BXI3">
        <v>2</v>
      </c>
      <c r="BXJ3">
        <v>2</v>
      </c>
      <c r="BXK3">
        <v>2</v>
      </c>
      <c r="BXL3">
        <v>2</v>
      </c>
      <c r="BXM3">
        <v>2</v>
      </c>
      <c r="BXN3">
        <v>2</v>
      </c>
      <c r="BXO3">
        <v>2</v>
      </c>
      <c r="BXP3">
        <v>2</v>
      </c>
      <c r="BXQ3">
        <v>2</v>
      </c>
      <c r="BXR3">
        <v>2</v>
      </c>
      <c r="BXS3">
        <v>2</v>
      </c>
      <c r="BXT3">
        <v>2</v>
      </c>
      <c r="BXU3">
        <v>2</v>
      </c>
      <c r="BXV3">
        <v>2</v>
      </c>
      <c r="BXW3">
        <v>2</v>
      </c>
      <c r="BXX3">
        <v>2</v>
      </c>
      <c r="BXY3">
        <v>2</v>
      </c>
      <c r="BXZ3">
        <v>2</v>
      </c>
      <c r="BYA3">
        <v>2</v>
      </c>
      <c r="BYB3">
        <v>2</v>
      </c>
      <c r="BYC3">
        <v>2</v>
      </c>
      <c r="BYD3">
        <v>2</v>
      </c>
      <c r="BYE3">
        <v>2</v>
      </c>
      <c r="BYF3">
        <v>2</v>
      </c>
      <c r="BYG3">
        <v>2</v>
      </c>
      <c r="BYH3">
        <v>2</v>
      </c>
      <c r="BYI3">
        <v>2</v>
      </c>
      <c r="BYJ3">
        <v>2</v>
      </c>
      <c r="BYK3">
        <v>2</v>
      </c>
      <c r="BYL3">
        <v>2</v>
      </c>
      <c r="BYM3">
        <v>2</v>
      </c>
      <c r="BYN3">
        <v>2</v>
      </c>
      <c r="BYO3">
        <v>2</v>
      </c>
      <c r="BYP3">
        <v>2</v>
      </c>
      <c r="BYQ3">
        <v>2</v>
      </c>
      <c r="BYR3">
        <v>2</v>
      </c>
      <c r="BYS3">
        <v>2</v>
      </c>
      <c r="BYT3">
        <v>2</v>
      </c>
      <c r="BYU3">
        <v>2</v>
      </c>
      <c r="BYV3">
        <v>2</v>
      </c>
      <c r="BYW3">
        <v>2</v>
      </c>
      <c r="BYX3">
        <v>2</v>
      </c>
      <c r="BYY3">
        <v>2</v>
      </c>
      <c r="BYZ3">
        <v>2</v>
      </c>
      <c r="BZA3">
        <v>2</v>
      </c>
      <c r="BZB3">
        <v>2</v>
      </c>
      <c r="BZC3">
        <v>2</v>
      </c>
      <c r="BZD3">
        <v>2</v>
      </c>
      <c r="BZE3">
        <v>2</v>
      </c>
      <c r="BZF3">
        <v>2</v>
      </c>
      <c r="BZG3">
        <v>2</v>
      </c>
      <c r="BZH3">
        <v>2</v>
      </c>
      <c r="BZI3">
        <v>2</v>
      </c>
      <c r="BZJ3">
        <v>2</v>
      </c>
      <c r="BZK3">
        <v>2</v>
      </c>
      <c r="BZL3">
        <v>2</v>
      </c>
      <c r="BZM3">
        <v>2</v>
      </c>
      <c r="BZN3">
        <v>2</v>
      </c>
      <c r="BZO3">
        <v>2</v>
      </c>
      <c r="BZP3">
        <v>2</v>
      </c>
      <c r="BZQ3">
        <v>2</v>
      </c>
      <c r="BZR3">
        <v>2</v>
      </c>
      <c r="BZS3">
        <v>2</v>
      </c>
      <c r="BZT3">
        <v>2</v>
      </c>
      <c r="BZU3">
        <v>2</v>
      </c>
      <c r="BZV3">
        <v>2</v>
      </c>
      <c r="BZW3">
        <v>2</v>
      </c>
      <c r="BZX3">
        <v>2</v>
      </c>
      <c r="BZY3">
        <v>2</v>
      </c>
      <c r="BZZ3">
        <v>2</v>
      </c>
      <c r="CAA3">
        <v>2</v>
      </c>
      <c r="CAB3">
        <v>2</v>
      </c>
      <c r="CAC3">
        <v>2</v>
      </c>
      <c r="CAD3">
        <v>2</v>
      </c>
      <c r="CAE3">
        <v>2</v>
      </c>
      <c r="CAF3">
        <v>2</v>
      </c>
      <c r="CAG3">
        <v>2</v>
      </c>
      <c r="CAH3">
        <v>2</v>
      </c>
      <c r="CAI3">
        <v>2</v>
      </c>
      <c r="CAJ3">
        <v>2</v>
      </c>
      <c r="CAK3">
        <v>2</v>
      </c>
      <c r="CAL3">
        <v>2</v>
      </c>
      <c r="CAM3">
        <v>2</v>
      </c>
      <c r="CAN3">
        <v>2</v>
      </c>
      <c r="CAO3">
        <v>2</v>
      </c>
      <c r="CAP3">
        <v>2</v>
      </c>
      <c r="CAQ3">
        <v>2</v>
      </c>
      <c r="CAR3">
        <v>2</v>
      </c>
      <c r="CAS3">
        <v>2</v>
      </c>
      <c r="CAT3">
        <v>2</v>
      </c>
      <c r="CAU3">
        <v>2</v>
      </c>
      <c r="CAV3">
        <v>2</v>
      </c>
      <c r="CAW3">
        <v>2</v>
      </c>
      <c r="CAX3">
        <v>2</v>
      </c>
      <c r="CAY3">
        <v>2</v>
      </c>
      <c r="CAZ3">
        <v>2</v>
      </c>
      <c r="CBA3">
        <v>2</v>
      </c>
      <c r="CBB3">
        <v>2</v>
      </c>
      <c r="CBC3">
        <v>2</v>
      </c>
      <c r="CBD3">
        <v>2</v>
      </c>
      <c r="CBE3">
        <v>2</v>
      </c>
      <c r="CBF3">
        <v>2</v>
      </c>
      <c r="CBG3">
        <v>2</v>
      </c>
      <c r="CBH3">
        <v>2</v>
      </c>
      <c r="CBI3">
        <v>2</v>
      </c>
      <c r="CBJ3">
        <v>2</v>
      </c>
      <c r="CBK3">
        <v>2</v>
      </c>
      <c r="CBL3">
        <v>2</v>
      </c>
      <c r="CBM3">
        <v>2</v>
      </c>
      <c r="CBN3">
        <v>2</v>
      </c>
      <c r="CBO3">
        <v>2</v>
      </c>
      <c r="CBP3">
        <v>2</v>
      </c>
      <c r="CBQ3">
        <v>2</v>
      </c>
      <c r="CBR3">
        <v>2</v>
      </c>
      <c r="CBS3">
        <v>2</v>
      </c>
      <c r="CBT3">
        <v>2</v>
      </c>
      <c r="CBU3">
        <v>2</v>
      </c>
      <c r="CBV3">
        <v>2</v>
      </c>
      <c r="CBW3">
        <v>2</v>
      </c>
      <c r="CBX3">
        <v>2</v>
      </c>
      <c r="CBY3">
        <v>2</v>
      </c>
      <c r="CBZ3">
        <v>2</v>
      </c>
      <c r="CCA3">
        <v>2</v>
      </c>
      <c r="CCB3">
        <v>2</v>
      </c>
      <c r="CCC3">
        <v>2</v>
      </c>
      <c r="CCD3">
        <v>2</v>
      </c>
      <c r="DCF3">
        <v>3</v>
      </c>
      <c r="DCG3">
        <v>3</v>
      </c>
      <c r="DCH3">
        <v>3</v>
      </c>
      <c r="DCI3">
        <v>3</v>
      </c>
      <c r="DCJ3">
        <v>3</v>
      </c>
      <c r="DCK3">
        <v>3</v>
      </c>
      <c r="DCL3">
        <v>3</v>
      </c>
      <c r="DCM3">
        <v>3</v>
      </c>
      <c r="DCN3">
        <v>3</v>
      </c>
      <c r="DCO3">
        <v>3</v>
      </c>
      <c r="DCP3">
        <v>3</v>
      </c>
      <c r="DCQ3">
        <v>3</v>
      </c>
      <c r="DCR3">
        <v>3</v>
      </c>
      <c r="DCS3">
        <v>3</v>
      </c>
      <c r="DCT3">
        <v>3</v>
      </c>
      <c r="DCU3">
        <v>3</v>
      </c>
      <c r="DCV3">
        <v>3</v>
      </c>
      <c r="DCW3">
        <v>3</v>
      </c>
      <c r="DCX3">
        <v>3</v>
      </c>
      <c r="DCY3">
        <v>3</v>
      </c>
      <c r="DCZ3">
        <v>3</v>
      </c>
      <c r="DDA3">
        <v>3</v>
      </c>
      <c r="DDB3">
        <v>3</v>
      </c>
      <c r="DDC3">
        <v>3</v>
      </c>
      <c r="DDD3">
        <v>3</v>
      </c>
      <c r="DDE3">
        <v>3</v>
      </c>
      <c r="DDF3">
        <v>3</v>
      </c>
      <c r="DDG3">
        <v>3</v>
      </c>
      <c r="DDH3">
        <v>3</v>
      </c>
      <c r="DDI3">
        <v>3</v>
      </c>
      <c r="DDJ3">
        <v>3</v>
      </c>
      <c r="DDK3">
        <v>3</v>
      </c>
      <c r="DDL3">
        <v>3</v>
      </c>
      <c r="DDM3">
        <v>3</v>
      </c>
      <c r="DDN3">
        <v>3</v>
      </c>
      <c r="DDO3">
        <v>3</v>
      </c>
      <c r="DDP3">
        <v>3</v>
      </c>
      <c r="DDQ3">
        <v>3</v>
      </c>
      <c r="DDR3">
        <v>3</v>
      </c>
      <c r="DDS3">
        <v>3</v>
      </c>
      <c r="DDT3">
        <v>3</v>
      </c>
      <c r="DDU3">
        <v>3</v>
      </c>
      <c r="DDV3">
        <v>3</v>
      </c>
      <c r="DDW3">
        <v>3</v>
      </c>
      <c r="DDX3">
        <v>3</v>
      </c>
      <c r="DDY3">
        <v>3</v>
      </c>
      <c r="DDZ3">
        <v>3</v>
      </c>
      <c r="DEA3">
        <v>3</v>
      </c>
      <c r="DEB3">
        <v>3</v>
      </c>
      <c r="DEC3">
        <v>3</v>
      </c>
      <c r="DED3">
        <v>3</v>
      </c>
      <c r="DEE3">
        <v>3</v>
      </c>
      <c r="DEF3">
        <v>3</v>
      </c>
      <c r="DEG3">
        <v>3</v>
      </c>
      <c r="DEH3">
        <v>3</v>
      </c>
      <c r="DEI3">
        <v>3</v>
      </c>
      <c r="DEJ3">
        <v>3</v>
      </c>
      <c r="DEK3">
        <v>3</v>
      </c>
      <c r="DEL3">
        <v>3</v>
      </c>
      <c r="DEM3">
        <v>3</v>
      </c>
      <c r="DEN3">
        <v>3</v>
      </c>
      <c r="DEO3">
        <v>3</v>
      </c>
      <c r="DEP3">
        <v>3</v>
      </c>
      <c r="DEQ3">
        <v>3</v>
      </c>
      <c r="DER3">
        <v>3</v>
      </c>
      <c r="DES3">
        <v>3</v>
      </c>
      <c r="DET3">
        <v>3</v>
      </c>
      <c r="DEU3">
        <v>3</v>
      </c>
      <c r="DEV3">
        <v>3</v>
      </c>
      <c r="DEW3">
        <v>3</v>
      </c>
      <c r="DEX3">
        <v>3</v>
      </c>
      <c r="DEY3">
        <v>3</v>
      </c>
      <c r="DEZ3">
        <v>3</v>
      </c>
      <c r="DFA3">
        <v>3</v>
      </c>
      <c r="DFB3">
        <v>3</v>
      </c>
      <c r="DFC3">
        <v>3</v>
      </c>
      <c r="DFD3">
        <v>3</v>
      </c>
      <c r="DFE3">
        <v>3</v>
      </c>
      <c r="DFF3">
        <v>3</v>
      </c>
      <c r="DFG3">
        <v>3</v>
      </c>
      <c r="DFH3">
        <v>3</v>
      </c>
      <c r="DFI3">
        <v>3</v>
      </c>
      <c r="DFJ3">
        <v>3</v>
      </c>
      <c r="DFK3">
        <v>3</v>
      </c>
      <c r="DFL3">
        <v>3</v>
      </c>
      <c r="DFM3">
        <v>3</v>
      </c>
      <c r="DFN3">
        <v>3</v>
      </c>
      <c r="DFO3">
        <v>3</v>
      </c>
      <c r="DFP3">
        <v>3</v>
      </c>
      <c r="DFQ3">
        <v>3</v>
      </c>
      <c r="DFR3">
        <v>3</v>
      </c>
      <c r="DFS3">
        <v>3</v>
      </c>
      <c r="DFT3">
        <v>3</v>
      </c>
      <c r="DFU3">
        <v>3</v>
      </c>
      <c r="DFV3">
        <v>3</v>
      </c>
      <c r="DFW3">
        <v>3</v>
      </c>
      <c r="DFX3">
        <v>3</v>
      </c>
      <c r="DFY3">
        <v>3</v>
      </c>
      <c r="DFZ3">
        <v>3</v>
      </c>
      <c r="DGA3">
        <v>3</v>
      </c>
      <c r="DGB3">
        <v>3</v>
      </c>
      <c r="DGC3">
        <v>3</v>
      </c>
      <c r="DGD3">
        <v>3</v>
      </c>
      <c r="DGE3">
        <v>3</v>
      </c>
      <c r="DGF3">
        <v>3</v>
      </c>
      <c r="DGG3">
        <v>3</v>
      </c>
      <c r="DGH3">
        <v>3</v>
      </c>
      <c r="DGI3">
        <v>3</v>
      </c>
      <c r="DGJ3">
        <v>3</v>
      </c>
      <c r="DGK3">
        <v>3</v>
      </c>
      <c r="DGL3">
        <v>3</v>
      </c>
      <c r="DGM3">
        <v>3</v>
      </c>
      <c r="DGN3">
        <v>3</v>
      </c>
      <c r="DGO3">
        <v>3</v>
      </c>
      <c r="DGP3">
        <v>3</v>
      </c>
      <c r="DGQ3">
        <v>3</v>
      </c>
      <c r="DGR3">
        <v>3</v>
      </c>
      <c r="DGS3">
        <v>3</v>
      </c>
      <c r="DGT3">
        <v>3</v>
      </c>
      <c r="DGU3">
        <v>3</v>
      </c>
      <c r="DGV3">
        <v>3</v>
      </c>
      <c r="DGW3">
        <v>3</v>
      </c>
      <c r="DGX3">
        <v>3</v>
      </c>
      <c r="DGY3">
        <v>3</v>
      </c>
      <c r="DGZ3">
        <v>3</v>
      </c>
      <c r="DHA3">
        <v>3</v>
      </c>
      <c r="DHB3">
        <v>3</v>
      </c>
      <c r="DHC3">
        <v>3</v>
      </c>
      <c r="DHD3">
        <v>3</v>
      </c>
      <c r="DHE3">
        <v>3</v>
      </c>
      <c r="DHF3">
        <v>3</v>
      </c>
      <c r="DHG3">
        <v>3</v>
      </c>
      <c r="DHH3">
        <v>3</v>
      </c>
      <c r="DHI3">
        <v>3</v>
      </c>
      <c r="DHJ3">
        <v>3</v>
      </c>
      <c r="DHK3">
        <v>3</v>
      </c>
      <c r="DHL3">
        <v>3</v>
      </c>
      <c r="DHM3">
        <v>3</v>
      </c>
      <c r="DHN3">
        <v>3</v>
      </c>
      <c r="DHO3">
        <v>3</v>
      </c>
      <c r="DHP3">
        <v>3</v>
      </c>
      <c r="DHQ3">
        <v>3</v>
      </c>
      <c r="DHR3">
        <v>3</v>
      </c>
      <c r="DHS3">
        <v>3</v>
      </c>
      <c r="DHT3">
        <v>3</v>
      </c>
      <c r="DHU3">
        <v>3</v>
      </c>
      <c r="DHV3">
        <v>3</v>
      </c>
      <c r="DHW3">
        <v>3</v>
      </c>
      <c r="DHX3">
        <v>3</v>
      </c>
      <c r="DHY3">
        <v>3</v>
      </c>
      <c r="DHZ3">
        <v>3</v>
      </c>
      <c r="DIA3">
        <v>3</v>
      </c>
      <c r="DIB3">
        <v>3</v>
      </c>
      <c r="DIC3">
        <v>3</v>
      </c>
      <c r="DID3">
        <v>3</v>
      </c>
      <c r="DIE3">
        <v>3</v>
      </c>
      <c r="DIF3">
        <v>3</v>
      </c>
      <c r="DIG3">
        <v>3</v>
      </c>
      <c r="DIH3">
        <v>3</v>
      </c>
      <c r="DII3">
        <v>3</v>
      </c>
      <c r="DIJ3">
        <v>3</v>
      </c>
      <c r="DIK3">
        <v>3</v>
      </c>
      <c r="DIL3">
        <v>3</v>
      </c>
      <c r="DIM3">
        <v>3</v>
      </c>
      <c r="DIN3">
        <v>3</v>
      </c>
      <c r="DIO3">
        <v>3</v>
      </c>
      <c r="DIP3">
        <v>3</v>
      </c>
      <c r="DIQ3">
        <v>3</v>
      </c>
      <c r="DIR3">
        <v>3</v>
      </c>
      <c r="DIS3">
        <v>3</v>
      </c>
      <c r="DIT3">
        <v>3</v>
      </c>
      <c r="DIU3">
        <v>3</v>
      </c>
      <c r="DIV3">
        <v>3</v>
      </c>
      <c r="DIW3">
        <v>3</v>
      </c>
      <c r="DIX3">
        <v>3</v>
      </c>
      <c r="DIY3">
        <v>3</v>
      </c>
      <c r="DIZ3">
        <v>3</v>
      </c>
      <c r="DJA3">
        <v>3</v>
      </c>
      <c r="DJB3">
        <v>3</v>
      </c>
      <c r="DJC3">
        <v>3</v>
      </c>
      <c r="DJD3">
        <v>3</v>
      </c>
      <c r="DJE3">
        <v>3</v>
      </c>
      <c r="DJF3">
        <v>3</v>
      </c>
      <c r="DJG3">
        <v>3</v>
      </c>
      <c r="DJH3">
        <v>3</v>
      </c>
      <c r="DJI3">
        <v>3</v>
      </c>
      <c r="DJJ3">
        <v>3</v>
      </c>
      <c r="DJK3">
        <v>3</v>
      </c>
      <c r="DJL3">
        <v>3</v>
      </c>
      <c r="DJM3">
        <v>3</v>
      </c>
      <c r="DJN3">
        <v>3</v>
      </c>
      <c r="DJO3">
        <v>3</v>
      </c>
      <c r="DJP3">
        <v>3</v>
      </c>
      <c r="DJQ3">
        <v>3</v>
      </c>
      <c r="DJR3">
        <v>3</v>
      </c>
      <c r="DJS3">
        <v>3</v>
      </c>
      <c r="DJT3">
        <v>3</v>
      </c>
      <c r="DJU3">
        <v>3</v>
      </c>
      <c r="DJV3">
        <v>3</v>
      </c>
      <c r="DJW3">
        <v>3</v>
      </c>
      <c r="DJX3">
        <v>3</v>
      </c>
      <c r="DJY3">
        <v>3</v>
      </c>
      <c r="DJZ3">
        <v>3</v>
      </c>
      <c r="DKA3">
        <v>3</v>
      </c>
      <c r="DKB3">
        <v>3</v>
      </c>
      <c r="DKC3">
        <v>3</v>
      </c>
      <c r="DKD3">
        <v>3</v>
      </c>
      <c r="DKE3">
        <v>3</v>
      </c>
      <c r="DKF3">
        <v>3</v>
      </c>
      <c r="DKG3">
        <v>3</v>
      </c>
      <c r="DKH3">
        <v>3</v>
      </c>
      <c r="DKI3">
        <v>3</v>
      </c>
      <c r="DKJ3">
        <v>3</v>
      </c>
      <c r="DKK3">
        <v>3</v>
      </c>
      <c r="DKL3">
        <v>3</v>
      </c>
      <c r="DKM3">
        <v>3</v>
      </c>
      <c r="DKN3">
        <v>3</v>
      </c>
      <c r="DKO3">
        <v>3</v>
      </c>
      <c r="DKP3">
        <v>3</v>
      </c>
      <c r="DKQ3">
        <v>3</v>
      </c>
      <c r="DKR3">
        <v>3</v>
      </c>
      <c r="DKS3">
        <v>3</v>
      </c>
      <c r="DKT3">
        <v>3</v>
      </c>
      <c r="DKU3">
        <v>3</v>
      </c>
      <c r="DKV3">
        <v>3</v>
      </c>
      <c r="DKW3">
        <v>3</v>
      </c>
      <c r="DKX3">
        <v>3</v>
      </c>
      <c r="EET3">
        <v>4</v>
      </c>
      <c r="EEU3">
        <v>4</v>
      </c>
      <c r="EEV3">
        <v>4</v>
      </c>
      <c r="EEW3">
        <v>4</v>
      </c>
      <c r="EEX3">
        <v>4</v>
      </c>
      <c r="EEY3">
        <v>4</v>
      </c>
      <c r="EEZ3">
        <v>4</v>
      </c>
      <c r="EFA3">
        <v>4</v>
      </c>
      <c r="EFB3">
        <v>4</v>
      </c>
      <c r="EFC3">
        <v>4</v>
      </c>
      <c r="EFD3">
        <v>4</v>
      </c>
      <c r="EFE3">
        <v>4</v>
      </c>
      <c r="EFF3">
        <v>4</v>
      </c>
      <c r="EFG3">
        <v>4</v>
      </c>
      <c r="EFH3">
        <v>4</v>
      </c>
      <c r="EFI3">
        <v>4</v>
      </c>
      <c r="EFJ3">
        <v>4</v>
      </c>
      <c r="EFK3">
        <v>4</v>
      </c>
      <c r="EFL3">
        <v>4</v>
      </c>
      <c r="EFM3">
        <v>4</v>
      </c>
      <c r="EFN3">
        <v>4</v>
      </c>
      <c r="EFO3">
        <v>4</v>
      </c>
      <c r="EFP3">
        <v>4</v>
      </c>
      <c r="EFQ3">
        <v>4</v>
      </c>
      <c r="EFR3">
        <v>4</v>
      </c>
      <c r="EFS3">
        <v>4</v>
      </c>
      <c r="EFT3">
        <v>4</v>
      </c>
      <c r="EFU3">
        <v>4</v>
      </c>
      <c r="EFV3">
        <v>4</v>
      </c>
      <c r="EFW3">
        <v>4</v>
      </c>
      <c r="EFX3">
        <v>4</v>
      </c>
      <c r="EFY3">
        <v>4</v>
      </c>
      <c r="EFZ3">
        <v>4</v>
      </c>
      <c r="EGA3">
        <v>4</v>
      </c>
      <c r="EGB3">
        <v>4</v>
      </c>
      <c r="EGC3">
        <v>4</v>
      </c>
      <c r="EGD3">
        <v>4</v>
      </c>
      <c r="EGE3">
        <v>4</v>
      </c>
      <c r="EGF3">
        <v>4</v>
      </c>
      <c r="EGG3">
        <v>4</v>
      </c>
      <c r="EGH3">
        <v>4</v>
      </c>
      <c r="EGI3">
        <v>4</v>
      </c>
      <c r="EGJ3">
        <v>4</v>
      </c>
      <c r="EGK3">
        <v>4</v>
      </c>
      <c r="EGL3">
        <v>4</v>
      </c>
      <c r="EGM3">
        <v>4</v>
      </c>
      <c r="EGN3">
        <v>4</v>
      </c>
      <c r="EGO3">
        <v>4</v>
      </c>
      <c r="EGP3">
        <v>4</v>
      </c>
      <c r="EGQ3">
        <v>4</v>
      </c>
      <c r="EGR3">
        <v>4</v>
      </c>
      <c r="EGS3">
        <v>4</v>
      </c>
      <c r="EGT3">
        <v>4</v>
      </c>
      <c r="EGU3">
        <v>4</v>
      </c>
      <c r="EGV3">
        <v>4</v>
      </c>
      <c r="EGW3">
        <v>4</v>
      </c>
      <c r="EGX3">
        <v>4</v>
      </c>
      <c r="EGY3">
        <v>4</v>
      </c>
      <c r="EGZ3">
        <v>4</v>
      </c>
      <c r="EHA3">
        <v>4</v>
      </c>
      <c r="EHB3">
        <v>4</v>
      </c>
      <c r="EHC3">
        <v>4</v>
      </c>
      <c r="EHD3">
        <v>4</v>
      </c>
      <c r="EHE3">
        <v>4</v>
      </c>
      <c r="EHF3">
        <v>4</v>
      </c>
      <c r="EHG3">
        <v>4</v>
      </c>
      <c r="EHH3">
        <v>4</v>
      </c>
      <c r="EHI3">
        <v>4</v>
      </c>
      <c r="EHJ3">
        <v>4</v>
      </c>
      <c r="EHK3">
        <v>4</v>
      </c>
      <c r="EHL3">
        <v>4</v>
      </c>
      <c r="EHM3">
        <v>4</v>
      </c>
      <c r="EHN3">
        <v>4</v>
      </c>
      <c r="EHO3">
        <v>4</v>
      </c>
      <c r="EHP3">
        <v>4</v>
      </c>
      <c r="EHQ3">
        <v>4</v>
      </c>
      <c r="EHR3">
        <v>4</v>
      </c>
      <c r="EHS3">
        <v>4</v>
      </c>
      <c r="EHT3">
        <v>4</v>
      </c>
      <c r="EHU3">
        <v>4</v>
      </c>
      <c r="EHV3">
        <v>4</v>
      </c>
      <c r="EHW3">
        <v>4</v>
      </c>
      <c r="EHX3">
        <v>4</v>
      </c>
      <c r="EHY3">
        <v>4</v>
      </c>
      <c r="EHZ3">
        <v>4</v>
      </c>
      <c r="EIA3">
        <v>4</v>
      </c>
      <c r="EIB3">
        <v>4</v>
      </c>
      <c r="EIC3">
        <v>4</v>
      </c>
      <c r="EID3">
        <v>4</v>
      </c>
      <c r="EIE3">
        <v>4</v>
      </c>
      <c r="EIF3">
        <v>4</v>
      </c>
      <c r="EIG3">
        <v>4</v>
      </c>
      <c r="EIH3">
        <v>4</v>
      </c>
      <c r="EII3">
        <v>4</v>
      </c>
      <c r="EIJ3">
        <v>4</v>
      </c>
      <c r="EIK3">
        <v>4</v>
      </c>
      <c r="EIL3">
        <v>4</v>
      </c>
      <c r="EIM3">
        <v>4</v>
      </c>
      <c r="EIN3">
        <v>4</v>
      </c>
      <c r="EIO3">
        <v>4</v>
      </c>
      <c r="EIP3">
        <v>4</v>
      </c>
      <c r="EIQ3">
        <v>4</v>
      </c>
      <c r="EIR3">
        <v>4</v>
      </c>
      <c r="EIS3">
        <v>4</v>
      </c>
      <c r="EIT3">
        <v>4</v>
      </c>
      <c r="EIU3">
        <v>4</v>
      </c>
      <c r="EIV3">
        <v>4</v>
      </c>
      <c r="EIW3">
        <v>4</v>
      </c>
      <c r="EIX3">
        <v>4</v>
      </c>
      <c r="EIY3">
        <v>4</v>
      </c>
      <c r="EIZ3">
        <v>4</v>
      </c>
      <c r="EJA3">
        <v>4</v>
      </c>
      <c r="EJB3">
        <v>4</v>
      </c>
      <c r="EJC3">
        <v>4</v>
      </c>
      <c r="EJD3">
        <v>4</v>
      </c>
      <c r="EJE3">
        <v>4</v>
      </c>
      <c r="EJF3">
        <v>4</v>
      </c>
      <c r="EJG3">
        <v>4</v>
      </c>
      <c r="EJH3">
        <v>4</v>
      </c>
      <c r="EJI3">
        <v>4</v>
      </c>
      <c r="EJJ3">
        <v>4</v>
      </c>
      <c r="EJK3">
        <v>4</v>
      </c>
      <c r="EJL3">
        <v>4</v>
      </c>
      <c r="EJM3">
        <v>4</v>
      </c>
      <c r="EJN3">
        <v>4</v>
      </c>
      <c r="EJO3">
        <v>4</v>
      </c>
      <c r="EJP3">
        <v>4</v>
      </c>
      <c r="EJQ3">
        <v>4</v>
      </c>
      <c r="EJR3">
        <v>4</v>
      </c>
      <c r="EJS3">
        <v>4</v>
      </c>
      <c r="EJT3">
        <v>4</v>
      </c>
      <c r="EJU3">
        <v>4</v>
      </c>
      <c r="EJV3">
        <v>4</v>
      </c>
      <c r="EJW3">
        <v>4</v>
      </c>
      <c r="EJX3">
        <v>4</v>
      </c>
      <c r="EJY3">
        <v>4</v>
      </c>
      <c r="EJZ3">
        <v>4</v>
      </c>
      <c r="EKA3">
        <v>4</v>
      </c>
      <c r="EKB3">
        <v>4</v>
      </c>
      <c r="EKC3">
        <v>4</v>
      </c>
      <c r="EKD3">
        <v>4</v>
      </c>
      <c r="EKE3">
        <v>4</v>
      </c>
      <c r="EKF3">
        <v>4</v>
      </c>
      <c r="EKG3">
        <v>4</v>
      </c>
      <c r="EKH3">
        <v>4</v>
      </c>
      <c r="EKI3">
        <v>4</v>
      </c>
      <c r="EKJ3">
        <v>4</v>
      </c>
      <c r="EKK3">
        <v>4</v>
      </c>
      <c r="EKL3">
        <v>4</v>
      </c>
      <c r="EKM3">
        <v>4</v>
      </c>
      <c r="EKN3">
        <v>4</v>
      </c>
      <c r="EKO3">
        <v>4</v>
      </c>
      <c r="EKP3">
        <v>4</v>
      </c>
      <c r="EKQ3">
        <v>4</v>
      </c>
      <c r="EKR3">
        <v>4</v>
      </c>
      <c r="EKS3">
        <v>4</v>
      </c>
      <c r="EKT3">
        <v>4</v>
      </c>
      <c r="EKU3">
        <v>4</v>
      </c>
      <c r="EKV3">
        <v>4</v>
      </c>
      <c r="EKW3">
        <v>4</v>
      </c>
      <c r="EKX3">
        <v>4</v>
      </c>
      <c r="EKY3">
        <v>4</v>
      </c>
      <c r="EKZ3">
        <v>4</v>
      </c>
      <c r="ELA3">
        <v>4</v>
      </c>
      <c r="ELB3">
        <v>4</v>
      </c>
      <c r="ELC3">
        <v>4</v>
      </c>
      <c r="ELD3">
        <v>4</v>
      </c>
      <c r="ELE3">
        <v>4</v>
      </c>
      <c r="ELF3">
        <v>4</v>
      </c>
      <c r="ELG3">
        <v>4</v>
      </c>
      <c r="ELH3">
        <v>4</v>
      </c>
      <c r="ELI3">
        <v>4</v>
      </c>
      <c r="ELJ3">
        <v>4</v>
      </c>
      <c r="ELK3">
        <v>4</v>
      </c>
      <c r="ELL3">
        <v>4</v>
      </c>
      <c r="ELM3">
        <v>4</v>
      </c>
      <c r="ELN3">
        <v>4</v>
      </c>
      <c r="ELO3">
        <v>4</v>
      </c>
      <c r="ELP3">
        <v>4</v>
      </c>
      <c r="ELQ3">
        <v>4</v>
      </c>
      <c r="ELR3">
        <v>4</v>
      </c>
      <c r="ELS3">
        <v>4</v>
      </c>
      <c r="ELT3">
        <v>4</v>
      </c>
      <c r="ELU3">
        <v>4</v>
      </c>
      <c r="ELV3">
        <v>4</v>
      </c>
      <c r="GDN3">
        <v>5</v>
      </c>
      <c r="GDO3">
        <v>5</v>
      </c>
      <c r="GDP3">
        <v>5</v>
      </c>
      <c r="GDQ3">
        <v>5</v>
      </c>
      <c r="GDR3">
        <v>5</v>
      </c>
      <c r="GDS3">
        <v>5</v>
      </c>
      <c r="GDT3">
        <v>5</v>
      </c>
      <c r="GDU3">
        <v>5</v>
      </c>
      <c r="GDV3">
        <v>5</v>
      </c>
      <c r="GDW3">
        <v>5</v>
      </c>
      <c r="GDX3">
        <v>5</v>
      </c>
      <c r="GDY3">
        <v>5</v>
      </c>
      <c r="GDZ3">
        <v>5</v>
      </c>
      <c r="GEA3">
        <v>5</v>
      </c>
      <c r="GEB3">
        <v>5</v>
      </c>
      <c r="GEC3">
        <v>5</v>
      </c>
      <c r="GED3">
        <v>5</v>
      </c>
      <c r="GEE3">
        <v>5</v>
      </c>
      <c r="GEF3">
        <v>5</v>
      </c>
      <c r="GEG3">
        <v>5</v>
      </c>
      <c r="GEH3">
        <v>5</v>
      </c>
      <c r="GEI3">
        <v>5</v>
      </c>
      <c r="GEJ3">
        <v>5</v>
      </c>
      <c r="GEK3">
        <v>5</v>
      </c>
      <c r="GEL3">
        <v>5</v>
      </c>
      <c r="GEM3">
        <v>5</v>
      </c>
      <c r="GEN3">
        <v>5</v>
      </c>
      <c r="GEO3">
        <v>5</v>
      </c>
      <c r="GEP3">
        <v>5</v>
      </c>
      <c r="GEQ3">
        <v>5</v>
      </c>
      <c r="GER3">
        <v>5</v>
      </c>
      <c r="GES3">
        <v>5</v>
      </c>
      <c r="GET3">
        <v>5</v>
      </c>
      <c r="GEU3">
        <v>5</v>
      </c>
      <c r="GEV3">
        <v>5</v>
      </c>
      <c r="GEW3">
        <v>5</v>
      </c>
      <c r="GEX3">
        <v>5</v>
      </c>
      <c r="GEY3">
        <v>5</v>
      </c>
      <c r="GEZ3">
        <v>5</v>
      </c>
      <c r="GFA3">
        <v>5</v>
      </c>
      <c r="GFB3">
        <v>5</v>
      </c>
      <c r="GFC3">
        <v>5</v>
      </c>
      <c r="GFD3">
        <v>5</v>
      </c>
      <c r="GFE3">
        <v>5</v>
      </c>
      <c r="GFF3">
        <v>5</v>
      </c>
      <c r="GFG3">
        <v>5</v>
      </c>
      <c r="GFH3">
        <v>5</v>
      </c>
      <c r="GFI3">
        <v>5</v>
      </c>
      <c r="GFJ3">
        <v>5</v>
      </c>
      <c r="GFK3">
        <v>5</v>
      </c>
      <c r="GFL3">
        <v>5</v>
      </c>
      <c r="GFM3">
        <v>5</v>
      </c>
      <c r="GFN3">
        <v>5</v>
      </c>
      <c r="GFO3">
        <v>5</v>
      </c>
      <c r="GFP3">
        <v>5</v>
      </c>
      <c r="GFQ3">
        <v>5</v>
      </c>
      <c r="GFR3">
        <v>5</v>
      </c>
      <c r="GFS3">
        <v>5</v>
      </c>
      <c r="GFT3">
        <v>5</v>
      </c>
      <c r="GFU3">
        <v>5</v>
      </c>
      <c r="GFV3">
        <v>5</v>
      </c>
      <c r="GFW3">
        <v>5</v>
      </c>
      <c r="GFX3">
        <v>5</v>
      </c>
      <c r="GFY3">
        <v>5</v>
      </c>
      <c r="GFZ3">
        <v>5</v>
      </c>
      <c r="GGA3">
        <v>5</v>
      </c>
      <c r="GGB3">
        <v>5</v>
      </c>
      <c r="GGC3">
        <v>5</v>
      </c>
      <c r="GGD3">
        <v>5</v>
      </c>
      <c r="GGE3">
        <v>5</v>
      </c>
      <c r="GGF3">
        <v>5</v>
      </c>
      <c r="GGG3">
        <v>5</v>
      </c>
      <c r="GGH3">
        <v>5</v>
      </c>
      <c r="GGI3">
        <v>5</v>
      </c>
      <c r="GGJ3">
        <v>5</v>
      </c>
      <c r="GGK3">
        <v>5</v>
      </c>
      <c r="GGL3">
        <v>5</v>
      </c>
      <c r="GGM3">
        <v>5</v>
      </c>
      <c r="GGN3">
        <v>5</v>
      </c>
      <c r="GGO3">
        <v>5</v>
      </c>
      <c r="GGP3">
        <v>5</v>
      </c>
      <c r="GGQ3">
        <v>5</v>
      </c>
      <c r="GGR3">
        <v>5</v>
      </c>
      <c r="GGS3">
        <v>5</v>
      </c>
      <c r="GGT3">
        <v>5</v>
      </c>
      <c r="GGU3">
        <v>5</v>
      </c>
      <c r="GGV3">
        <v>5</v>
      </c>
      <c r="GGW3">
        <v>5</v>
      </c>
      <c r="GGX3">
        <v>5</v>
      </c>
      <c r="GGY3">
        <v>5</v>
      </c>
      <c r="GGZ3">
        <v>5</v>
      </c>
      <c r="GHA3">
        <v>5</v>
      </c>
      <c r="GHB3">
        <v>5</v>
      </c>
      <c r="GHC3">
        <v>5</v>
      </c>
      <c r="GHD3">
        <v>5</v>
      </c>
      <c r="GHE3">
        <v>5</v>
      </c>
      <c r="GHF3">
        <v>5</v>
      </c>
      <c r="GHG3">
        <v>5</v>
      </c>
      <c r="GHH3">
        <v>5</v>
      </c>
      <c r="GHI3">
        <v>5</v>
      </c>
      <c r="GHJ3">
        <v>5</v>
      </c>
      <c r="GHK3">
        <v>5</v>
      </c>
      <c r="GHL3">
        <v>5</v>
      </c>
      <c r="GHM3">
        <v>5</v>
      </c>
      <c r="GHN3">
        <v>5</v>
      </c>
      <c r="GHO3">
        <v>5</v>
      </c>
      <c r="GHP3">
        <v>5</v>
      </c>
      <c r="GHQ3">
        <v>5</v>
      </c>
      <c r="GHR3">
        <v>5</v>
      </c>
      <c r="GHS3">
        <v>5</v>
      </c>
      <c r="GHT3">
        <v>5</v>
      </c>
      <c r="GHU3">
        <v>5</v>
      </c>
      <c r="GHV3">
        <v>5</v>
      </c>
      <c r="GHW3">
        <v>5</v>
      </c>
      <c r="GHX3">
        <v>5</v>
      </c>
      <c r="GHY3">
        <v>5</v>
      </c>
      <c r="GHZ3">
        <v>5</v>
      </c>
      <c r="GIA3">
        <v>5</v>
      </c>
      <c r="GIB3">
        <v>5</v>
      </c>
      <c r="GIC3">
        <v>5</v>
      </c>
      <c r="GID3">
        <v>5</v>
      </c>
      <c r="GIE3">
        <v>5</v>
      </c>
      <c r="GIF3">
        <v>5</v>
      </c>
      <c r="GIG3">
        <v>5</v>
      </c>
      <c r="GIH3">
        <v>5</v>
      </c>
      <c r="GII3">
        <v>5</v>
      </c>
      <c r="GIJ3">
        <v>5</v>
      </c>
      <c r="GIK3">
        <v>5</v>
      </c>
      <c r="GIL3">
        <v>5</v>
      </c>
      <c r="GIM3">
        <v>5</v>
      </c>
      <c r="GIN3">
        <v>5</v>
      </c>
      <c r="GIO3">
        <v>5</v>
      </c>
      <c r="GIP3">
        <v>5</v>
      </c>
      <c r="GIQ3">
        <v>5</v>
      </c>
      <c r="GIR3">
        <v>5</v>
      </c>
      <c r="GIS3">
        <v>5</v>
      </c>
      <c r="GIT3">
        <v>5</v>
      </c>
      <c r="GIU3">
        <v>5</v>
      </c>
      <c r="GIV3">
        <v>5</v>
      </c>
      <c r="GIW3">
        <v>5</v>
      </c>
      <c r="GIX3">
        <v>5</v>
      </c>
      <c r="GIY3">
        <v>5</v>
      </c>
      <c r="GIZ3">
        <v>5</v>
      </c>
      <c r="GJA3">
        <v>5</v>
      </c>
      <c r="GJB3">
        <v>5</v>
      </c>
      <c r="GJC3">
        <v>5</v>
      </c>
      <c r="GJD3">
        <v>5</v>
      </c>
      <c r="GJE3">
        <v>5</v>
      </c>
      <c r="GJF3">
        <v>5</v>
      </c>
      <c r="GJG3">
        <v>5</v>
      </c>
      <c r="GJH3">
        <v>5</v>
      </c>
      <c r="GJI3">
        <v>5</v>
      </c>
      <c r="GJJ3">
        <v>5</v>
      </c>
      <c r="GJK3">
        <v>5</v>
      </c>
      <c r="GJL3">
        <v>5</v>
      </c>
      <c r="GJM3">
        <v>5</v>
      </c>
      <c r="GJN3">
        <v>5</v>
      </c>
      <c r="GJO3">
        <v>5</v>
      </c>
      <c r="GJP3">
        <v>5</v>
      </c>
      <c r="GJQ3">
        <v>5</v>
      </c>
      <c r="GJR3">
        <v>5</v>
      </c>
      <c r="GJS3">
        <v>5</v>
      </c>
      <c r="GJT3">
        <v>5</v>
      </c>
      <c r="GJU3">
        <v>5</v>
      </c>
      <c r="GJV3">
        <v>5</v>
      </c>
      <c r="GJW3">
        <v>5</v>
      </c>
      <c r="GJX3">
        <v>5</v>
      </c>
      <c r="GJY3">
        <v>5</v>
      </c>
      <c r="GJZ3">
        <v>5</v>
      </c>
      <c r="GKA3">
        <v>5</v>
      </c>
      <c r="GKB3">
        <v>5</v>
      </c>
      <c r="GKC3">
        <v>5</v>
      </c>
      <c r="GKD3">
        <v>5</v>
      </c>
      <c r="GKE3">
        <v>5</v>
      </c>
      <c r="GKF3">
        <v>5</v>
      </c>
      <c r="GKG3">
        <v>5</v>
      </c>
      <c r="GKH3">
        <v>5</v>
      </c>
      <c r="GKI3">
        <v>5</v>
      </c>
      <c r="GKJ3">
        <v>5</v>
      </c>
      <c r="GKK3">
        <v>5</v>
      </c>
      <c r="GKL3">
        <v>5</v>
      </c>
      <c r="GKM3">
        <v>5</v>
      </c>
      <c r="GKN3">
        <v>5</v>
      </c>
      <c r="GKO3">
        <v>5</v>
      </c>
      <c r="GKP3">
        <v>5</v>
      </c>
      <c r="GKQ3">
        <v>5</v>
      </c>
      <c r="GKR3">
        <v>5</v>
      </c>
      <c r="GKS3">
        <v>5</v>
      </c>
      <c r="GKT3">
        <v>5</v>
      </c>
      <c r="GKU3">
        <v>5</v>
      </c>
      <c r="GKV3">
        <v>5</v>
      </c>
      <c r="GKW3">
        <v>5</v>
      </c>
      <c r="GKX3">
        <v>5</v>
      </c>
      <c r="GKY3">
        <v>5</v>
      </c>
      <c r="GKZ3">
        <v>5</v>
      </c>
      <c r="GLA3">
        <v>5</v>
      </c>
      <c r="GLB3">
        <v>5</v>
      </c>
      <c r="GLC3">
        <v>5</v>
      </c>
      <c r="GLD3">
        <v>5</v>
      </c>
      <c r="GLE3">
        <v>5</v>
      </c>
      <c r="GLF3">
        <v>5</v>
      </c>
      <c r="GLG3">
        <v>5</v>
      </c>
      <c r="GLH3">
        <v>5</v>
      </c>
      <c r="GLI3">
        <v>5</v>
      </c>
      <c r="GLJ3">
        <v>5</v>
      </c>
      <c r="GLK3">
        <v>5</v>
      </c>
      <c r="GLL3">
        <v>5</v>
      </c>
      <c r="GLM3">
        <v>5</v>
      </c>
      <c r="GLN3">
        <v>5</v>
      </c>
      <c r="GLO3">
        <v>5</v>
      </c>
      <c r="GLP3">
        <v>5</v>
      </c>
      <c r="GLQ3">
        <v>5</v>
      </c>
      <c r="GLR3">
        <v>5</v>
      </c>
      <c r="GLS3">
        <v>5</v>
      </c>
      <c r="GLT3">
        <v>5</v>
      </c>
      <c r="GLU3">
        <v>5</v>
      </c>
      <c r="GLV3">
        <v>5</v>
      </c>
      <c r="GLW3">
        <v>5</v>
      </c>
      <c r="GLX3">
        <v>5</v>
      </c>
      <c r="GLY3">
        <v>5</v>
      </c>
      <c r="GLZ3">
        <v>5</v>
      </c>
      <c r="GMA3">
        <v>5</v>
      </c>
      <c r="GMB3">
        <v>5</v>
      </c>
      <c r="GMC3">
        <v>5</v>
      </c>
      <c r="GMD3">
        <v>5</v>
      </c>
      <c r="GME3">
        <v>5</v>
      </c>
      <c r="GMF3">
        <v>5</v>
      </c>
      <c r="GMG3">
        <v>5</v>
      </c>
      <c r="GMH3">
        <v>5</v>
      </c>
      <c r="GMI3">
        <v>5</v>
      </c>
      <c r="GMJ3">
        <v>5</v>
      </c>
      <c r="GMK3">
        <v>5</v>
      </c>
      <c r="GML3">
        <v>5</v>
      </c>
      <c r="GMM3">
        <v>5</v>
      </c>
      <c r="GMN3">
        <v>5</v>
      </c>
      <c r="GMO3">
        <v>5</v>
      </c>
      <c r="GMP3">
        <v>5</v>
      </c>
      <c r="GMQ3">
        <v>5</v>
      </c>
      <c r="GMR3">
        <v>5</v>
      </c>
      <c r="GMS3">
        <v>5</v>
      </c>
      <c r="GMT3">
        <v>5</v>
      </c>
      <c r="GMU3">
        <v>5</v>
      </c>
      <c r="GMV3">
        <v>5</v>
      </c>
      <c r="GMW3">
        <v>5</v>
      </c>
      <c r="GMX3">
        <v>5</v>
      </c>
      <c r="GMY3">
        <v>5</v>
      </c>
      <c r="GMZ3">
        <v>5</v>
      </c>
      <c r="GNA3">
        <v>5</v>
      </c>
      <c r="GNB3">
        <v>5</v>
      </c>
      <c r="GNC3">
        <v>5</v>
      </c>
      <c r="GND3">
        <v>5</v>
      </c>
      <c r="GNE3">
        <v>5</v>
      </c>
      <c r="GNF3">
        <v>5</v>
      </c>
      <c r="GNG3">
        <v>5</v>
      </c>
      <c r="GNH3">
        <v>5</v>
      </c>
      <c r="GNI3">
        <v>5</v>
      </c>
      <c r="GNJ3">
        <v>5</v>
      </c>
      <c r="GNK3">
        <v>5</v>
      </c>
      <c r="GNL3">
        <v>5</v>
      </c>
      <c r="GNM3">
        <v>5</v>
      </c>
      <c r="GNN3">
        <v>5</v>
      </c>
      <c r="GNO3">
        <v>5</v>
      </c>
      <c r="GNP3">
        <v>5</v>
      </c>
      <c r="GNQ3">
        <v>5</v>
      </c>
      <c r="GNR3">
        <v>5</v>
      </c>
      <c r="GNS3">
        <v>5</v>
      </c>
      <c r="GNT3">
        <v>5</v>
      </c>
      <c r="GNU3">
        <v>5</v>
      </c>
      <c r="GNV3">
        <v>5</v>
      </c>
      <c r="GNW3">
        <v>5</v>
      </c>
      <c r="GNX3">
        <v>5</v>
      </c>
      <c r="GNY3">
        <v>5</v>
      </c>
      <c r="GNZ3">
        <v>5</v>
      </c>
      <c r="GOA3">
        <v>5</v>
      </c>
      <c r="GOB3">
        <v>5</v>
      </c>
      <c r="GOC3">
        <v>5</v>
      </c>
      <c r="GOD3">
        <v>5</v>
      </c>
      <c r="GOE3">
        <v>5</v>
      </c>
      <c r="GOF3">
        <v>5</v>
      </c>
      <c r="GOG3">
        <v>5</v>
      </c>
      <c r="GOH3">
        <v>5</v>
      </c>
      <c r="GOI3">
        <v>5</v>
      </c>
      <c r="GOJ3">
        <v>5</v>
      </c>
      <c r="GOK3">
        <v>5</v>
      </c>
      <c r="GOL3">
        <v>5</v>
      </c>
      <c r="GOM3">
        <v>5</v>
      </c>
      <c r="GON3">
        <v>5</v>
      </c>
      <c r="GOO3">
        <v>5</v>
      </c>
      <c r="GOP3">
        <v>5</v>
      </c>
      <c r="GOQ3">
        <v>5</v>
      </c>
      <c r="GOR3">
        <v>5</v>
      </c>
      <c r="GOS3">
        <v>5</v>
      </c>
      <c r="GOT3">
        <v>5</v>
      </c>
      <c r="GOU3">
        <v>5</v>
      </c>
      <c r="GOV3">
        <v>5</v>
      </c>
      <c r="GOW3">
        <v>5</v>
      </c>
      <c r="GOX3">
        <v>5</v>
      </c>
      <c r="GOY3">
        <v>5</v>
      </c>
      <c r="GOZ3">
        <v>5</v>
      </c>
      <c r="GPA3">
        <v>5</v>
      </c>
      <c r="GPB3">
        <v>5</v>
      </c>
      <c r="GPC3">
        <v>5</v>
      </c>
      <c r="GPD3">
        <v>5</v>
      </c>
      <c r="GPE3">
        <v>5</v>
      </c>
      <c r="GPF3">
        <v>5</v>
      </c>
      <c r="GPG3">
        <v>5</v>
      </c>
      <c r="GPH3">
        <v>5</v>
      </c>
      <c r="GPI3">
        <v>5</v>
      </c>
      <c r="GPJ3">
        <v>5</v>
      </c>
      <c r="GPK3">
        <v>5</v>
      </c>
      <c r="GPL3">
        <v>5</v>
      </c>
      <c r="GPM3">
        <v>5</v>
      </c>
      <c r="GPN3">
        <v>5</v>
      </c>
      <c r="GPO3">
        <v>5</v>
      </c>
      <c r="GPP3">
        <v>5</v>
      </c>
      <c r="GPQ3">
        <v>5</v>
      </c>
      <c r="GPR3">
        <v>5</v>
      </c>
      <c r="GPS3">
        <v>5</v>
      </c>
      <c r="GPT3">
        <v>5</v>
      </c>
      <c r="GPU3">
        <v>5</v>
      </c>
      <c r="GPV3">
        <v>5</v>
      </c>
      <c r="GPW3">
        <v>5</v>
      </c>
      <c r="GPX3">
        <v>5</v>
      </c>
      <c r="GPY3">
        <v>5</v>
      </c>
      <c r="GPZ3">
        <v>5</v>
      </c>
      <c r="GQA3">
        <v>5</v>
      </c>
      <c r="GQB3">
        <v>5</v>
      </c>
      <c r="GQC3">
        <v>5</v>
      </c>
      <c r="GQD3">
        <v>5</v>
      </c>
      <c r="GQE3">
        <v>5</v>
      </c>
      <c r="GQF3">
        <v>5</v>
      </c>
      <c r="GQG3">
        <v>5</v>
      </c>
      <c r="GQH3">
        <v>5</v>
      </c>
      <c r="GQI3">
        <v>5</v>
      </c>
      <c r="GQJ3">
        <v>5</v>
      </c>
      <c r="GQK3">
        <v>5</v>
      </c>
      <c r="GQL3">
        <v>5</v>
      </c>
      <c r="GQM3">
        <v>5</v>
      </c>
      <c r="GQN3">
        <v>5</v>
      </c>
      <c r="GQO3">
        <v>5</v>
      </c>
      <c r="GQP3">
        <v>5</v>
      </c>
      <c r="GQQ3">
        <v>5</v>
      </c>
      <c r="GQR3">
        <v>5</v>
      </c>
      <c r="GQS3">
        <v>5</v>
      </c>
      <c r="GQT3">
        <v>5</v>
      </c>
      <c r="GQU3">
        <v>5</v>
      </c>
      <c r="GQV3">
        <v>5</v>
      </c>
      <c r="GQW3">
        <v>5</v>
      </c>
      <c r="GQX3">
        <v>5</v>
      </c>
      <c r="GQY3">
        <v>5</v>
      </c>
      <c r="GQZ3">
        <v>5</v>
      </c>
      <c r="GRA3">
        <v>5</v>
      </c>
      <c r="GRB3">
        <v>5</v>
      </c>
      <c r="GRC3">
        <v>5</v>
      </c>
      <c r="GRD3">
        <v>5</v>
      </c>
      <c r="GRE3">
        <v>5</v>
      </c>
      <c r="GRF3">
        <v>5</v>
      </c>
      <c r="GRG3">
        <v>5</v>
      </c>
      <c r="GRH3">
        <v>5</v>
      </c>
      <c r="GRI3">
        <v>5</v>
      </c>
      <c r="GRJ3">
        <v>5</v>
      </c>
      <c r="GRK3">
        <v>5</v>
      </c>
      <c r="GRL3">
        <v>5</v>
      </c>
      <c r="GRM3">
        <v>5</v>
      </c>
      <c r="GRN3">
        <v>5</v>
      </c>
      <c r="GRO3">
        <v>5</v>
      </c>
      <c r="GRP3">
        <v>5</v>
      </c>
      <c r="GRQ3">
        <v>5</v>
      </c>
      <c r="GRR3">
        <v>5</v>
      </c>
      <c r="GRS3">
        <v>5</v>
      </c>
      <c r="GRT3">
        <v>5</v>
      </c>
      <c r="GRU3">
        <v>5</v>
      </c>
      <c r="GRV3">
        <v>5</v>
      </c>
      <c r="GRW3">
        <v>5</v>
      </c>
      <c r="GRX3">
        <v>5</v>
      </c>
      <c r="GRY3">
        <v>5</v>
      </c>
      <c r="GRZ3">
        <v>5</v>
      </c>
      <c r="GSA3">
        <v>5</v>
      </c>
      <c r="GSB3">
        <v>5</v>
      </c>
      <c r="GSC3">
        <v>5</v>
      </c>
      <c r="GSD3">
        <v>5</v>
      </c>
      <c r="GSE3">
        <v>5</v>
      </c>
      <c r="GSF3">
        <v>5</v>
      </c>
      <c r="GSG3">
        <v>5</v>
      </c>
      <c r="GSH3">
        <v>5</v>
      </c>
      <c r="GSI3">
        <v>5</v>
      </c>
      <c r="GSJ3">
        <v>5</v>
      </c>
      <c r="GSK3">
        <v>5</v>
      </c>
      <c r="GSL3">
        <v>5</v>
      </c>
      <c r="GSM3">
        <v>5</v>
      </c>
      <c r="GSN3">
        <v>5</v>
      </c>
      <c r="GSO3">
        <v>5</v>
      </c>
      <c r="GSP3">
        <v>5</v>
      </c>
      <c r="GSQ3">
        <v>5</v>
      </c>
      <c r="GSR3">
        <v>5</v>
      </c>
      <c r="GSS3">
        <v>5</v>
      </c>
      <c r="GST3">
        <v>5</v>
      </c>
      <c r="GSU3">
        <v>5</v>
      </c>
      <c r="GSV3">
        <v>5</v>
      </c>
      <c r="GSW3">
        <v>5</v>
      </c>
      <c r="GSX3">
        <v>5</v>
      </c>
      <c r="GSY3">
        <v>5</v>
      </c>
      <c r="GSZ3">
        <v>5</v>
      </c>
      <c r="GTA3">
        <v>5</v>
      </c>
      <c r="GTB3">
        <v>5</v>
      </c>
      <c r="GTC3">
        <v>5</v>
      </c>
      <c r="GTD3">
        <v>5</v>
      </c>
      <c r="GTE3">
        <v>5</v>
      </c>
      <c r="GTF3">
        <v>5</v>
      </c>
      <c r="GTG3">
        <v>5</v>
      </c>
      <c r="GTH3">
        <v>5</v>
      </c>
      <c r="GTI3">
        <v>5</v>
      </c>
      <c r="GTJ3">
        <v>5</v>
      </c>
      <c r="GTK3">
        <v>5</v>
      </c>
      <c r="GTL3">
        <v>5</v>
      </c>
      <c r="GTM3">
        <v>5</v>
      </c>
      <c r="GTN3">
        <v>5</v>
      </c>
      <c r="GTO3">
        <v>5</v>
      </c>
      <c r="GTP3">
        <v>5</v>
      </c>
      <c r="GTQ3">
        <v>5</v>
      </c>
      <c r="GTR3">
        <v>5</v>
      </c>
      <c r="GTS3">
        <v>5</v>
      </c>
      <c r="GTT3">
        <v>5</v>
      </c>
      <c r="GTU3">
        <v>5</v>
      </c>
      <c r="GTV3">
        <v>5</v>
      </c>
      <c r="GTW3">
        <v>5</v>
      </c>
      <c r="GTX3">
        <v>5</v>
      </c>
      <c r="GTY3">
        <v>5</v>
      </c>
      <c r="GTZ3">
        <v>5</v>
      </c>
      <c r="GUA3">
        <v>5</v>
      </c>
      <c r="GUB3">
        <v>5</v>
      </c>
      <c r="GUC3">
        <v>5</v>
      </c>
      <c r="GUD3">
        <v>5</v>
      </c>
      <c r="GUE3">
        <v>5</v>
      </c>
      <c r="GUF3">
        <v>5</v>
      </c>
      <c r="GUG3">
        <v>5</v>
      </c>
      <c r="GUH3">
        <v>5</v>
      </c>
      <c r="GUI3">
        <v>5</v>
      </c>
      <c r="GUJ3">
        <v>5</v>
      </c>
      <c r="GUK3">
        <v>5</v>
      </c>
      <c r="GUL3">
        <v>5</v>
      </c>
      <c r="GUM3">
        <v>5</v>
      </c>
      <c r="GUN3">
        <v>5</v>
      </c>
      <c r="GUO3">
        <v>5</v>
      </c>
      <c r="GUP3">
        <v>5</v>
      </c>
      <c r="GUQ3">
        <v>5</v>
      </c>
      <c r="GUR3">
        <v>5</v>
      </c>
      <c r="GUS3">
        <v>5</v>
      </c>
      <c r="GUT3">
        <v>5</v>
      </c>
      <c r="GUU3">
        <v>5</v>
      </c>
      <c r="GUV3">
        <v>5</v>
      </c>
      <c r="GUW3">
        <v>5</v>
      </c>
      <c r="GUX3">
        <v>5</v>
      </c>
      <c r="GUY3">
        <v>5</v>
      </c>
      <c r="GUZ3">
        <v>5</v>
      </c>
      <c r="GVA3">
        <v>5</v>
      </c>
      <c r="GVB3">
        <v>5</v>
      </c>
      <c r="GVC3">
        <v>5</v>
      </c>
      <c r="GVD3">
        <v>5</v>
      </c>
      <c r="GVE3">
        <v>5</v>
      </c>
      <c r="GVF3">
        <v>5</v>
      </c>
      <c r="GVG3">
        <v>5</v>
      </c>
      <c r="GVH3">
        <v>5</v>
      </c>
      <c r="GVI3">
        <v>5</v>
      </c>
      <c r="GVJ3">
        <v>5</v>
      </c>
      <c r="GVK3">
        <v>5</v>
      </c>
      <c r="GVL3">
        <v>5</v>
      </c>
      <c r="GVM3">
        <v>5</v>
      </c>
      <c r="GVN3">
        <v>5</v>
      </c>
      <c r="GVO3">
        <v>5</v>
      </c>
      <c r="GVP3">
        <v>5</v>
      </c>
      <c r="GVQ3">
        <v>5</v>
      </c>
      <c r="GVR3">
        <v>5</v>
      </c>
      <c r="GVS3">
        <v>5</v>
      </c>
      <c r="GVT3">
        <v>5</v>
      </c>
      <c r="GVU3">
        <v>5</v>
      </c>
      <c r="GVV3">
        <v>5</v>
      </c>
      <c r="GVW3">
        <v>5</v>
      </c>
      <c r="GVX3">
        <v>5</v>
      </c>
      <c r="GVY3">
        <v>5</v>
      </c>
      <c r="GVZ3">
        <v>5</v>
      </c>
      <c r="GWA3">
        <v>5</v>
      </c>
      <c r="GWB3">
        <v>5</v>
      </c>
      <c r="GWC3">
        <v>5</v>
      </c>
      <c r="GWD3">
        <v>5</v>
      </c>
      <c r="GWE3">
        <v>5</v>
      </c>
      <c r="GWF3">
        <v>5</v>
      </c>
      <c r="GWG3">
        <v>5</v>
      </c>
      <c r="GWH3">
        <v>5</v>
      </c>
      <c r="GWI3">
        <v>5</v>
      </c>
      <c r="GWJ3">
        <v>5</v>
      </c>
      <c r="GWK3">
        <v>5</v>
      </c>
      <c r="GWL3">
        <v>5</v>
      </c>
      <c r="GWM3">
        <v>5</v>
      </c>
      <c r="GWN3">
        <v>5</v>
      </c>
      <c r="GWO3">
        <v>5</v>
      </c>
      <c r="GWP3">
        <v>5</v>
      </c>
      <c r="GWQ3">
        <v>5</v>
      </c>
      <c r="GWR3">
        <v>5</v>
      </c>
      <c r="GWS3">
        <v>5</v>
      </c>
      <c r="GWT3">
        <v>5</v>
      </c>
      <c r="GWU3">
        <v>5</v>
      </c>
      <c r="GWV3">
        <v>5</v>
      </c>
      <c r="GWW3">
        <v>5</v>
      </c>
      <c r="GWX3">
        <v>5</v>
      </c>
      <c r="GWY3">
        <v>5</v>
      </c>
      <c r="GWZ3">
        <v>5</v>
      </c>
      <c r="GXA3">
        <v>5</v>
      </c>
      <c r="GXB3">
        <v>5</v>
      </c>
      <c r="GXC3">
        <v>5</v>
      </c>
      <c r="GXD3">
        <v>5</v>
      </c>
      <c r="GXE3">
        <v>5</v>
      </c>
      <c r="GXF3">
        <v>5</v>
      </c>
      <c r="GXG3">
        <v>5</v>
      </c>
      <c r="GXH3">
        <v>5</v>
      </c>
      <c r="GXI3">
        <v>5</v>
      </c>
      <c r="GXJ3">
        <v>5</v>
      </c>
      <c r="GXK3">
        <v>5</v>
      </c>
      <c r="GXL3">
        <v>5</v>
      </c>
      <c r="GXM3">
        <v>5</v>
      </c>
      <c r="GXN3">
        <v>5</v>
      </c>
      <c r="GXO3">
        <v>5</v>
      </c>
      <c r="HTU3">
        <v>6</v>
      </c>
      <c r="HTV3">
        <v>6</v>
      </c>
      <c r="HTW3">
        <v>6</v>
      </c>
      <c r="HTX3">
        <v>6</v>
      </c>
      <c r="HTY3">
        <v>6</v>
      </c>
      <c r="HTZ3">
        <v>6</v>
      </c>
      <c r="HUA3">
        <v>6</v>
      </c>
      <c r="HUB3">
        <v>6</v>
      </c>
      <c r="HUC3">
        <v>6</v>
      </c>
      <c r="HUD3">
        <v>6</v>
      </c>
      <c r="HUE3">
        <v>6</v>
      </c>
      <c r="HUF3">
        <v>6</v>
      </c>
      <c r="HUG3">
        <v>6</v>
      </c>
      <c r="HUH3">
        <v>6</v>
      </c>
      <c r="HUI3">
        <v>6</v>
      </c>
      <c r="HUJ3">
        <v>6</v>
      </c>
      <c r="HUK3">
        <v>6</v>
      </c>
      <c r="HUL3">
        <v>6</v>
      </c>
      <c r="HUM3">
        <v>6</v>
      </c>
      <c r="HUN3">
        <v>6</v>
      </c>
      <c r="HUO3">
        <v>6</v>
      </c>
      <c r="HUP3">
        <v>6</v>
      </c>
      <c r="HUQ3">
        <v>6</v>
      </c>
      <c r="HUR3">
        <v>6</v>
      </c>
      <c r="HUS3">
        <v>6</v>
      </c>
      <c r="HUT3">
        <v>6</v>
      </c>
      <c r="HUU3">
        <v>6</v>
      </c>
      <c r="HUV3">
        <v>6</v>
      </c>
      <c r="HUW3">
        <v>6</v>
      </c>
      <c r="HUX3">
        <v>6</v>
      </c>
      <c r="HUY3">
        <v>6</v>
      </c>
      <c r="HUZ3">
        <v>6</v>
      </c>
      <c r="HVA3">
        <v>6</v>
      </c>
      <c r="HVB3">
        <v>6</v>
      </c>
      <c r="HVC3">
        <v>6</v>
      </c>
      <c r="HVD3">
        <v>6</v>
      </c>
      <c r="HVE3">
        <v>6</v>
      </c>
      <c r="HVF3">
        <v>6</v>
      </c>
      <c r="HVG3">
        <v>6</v>
      </c>
      <c r="HVH3">
        <v>6</v>
      </c>
      <c r="HVI3">
        <v>6</v>
      </c>
      <c r="HVJ3">
        <v>6</v>
      </c>
      <c r="HVK3">
        <v>6</v>
      </c>
      <c r="HVL3">
        <v>6</v>
      </c>
      <c r="HVM3">
        <v>6</v>
      </c>
      <c r="HVN3">
        <v>6</v>
      </c>
      <c r="HVO3">
        <v>6</v>
      </c>
      <c r="HVP3">
        <v>6</v>
      </c>
      <c r="HVQ3">
        <v>6</v>
      </c>
      <c r="HVR3">
        <v>6</v>
      </c>
      <c r="HVS3">
        <v>6</v>
      </c>
      <c r="HVT3">
        <v>6</v>
      </c>
      <c r="HVU3">
        <v>6</v>
      </c>
      <c r="HVV3">
        <v>6</v>
      </c>
      <c r="HVW3">
        <v>6</v>
      </c>
      <c r="HVX3">
        <v>6</v>
      </c>
      <c r="HVY3">
        <v>6</v>
      </c>
      <c r="HVZ3">
        <v>6</v>
      </c>
      <c r="HWA3">
        <v>6</v>
      </c>
      <c r="HWB3">
        <v>6</v>
      </c>
      <c r="HWC3">
        <v>6</v>
      </c>
      <c r="HWD3">
        <v>6</v>
      </c>
      <c r="HWE3">
        <v>6</v>
      </c>
      <c r="HWF3">
        <v>6</v>
      </c>
      <c r="HWG3">
        <v>6</v>
      </c>
      <c r="HWH3">
        <v>6</v>
      </c>
      <c r="HWI3">
        <v>6</v>
      </c>
      <c r="HWJ3">
        <v>6</v>
      </c>
      <c r="HWK3">
        <v>6</v>
      </c>
      <c r="HWL3">
        <v>6</v>
      </c>
      <c r="HWM3">
        <v>6</v>
      </c>
      <c r="HWN3">
        <v>6</v>
      </c>
      <c r="HWO3">
        <v>6</v>
      </c>
      <c r="HWP3">
        <v>6</v>
      </c>
      <c r="HWQ3">
        <v>6</v>
      </c>
      <c r="HWR3">
        <v>6</v>
      </c>
      <c r="HWS3">
        <v>6</v>
      </c>
      <c r="HWT3">
        <v>6</v>
      </c>
      <c r="HWU3">
        <v>6</v>
      </c>
      <c r="HWV3">
        <v>6</v>
      </c>
      <c r="HWW3">
        <v>6</v>
      </c>
      <c r="HWX3">
        <v>6</v>
      </c>
      <c r="HWY3">
        <v>6</v>
      </c>
      <c r="HWZ3">
        <v>6</v>
      </c>
      <c r="HXA3">
        <v>6</v>
      </c>
      <c r="HXB3">
        <v>6</v>
      </c>
      <c r="HXC3">
        <v>6</v>
      </c>
      <c r="HXD3">
        <v>6</v>
      </c>
      <c r="HXE3">
        <v>6</v>
      </c>
      <c r="HXF3">
        <v>6</v>
      </c>
      <c r="HXG3">
        <v>6</v>
      </c>
      <c r="HXH3">
        <v>6</v>
      </c>
      <c r="HXI3">
        <v>6</v>
      </c>
      <c r="HXJ3">
        <v>6</v>
      </c>
      <c r="HXK3">
        <v>6</v>
      </c>
      <c r="HXL3">
        <v>6</v>
      </c>
      <c r="HXM3">
        <v>6</v>
      </c>
      <c r="HXN3">
        <v>6</v>
      </c>
      <c r="HXO3">
        <v>6</v>
      </c>
      <c r="HXP3">
        <v>6</v>
      </c>
      <c r="HXQ3">
        <v>6</v>
      </c>
      <c r="HXR3">
        <v>6</v>
      </c>
      <c r="HXS3">
        <v>6</v>
      </c>
      <c r="HXT3">
        <v>6</v>
      </c>
      <c r="HXU3">
        <v>6</v>
      </c>
      <c r="HXV3">
        <v>6</v>
      </c>
      <c r="HXW3">
        <v>6</v>
      </c>
      <c r="HXX3">
        <v>6</v>
      </c>
      <c r="HXY3">
        <v>6</v>
      </c>
      <c r="HXZ3">
        <v>6</v>
      </c>
      <c r="HYA3">
        <v>6</v>
      </c>
      <c r="HYB3">
        <v>6</v>
      </c>
      <c r="HYC3">
        <v>6</v>
      </c>
      <c r="HYD3">
        <v>6</v>
      </c>
      <c r="HYE3">
        <v>6</v>
      </c>
      <c r="HYF3">
        <v>6</v>
      </c>
      <c r="HYG3">
        <v>6</v>
      </c>
      <c r="HYH3">
        <v>6</v>
      </c>
      <c r="HYI3">
        <v>6</v>
      </c>
      <c r="HYJ3">
        <v>6</v>
      </c>
      <c r="HYK3">
        <v>6</v>
      </c>
      <c r="HYL3">
        <v>6</v>
      </c>
      <c r="HYM3">
        <v>6</v>
      </c>
      <c r="HYN3">
        <v>6</v>
      </c>
      <c r="HYO3">
        <v>6</v>
      </c>
      <c r="HYP3">
        <v>6</v>
      </c>
      <c r="HYQ3">
        <v>6</v>
      </c>
      <c r="HYR3">
        <v>6</v>
      </c>
      <c r="HYS3">
        <v>6</v>
      </c>
      <c r="HYT3">
        <v>6</v>
      </c>
      <c r="HYU3">
        <v>6</v>
      </c>
      <c r="HYV3">
        <v>6</v>
      </c>
      <c r="HYW3">
        <v>6</v>
      </c>
      <c r="HYX3">
        <v>6</v>
      </c>
      <c r="HYY3">
        <v>6</v>
      </c>
      <c r="HYZ3">
        <v>6</v>
      </c>
      <c r="HZA3">
        <v>6</v>
      </c>
      <c r="HZB3">
        <v>6</v>
      </c>
      <c r="HZC3">
        <v>6</v>
      </c>
      <c r="HZD3">
        <v>6</v>
      </c>
      <c r="HZE3">
        <v>6</v>
      </c>
      <c r="HZF3">
        <v>6</v>
      </c>
      <c r="HZG3">
        <v>6</v>
      </c>
      <c r="HZH3">
        <v>6</v>
      </c>
      <c r="HZI3">
        <v>6</v>
      </c>
      <c r="HZJ3">
        <v>6</v>
      </c>
      <c r="HZK3">
        <v>6</v>
      </c>
      <c r="HZL3">
        <v>6</v>
      </c>
      <c r="JVK3">
        <v>7</v>
      </c>
      <c r="JVL3">
        <v>7</v>
      </c>
      <c r="JVM3">
        <v>7</v>
      </c>
      <c r="JVN3">
        <v>7</v>
      </c>
      <c r="JVO3">
        <v>7</v>
      </c>
      <c r="JVP3">
        <v>7</v>
      </c>
      <c r="JVQ3">
        <v>7</v>
      </c>
      <c r="JVR3">
        <v>7</v>
      </c>
      <c r="JVS3">
        <v>7</v>
      </c>
      <c r="JVT3">
        <v>7</v>
      </c>
      <c r="JVU3">
        <v>7</v>
      </c>
      <c r="JVV3">
        <v>7</v>
      </c>
      <c r="JVW3">
        <v>7</v>
      </c>
      <c r="JVX3">
        <v>7</v>
      </c>
      <c r="JVY3">
        <v>7</v>
      </c>
      <c r="JVZ3">
        <v>7</v>
      </c>
      <c r="JWA3">
        <v>7</v>
      </c>
      <c r="JWB3">
        <v>7</v>
      </c>
      <c r="JWC3">
        <v>7</v>
      </c>
      <c r="JWD3">
        <v>7</v>
      </c>
      <c r="JWE3">
        <v>7</v>
      </c>
      <c r="JWF3">
        <v>7</v>
      </c>
      <c r="JWG3">
        <v>7</v>
      </c>
      <c r="JWH3">
        <v>7</v>
      </c>
      <c r="JWI3">
        <v>7</v>
      </c>
      <c r="JWJ3">
        <v>7</v>
      </c>
      <c r="JWK3">
        <v>7</v>
      </c>
      <c r="JWL3">
        <v>7</v>
      </c>
      <c r="JWM3">
        <v>7</v>
      </c>
      <c r="JWN3">
        <v>7</v>
      </c>
      <c r="JWO3">
        <v>7</v>
      </c>
      <c r="JWP3">
        <v>7</v>
      </c>
      <c r="JWQ3">
        <v>7</v>
      </c>
      <c r="JWR3">
        <v>7</v>
      </c>
      <c r="JWS3">
        <v>7</v>
      </c>
      <c r="JWT3">
        <v>7</v>
      </c>
      <c r="JWU3">
        <v>7</v>
      </c>
      <c r="JWV3">
        <v>7</v>
      </c>
      <c r="JWW3">
        <v>7</v>
      </c>
      <c r="JWX3">
        <v>7</v>
      </c>
      <c r="JWY3">
        <v>7</v>
      </c>
      <c r="JWZ3">
        <v>7</v>
      </c>
      <c r="JXA3">
        <v>7</v>
      </c>
      <c r="JXB3">
        <v>7</v>
      </c>
      <c r="JXC3">
        <v>7</v>
      </c>
      <c r="JXD3">
        <v>7</v>
      </c>
      <c r="JXE3">
        <v>7</v>
      </c>
      <c r="JXF3">
        <v>7</v>
      </c>
      <c r="JXG3">
        <v>7</v>
      </c>
      <c r="JXH3">
        <v>7</v>
      </c>
      <c r="JXI3">
        <v>7</v>
      </c>
      <c r="JXJ3">
        <v>7</v>
      </c>
      <c r="JXK3">
        <v>7</v>
      </c>
      <c r="JXL3">
        <v>7</v>
      </c>
      <c r="JXM3">
        <v>7</v>
      </c>
      <c r="JXN3">
        <v>7</v>
      </c>
      <c r="JXO3">
        <v>7</v>
      </c>
      <c r="JXP3">
        <v>7</v>
      </c>
      <c r="JXQ3">
        <v>7</v>
      </c>
      <c r="JXR3">
        <v>7</v>
      </c>
      <c r="JXS3">
        <v>7</v>
      </c>
      <c r="JXT3">
        <v>7</v>
      </c>
      <c r="JXU3">
        <v>7</v>
      </c>
      <c r="JXV3">
        <v>7</v>
      </c>
      <c r="JXW3">
        <v>7</v>
      </c>
      <c r="JXX3">
        <v>7</v>
      </c>
      <c r="JXY3">
        <v>7</v>
      </c>
      <c r="JXZ3">
        <v>7</v>
      </c>
      <c r="JYA3">
        <v>7</v>
      </c>
      <c r="JYB3">
        <v>7</v>
      </c>
      <c r="JYC3">
        <v>7</v>
      </c>
      <c r="JYD3">
        <v>7</v>
      </c>
      <c r="JYE3">
        <v>7</v>
      </c>
      <c r="JYF3">
        <v>7</v>
      </c>
      <c r="JYG3">
        <v>7</v>
      </c>
      <c r="JYH3">
        <v>7</v>
      </c>
      <c r="JYI3">
        <v>7</v>
      </c>
      <c r="JYJ3">
        <v>7</v>
      </c>
      <c r="JYK3">
        <v>7</v>
      </c>
      <c r="JYL3">
        <v>7</v>
      </c>
      <c r="JYM3">
        <v>7</v>
      </c>
      <c r="JYN3">
        <v>7</v>
      </c>
      <c r="JYO3">
        <v>7</v>
      </c>
      <c r="JYP3">
        <v>7</v>
      </c>
      <c r="JYQ3">
        <v>7</v>
      </c>
      <c r="JYR3">
        <v>7</v>
      </c>
      <c r="JYS3">
        <v>7</v>
      </c>
      <c r="JYT3">
        <v>7</v>
      </c>
      <c r="JYU3">
        <v>7</v>
      </c>
      <c r="JYV3">
        <v>7</v>
      </c>
      <c r="JYW3">
        <v>7</v>
      </c>
      <c r="JYX3">
        <v>7</v>
      </c>
      <c r="JYY3">
        <v>7</v>
      </c>
      <c r="JYZ3">
        <v>7</v>
      </c>
      <c r="JZA3">
        <v>7</v>
      </c>
      <c r="JZB3">
        <v>7</v>
      </c>
      <c r="JZC3">
        <v>7</v>
      </c>
      <c r="JZD3">
        <v>7</v>
      </c>
      <c r="JZE3">
        <v>7</v>
      </c>
      <c r="JZF3">
        <v>7</v>
      </c>
      <c r="JZG3">
        <v>7</v>
      </c>
      <c r="JZH3">
        <v>7</v>
      </c>
      <c r="JZI3">
        <v>7</v>
      </c>
      <c r="JZJ3">
        <v>7</v>
      </c>
      <c r="JZK3">
        <v>7</v>
      </c>
      <c r="JZL3">
        <v>7</v>
      </c>
      <c r="JZM3">
        <v>7</v>
      </c>
      <c r="JZN3">
        <v>7</v>
      </c>
      <c r="JZO3">
        <v>7</v>
      </c>
      <c r="JZP3">
        <v>7</v>
      </c>
      <c r="JZQ3">
        <v>7</v>
      </c>
      <c r="JZR3">
        <v>7</v>
      </c>
      <c r="JZS3">
        <v>7</v>
      </c>
      <c r="JZT3">
        <v>7</v>
      </c>
      <c r="JZU3">
        <v>7</v>
      </c>
      <c r="JZV3">
        <v>7</v>
      </c>
      <c r="JZW3">
        <v>7</v>
      </c>
      <c r="JZX3">
        <v>7</v>
      </c>
      <c r="JZY3">
        <v>7</v>
      </c>
      <c r="JZZ3">
        <v>7</v>
      </c>
      <c r="KAA3">
        <v>7</v>
      </c>
      <c r="KAB3">
        <v>7</v>
      </c>
      <c r="KAC3">
        <v>7</v>
      </c>
      <c r="KAD3">
        <v>7</v>
      </c>
      <c r="KAE3">
        <v>7</v>
      </c>
      <c r="KAF3">
        <v>7</v>
      </c>
      <c r="KAG3">
        <v>7</v>
      </c>
      <c r="KAH3">
        <v>7</v>
      </c>
      <c r="KAI3">
        <v>7</v>
      </c>
      <c r="KAJ3">
        <v>7</v>
      </c>
      <c r="KAK3">
        <v>7</v>
      </c>
      <c r="KAL3">
        <v>7</v>
      </c>
      <c r="KAM3">
        <v>7</v>
      </c>
      <c r="KAN3">
        <v>7</v>
      </c>
      <c r="KAO3">
        <v>7</v>
      </c>
      <c r="KAP3">
        <v>7</v>
      </c>
      <c r="KAQ3">
        <v>7</v>
      </c>
      <c r="KAR3">
        <v>7</v>
      </c>
      <c r="KAS3">
        <v>7</v>
      </c>
      <c r="KAT3">
        <v>7</v>
      </c>
      <c r="KAU3">
        <v>7</v>
      </c>
      <c r="KAV3">
        <v>7</v>
      </c>
      <c r="KAW3">
        <v>7</v>
      </c>
      <c r="KAX3">
        <v>7</v>
      </c>
      <c r="KAY3">
        <v>7</v>
      </c>
      <c r="KAZ3">
        <v>7</v>
      </c>
      <c r="KBA3">
        <v>7</v>
      </c>
      <c r="KBB3">
        <v>7</v>
      </c>
      <c r="KBC3">
        <v>7</v>
      </c>
      <c r="KBD3">
        <v>7</v>
      </c>
      <c r="KBE3">
        <v>7</v>
      </c>
      <c r="KBF3">
        <v>7</v>
      </c>
      <c r="KBG3">
        <v>7</v>
      </c>
      <c r="KBH3">
        <v>7</v>
      </c>
      <c r="KBI3">
        <v>7</v>
      </c>
      <c r="KBJ3">
        <v>7</v>
      </c>
      <c r="KBK3">
        <v>7</v>
      </c>
      <c r="KBL3">
        <v>7</v>
      </c>
      <c r="KBM3">
        <v>7</v>
      </c>
      <c r="KBN3">
        <v>7</v>
      </c>
      <c r="KBO3">
        <v>7</v>
      </c>
      <c r="KBP3">
        <v>7</v>
      </c>
      <c r="KBQ3">
        <v>7</v>
      </c>
      <c r="KBR3">
        <v>7</v>
      </c>
      <c r="KBS3">
        <v>7</v>
      </c>
      <c r="KBT3">
        <v>7</v>
      </c>
      <c r="KBU3">
        <v>7</v>
      </c>
      <c r="KBV3">
        <v>7</v>
      </c>
      <c r="KBW3">
        <v>7</v>
      </c>
      <c r="KBX3">
        <v>7</v>
      </c>
      <c r="KBY3">
        <v>7</v>
      </c>
      <c r="KBZ3">
        <v>7</v>
      </c>
      <c r="KCA3">
        <v>7</v>
      </c>
      <c r="KCB3">
        <v>7</v>
      </c>
      <c r="KCC3">
        <v>7</v>
      </c>
      <c r="KCD3">
        <v>7</v>
      </c>
      <c r="KCE3">
        <v>7</v>
      </c>
      <c r="KCF3">
        <v>7</v>
      </c>
      <c r="KCG3">
        <v>7</v>
      </c>
      <c r="KCH3">
        <v>7</v>
      </c>
      <c r="KCI3">
        <v>7</v>
      </c>
      <c r="KCJ3">
        <v>7</v>
      </c>
      <c r="KCK3">
        <v>7</v>
      </c>
      <c r="KCL3">
        <v>7</v>
      </c>
      <c r="KCM3">
        <v>7</v>
      </c>
      <c r="KCN3">
        <v>7</v>
      </c>
      <c r="KCO3">
        <v>7</v>
      </c>
      <c r="KCP3">
        <v>7</v>
      </c>
      <c r="KCQ3">
        <v>7</v>
      </c>
      <c r="KCR3">
        <v>7</v>
      </c>
      <c r="KCS3">
        <v>7</v>
      </c>
      <c r="KCT3">
        <v>7</v>
      </c>
      <c r="KCU3">
        <v>7</v>
      </c>
      <c r="KCV3">
        <v>7</v>
      </c>
      <c r="KCW3">
        <v>7</v>
      </c>
      <c r="KCX3">
        <v>7</v>
      </c>
      <c r="KCY3">
        <v>7</v>
      </c>
      <c r="KCZ3">
        <v>7</v>
      </c>
      <c r="KDA3">
        <v>7</v>
      </c>
      <c r="KDB3">
        <v>7</v>
      </c>
      <c r="KDC3">
        <v>7</v>
      </c>
      <c r="KDD3">
        <v>7</v>
      </c>
      <c r="KDE3">
        <v>7</v>
      </c>
      <c r="KDF3">
        <v>7</v>
      </c>
      <c r="KDG3">
        <v>7</v>
      </c>
      <c r="KDH3">
        <v>7</v>
      </c>
      <c r="KDI3">
        <v>7</v>
      </c>
      <c r="KDJ3">
        <v>7</v>
      </c>
      <c r="KDK3">
        <v>7</v>
      </c>
      <c r="KDL3">
        <v>7</v>
      </c>
      <c r="KDM3">
        <v>7</v>
      </c>
      <c r="KDN3">
        <v>7</v>
      </c>
      <c r="KDO3">
        <v>7</v>
      </c>
      <c r="KDP3">
        <v>7</v>
      </c>
      <c r="KDQ3">
        <v>7</v>
      </c>
      <c r="KDR3">
        <v>7</v>
      </c>
      <c r="KDS3">
        <v>7</v>
      </c>
      <c r="KDT3">
        <v>7</v>
      </c>
      <c r="KDU3">
        <v>7</v>
      </c>
      <c r="KDV3">
        <v>7</v>
      </c>
      <c r="KDW3">
        <v>7</v>
      </c>
      <c r="KDX3">
        <v>7</v>
      </c>
      <c r="KDY3">
        <v>7</v>
      </c>
      <c r="KDZ3">
        <v>7</v>
      </c>
      <c r="KEA3">
        <v>7</v>
      </c>
      <c r="KEB3">
        <v>7</v>
      </c>
      <c r="KEC3">
        <v>7</v>
      </c>
      <c r="KED3">
        <v>7</v>
      </c>
      <c r="KEE3">
        <v>7</v>
      </c>
      <c r="KEF3">
        <v>7</v>
      </c>
      <c r="KEG3">
        <v>7</v>
      </c>
      <c r="KEH3">
        <v>7</v>
      </c>
      <c r="KEI3">
        <v>7</v>
      </c>
      <c r="KEJ3">
        <v>7</v>
      </c>
      <c r="KEK3">
        <v>7</v>
      </c>
      <c r="KEL3">
        <v>7</v>
      </c>
      <c r="KEM3">
        <v>7</v>
      </c>
      <c r="KGU3" s="1">
        <f t="shared" si="0"/>
        <v>209</v>
      </c>
      <c r="KGV3">
        <f t="shared" si="1"/>
        <v>237</v>
      </c>
      <c r="KGW3">
        <f t="shared" si="2"/>
        <v>227</v>
      </c>
      <c r="KGX3">
        <f t="shared" si="3"/>
        <v>185</v>
      </c>
      <c r="KGY3">
        <f t="shared" si="4"/>
        <v>522</v>
      </c>
      <c r="KGZ3">
        <f t="shared" si="5"/>
        <v>148</v>
      </c>
      <c r="KHA3">
        <f t="shared" si="6"/>
        <v>237</v>
      </c>
      <c r="KHB3">
        <f t="shared" si="7"/>
        <v>0</v>
      </c>
      <c r="KHC3">
        <f t="shared" si="8"/>
        <v>0</v>
      </c>
      <c r="KHD3">
        <f t="shared" si="9"/>
        <v>0</v>
      </c>
      <c r="KHE3">
        <f t="shared" si="10"/>
        <v>0</v>
      </c>
      <c r="KHF3">
        <f t="shared" si="11"/>
        <v>0</v>
      </c>
      <c r="KHG3">
        <f t="shared" si="12"/>
        <v>0</v>
      </c>
      <c r="KHH3">
        <f t="shared" si="13"/>
        <v>0</v>
      </c>
      <c r="KHI3">
        <f t="shared" si="14"/>
        <v>0</v>
      </c>
      <c r="KHJ3">
        <f t="shared" si="15"/>
        <v>0</v>
      </c>
      <c r="KHK3">
        <f t="shared" si="16"/>
        <v>0</v>
      </c>
      <c r="KHL3">
        <f t="shared" si="17"/>
        <v>0</v>
      </c>
      <c r="KHM3">
        <f t="shared" si="18"/>
        <v>0</v>
      </c>
      <c r="KHN3">
        <f t="shared" si="19"/>
        <v>0</v>
      </c>
      <c r="KHO3">
        <f t="shared" si="20"/>
        <v>0</v>
      </c>
      <c r="KHP3">
        <f t="shared" si="21"/>
        <v>0</v>
      </c>
      <c r="KHQ3">
        <f t="shared" si="22"/>
        <v>0</v>
      </c>
      <c r="KHR3">
        <f t="shared" si="23"/>
        <v>0</v>
      </c>
      <c r="KHS3">
        <f t="shared" si="24"/>
        <v>0</v>
      </c>
      <c r="KHT3">
        <f t="shared" si="25"/>
        <v>0</v>
      </c>
      <c r="KHU3">
        <f t="shared" si="26"/>
        <v>0</v>
      </c>
      <c r="KHV3">
        <f t="shared" si="27"/>
        <v>0</v>
      </c>
      <c r="KHW3">
        <f t="shared" si="28"/>
        <v>0</v>
      </c>
      <c r="KHX3">
        <f t="shared" si="29"/>
        <v>0</v>
      </c>
      <c r="KHY3">
        <f t="shared" si="30"/>
        <v>0</v>
      </c>
      <c r="KHZ3">
        <f t="shared" si="31"/>
        <v>0</v>
      </c>
      <c r="KIA3">
        <f t="shared" si="32"/>
        <v>0</v>
      </c>
      <c r="KIB3">
        <f t="shared" si="33"/>
        <v>0</v>
      </c>
      <c r="KIC3">
        <f t="shared" si="34"/>
        <v>0</v>
      </c>
      <c r="KID3">
        <f t="shared" si="35"/>
        <v>0</v>
      </c>
      <c r="KIE3">
        <f t="shared" si="36"/>
        <v>0</v>
      </c>
      <c r="KIF3">
        <f t="shared" si="37"/>
        <v>0</v>
      </c>
      <c r="KIG3">
        <f t="shared" si="38"/>
        <v>0</v>
      </c>
      <c r="KIH3">
        <f t="shared" si="39"/>
        <v>0</v>
      </c>
      <c r="KII3">
        <f t="shared" si="40"/>
        <v>0</v>
      </c>
      <c r="KIJ3">
        <f t="shared" si="41"/>
        <v>0</v>
      </c>
      <c r="KIK3">
        <f t="shared" si="42"/>
        <v>0</v>
      </c>
      <c r="KIL3">
        <f t="shared" si="43"/>
        <v>0</v>
      </c>
      <c r="KIM3">
        <f t="shared" si="44"/>
        <v>0</v>
      </c>
      <c r="KIN3">
        <f t="shared" si="45"/>
        <v>0</v>
      </c>
      <c r="KIO3">
        <f t="shared" si="46"/>
        <v>0</v>
      </c>
      <c r="KIP3">
        <f t="shared" si="47"/>
        <v>0</v>
      </c>
      <c r="KIQ3">
        <f t="shared" si="48"/>
        <v>0</v>
      </c>
      <c r="KIR3">
        <f t="shared" si="49"/>
        <v>0</v>
      </c>
      <c r="KIS3">
        <f t="shared" si="50"/>
        <v>0</v>
      </c>
      <c r="KIT3">
        <f t="shared" si="51"/>
        <v>0</v>
      </c>
      <c r="KIU3">
        <f t="shared" si="52"/>
        <v>0</v>
      </c>
      <c r="KIV3">
        <f t="shared" si="53"/>
        <v>0</v>
      </c>
      <c r="KIW3">
        <f t="shared" si="54"/>
        <v>0</v>
      </c>
      <c r="KIX3">
        <f t="shared" si="55"/>
        <v>0</v>
      </c>
      <c r="KIY3">
        <f t="shared" si="56"/>
        <v>0</v>
      </c>
      <c r="KIZ3">
        <f t="shared" si="57"/>
        <v>0</v>
      </c>
      <c r="KJA3">
        <f t="shared" si="58"/>
        <v>0</v>
      </c>
      <c r="KJB3">
        <f t="shared" si="59"/>
        <v>0</v>
      </c>
      <c r="KJC3">
        <f t="shared" si="60"/>
        <v>0</v>
      </c>
      <c r="KJD3">
        <f t="shared" si="61"/>
        <v>0</v>
      </c>
      <c r="KJE3">
        <f t="shared" si="62"/>
        <v>0</v>
      </c>
      <c r="KJF3">
        <f t="shared" si="63"/>
        <v>0</v>
      </c>
      <c r="KJG3">
        <f t="shared" si="64"/>
        <v>0</v>
      </c>
      <c r="KJH3">
        <f t="shared" si="65"/>
        <v>0</v>
      </c>
      <c r="KJI3">
        <f t="shared" si="66"/>
        <v>0</v>
      </c>
      <c r="KJJ3">
        <f t="shared" si="67"/>
        <v>0</v>
      </c>
      <c r="KJK3">
        <f t="shared" si="68"/>
        <v>0</v>
      </c>
      <c r="KJL3">
        <f t="shared" si="69"/>
        <v>0</v>
      </c>
      <c r="KJM3">
        <f t="shared" si="70"/>
        <v>0</v>
      </c>
      <c r="KJN3">
        <f t="shared" si="71"/>
        <v>0</v>
      </c>
      <c r="KJO3">
        <f t="shared" si="72"/>
        <v>0</v>
      </c>
      <c r="KJP3">
        <f t="shared" si="73"/>
        <v>0</v>
      </c>
      <c r="KJQ3">
        <f t="shared" si="74"/>
        <v>0</v>
      </c>
      <c r="KJR3">
        <f t="shared" si="75"/>
        <v>0</v>
      </c>
      <c r="KJS3">
        <f t="shared" si="76"/>
        <v>0</v>
      </c>
      <c r="KJT3">
        <f t="shared" si="77"/>
        <v>0</v>
      </c>
      <c r="KJU3">
        <f t="shared" si="78"/>
        <v>0</v>
      </c>
      <c r="KJV3">
        <f t="shared" si="79"/>
        <v>0</v>
      </c>
      <c r="KJW3">
        <f t="shared" si="80"/>
        <v>0</v>
      </c>
      <c r="KJX3">
        <f t="shared" si="81"/>
        <v>0</v>
      </c>
      <c r="KJY3">
        <f t="shared" si="82"/>
        <v>0</v>
      </c>
      <c r="KJZ3">
        <f t="shared" si="83"/>
        <v>0</v>
      </c>
      <c r="KKA3">
        <f t="shared" si="84"/>
        <v>0</v>
      </c>
      <c r="KKB3">
        <f t="shared" si="85"/>
        <v>0</v>
      </c>
      <c r="KKC3">
        <f t="shared" si="86"/>
        <v>0</v>
      </c>
      <c r="KKD3">
        <f t="shared" si="87"/>
        <v>0</v>
      </c>
      <c r="KKE3">
        <f t="shared" si="88"/>
        <v>0</v>
      </c>
      <c r="KKF3">
        <f t="shared" si="89"/>
        <v>0</v>
      </c>
      <c r="KKG3">
        <f t="shared" si="90"/>
        <v>0</v>
      </c>
      <c r="KKH3">
        <f t="shared" si="91"/>
        <v>0</v>
      </c>
      <c r="KKI3">
        <f t="shared" si="92"/>
        <v>0</v>
      </c>
      <c r="KKJ3">
        <f t="shared" si="93"/>
        <v>0</v>
      </c>
      <c r="KKK3">
        <f t="shared" si="94"/>
        <v>0</v>
      </c>
      <c r="KKL3">
        <f t="shared" si="95"/>
        <v>0</v>
      </c>
      <c r="KKM3">
        <f t="shared" si="96"/>
        <v>0</v>
      </c>
      <c r="KKN3">
        <f t="shared" si="97"/>
        <v>0</v>
      </c>
      <c r="KKO3">
        <f t="shared" si="98"/>
        <v>0</v>
      </c>
      <c r="KKP3">
        <f t="shared" si="99"/>
        <v>0</v>
      </c>
      <c r="KKR3">
        <f t="shared" ref="KKR3:KKT81" si="100">SUM($KGU3:$KKQ3)</f>
        <v>1765</v>
      </c>
      <c r="KKS3">
        <f t="shared" si="100"/>
        <v>1765</v>
      </c>
      <c r="KKU3">
        <f t="shared" ref="KKU3:KKW81" si="101">$KKR3*40/1000</f>
        <v>70.599999999999994</v>
      </c>
      <c r="KKV3">
        <f t="shared" si="101"/>
        <v>70.599999999999994</v>
      </c>
    </row>
    <row r="4" spans="1:7745">
      <c r="A4" t="s">
        <v>3</v>
      </c>
      <c r="B4">
        <v>7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BHY4">
        <v>2</v>
      </c>
      <c r="BHZ4">
        <v>2</v>
      </c>
      <c r="BIA4">
        <v>2</v>
      </c>
      <c r="BIB4">
        <v>2</v>
      </c>
      <c r="BIC4">
        <v>2</v>
      </c>
      <c r="BID4">
        <v>2</v>
      </c>
      <c r="BIE4">
        <v>2</v>
      </c>
      <c r="BIF4">
        <v>2</v>
      </c>
      <c r="BIG4">
        <v>2</v>
      </c>
      <c r="BIH4">
        <v>2</v>
      </c>
      <c r="BII4">
        <v>2</v>
      </c>
      <c r="BIJ4">
        <v>2</v>
      </c>
      <c r="BIK4">
        <v>2</v>
      </c>
      <c r="BIL4">
        <v>2</v>
      </c>
      <c r="BIM4">
        <v>2</v>
      </c>
      <c r="BIN4">
        <v>2</v>
      </c>
      <c r="BIO4">
        <v>2</v>
      </c>
      <c r="BIP4">
        <v>2</v>
      </c>
      <c r="BIQ4">
        <v>2</v>
      </c>
      <c r="BIR4">
        <v>2</v>
      </c>
      <c r="BIS4">
        <v>2</v>
      </c>
      <c r="BIT4">
        <v>2</v>
      </c>
      <c r="BIU4">
        <v>2</v>
      </c>
      <c r="BIV4">
        <v>2</v>
      </c>
      <c r="BIW4">
        <v>2</v>
      </c>
      <c r="BIX4">
        <v>2</v>
      </c>
      <c r="BIY4">
        <v>2</v>
      </c>
      <c r="BIZ4">
        <v>2</v>
      </c>
      <c r="BJA4">
        <v>2</v>
      </c>
      <c r="BJB4">
        <v>2</v>
      </c>
      <c r="BJC4">
        <v>2</v>
      </c>
      <c r="BJD4">
        <v>2</v>
      </c>
      <c r="BJE4">
        <v>2</v>
      </c>
      <c r="BJF4">
        <v>2</v>
      </c>
      <c r="BJG4">
        <v>2</v>
      </c>
      <c r="BJH4">
        <v>2</v>
      </c>
      <c r="BJI4">
        <v>2</v>
      </c>
      <c r="BJJ4">
        <v>2</v>
      </c>
      <c r="BJK4">
        <v>2</v>
      </c>
      <c r="BJL4">
        <v>2</v>
      </c>
      <c r="BJM4">
        <v>2</v>
      </c>
      <c r="BJN4">
        <v>2</v>
      </c>
      <c r="BJO4">
        <v>2</v>
      </c>
      <c r="BJP4">
        <v>2</v>
      </c>
      <c r="BJQ4">
        <v>2</v>
      </c>
      <c r="BJR4">
        <v>2</v>
      </c>
      <c r="BJS4">
        <v>2</v>
      </c>
      <c r="BJT4">
        <v>2</v>
      </c>
      <c r="BJU4">
        <v>2</v>
      </c>
      <c r="BJV4">
        <v>2</v>
      </c>
      <c r="BJW4">
        <v>2</v>
      </c>
      <c r="BJX4">
        <v>2</v>
      </c>
      <c r="BJY4">
        <v>2</v>
      </c>
      <c r="BJZ4">
        <v>2</v>
      </c>
      <c r="BKA4">
        <v>2</v>
      </c>
      <c r="BKB4">
        <v>2</v>
      </c>
      <c r="BKC4">
        <v>2</v>
      </c>
      <c r="BKD4">
        <v>2</v>
      </c>
      <c r="BKE4">
        <v>2</v>
      </c>
      <c r="BKF4">
        <v>2</v>
      </c>
      <c r="BKG4">
        <v>2</v>
      </c>
      <c r="BKH4">
        <v>2</v>
      </c>
      <c r="BKI4">
        <v>2</v>
      </c>
      <c r="BKJ4">
        <v>2</v>
      </c>
      <c r="BKK4">
        <v>2</v>
      </c>
      <c r="BKL4">
        <v>2</v>
      </c>
      <c r="BKM4">
        <v>2</v>
      </c>
      <c r="BKN4">
        <v>2</v>
      </c>
      <c r="BKO4">
        <v>2</v>
      </c>
      <c r="BKP4">
        <v>2</v>
      </c>
      <c r="BKQ4">
        <v>2</v>
      </c>
      <c r="BKR4">
        <v>2</v>
      </c>
      <c r="BKS4">
        <v>2</v>
      </c>
      <c r="BKT4">
        <v>2</v>
      </c>
      <c r="BKU4">
        <v>2</v>
      </c>
      <c r="BKV4">
        <v>2</v>
      </c>
      <c r="BKW4">
        <v>2</v>
      </c>
      <c r="BKX4">
        <v>2</v>
      </c>
      <c r="BKY4">
        <v>2</v>
      </c>
      <c r="BKZ4">
        <v>2</v>
      </c>
      <c r="BLA4">
        <v>2</v>
      </c>
      <c r="BLB4">
        <v>2</v>
      </c>
      <c r="BLC4">
        <v>2</v>
      </c>
      <c r="BLD4">
        <v>2</v>
      </c>
      <c r="BLE4">
        <v>2</v>
      </c>
      <c r="BLF4">
        <v>2</v>
      </c>
      <c r="BLG4">
        <v>2</v>
      </c>
      <c r="BLH4">
        <v>2</v>
      </c>
      <c r="BLI4">
        <v>2</v>
      </c>
      <c r="BLJ4">
        <v>2</v>
      </c>
      <c r="BLK4">
        <v>2</v>
      </c>
      <c r="BLL4">
        <v>2</v>
      </c>
      <c r="BLM4">
        <v>2</v>
      </c>
      <c r="BLN4">
        <v>2</v>
      </c>
      <c r="BLO4">
        <v>2</v>
      </c>
      <c r="BLP4">
        <v>2</v>
      </c>
      <c r="BLQ4">
        <v>2</v>
      </c>
      <c r="BLR4">
        <v>2</v>
      </c>
      <c r="BLS4">
        <v>2</v>
      </c>
      <c r="BLT4">
        <v>2</v>
      </c>
      <c r="BLU4">
        <v>2</v>
      </c>
      <c r="BLV4">
        <v>2</v>
      </c>
      <c r="BLW4">
        <v>2</v>
      </c>
      <c r="BLX4">
        <v>2</v>
      </c>
      <c r="BLY4">
        <v>2</v>
      </c>
      <c r="BLZ4">
        <v>2</v>
      </c>
      <c r="BMA4">
        <v>2</v>
      </c>
      <c r="BMB4">
        <v>2</v>
      </c>
      <c r="BMC4">
        <v>2</v>
      </c>
      <c r="BMD4">
        <v>2</v>
      </c>
      <c r="BME4">
        <v>2</v>
      </c>
      <c r="BMF4">
        <v>2</v>
      </c>
      <c r="BMG4">
        <v>2</v>
      </c>
      <c r="BMH4">
        <v>2</v>
      </c>
      <c r="BMI4">
        <v>2</v>
      </c>
      <c r="BMJ4">
        <v>2</v>
      </c>
      <c r="BMK4">
        <v>2</v>
      </c>
      <c r="BML4">
        <v>2</v>
      </c>
      <c r="BMM4">
        <v>2</v>
      </c>
      <c r="BMN4">
        <v>2</v>
      </c>
      <c r="BMO4">
        <v>2</v>
      </c>
      <c r="BMP4">
        <v>2</v>
      </c>
      <c r="BMQ4">
        <v>2</v>
      </c>
      <c r="BMR4">
        <v>2</v>
      </c>
      <c r="BMS4">
        <v>2</v>
      </c>
      <c r="BMT4">
        <v>2</v>
      </c>
      <c r="BMU4">
        <v>2</v>
      </c>
      <c r="BMV4">
        <v>2</v>
      </c>
      <c r="BMW4">
        <v>2</v>
      </c>
      <c r="BMX4">
        <v>2</v>
      </c>
      <c r="BMY4">
        <v>2</v>
      </c>
      <c r="BMZ4">
        <v>2</v>
      </c>
      <c r="BNA4">
        <v>2</v>
      </c>
      <c r="BNB4">
        <v>2</v>
      </c>
      <c r="BNC4">
        <v>2</v>
      </c>
      <c r="BND4">
        <v>2</v>
      </c>
      <c r="BNE4">
        <v>2</v>
      </c>
      <c r="BNF4">
        <v>2</v>
      </c>
      <c r="BNG4">
        <v>2</v>
      </c>
      <c r="BNH4">
        <v>2</v>
      </c>
      <c r="BNI4">
        <v>2</v>
      </c>
      <c r="BNJ4">
        <v>2</v>
      </c>
      <c r="BNK4">
        <v>2</v>
      </c>
      <c r="BNL4">
        <v>2</v>
      </c>
      <c r="BNM4">
        <v>2</v>
      </c>
      <c r="BNN4">
        <v>2</v>
      </c>
      <c r="BNO4">
        <v>2</v>
      </c>
      <c r="BNP4">
        <v>2</v>
      </c>
      <c r="BNQ4">
        <v>2</v>
      </c>
      <c r="BNR4">
        <v>2</v>
      </c>
      <c r="BNS4">
        <v>2</v>
      </c>
      <c r="BNT4">
        <v>2</v>
      </c>
      <c r="BNU4">
        <v>2</v>
      </c>
      <c r="BNV4">
        <v>2</v>
      </c>
      <c r="BNW4">
        <v>2</v>
      </c>
      <c r="BNX4">
        <v>2</v>
      </c>
      <c r="BNY4">
        <v>2</v>
      </c>
      <c r="BNZ4">
        <v>2</v>
      </c>
      <c r="BOA4">
        <v>2</v>
      </c>
      <c r="BOB4">
        <v>2</v>
      </c>
      <c r="BOC4">
        <v>2</v>
      </c>
      <c r="BOD4">
        <v>2</v>
      </c>
      <c r="BOE4">
        <v>2</v>
      </c>
      <c r="BOF4">
        <v>2</v>
      </c>
      <c r="BOG4">
        <v>2</v>
      </c>
      <c r="BOH4">
        <v>2</v>
      </c>
      <c r="BOI4">
        <v>2</v>
      </c>
      <c r="BOJ4">
        <v>2</v>
      </c>
      <c r="BOK4">
        <v>2</v>
      </c>
      <c r="BOL4">
        <v>2</v>
      </c>
      <c r="BOM4">
        <v>2</v>
      </c>
      <c r="BON4">
        <v>2</v>
      </c>
      <c r="BOO4">
        <v>2</v>
      </c>
      <c r="BOP4">
        <v>2</v>
      </c>
      <c r="BOQ4">
        <v>2</v>
      </c>
      <c r="BOR4">
        <v>2</v>
      </c>
      <c r="BOS4">
        <v>2</v>
      </c>
      <c r="BOT4">
        <v>2</v>
      </c>
      <c r="BOU4">
        <v>2</v>
      </c>
      <c r="BOV4">
        <v>2</v>
      </c>
      <c r="BOW4">
        <v>2</v>
      </c>
      <c r="BOX4">
        <v>2</v>
      </c>
      <c r="BOY4">
        <v>2</v>
      </c>
      <c r="BOZ4">
        <v>2</v>
      </c>
      <c r="BPA4">
        <v>2</v>
      </c>
      <c r="BPB4">
        <v>2</v>
      </c>
      <c r="BPC4">
        <v>2</v>
      </c>
      <c r="BPD4">
        <v>2</v>
      </c>
      <c r="BPE4">
        <v>2</v>
      </c>
      <c r="BPF4">
        <v>2</v>
      </c>
      <c r="BPG4">
        <v>2</v>
      </c>
      <c r="BPH4">
        <v>2</v>
      </c>
      <c r="BPI4">
        <v>2</v>
      </c>
      <c r="BPJ4">
        <v>2</v>
      </c>
      <c r="BPK4">
        <v>2</v>
      </c>
      <c r="BPL4">
        <v>2</v>
      </c>
      <c r="BPM4">
        <v>2</v>
      </c>
      <c r="BPN4">
        <v>2</v>
      </c>
      <c r="BPO4">
        <v>2</v>
      </c>
      <c r="BPP4">
        <v>2</v>
      </c>
      <c r="BPQ4">
        <v>2</v>
      </c>
      <c r="BPR4">
        <v>2</v>
      </c>
      <c r="BPS4">
        <v>2</v>
      </c>
      <c r="BPT4">
        <v>2</v>
      </c>
      <c r="BPU4">
        <v>2</v>
      </c>
      <c r="BPV4">
        <v>2</v>
      </c>
      <c r="BPW4">
        <v>2</v>
      </c>
      <c r="BPX4">
        <v>2</v>
      </c>
      <c r="BPY4">
        <v>2</v>
      </c>
      <c r="BPZ4">
        <v>2</v>
      </c>
      <c r="BQA4">
        <v>2</v>
      </c>
      <c r="BQB4">
        <v>2</v>
      </c>
      <c r="BQC4">
        <v>2</v>
      </c>
      <c r="BQD4">
        <v>2</v>
      </c>
      <c r="BQE4">
        <v>2</v>
      </c>
      <c r="BQF4">
        <v>2</v>
      </c>
      <c r="BQG4">
        <v>2</v>
      </c>
      <c r="BQH4">
        <v>2</v>
      </c>
      <c r="BQI4">
        <v>2</v>
      </c>
      <c r="BQJ4">
        <v>2</v>
      </c>
      <c r="BQK4">
        <v>2</v>
      </c>
      <c r="BQL4">
        <v>2</v>
      </c>
      <c r="BQM4">
        <v>2</v>
      </c>
      <c r="BQN4">
        <v>2</v>
      </c>
      <c r="BQO4">
        <v>2</v>
      </c>
      <c r="BQP4">
        <v>2</v>
      </c>
      <c r="BQQ4">
        <v>2</v>
      </c>
      <c r="BQR4">
        <v>2</v>
      </c>
      <c r="BQS4">
        <v>2</v>
      </c>
      <c r="BQT4">
        <v>2</v>
      </c>
      <c r="BQU4">
        <v>2</v>
      </c>
      <c r="BQV4">
        <v>2</v>
      </c>
      <c r="BQW4">
        <v>2</v>
      </c>
      <c r="BQX4">
        <v>2</v>
      </c>
      <c r="BQY4">
        <v>2</v>
      </c>
      <c r="BQZ4">
        <v>2</v>
      </c>
      <c r="BRA4">
        <v>2</v>
      </c>
      <c r="BRB4">
        <v>2</v>
      </c>
      <c r="BRC4">
        <v>2</v>
      </c>
      <c r="BRD4">
        <v>2</v>
      </c>
      <c r="BRE4">
        <v>2</v>
      </c>
      <c r="BRF4">
        <v>2</v>
      </c>
      <c r="BRG4">
        <v>2</v>
      </c>
      <c r="BRH4">
        <v>2</v>
      </c>
      <c r="BRI4">
        <v>2</v>
      </c>
      <c r="BRJ4">
        <v>2</v>
      </c>
      <c r="BRK4">
        <v>2</v>
      </c>
      <c r="BRL4">
        <v>2</v>
      </c>
      <c r="BRM4">
        <v>2</v>
      </c>
      <c r="BRN4">
        <v>2</v>
      </c>
      <c r="BRO4">
        <v>2</v>
      </c>
      <c r="BRP4">
        <v>2</v>
      </c>
      <c r="BRQ4">
        <v>2</v>
      </c>
      <c r="BRR4">
        <v>2</v>
      </c>
      <c r="BRS4">
        <v>2</v>
      </c>
      <c r="BRT4">
        <v>2</v>
      </c>
      <c r="BRU4">
        <v>2</v>
      </c>
      <c r="BRV4">
        <v>2</v>
      </c>
      <c r="BRW4">
        <v>2</v>
      </c>
      <c r="BRX4">
        <v>2</v>
      </c>
      <c r="BRY4">
        <v>2</v>
      </c>
      <c r="BRZ4">
        <v>2</v>
      </c>
      <c r="BSA4">
        <v>2</v>
      </c>
      <c r="BSB4">
        <v>2</v>
      </c>
      <c r="BSC4">
        <v>2</v>
      </c>
      <c r="BSD4">
        <v>2</v>
      </c>
      <c r="BSE4">
        <v>2</v>
      </c>
      <c r="BSF4">
        <v>2</v>
      </c>
      <c r="BSG4">
        <v>2</v>
      </c>
      <c r="BSH4">
        <v>2</v>
      </c>
      <c r="BSI4">
        <v>2</v>
      </c>
      <c r="BSJ4">
        <v>2</v>
      </c>
      <c r="BSK4">
        <v>2</v>
      </c>
      <c r="BSL4">
        <v>2</v>
      </c>
      <c r="BSM4">
        <v>2</v>
      </c>
      <c r="BSN4">
        <v>2</v>
      </c>
      <c r="BSO4">
        <v>2</v>
      </c>
      <c r="BSP4">
        <v>2</v>
      </c>
      <c r="BSQ4">
        <v>2</v>
      </c>
      <c r="BSR4">
        <v>2</v>
      </c>
      <c r="BSS4">
        <v>2</v>
      </c>
      <c r="BST4">
        <v>2</v>
      </c>
      <c r="BSU4">
        <v>2</v>
      </c>
      <c r="BSV4">
        <v>2</v>
      </c>
      <c r="BSW4">
        <v>2</v>
      </c>
      <c r="BSX4">
        <v>2</v>
      </c>
      <c r="BSY4">
        <v>2</v>
      </c>
      <c r="BSZ4">
        <v>2</v>
      </c>
      <c r="BTA4">
        <v>2</v>
      </c>
      <c r="BTB4">
        <v>2</v>
      </c>
      <c r="BTC4">
        <v>2</v>
      </c>
      <c r="BTD4">
        <v>2</v>
      </c>
      <c r="BTE4">
        <v>2</v>
      </c>
      <c r="BTF4">
        <v>2</v>
      </c>
      <c r="BTG4">
        <v>2</v>
      </c>
      <c r="BTH4">
        <v>2</v>
      </c>
      <c r="BTI4">
        <v>2</v>
      </c>
      <c r="BTJ4">
        <v>2</v>
      </c>
      <c r="BTK4">
        <v>2</v>
      </c>
      <c r="BTL4">
        <v>2</v>
      </c>
      <c r="BTM4">
        <v>2</v>
      </c>
      <c r="BTN4">
        <v>2</v>
      </c>
      <c r="BTO4">
        <v>2</v>
      </c>
      <c r="CQG4">
        <v>3</v>
      </c>
      <c r="CQH4">
        <v>3</v>
      </c>
      <c r="CQI4">
        <v>3</v>
      </c>
      <c r="CQJ4">
        <v>3</v>
      </c>
      <c r="CQK4">
        <v>3</v>
      </c>
      <c r="CQL4">
        <v>3</v>
      </c>
      <c r="CQM4">
        <v>3</v>
      </c>
      <c r="CQN4">
        <v>3</v>
      </c>
      <c r="CQO4">
        <v>3</v>
      </c>
      <c r="CQP4">
        <v>3</v>
      </c>
      <c r="CQQ4">
        <v>3</v>
      </c>
      <c r="CQR4">
        <v>3</v>
      </c>
      <c r="CQS4">
        <v>3</v>
      </c>
      <c r="CQT4">
        <v>3</v>
      </c>
      <c r="CQU4">
        <v>3</v>
      </c>
      <c r="CQV4">
        <v>3</v>
      </c>
      <c r="CQW4">
        <v>3</v>
      </c>
      <c r="CQX4">
        <v>3</v>
      </c>
      <c r="CQY4">
        <v>3</v>
      </c>
      <c r="CQZ4">
        <v>3</v>
      </c>
      <c r="CRA4">
        <v>3</v>
      </c>
      <c r="CRB4">
        <v>3</v>
      </c>
      <c r="CRC4">
        <v>3</v>
      </c>
      <c r="CRD4">
        <v>3</v>
      </c>
      <c r="CRE4">
        <v>3</v>
      </c>
      <c r="CRF4">
        <v>3</v>
      </c>
      <c r="CRG4">
        <v>3</v>
      </c>
      <c r="CRH4">
        <v>3</v>
      </c>
      <c r="CRI4">
        <v>3</v>
      </c>
      <c r="CRJ4">
        <v>3</v>
      </c>
      <c r="CRK4">
        <v>3</v>
      </c>
      <c r="CRL4">
        <v>3</v>
      </c>
      <c r="CRM4">
        <v>3</v>
      </c>
      <c r="CRN4">
        <v>3</v>
      </c>
      <c r="CRO4">
        <v>3</v>
      </c>
      <c r="CRP4">
        <v>3</v>
      </c>
      <c r="CRQ4">
        <v>3</v>
      </c>
      <c r="CRR4">
        <v>3</v>
      </c>
      <c r="CRS4">
        <v>3</v>
      </c>
      <c r="CRT4">
        <v>3</v>
      </c>
      <c r="CRU4">
        <v>3</v>
      </c>
      <c r="CRV4">
        <v>3</v>
      </c>
      <c r="CRW4">
        <v>3</v>
      </c>
      <c r="CRX4">
        <v>3</v>
      </c>
      <c r="CRY4">
        <v>3</v>
      </c>
      <c r="CRZ4">
        <v>3</v>
      </c>
      <c r="CSA4">
        <v>3</v>
      </c>
      <c r="CSB4">
        <v>3</v>
      </c>
      <c r="CSC4">
        <v>3</v>
      </c>
      <c r="CSD4">
        <v>3</v>
      </c>
      <c r="CSE4">
        <v>3</v>
      </c>
      <c r="CSF4">
        <v>3</v>
      </c>
      <c r="CSG4">
        <v>3</v>
      </c>
      <c r="CSH4">
        <v>3</v>
      </c>
      <c r="CSI4">
        <v>3</v>
      </c>
      <c r="CSJ4">
        <v>3</v>
      </c>
      <c r="CSK4">
        <v>3</v>
      </c>
      <c r="CSL4">
        <v>3</v>
      </c>
      <c r="CSM4">
        <v>3</v>
      </c>
      <c r="CSN4">
        <v>3</v>
      </c>
      <c r="CSO4">
        <v>3</v>
      </c>
      <c r="CSP4">
        <v>3</v>
      </c>
      <c r="CSQ4">
        <v>3</v>
      </c>
      <c r="CSR4">
        <v>3</v>
      </c>
      <c r="CSS4">
        <v>3</v>
      </c>
      <c r="CST4">
        <v>3</v>
      </c>
      <c r="CSU4">
        <v>3</v>
      </c>
      <c r="CSV4">
        <v>3</v>
      </c>
      <c r="CSW4">
        <v>3</v>
      </c>
      <c r="CSX4">
        <v>3</v>
      </c>
      <c r="CSY4">
        <v>3</v>
      </c>
      <c r="CSZ4">
        <v>3</v>
      </c>
      <c r="CTA4">
        <v>3</v>
      </c>
      <c r="CTB4">
        <v>3</v>
      </c>
      <c r="CTC4">
        <v>3</v>
      </c>
      <c r="CTD4">
        <v>3</v>
      </c>
      <c r="CTE4">
        <v>3</v>
      </c>
      <c r="CTF4">
        <v>3</v>
      </c>
      <c r="CTG4">
        <v>3</v>
      </c>
      <c r="CTH4">
        <v>3</v>
      </c>
      <c r="CTI4">
        <v>3</v>
      </c>
      <c r="CTJ4">
        <v>3</v>
      </c>
      <c r="CTK4">
        <v>3</v>
      </c>
      <c r="CTL4">
        <v>3</v>
      </c>
      <c r="CTM4">
        <v>3</v>
      </c>
      <c r="CTN4">
        <v>3</v>
      </c>
      <c r="CTO4">
        <v>3</v>
      </c>
      <c r="CTP4">
        <v>3</v>
      </c>
      <c r="CTQ4">
        <v>3</v>
      </c>
      <c r="CTR4">
        <v>3</v>
      </c>
      <c r="CTS4">
        <v>3</v>
      </c>
      <c r="CTT4">
        <v>3</v>
      </c>
      <c r="CTU4">
        <v>3</v>
      </c>
      <c r="CTV4">
        <v>3</v>
      </c>
      <c r="CTW4">
        <v>3</v>
      </c>
      <c r="CTX4">
        <v>3</v>
      </c>
      <c r="CTY4">
        <v>3</v>
      </c>
      <c r="CTZ4">
        <v>3</v>
      </c>
      <c r="CUA4">
        <v>3</v>
      </c>
      <c r="CUB4">
        <v>3</v>
      </c>
      <c r="CUC4">
        <v>3</v>
      </c>
      <c r="CUD4">
        <v>3</v>
      </c>
      <c r="CUE4">
        <v>3</v>
      </c>
      <c r="CUF4">
        <v>3</v>
      </c>
      <c r="CUG4">
        <v>3</v>
      </c>
      <c r="CUH4">
        <v>3</v>
      </c>
      <c r="CUI4">
        <v>3</v>
      </c>
      <c r="CUJ4">
        <v>3</v>
      </c>
      <c r="CUK4">
        <v>3</v>
      </c>
      <c r="CUL4">
        <v>3</v>
      </c>
      <c r="CUM4">
        <v>3</v>
      </c>
      <c r="CUN4">
        <v>3</v>
      </c>
      <c r="CUO4">
        <v>3</v>
      </c>
      <c r="CUP4">
        <v>3</v>
      </c>
      <c r="CUQ4">
        <v>3</v>
      </c>
      <c r="CUR4">
        <v>3</v>
      </c>
      <c r="CUS4">
        <v>3</v>
      </c>
      <c r="CUT4">
        <v>3</v>
      </c>
      <c r="CUU4">
        <v>3</v>
      </c>
      <c r="CUV4">
        <v>3</v>
      </c>
      <c r="CUW4">
        <v>3</v>
      </c>
      <c r="CUX4">
        <v>3</v>
      </c>
      <c r="CUY4">
        <v>3</v>
      </c>
      <c r="CUZ4">
        <v>3</v>
      </c>
      <c r="CVA4">
        <v>3</v>
      </c>
      <c r="CVB4">
        <v>3</v>
      </c>
      <c r="CVC4">
        <v>3</v>
      </c>
      <c r="CVD4">
        <v>3</v>
      </c>
      <c r="CVE4">
        <v>3</v>
      </c>
      <c r="CVF4">
        <v>3</v>
      </c>
      <c r="CVG4">
        <v>3</v>
      </c>
      <c r="CVH4">
        <v>3</v>
      </c>
      <c r="CVI4">
        <v>3</v>
      </c>
      <c r="CVJ4">
        <v>3</v>
      </c>
      <c r="CVK4">
        <v>3</v>
      </c>
      <c r="CVL4">
        <v>3</v>
      </c>
      <c r="CVM4">
        <v>3</v>
      </c>
      <c r="CVN4">
        <v>3</v>
      </c>
      <c r="CVO4">
        <v>3</v>
      </c>
      <c r="CVP4">
        <v>3</v>
      </c>
      <c r="CVQ4">
        <v>3</v>
      </c>
      <c r="CVR4">
        <v>3</v>
      </c>
      <c r="CVS4">
        <v>3</v>
      </c>
      <c r="CVT4">
        <v>3</v>
      </c>
      <c r="CVU4">
        <v>3</v>
      </c>
      <c r="CVV4">
        <v>3</v>
      </c>
      <c r="CVW4">
        <v>3</v>
      </c>
      <c r="CVX4">
        <v>3</v>
      </c>
      <c r="CVY4">
        <v>3</v>
      </c>
      <c r="CVZ4">
        <v>3</v>
      </c>
      <c r="CWA4">
        <v>3</v>
      </c>
      <c r="CWB4">
        <v>3</v>
      </c>
      <c r="CWC4">
        <v>3</v>
      </c>
      <c r="CWD4">
        <v>3</v>
      </c>
      <c r="CWE4">
        <v>3</v>
      </c>
      <c r="CWF4">
        <v>3</v>
      </c>
      <c r="CWG4">
        <v>3</v>
      </c>
      <c r="CWH4">
        <v>3</v>
      </c>
      <c r="CWI4">
        <v>3</v>
      </c>
      <c r="CWJ4">
        <v>3</v>
      </c>
      <c r="CWK4">
        <v>3</v>
      </c>
      <c r="CWL4">
        <v>3</v>
      </c>
      <c r="CWM4">
        <v>3</v>
      </c>
      <c r="CWN4">
        <v>3</v>
      </c>
      <c r="CWO4">
        <v>3</v>
      </c>
      <c r="CWP4">
        <v>3</v>
      </c>
      <c r="CWQ4">
        <v>3</v>
      </c>
      <c r="CWR4">
        <v>3</v>
      </c>
      <c r="CWS4">
        <v>3</v>
      </c>
      <c r="CWT4">
        <v>3</v>
      </c>
      <c r="CWU4">
        <v>3</v>
      </c>
      <c r="CWV4">
        <v>3</v>
      </c>
      <c r="CWW4">
        <v>3</v>
      </c>
      <c r="CWX4">
        <v>3</v>
      </c>
      <c r="CWY4">
        <v>3</v>
      </c>
      <c r="CWZ4">
        <v>3</v>
      </c>
      <c r="CXA4">
        <v>3</v>
      </c>
      <c r="CXB4">
        <v>3</v>
      </c>
      <c r="CXC4">
        <v>3</v>
      </c>
      <c r="CXD4">
        <v>3</v>
      </c>
      <c r="CXE4">
        <v>3</v>
      </c>
      <c r="CXF4">
        <v>3</v>
      </c>
      <c r="CXG4">
        <v>3</v>
      </c>
      <c r="CXH4">
        <v>3</v>
      </c>
      <c r="CXI4">
        <v>3</v>
      </c>
      <c r="CXJ4">
        <v>3</v>
      </c>
      <c r="CXK4">
        <v>3</v>
      </c>
      <c r="CXL4">
        <v>3</v>
      </c>
      <c r="CXM4">
        <v>3</v>
      </c>
      <c r="CXN4">
        <v>3</v>
      </c>
      <c r="CXO4">
        <v>3</v>
      </c>
      <c r="CXP4">
        <v>3</v>
      </c>
      <c r="CXQ4">
        <v>3</v>
      </c>
      <c r="CXR4">
        <v>3</v>
      </c>
      <c r="CXS4">
        <v>3</v>
      </c>
      <c r="CXT4">
        <v>3</v>
      </c>
      <c r="CXU4">
        <v>3</v>
      </c>
      <c r="CXV4">
        <v>3</v>
      </c>
      <c r="CXW4">
        <v>3</v>
      </c>
      <c r="CXX4">
        <v>3</v>
      </c>
      <c r="CXY4">
        <v>3</v>
      </c>
      <c r="CXZ4">
        <v>3</v>
      </c>
      <c r="CYA4">
        <v>3</v>
      </c>
      <c r="CYB4">
        <v>3</v>
      </c>
      <c r="CYC4">
        <v>3</v>
      </c>
      <c r="CYD4">
        <v>3</v>
      </c>
      <c r="CYE4">
        <v>3</v>
      </c>
      <c r="CYF4">
        <v>3</v>
      </c>
      <c r="CYG4">
        <v>3</v>
      </c>
      <c r="CYH4">
        <v>3</v>
      </c>
      <c r="CYI4">
        <v>3</v>
      </c>
      <c r="CYJ4">
        <v>3</v>
      </c>
      <c r="CYK4">
        <v>3</v>
      </c>
      <c r="CYL4">
        <v>3</v>
      </c>
      <c r="CYM4">
        <v>3</v>
      </c>
      <c r="CYN4">
        <v>3</v>
      </c>
      <c r="CYO4">
        <v>3</v>
      </c>
      <c r="CYP4">
        <v>3</v>
      </c>
      <c r="CYQ4">
        <v>3</v>
      </c>
      <c r="CYR4">
        <v>3</v>
      </c>
      <c r="CYS4">
        <v>3</v>
      </c>
      <c r="CYT4">
        <v>3</v>
      </c>
      <c r="CYU4">
        <v>3</v>
      </c>
      <c r="CYV4">
        <v>3</v>
      </c>
      <c r="CYW4">
        <v>3</v>
      </c>
      <c r="CYX4">
        <v>3</v>
      </c>
      <c r="CYY4">
        <v>3</v>
      </c>
      <c r="CYZ4">
        <v>3</v>
      </c>
      <c r="CZA4">
        <v>3</v>
      </c>
      <c r="CZB4">
        <v>3</v>
      </c>
      <c r="CZC4">
        <v>3</v>
      </c>
      <c r="CZD4">
        <v>3</v>
      </c>
      <c r="CZE4">
        <v>3</v>
      </c>
      <c r="CZF4">
        <v>3</v>
      </c>
      <c r="CZG4">
        <v>3</v>
      </c>
      <c r="CZH4">
        <v>3</v>
      </c>
      <c r="CZI4">
        <v>3</v>
      </c>
      <c r="CZJ4">
        <v>3</v>
      </c>
      <c r="CZK4">
        <v>3</v>
      </c>
      <c r="CZL4">
        <v>3</v>
      </c>
      <c r="CZM4">
        <v>3</v>
      </c>
      <c r="CZN4">
        <v>3</v>
      </c>
      <c r="CZO4">
        <v>3</v>
      </c>
      <c r="CZP4">
        <v>3</v>
      </c>
      <c r="CZQ4">
        <v>3</v>
      </c>
      <c r="CZR4">
        <v>3</v>
      </c>
      <c r="CZS4">
        <v>3</v>
      </c>
      <c r="CZT4">
        <v>3</v>
      </c>
      <c r="CZU4">
        <v>3</v>
      </c>
      <c r="CZV4">
        <v>3</v>
      </c>
      <c r="CZW4">
        <v>3</v>
      </c>
      <c r="CZX4">
        <v>3</v>
      </c>
      <c r="CZY4">
        <v>3</v>
      </c>
      <c r="CZZ4">
        <v>3</v>
      </c>
      <c r="DAA4">
        <v>3</v>
      </c>
      <c r="DAB4">
        <v>3</v>
      </c>
      <c r="DAC4">
        <v>3</v>
      </c>
      <c r="DAD4">
        <v>3</v>
      </c>
      <c r="DAE4">
        <v>3</v>
      </c>
      <c r="DAF4">
        <v>3</v>
      </c>
      <c r="DAG4">
        <v>3</v>
      </c>
      <c r="DAH4">
        <v>3</v>
      </c>
      <c r="DAI4">
        <v>3</v>
      </c>
      <c r="DAJ4">
        <v>3</v>
      </c>
      <c r="DAK4">
        <v>3</v>
      </c>
      <c r="DAL4">
        <v>3</v>
      </c>
      <c r="DAM4">
        <v>3</v>
      </c>
      <c r="DAN4">
        <v>3</v>
      </c>
      <c r="DAO4">
        <v>3</v>
      </c>
      <c r="DAP4">
        <v>3</v>
      </c>
      <c r="DAQ4">
        <v>3</v>
      </c>
      <c r="DAR4">
        <v>3</v>
      </c>
      <c r="DAS4">
        <v>3</v>
      </c>
      <c r="DAT4">
        <v>3</v>
      </c>
      <c r="DAU4">
        <v>3</v>
      </c>
      <c r="DAV4">
        <v>3</v>
      </c>
      <c r="DAW4">
        <v>3</v>
      </c>
      <c r="DAX4">
        <v>3</v>
      </c>
      <c r="DAY4">
        <v>3</v>
      </c>
      <c r="DAZ4">
        <v>3</v>
      </c>
      <c r="DBA4">
        <v>3</v>
      </c>
      <c r="DBB4">
        <v>3</v>
      </c>
      <c r="DBC4">
        <v>3</v>
      </c>
      <c r="DBD4">
        <v>3</v>
      </c>
      <c r="DBE4">
        <v>3</v>
      </c>
      <c r="DBF4">
        <v>3</v>
      </c>
      <c r="DBG4">
        <v>3</v>
      </c>
      <c r="DBH4">
        <v>3</v>
      </c>
      <c r="DBI4">
        <v>3</v>
      </c>
      <c r="DBJ4">
        <v>3</v>
      </c>
      <c r="DBK4">
        <v>3</v>
      </c>
      <c r="DBL4">
        <v>3</v>
      </c>
      <c r="DBM4">
        <v>3</v>
      </c>
      <c r="DBN4">
        <v>3</v>
      </c>
      <c r="DBO4">
        <v>3</v>
      </c>
      <c r="DBP4">
        <v>3</v>
      </c>
      <c r="DBQ4">
        <v>3</v>
      </c>
      <c r="DBR4">
        <v>3</v>
      </c>
      <c r="DBS4">
        <v>3</v>
      </c>
      <c r="DBT4">
        <v>3</v>
      </c>
      <c r="DBU4">
        <v>3</v>
      </c>
      <c r="DBV4">
        <v>3</v>
      </c>
      <c r="DBW4">
        <v>3</v>
      </c>
      <c r="DBX4">
        <v>3</v>
      </c>
      <c r="DBY4">
        <v>3</v>
      </c>
      <c r="DBZ4">
        <v>3</v>
      </c>
      <c r="DCA4">
        <v>3</v>
      </c>
      <c r="DCB4">
        <v>3</v>
      </c>
      <c r="DCC4">
        <v>3</v>
      </c>
      <c r="DCD4">
        <v>3</v>
      </c>
      <c r="DCE4">
        <v>3</v>
      </c>
      <c r="DCF4">
        <v>3</v>
      </c>
      <c r="DCG4">
        <v>3</v>
      </c>
      <c r="DCH4">
        <v>3</v>
      </c>
      <c r="DCI4">
        <v>3</v>
      </c>
      <c r="DCJ4">
        <v>3</v>
      </c>
      <c r="DCK4">
        <v>3</v>
      </c>
      <c r="DCL4">
        <v>3</v>
      </c>
      <c r="DCM4">
        <v>3</v>
      </c>
      <c r="DCN4">
        <v>3</v>
      </c>
      <c r="DCO4">
        <v>3</v>
      </c>
      <c r="DCP4">
        <v>3</v>
      </c>
      <c r="DCQ4">
        <v>3</v>
      </c>
      <c r="DYL4">
        <v>4</v>
      </c>
      <c r="DYM4">
        <v>4</v>
      </c>
      <c r="DYN4">
        <v>4</v>
      </c>
      <c r="DYO4">
        <v>4</v>
      </c>
      <c r="DYP4">
        <v>4</v>
      </c>
      <c r="DYQ4">
        <v>4</v>
      </c>
      <c r="DYR4">
        <v>4</v>
      </c>
      <c r="DYS4">
        <v>4</v>
      </c>
      <c r="DYT4">
        <v>4</v>
      </c>
      <c r="DYU4">
        <v>4</v>
      </c>
      <c r="DYV4">
        <v>4</v>
      </c>
      <c r="DYW4">
        <v>4</v>
      </c>
      <c r="DYX4">
        <v>4</v>
      </c>
      <c r="DYY4">
        <v>4</v>
      </c>
      <c r="DYZ4">
        <v>4</v>
      </c>
      <c r="DZA4">
        <v>4</v>
      </c>
      <c r="DZB4">
        <v>4</v>
      </c>
      <c r="DZC4">
        <v>4</v>
      </c>
      <c r="DZD4">
        <v>4</v>
      </c>
      <c r="DZE4">
        <v>4</v>
      </c>
      <c r="DZF4">
        <v>4</v>
      </c>
      <c r="DZG4">
        <v>4</v>
      </c>
      <c r="DZH4">
        <v>4</v>
      </c>
      <c r="DZI4">
        <v>4</v>
      </c>
      <c r="DZJ4">
        <v>4</v>
      </c>
      <c r="DZK4">
        <v>4</v>
      </c>
      <c r="DZL4">
        <v>4</v>
      </c>
      <c r="DZM4">
        <v>4</v>
      </c>
      <c r="DZN4">
        <v>4</v>
      </c>
      <c r="DZO4">
        <v>4</v>
      </c>
      <c r="DZP4">
        <v>4</v>
      </c>
      <c r="DZQ4">
        <v>4</v>
      </c>
      <c r="DZR4">
        <v>4</v>
      </c>
      <c r="DZS4">
        <v>4</v>
      </c>
      <c r="DZT4">
        <v>4</v>
      </c>
      <c r="DZU4">
        <v>4</v>
      </c>
      <c r="DZV4">
        <v>4</v>
      </c>
      <c r="DZW4">
        <v>4</v>
      </c>
      <c r="DZX4">
        <v>4</v>
      </c>
      <c r="DZY4">
        <v>4</v>
      </c>
      <c r="DZZ4">
        <v>4</v>
      </c>
      <c r="EAA4">
        <v>4</v>
      </c>
      <c r="EAB4">
        <v>4</v>
      </c>
      <c r="EAC4">
        <v>4</v>
      </c>
      <c r="EAD4">
        <v>4</v>
      </c>
      <c r="EAE4">
        <v>4</v>
      </c>
      <c r="EAF4">
        <v>4</v>
      </c>
      <c r="EAG4">
        <v>4</v>
      </c>
      <c r="EAH4">
        <v>4</v>
      </c>
      <c r="EAI4">
        <v>4</v>
      </c>
      <c r="EAJ4">
        <v>4</v>
      </c>
      <c r="EAK4">
        <v>4</v>
      </c>
      <c r="EAL4">
        <v>4</v>
      </c>
      <c r="EAM4">
        <v>4</v>
      </c>
      <c r="EAN4">
        <v>4</v>
      </c>
      <c r="EAO4">
        <v>4</v>
      </c>
      <c r="EAP4">
        <v>4</v>
      </c>
      <c r="EAQ4">
        <v>4</v>
      </c>
      <c r="EAR4">
        <v>4</v>
      </c>
      <c r="EAS4">
        <v>4</v>
      </c>
      <c r="EAT4">
        <v>4</v>
      </c>
      <c r="EAU4">
        <v>4</v>
      </c>
      <c r="EAV4">
        <v>4</v>
      </c>
      <c r="EAW4">
        <v>4</v>
      </c>
      <c r="EAX4">
        <v>4</v>
      </c>
      <c r="EAY4">
        <v>4</v>
      </c>
      <c r="EAZ4">
        <v>4</v>
      </c>
      <c r="EBA4">
        <v>4</v>
      </c>
      <c r="EBB4">
        <v>4</v>
      </c>
      <c r="EBC4">
        <v>4</v>
      </c>
      <c r="EBD4">
        <v>4</v>
      </c>
      <c r="EBE4">
        <v>4</v>
      </c>
      <c r="EBF4">
        <v>4</v>
      </c>
      <c r="EBG4">
        <v>4</v>
      </c>
      <c r="EBH4">
        <v>4</v>
      </c>
      <c r="EBI4">
        <v>4</v>
      </c>
      <c r="EBJ4">
        <v>4</v>
      </c>
      <c r="EBK4">
        <v>4</v>
      </c>
      <c r="EBL4">
        <v>4</v>
      </c>
      <c r="EBM4">
        <v>4</v>
      </c>
      <c r="EBN4">
        <v>4</v>
      </c>
      <c r="EBO4">
        <v>4</v>
      </c>
      <c r="EBP4">
        <v>4</v>
      </c>
      <c r="EBQ4">
        <v>4</v>
      </c>
      <c r="EBR4">
        <v>4</v>
      </c>
      <c r="EBS4">
        <v>4</v>
      </c>
      <c r="EBT4">
        <v>4</v>
      </c>
      <c r="EBU4">
        <v>4</v>
      </c>
      <c r="EBV4">
        <v>4</v>
      </c>
      <c r="EBW4">
        <v>4</v>
      </c>
      <c r="EBX4">
        <v>4</v>
      </c>
      <c r="EBY4">
        <v>4</v>
      </c>
      <c r="EBZ4">
        <v>4</v>
      </c>
      <c r="ECA4">
        <v>4</v>
      </c>
      <c r="ECB4">
        <v>4</v>
      </c>
      <c r="ECC4">
        <v>4</v>
      </c>
      <c r="ECD4">
        <v>4</v>
      </c>
      <c r="ECE4">
        <v>4</v>
      </c>
      <c r="ECF4">
        <v>4</v>
      </c>
      <c r="ECG4">
        <v>4</v>
      </c>
      <c r="ECH4">
        <v>4</v>
      </c>
      <c r="ECI4">
        <v>4</v>
      </c>
      <c r="ECJ4">
        <v>4</v>
      </c>
      <c r="ECK4">
        <v>4</v>
      </c>
      <c r="ECL4">
        <v>4</v>
      </c>
      <c r="ECM4">
        <v>4</v>
      </c>
      <c r="ECN4">
        <v>4</v>
      </c>
      <c r="ECO4">
        <v>4</v>
      </c>
      <c r="ECP4">
        <v>4</v>
      </c>
      <c r="ECQ4">
        <v>4</v>
      </c>
      <c r="ECR4">
        <v>4</v>
      </c>
      <c r="ECS4">
        <v>4</v>
      </c>
      <c r="ECT4">
        <v>4</v>
      </c>
      <c r="ECU4">
        <v>4</v>
      </c>
      <c r="ECV4">
        <v>4</v>
      </c>
      <c r="ECW4">
        <v>4</v>
      </c>
      <c r="ECX4">
        <v>4</v>
      </c>
      <c r="ECY4">
        <v>4</v>
      </c>
      <c r="ECZ4">
        <v>4</v>
      </c>
      <c r="EDA4">
        <v>4</v>
      </c>
      <c r="EDB4">
        <v>4</v>
      </c>
      <c r="EDC4">
        <v>4</v>
      </c>
      <c r="EDD4">
        <v>4</v>
      </c>
      <c r="EDE4">
        <v>4</v>
      </c>
      <c r="EDF4">
        <v>4</v>
      </c>
      <c r="EDG4">
        <v>4</v>
      </c>
      <c r="EDH4">
        <v>4</v>
      </c>
      <c r="EDI4">
        <v>4</v>
      </c>
      <c r="EDJ4">
        <v>4</v>
      </c>
      <c r="EDK4">
        <v>4</v>
      </c>
      <c r="EDL4">
        <v>4</v>
      </c>
      <c r="EDM4">
        <v>4</v>
      </c>
      <c r="EDN4">
        <v>4</v>
      </c>
      <c r="EDO4">
        <v>4</v>
      </c>
      <c r="EDP4">
        <v>4</v>
      </c>
      <c r="EDQ4">
        <v>4</v>
      </c>
      <c r="EDR4">
        <v>4</v>
      </c>
      <c r="EDS4">
        <v>4</v>
      </c>
      <c r="EDT4">
        <v>4</v>
      </c>
      <c r="EDU4">
        <v>4</v>
      </c>
      <c r="EDV4">
        <v>4</v>
      </c>
      <c r="EDW4">
        <v>4</v>
      </c>
      <c r="EDX4">
        <v>4</v>
      </c>
      <c r="EDY4">
        <v>4</v>
      </c>
      <c r="EDZ4">
        <v>4</v>
      </c>
      <c r="EEA4">
        <v>4</v>
      </c>
      <c r="EEB4">
        <v>4</v>
      </c>
      <c r="EEC4">
        <v>4</v>
      </c>
      <c r="EED4">
        <v>4</v>
      </c>
      <c r="EEE4">
        <v>4</v>
      </c>
      <c r="EEF4">
        <v>4</v>
      </c>
      <c r="EEG4">
        <v>4</v>
      </c>
      <c r="EEH4">
        <v>4</v>
      </c>
      <c r="EEI4">
        <v>4</v>
      </c>
      <c r="EEJ4">
        <v>4</v>
      </c>
      <c r="EEK4">
        <v>4</v>
      </c>
      <c r="EEL4">
        <v>4</v>
      </c>
      <c r="EEM4">
        <v>4</v>
      </c>
      <c r="EEN4">
        <v>4</v>
      </c>
      <c r="EEO4">
        <v>4</v>
      </c>
      <c r="EEP4">
        <v>4</v>
      </c>
      <c r="EEQ4">
        <v>4</v>
      </c>
      <c r="EER4">
        <v>4</v>
      </c>
      <c r="EES4">
        <v>4</v>
      </c>
      <c r="EET4">
        <v>4</v>
      </c>
      <c r="EEU4">
        <v>4</v>
      </c>
      <c r="EEV4">
        <v>4</v>
      </c>
      <c r="EEW4">
        <v>4</v>
      </c>
      <c r="EEX4">
        <v>4</v>
      </c>
      <c r="EEY4">
        <v>4</v>
      </c>
      <c r="EEZ4">
        <v>4</v>
      </c>
      <c r="EFA4">
        <v>4</v>
      </c>
      <c r="EFB4">
        <v>4</v>
      </c>
      <c r="EFC4">
        <v>4</v>
      </c>
      <c r="EFD4">
        <v>4</v>
      </c>
      <c r="FTB4">
        <v>5</v>
      </c>
      <c r="FTC4">
        <v>5</v>
      </c>
      <c r="FTD4">
        <v>5</v>
      </c>
      <c r="FTE4">
        <v>5</v>
      </c>
      <c r="FTF4">
        <v>5</v>
      </c>
      <c r="FTG4">
        <v>5</v>
      </c>
      <c r="FTH4">
        <v>5</v>
      </c>
      <c r="FTI4">
        <v>5</v>
      </c>
      <c r="FTJ4">
        <v>5</v>
      </c>
      <c r="FTK4">
        <v>5</v>
      </c>
      <c r="FTL4">
        <v>5</v>
      </c>
      <c r="FTM4">
        <v>5</v>
      </c>
      <c r="FTN4">
        <v>5</v>
      </c>
      <c r="FTO4">
        <v>5</v>
      </c>
      <c r="FTP4">
        <v>5</v>
      </c>
      <c r="FTQ4">
        <v>5</v>
      </c>
      <c r="FTR4">
        <v>5</v>
      </c>
      <c r="FTS4">
        <v>5</v>
      </c>
      <c r="FTT4">
        <v>5</v>
      </c>
      <c r="FTU4">
        <v>5</v>
      </c>
      <c r="FTV4">
        <v>5</v>
      </c>
      <c r="FTW4">
        <v>5</v>
      </c>
      <c r="FTX4">
        <v>5</v>
      </c>
      <c r="FTY4">
        <v>5</v>
      </c>
      <c r="FTZ4">
        <v>5</v>
      </c>
      <c r="FUA4">
        <v>5</v>
      </c>
      <c r="FUB4">
        <v>5</v>
      </c>
      <c r="FUC4">
        <v>5</v>
      </c>
      <c r="FUD4">
        <v>5</v>
      </c>
      <c r="FUE4">
        <v>5</v>
      </c>
      <c r="FUF4">
        <v>5</v>
      </c>
      <c r="FUG4">
        <v>5</v>
      </c>
      <c r="FUH4">
        <v>5</v>
      </c>
      <c r="FUI4">
        <v>5</v>
      </c>
      <c r="FUJ4">
        <v>5</v>
      </c>
      <c r="FUK4">
        <v>5</v>
      </c>
      <c r="FUL4">
        <v>5</v>
      </c>
      <c r="FUM4">
        <v>5</v>
      </c>
      <c r="FUN4">
        <v>5</v>
      </c>
      <c r="FUO4">
        <v>5</v>
      </c>
      <c r="FUP4">
        <v>5</v>
      </c>
      <c r="FUQ4">
        <v>5</v>
      </c>
      <c r="FUR4">
        <v>5</v>
      </c>
      <c r="FUS4">
        <v>5</v>
      </c>
      <c r="FUT4">
        <v>5</v>
      </c>
      <c r="FUU4">
        <v>5</v>
      </c>
      <c r="FUV4">
        <v>5</v>
      </c>
      <c r="FUW4">
        <v>5</v>
      </c>
      <c r="FUX4">
        <v>5</v>
      </c>
      <c r="FUY4">
        <v>5</v>
      </c>
      <c r="FUZ4">
        <v>5</v>
      </c>
      <c r="FVA4">
        <v>5</v>
      </c>
      <c r="FVB4">
        <v>5</v>
      </c>
      <c r="FVC4">
        <v>5</v>
      </c>
      <c r="FVD4">
        <v>5</v>
      </c>
      <c r="FVE4">
        <v>5</v>
      </c>
      <c r="FVF4">
        <v>5</v>
      </c>
      <c r="FVG4">
        <v>5</v>
      </c>
      <c r="FVH4">
        <v>5</v>
      </c>
      <c r="FVI4">
        <v>5</v>
      </c>
      <c r="FVJ4">
        <v>5</v>
      </c>
      <c r="FVK4">
        <v>5</v>
      </c>
      <c r="FVL4">
        <v>5</v>
      </c>
      <c r="FVM4">
        <v>5</v>
      </c>
      <c r="FVN4">
        <v>5</v>
      </c>
      <c r="FVO4">
        <v>5</v>
      </c>
      <c r="FVP4">
        <v>5</v>
      </c>
      <c r="FVQ4">
        <v>5</v>
      </c>
      <c r="FVR4">
        <v>5</v>
      </c>
      <c r="FVS4">
        <v>5</v>
      </c>
      <c r="FVT4">
        <v>5</v>
      </c>
      <c r="FVU4">
        <v>5</v>
      </c>
      <c r="FVV4">
        <v>5</v>
      </c>
      <c r="FVW4">
        <v>5</v>
      </c>
      <c r="FVX4">
        <v>5</v>
      </c>
      <c r="FVY4">
        <v>5</v>
      </c>
      <c r="FVZ4">
        <v>5</v>
      </c>
      <c r="FWA4">
        <v>5</v>
      </c>
      <c r="FWB4">
        <v>5</v>
      </c>
      <c r="FWC4">
        <v>5</v>
      </c>
      <c r="FWD4">
        <v>5</v>
      </c>
      <c r="FWE4">
        <v>5</v>
      </c>
      <c r="FWF4">
        <v>5</v>
      </c>
      <c r="FWG4">
        <v>5</v>
      </c>
      <c r="FWH4">
        <v>5</v>
      </c>
      <c r="FWI4">
        <v>5</v>
      </c>
      <c r="FWJ4">
        <v>5</v>
      </c>
      <c r="FWK4">
        <v>5</v>
      </c>
      <c r="FWL4">
        <v>5</v>
      </c>
      <c r="FWM4">
        <v>5</v>
      </c>
      <c r="FWN4">
        <v>5</v>
      </c>
      <c r="FWO4">
        <v>5</v>
      </c>
      <c r="FWP4">
        <v>5</v>
      </c>
      <c r="FWQ4">
        <v>5</v>
      </c>
      <c r="FWR4">
        <v>5</v>
      </c>
      <c r="FWS4">
        <v>5</v>
      </c>
      <c r="FWT4">
        <v>5</v>
      </c>
      <c r="FWU4">
        <v>5</v>
      </c>
      <c r="FWV4">
        <v>5</v>
      </c>
      <c r="FWW4">
        <v>5</v>
      </c>
      <c r="FWX4">
        <v>5</v>
      </c>
      <c r="FWY4">
        <v>5</v>
      </c>
      <c r="FWZ4">
        <v>5</v>
      </c>
      <c r="FXA4">
        <v>5</v>
      </c>
      <c r="FXB4">
        <v>5</v>
      </c>
      <c r="FXC4">
        <v>5</v>
      </c>
      <c r="FXD4">
        <v>5</v>
      </c>
      <c r="FXE4">
        <v>5</v>
      </c>
      <c r="FXF4">
        <v>5</v>
      </c>
      <c r="FXG4">
        <v>5</v>
      </c>
      <c r="FXH4">
        <v>5</v>
      </c>
      <c r="FXI4">
        <v>5</v>
      </c>
      <c r="FXJ4">
        <v>5</v>
      </c>
      <c r="FXK4">
        <v>5</v>
      </c>
      <c r="FXL4">
        <v>5</v>
      </c>
      <c r="FXM4">
        <v>5</v>
      </c>
      <c r="FXN4">
        <v>5</v>
      </c>
      <c r="FXO4">
        <v>5</v>
      </c>
      <c r="FXP4">
        <v>5</v>
      </c>
      <c r="FXQ4">
        <v>5</v>
      </c>
      <c r="FXR4">
        <v>5</v>
      </c>
      <c r="FXS4">
        <v>5</v>
      </c>
      <c r="FXT4">
        <v>5</v>
      </c>
      <c r="FXU4">
        <v>5</v>
      </c>
      <c r="FXV4">
        <v>5</v>
      </c>
      <c r="FXW4">
        <v>5</v>
      </c>
      <c r="FXX4">
        <v>5</v>
      </c>
      <c r="FXY4">
        <v>5</v>
      </c>
      <c r="FXZ4">
        <v>5</v>
      </c>
      <c r="FYA4">
        <v>5</v>
      </c>
      <c r="FYB4">
        <v>5</v>
      </c>
      <c r="FYC4">
        <v>5</v>
      </c>
      <c r="FYD4">
        <v>5</v>
      </c>
      <c r="FYE4">
        <v>5</v>
      </c>
      <c r="FYF4">
        <v>5</v>
      </c>
      <c r="FYG4">
        <v>5</v>
      </c>
      <c r="FYH4">
        <v>5</v>
      </c>
      <c r="FYI4">
        <v>5</v>
      </c>
      <c r="FYJ4">
        <v>5</v>
      </c>
      <c r="FYK4">
        <v>5</v>
      </c>
      <c r="FYL4">
        <v>5</v>
      </c>
      <c r="FYM4">
        <v>5</v>
      </c>
      <c r="FYN4">
        <v>5</v>
      </c>
      <c r="FYO4">
        <v>5</v>
      </c>
      <c r="FYP4">
        <v>5</v>
      </c>
      <c r="FYQ4">
        <v>5</v>
      </c>
      <c r="FYR4">
        <v>5</v>
      </c>
      <c r="FYS4">
        <v>5</v>
      </c>
      <c r="FYT4">
        <v>5</v>
      </c>
      <c r="FYU4">
        <v>5</v>
      </c>
      <c r="FYV4">
        <v>5</v>
      </c>
      <c r="FYW4">
        <v>5</v>
      </c>
      <c r="FYX4">
        <v>5</v>
      </c>
      <c r="FYY4">
        <v>5</v>
      </c>
      <c r="FYZ4">
        <v>5</v>
      </c>
      <c r="FZA4">
        <v>5</v>
      </c>
      <c r="FZB4">
        <v>5</v>
      </c>
      <c r="FZC4">
        <v>5</v>
      </c>
      <c r="FZD4">
        <v>5</v>
      </c>
      <c r="FZE4">
        <v>5</v>
      </c>
      <c r="FZF4">
        <v>5</v>
      </c>
      <c r="FZG4">
        <v>5</v>
      </c>
      <c r="FZH4">
        <v>5</v>
      </c>
      <c r="FZI4">
        <v>5</v>
      </c>
      <c r="FZJ4">
        <v>5</v>
      </c>
      <c r="FZK4">
        <v>5</v>
      </c>
      <c r="FZL4">
        <v>5</v>
      </c>
      <c r="FZM4">
        <v>5</v>
      </c>
      <c r="FZN4">
        <v>5</v>
      </c>
      <c r="FZO4">
        <v>5</v>
      </c>
      <c r="FZP4">
        <v>5</v>
      </c>
      <c r="FZQ4">
        <v>5</v>
      </c>
      <c r="FZR4">
        <v>5</v>
      </c>
      <c r="FZS4">
        <v>5</v>
      </c>
      <c r="FZT4">
        <v>5</v>
      </c>
      <c r="FZU4">
        <v>5</v>
      </c>
      <c r="FZV4">
        <v>5</v>
      </c>
      <c r="FZW4">
        <v>5</v>
      </c>
      <c r="FZX4">
        <v>5</v>
      </c>
      <c r="FZY4">
        <v>5</v>
      </c>
      <c r="FZZ4">
        <v>5</v>
      </c>
      <c r="GAA4">
        <v>5</v>
      </c>
      <c r="GAB4">
        <v>5</v>
      </c>
      <c r="GAC4">
        <v>5</v>
      </c>
      <c r="GAD4">
        <v>5</v>
      </c>
      <c r="GAE4">
        <v>5</v>
      </c>
      <c r="GAF4">
        <v>5</v>
      </c>
      <c r="GAG4">
        <v>5</v>
      </c>
      <c r="GAH4">
        <v>5</v>
      </c>
      <c r="GAI4">
        <v>5</v>
      </c>
      <c r="GAJ4">
        <v>5</v>
      </c>
      <c r="GAK4">
        <v>5</v>
      </c>
      <c r="GAL4">
        <v>5</v>
      </c>
      <c r="GAM4">
        <v>5</v>
      </c>
      <c r="GAN4">
        <v>5</v>
      </c>
      <c r="GAO4">
        <v>5</v>
      </c>
      <c r="GAP4">
        <v>5</v>
      </c>
      <c r="GAQ4">
        <v>5</v>
      </c>
      <c r="GAR4">
        <v>5</v>
      </c>
      <c r="GAS4">
        <v>5</v>
      </c>
      <c r="GAT4">
        <v>5</v>
      </c>
      <c r="GAU4">
        <v>5</v>
      </c>
      <c r="GAV4">
        <v>5</v>
      </c>
      <c r="GAW4">
        <v>5</v>
      </c>
      <c r="GAX4">
        <v>5</v>
      </c>
      <c r="GAY4">
        <v>5</v>
      </c>
      <c r="GAZ4">
        <v>5</v>
      </c>
      <c r="GBA4">
        <v>5</v>
      </c>
      <c r="GBB4">
        <v>5</v>
      </c>
      <c r="GBC4">
        <v>5</v>
      </c>
      <c r="GBD4">
        <v>5</v>
      </c>
      <c r="GBE4">
        <v>5</v>
      </c>
      <c r="GBF4">
        <v>5</v>
      </c>
      <c r="GBG4">
        <v>5</v>
      </c>
      <c r="GBH4">
        <v>5</v>
      </c>
      <c r="GBI4">
        <v>5</v>
      </c>
      <c r="GBJ4">
        <v>5</v>
      </c>
      <c r="GBK4">
        <v>5</v>
      </c>
      <c r="GBL4">
        <v>5</v>
      </c>
      <c r="GBM4">
        <v>5</v>
      </c>
      <c r="GBN4">
        <v>5</v>
      </c>
      <c r="GBO4">
        <v>5</v>
      </c>
      <c r="GBP4">
        <v>5</v>
      </c>
      <c r="GBQ4">
        <v>5</v>
      </c>
      <c r="GBR4">
        <v>5</v>
      </c>
      <c r="GBS4">
        <v>5</v>
      </c>
      <c r="GBT4">
        <v>5</v>
      </c>
      <c r="GBU4">
        <v>5</v>
      </c>
      <c r="GBV4">
        <v>5</v>
      </c>
      <c r="GBW4">
        <v>5</v>
      </c>
      <c r="GBX4">
        <v>5</v>
      </c>
      <c r="GBY4">
        <v>5</v>
      </c>
      <c r="GBZ4">
        <v>5</v>
      </c>
      <c r="GCA4">
        <v>5</v>
      </c>
      <c r="GCB4">
        <v>5</v>
      </c>
      <c r="GCC4">
        <v>5</v>
      </c>
      <c r="GCD4">
        <v>5</v>
      </c>
      <c r="GCE4">
        <v>5</v>
      </c>
      <c r="GCF4">
        <v>5</v>
      </c>
      <c r="GCG4">
        <v>5</v>
      </c>
      <c r="GCH4">
        <v>5</v>
      </c>
      <c r="GCI4">
        <v>5</v>
      </c>
      <c r="GCJ4">
        <v>5</v>
      </c>
      <c r="GCK4">
        <v>5</v>
      </c>
      <c r="GCL4">
        <v>5</v>
      </c>
      <c r="GCM4">
        <v>5</v>
      </c>
      <c r="GCN4">
        <v>5</v>
      </c>
      <c r="GCO4">
        <v>5</v>
      </c>
      <c r="GCP4">
        <v>5</v>
      </c>
      <c r="GCQ4">
        <v>5</v>
      </c>
      <c r="GCR4">
        <v>5</v>
      </c>
      <c r="GCS4">
        <v>5</v>
      </c>
      <c r="GCT4">
        <v>5</v>
      </c>
      <c r="GCU4">
        <v>5</v>
      </c>
      <c r="GCV4">
        <v>5</v>
      </c>
      <c r="GCW4">
        <v>5</v>
      </c>
      <c r="GCX4">
        <v>5</v>
      </c>
      <c r="GCY4">
        <v>5</v>
      </c>
      <c r="GCZ4">
        <v>5</v>
      </c>
      <c r="GDA4">
        <v>5</v>
      </c>
      <c r="GDB4">
        <v>5</v>
      </c>
      <c r="GDC4">
        <v>5</v>
      </c>
      <c r="GDD4">
        <v>5</v>
      </c>
      <c r="GDE4">
        <v>5</v>
      </c>
      <c r="GDF4">
        <v>5</v>
      </c>
      <c r="GDG4">
        <v>5</v>
      </c>
      <c r="GDH4">
        <v>5</v>
      </c>
      <c r="GDI4">
        <v>5</v>
      </c>
      <c r="GDJ4">
        <v>5</v>
      </c>
      <c r="GDK4">
        <v>5</v>
      </c>
      <c r="GDL4">
        <v>5</v>
      </c>
      <c r="GDM4">
        <v>5</v>
      </c>
      <c r="GDN4">
        <v>5</v>
      </c>
      <c r="GDO4">
        <v>5</v>
      </c>
      <c r="GDP4">
        <v>5</v>
      </c>
      <c r="GDQ4">
        <v>5</v>
      </c>
      <c r="GDR4">
        <v>5</v>
      </c>
      <c r="GDS4">
        <v>5</v>
      </c>
      <c r="GDT4">
        <v>5</v>
      </c>
      <c r="GDU4">
        <v>5</v>
      </c>
      <c r="GDV4">
        <v>5</v>
      </c>
      <c r="GDW4">
        <v>5</v>
      </c>
      <c r="GDX4">
        <v>5</v>
      </c>
      <c r="HQA4">
        <v>6</v>
      </c>
      <c r="HQB4">
        <v>6</v>
      </c>
      <c r="HQC4">
        <v>6</v>
      </c>
      <c r="HQD4">
        <v>6</v>
      </c>
      <c r="HQE4">
        <v>6</v>
      </c>
      <c r="HQF4">
        <v>6</v>
      </c>
      <c r="HQG4">
        <v>6</v>
      </c>
      <c r="HQH4">
        <v>6</v>
      </c>
      <c r="HQI4">
        <v>6</v>
      </c>
      <c r="HQJ4">
        <v>6</v>
      </c>
      <c r="HQK4">
        <v>6</v>
      </c>
      <c r="HQL4">
        <v>6</v>
      </c>
      <c r="HQM4">
        <v>6</v>
      </c>
      <c r="HQN4">
        <v>6</v>
      </c>
      <c r="HQO4">
        <v>6</v>
      </c>
      <c r="HQP4">
        <v>6</v>
      </c>
      <c r="HQQ4">
        <v>6</v>
      </c>
      <c r="HQR4">
        <v>6</v>
      </c>
      <c r="HQS4">
        <v>6</v>
      </c>
      <c r="HQT4">
        <v>6</v>
      </c>
      <c r="HQU4">
        <v>6</v>
      </c>
      <c r="HQV4">
        <v>6</v>
      </c>
      <c r="HQW4">
        <v>6</v>
      </c>
      <c r="HQX4">
        <v>6</v>
      </c>
      <c r="HQY4">
        <v>6</v>
      </c>
      <c r="HQZ4">
        <v>6</v>
      </c>
      <c r="HRA4">
        <v>6</v>
      </c>
      <c r="HRB4">
        <v>6</v>
      </c>
      <c r="HRC4">
        <v>6</v>
      </c>
      <c r="HRD4">
        <v>6</v>
      </c>
      <c r="HRE4">
        <v>6</v>
      </c>
      <c r="HRF4">
        <v>6</v>
      </c>
      <c r="HRG4">
        <v>6</v>
      </c>
      <c r="HRH4">
        <v>6</v>
      </c>
      <c r="HRI4">
        <v>6</v>
      </c>
      <c r="HRJ4">
        <v>6</v>
      </c>
      <c r="HRK4">
        <v>6</v>
      </c>
      <c r="HRL4">
        <v>6</v>
      </c>
      <c r="HRM4">
        <v>6</v>
      </c>
      <c r="HRN4">
        <v>6</v>
      </c>
      <c r="HRO4">
        <v>6</v>
      </c>
      <c r="HRP4">
        <v>6</v>
      </c>
      <c r="HRQ4">
        <v>6</v>
      </c>
      <c r="HRR4">
        <v>6</v>
      </c>
      <c r="HRS4">
        <v>6</v>
      </c>
      <c r="HRT4">
        <v>6</v>
      </c>
      <c r="HRU4">
        <v>6</v>
      </c>
      <c r="HRV4">
        <v>6</v>
      </c>
      <c r="HRW4">
        <v>6</v>
      </c>
      <c r="HRX4">
        <v>6</v>
      </c>
      <c r="HRY4">
        <v>6</v>
      </c>
      <c r="HRZ4">
        <v>6</v>
      </c>
      <c r="HSA4">
        <v>6</v>
      </c>
      <c r="HSB4">
        <v>6</v>
      </c>
      <c r="HSC4">
        <v>6</v>
      </c>
      <c r="HSD4">
        <v>6</v>
      </c>
      <c r="HSE4">
        <v>6</v>
      </c>
      <c r="HSF4">
        <v>6</v>
      </c>
      <c r="HSG4">
        <v>6</v>
      </c>
      <c r="HSH4">
        <v>6</v>
      </c>
      <c r="HSI4">
        <v>6</v>
      </c>
      <c r="HSJ4">
        <v>6</v>
      </c>
      <c r="HSK4">
        <v>6</v>
      </c>
      <c r="HSL4">
        <v>6</v>
      </c>
      <c r="HSM4">
        <v>6</v>
      </c>
      <c r="HSN4">
        <v>6</v>
      </c>
      <c r="HSO4">
        <v>6</v>
      </c>
      <c r="HSP4">
        <v>6</v>
      </c>
      <c r="HSQ4">
        <v>6</v>
      </c>
      <c r="HSR4">
        <v>6</v>
      </c>
      <c r="HSS4">
        <v>6</v>
      </c>
      <c r="HST4">
        <v>6</v>
      </c>
      <c r="HSU4">
        <v>6</v>
      </c>
      <c r="HSV4">
        <v>6</v>
      </c>
      <c r="HSW4">
        <v>6</v>
      </c>
      <c r="HSX4">
        <v>6</v>
      </c>
      <c r="HSY4">
        <v>6</v>
      </c>
      <c r="HSZ4">
        <v>6</v>
      </c>
      <c r="HTA4">
        <v>6</v>
      </c>
      <c r="HTB4">
        <v>6</v>
      </c>
      <c r="HTC4">
        <v>6</v>
      </c>
      <c r="HTD4">
        <v>6</v>
      </c>
      <c r="HTE4">
        <v>6</v>
      </c>
      <c r="HTF4">
        <v>6</v>
      </c>
      <c r="HTG4">
        <v>6</v>
      </c>
      <c r="HTH4">
        <v>6</v>
      </c>
      <c r="HTI4">
        <v>6</v>
      </c>
      <c r="HTJ4">
        <v>6</v>
      </c>
      <c r="HTK4">
        <v>6</v>
      </c>
      <c r="HTL4">
        <v>6</v>
      </c>
      <c r="HTM4">
        <v>6</v>
      </c>
      <c r="HTN4">
        <v>6</v>
      </c>
      <c r="HTO4">
        <v>6</v>
      </c>
      <c r="HTP4">
        <v>6</v>
      </c>
      <c r="HTQ4">
        <v>6</v>
      </c>
      <c r="HTR4">
        <v>6</v>
      </c>
      <c r="HTS4">
        <v>6</v>
      </c>
      <c r="HTT4">
        <v>6</v>
      </c>
      <c r="HTU4">
        <v>6</v>
      </c>
      <c r="HTV4">
        <v>6</v>
      </c>
      <c r="HTW4">
        <v>6</v>
      </c>
      <c r="HTX4">
        <v>6</v>
      </c>
      <c r="HTY4">
        <v>6</v>
      </c>
      <c r="HTZ4">
        <v>6</v>
      </c>
      <c r="HUA4">
        <v>6</v>
      </c>
      <c r="JDU4">
        <v>7</v>
      </c>
      <c r="JDV4">
        <v>7</v>
      </c>
      <c r="JDW4">
        <v>7</v>
      </c>
      <c r="JDX4">
        <v>7</v>
      </c>
      <c r="JDY4">
        <v>7</v>
      </c>
      <c r="JDZ4">
        <v>7</v>
      </c>
      <c r="JEA4">
        <v>7</v>
      </c>
      <c r="JEB4">
        <v>7</v>
      </c>
      <c r="JEC4">
        <v>7</v>
      </c>
      <c r="JED4">
        <v>7</v>
      </c>
      <c r="JEE4">
        <v>7</v>
      </c>
      <c r="JEF4">
        <v>7</v>
      </c>
      <c r="JEG4">
        <v>7</v>
      </c>
      <c r="JEH4">
        <v>7</v>
      </c>
      <c r="JEI4">
        <v>7</v>
      </c>
      <c r="JEJ4">
        <v>7</v>
      </c>
      <c r="JEK4">
        <v>7</v>
      </c>
      <c r="JEL4">
        <v>7</v>
      </c>
      <c r="JEM4">
        <v>7</v>
      </c>
      <c r="JEN4">
        <v>7</v>
      </c>
      <c r="JEO4">
        <v>7</v>
      </c>
      <c r="JEP4">
        <v>7</v>
      </c>
      <c r="JEQ4">
        <v>7</v>
      </c>
      <c r="JER4">
        <v>7</v>
      </c>
      <c r="JES4">
        <v>7</v>
      </c>
      <c r="JET4">
        <v>7</v>
      </c>
      <c r="JEU4">
        <v>7</v>
      </c>
      <c r="JEV4">
        <v>7</v>
      </c>
      <c r="JEW4">
        <v>7</v>
      </c>
      <c r="JEX4">
        <v>7</v>
      </c>
      <c r="JEY4">
        <v>7</v>
      </c>
      <c r="JEZ4">
        <v>7</v>
      </c>
      <c r="JFA4">
        <v>7</v>
      </c>
      <c r="JFB4">
        <v>7</v>
      </c>
      <c r="JFC4">
        <v>7</v>
      </c>
      <c r="JFD4">
        <v>7</v>
      </c>
      <c r="JFE4">
        <v>7</v>
      </c>
      <c r="JFF4">
        <v>7</v>
      </c>
      <c r="JFG4">
        <v>7</v>
      </c>
      <c r="JFH4">
        <v>7</v>
      </c>
      <c r="JFI4">
        <v>7</v>
      </c>
      <c r="JFJ4">
        <v>7</v>
      </c>
      <c r="JFK4">
        <v>7</v>
      </c>
      <c r="JFL4">
        <v>7</v>
      </c>
      <c r="JFM4">
        <v>7</v>
      </c>
      <c r="JFN4">
        <v>7</v>
      </c>
      <c r="JFO4">
        <v>7</v>
      </c>
      <c r="JFP4">
        <v>7</v>
      </c>
      <c r="JFQ4">
        <v>7</v>
      </c>
      <c r="JFR4">
        <v>7</v>
      </c>
      <c r="JFS4">
        <v>7</v>
      </c>
      <c r="JFT4">
        <v>7</v>
      </c>
      <c r="JFU4">
        <v>7</v>
      </c>
      <c r="JFV4">
        <v>7</v>
      </c>
      <c r="JFW4">
        <v>7</v>
      </c>
      <c r="JFX4">
        <v>7</v>
      </c>
      <c r="JFY4">
        <v>7</v>
      </c>
      <c r="JFZ4">
        <v>7</v>
      </c>
      <c r="JGA4">
        <v>7</v>
      </c>
      <c r="JGB4">
        <v>7</v>
      </c>
      <c r="JGC4">
        <v>7</v>
      </c>
      <c r="JGD4">
        <v>7</v>
      </c>
      <c r="JGE4">
        <v>7</v>
      </c>
      <c r="JGF4">
        <v>7</v>
      </c>
      <c r="JGG4">
        <v>7</v>
      </c>
      <c r="JGH4">
        <v>7</v>
      </c>
      <c r="JGI4">
        <v>7</v>
      </c>
      <c r="JGJ4">
        <v>7</v>
      </c>
      <c r="JGK4">
        <v>7</v>
      </c>
      <c r="JGL4">
        <v>7</v>
      </c>
      <c r="JGM4">
        <v>7</v>
      </c>
      <c r="JGN4">
        <v>7</v>
      </c>
      <c r="JGO4">
        <v>7</v>
      </c>
      <c r="JGP4">
        <v>7</v>
      </c>
      <c r="JGQ4">
        <v>7</v>
      </c>
      <c r="JGR4">
        <v>7</v>
      </c>
      <c r="JGS4">
        <v>7</v>
      </c>
      <c r="JGT4">
        <v>7</v>
      </c>
      <c r="JGU4">
        <v>7</v>
      </c>
      <c r="JGV4">
        <v>7</v>
      </c>
      <c r="JGW4">
        <v>7</v>
      </c>
      <c r="JGX4">
        <v>7</v>
      </c>
      <c r="JGY4">
        <v>7</v>
      </c>
      <c r="JGZ4">
        <v>7</v>
      </c>
      <c r="JHA4">
        <v>7</v>
      </c>
      <c r="JHB4">
        <v>7</v>
      </c>
      <c r="JHC4">
        <v>7</v>
      </c>
      <c r="JHD4">
        <v>7</v>
      </c>
      <c r="JHE4">
        <v>7</v>
      </c>
      <c r="JHF4">
        <v>7</v>
      </c>
      <c r="JHG4">
        <v>7</v>
      </c>
      <c r="JHH4">
        <v>7</v>
      </c>
      <c r="JHI4">
        <v>7</v>
      </c>
      <c r="JHJ4">
        <v>7</v>
      </c>
      <c r="JHK4">
        <v>7</v>
      </c>
      <c r="JHL4">
        <v>7</v>
      </c>
      <c r="JHM4">
        <v>7</v>
      </c>
      <c r="JHN4">
        <v>7</v>
      </c>
      <c r="JHO4">
        <v>7</v>
      </c>
      <c r="JHP4">
        <v>7</v>
      </c>
      <c r="JHQ4">
        <v>7</v>
      </c>
      <c r="JHR4">
        <v>7</v>
      </c>
      <c r="JHS4">
        <v>7</v>
      </c>
      <c r="JHT4">
        <v>7</v>
      </c>
      <c r="JHU4">
        <v>7</v>
      </c>
      <c r="JHV4">
        <v>7</v>
      </c>
      <c r="JHW4">
        <v>7</v>
      </c>
      <c r="JHX4">
        <v>7</v>
      </c>
      <c r="JHY4">
        <v>7</v>
      </c>
      <c r="JHZ4">
        <v>7</v>
      </c>
      <c r="JIA4">
        <v>7</v>
      </c>
      <c r="JIB4">
        <v>7</v>
      </c>
      <c r="JIC4">
        <v>7</v>
      </c>
      <c r="JID4">
        <v>7</v>
      </c>
      <c r="JIE4">
        <v>7</v>
      </c>
      <c r="JIF4">
        <v>7</v>
      </c>
      <c r="JIG4">
        <v>7</v>
      </c>
      <c r="JIH4">
        <v>7</v>
      </c>
      <c r="JII4">
        <v>7</v>
      </c>
      <c r="JIJ4">
        <v>7</v>
      </c>
      <c r="JIK4">
        <v>7</v>
      </c>
      <c r="JIL4">
        <v>7</v>
      </c>
      <c r="JIM4">
        <v>7</v>
      </c>
      <c r="JIN4">
        <v>7</v>
      </c>
      <c r="JIO4">
        <v>7</v>
      </c>
      <c r="JIP4">
        <v>7</v>
      </c>
      <c r="JIQ4">
        <v>7</v>
      </c>
      <c r="JIR4">
        <v>7</v>
      </c>
      <c r="JIS4">
        <v>7</v>
      </c>
      <c r="JIT4">
        <v>7</v>
      </c>
      <c r="JIU4">
        <v>7</v>
      </c>
      <c r="JIV4">
        <v>7</v>
      </c>
      <c r="JIW4">
        <v>7</v>
      </c>
      <c r="JIX4">
        <v>7</v>
      </c>
      <c r="JIY4">
        <v>7</v>
      </c>
      <c r="JIZ4">
        <v>7</v>
      </c>
      <c r="JJA4">
        <v>7</v>
      </c>
      <c r="JJB4">
        <v>7</v>
      </c>
      <c r="JJC4">
        <v>7</v>
      </c>
      <c r="JJD4">
        <v>7</v>
      </c>
      <c r="JJE4">
        <v>7</v>
      </c>
      <c r="JJF4">
        <v>7</v>
      </c>
      <c r="JJG4">
        <v>7</v>
      </c>
      <c r="JJH4">
        <v>7</v>
      </c>
      <c r="JJI4">
        <v>7</v>
      </c>
      <c r="JJJ4">
        <v>7</v>
      </c>
      <c r="JJK4">
        <v>7</v>
      </c>
      <c r="JJL4">
        <v>7</v>
      </c>
      <c r="JJM4">
        <v>7</v>
      </c>
      <c r="JJN4">
        <v>7</v>
      </c>
      <c r="JJO4">
        <v>7</v>
      </c>
      <c r="JJP4">
        <v>7</v>
      </c>
      <c r="JJQ4">
        <v>7</v>
      </c>
      <c r="JJR4">
        <v>7</v>
      </c>
      <c r="JJS4">
        <v>7</v>
      </c>
      <c r="JJT4">
        <v>7</v>
      </c>
      <c r="JJU4">
        <v>7</v>
      </c>
      <c r="JJV4">
        <v>7</v>
      </c>
      <c r="JJW4">
        <v>7</v>
      </c>
      <c r="JJX4">
        <v>7</v>
      </c>
      <c r="JJY4">
        <v>7</v>
      </c>
      <c r="JJZ4">
        <v>7</v>
      </c>
      <c r="JKA4">
        <v>7</v>
      </c>
      <c r="JKB4">
        <v>7</v>
      </c>
      <c r="JKC4">
        <v>7</v>
      </c>
      <c r="JKD4">
        <v>7</v>
      </c>
      <c r="JKE4">
        <v>7</v>
      </c>
      <c r="JKF4">
        <v>7</v>
      </c>
      <c r="JKG4">
        <v>7</v>
      </c>
      <c r="JKH4">
        <v>7</v>
      </c>
      <c r="JKI4">
        <v>7</v>
      </c>
      <c r="JKJ4">
        <v>7</v>
      </c>
      <c r="JKK4">
        <v>7</v>
      </c>
      <c r="JKL4">
        <v>7</v>
      </c>
      <c r="JKM4">
        <v>7</v>
      </c>
      <c r="JKN4">
        <v>7</v>
      </c>
      <c r="JKO4">
        <v>7</v>
      </c>
      <c r="JKP4">
        <v>7</v>
      </c>
      <c r="JKQ4">
        <v>7</v>
      </c>
      <c r="JKR4">
        <v>7</v>
      </c>
      <c r="JKS4">
        <v>7</v>
      </c>
      <c r="JKT4">
        <v>7</v>
      </c>
      <c r="JKU4">
        <v>7</v>
      </c>
      <c r="JKV4">
        <v>7</v>
      </c>
      <c r="JKW4">
        <v>7</v>
      </c>
      <c r="JKX4">
        <v>7</v>
      </c>
      <c r="JKY4">
        <v>7</v>
      </c>
      <c r="JKZ4">
        <v>7</v>
      </c>
      <c r="JLA4">
        <v>7</v>
      </c>
      <c r="JLB4">
        <v>7</v>
      </c>
      <c r="JLC4">
        <v>7</v>
      </c>
      <c r="JLD4">
        <v>7</v>
      </c>
      <c r="JLE4">
        <v>7</v>
      </c>
      <c r="JLF4">
        <v>7</v>
      </c>
      <c r="JLG4">
        <v>7</v>
      </c>
      <c r="JLH4">
        <v>7</v>
      </c>
      <c r="JLI4">
        <v>7</v>
      </c>
      <c r="JLJ4">
        <v>7</v>
      </c>
      <c r="JLK4">
        <v>7</v>
      </c>
      <c r="JLL4">
        <v>7</v>
      </c>
      <c r="JLM4">
        <v>7</v>
      </c>
      <c r="JLN4">
        <v>7</v>
      </c>
      <c r="JLO4">
        <v>7</v>
      </c>
      <c r="JLP4">
        <v>7</v>
      </c>
      <c r="JLQ4">
        <v>7</v>
      </c>
      <c r="JLR4">
        <v>7</v>
      </c>
      <c r="JLS4">
        <v>7</v>
      </c>
      <c r="JLT4">
        <v>7</v>
      </c>
      <c r="JLU4">
        <v>7</v>
      </c>
      <c r="JLV4">
        <v>7</v>
      </c>
      <c r="JLW4">
        <v>7</v>
      </c>
      <c r="JLX4">
        <v>7</v>
      </c>
      <c r="JLY4">
        <v>7</v>
      </c>
      <c r="JLZ4">
        <v>7</v>
      </c>
      <c r="JMA4">
        <v>7</v>
      </c>
      <c r="JMB4">
        <v>7</v>
      </c>
      <c r="JMC4">
        <v>7</v>
      </c>
      <c r="JMD4">
        <v>7</v>
      </c>
      <c r="JME4">
        <v>7</v>
      </c>
      <c r="JMF4">
        <v>7</v>
      </c>
      <c r="JMG4">
        <v>7</v>
      </c>
      <c r="JMH4">
        <v>7</v>
      </c>
      <c r="JMI4">
        <v>7</v>
      </c>
      <c r="JMJ4">
        <v>7</v>
      </c>
      <c r="JMK4">
        <v>7</v>
      </c>
      <c r="JML4">
        <v>7</v>
      </c>
      <c r="JMM4">
        <v>7</v>
      </c>
      <c r="JMN4">
        <v>7</v>
      </c>
      <c r="JMO4">
        <v>7</v>
      </c>
      <c r="JMP4">
        <v>7</v>
      </c>
      <c r="JMQ4">
        <v>7</v>
      </c>
      <c r="JMR4">
        <v>7</v>
      </c>
      <c r="JMS4">
        <v>7</v>
      </c>
      <c r="JMT4">
        <v>7</v>
      </c>
      <c r="JMU4">
        <v>7</v>
      </c>
      <c r="JMV4">
        <v>7</v>
      </c>
      <c r="JMW4">
        <v>7</v>
      </c>
      <c r="JMX4">
        <v>7</v>
      </c>
      <c r="JMY4">
        <v>7</v>
      </c>
      <c r="JMZ4">
        <v>7</v>
      </c>
      <c r="JNA4">
        <v>7</v>
      </c>
      <c r="JNB4">
        <v>7</v>
      </c>
      <c r="JNC4">
        <v>7</v>
      </c>
      <c r="JND4">
        <v>7</v>
      </c>
      <c r="JNE4">
        <v>7</v>
      </c>
      <c r="JNF4">
        <v>7</v>
      </c>
      <c r="JNG4">
        <v>7</v>
      </c>
      <c r="JNH4">
        <v>7</v>
      </c>
      <c r="JNI4">
        <v>7</v>
      </c>
      <c r="JNJ4">
        <v>7</v>
      </c>
      <c r="JNK4">
        <v>7</v>
      </c>
      <c r="JNL4">
        <v>7</v>
      </c>
      <c r="JNM4">
        <v>7</v>
      </c>
      <c r="JNN4">
        <v>7</v>
      </c>
      <c r="JNO4">
        <v>7</v>
      </c>
      <c r="JNP4">
        <v>7</v>
      </c>
      <c r="JNQ4">
        <v>7</v>
      </c>
      <c r="JNR4">
        <v>7</v>
      </c>
      <c r="JNS4">
        <v>7</v>
      </c>
      <c r="JNT4">
        <v>7</v>
      </c>
      <c r="JNU4">
        <v>7</v>
      </c>
      <c r="JNV4">
        <v>7</v>
      </c>
      <c r="JNW4">
        <v>7</v>
      </c>
      <c r="JNX4">
        <v>7</v>
      </c>
      <c r="JNY4">
        <v>7</v>
      </c>
      <c r="JNZ4">
        <v>7</v>
      </c>
      <c r="JOA4">
        <v>7</v>
      </c>
      <c r="JOB4">
        <v>7</v>
      </c>
      <c r="JOC4">
        <v>7</v>
      </c>
      <c r="JOD4">
        <v>7</v>
      </c>
      <c r="JOE4">
        <v>7</v>
      </c>
      <c r="JOF4">
        <v>7</v>
      </c>
      <c r="JOG4">
        <v>7</v>
      </c>
      <c r="JOH4">
        <v>7</v>
      </c>
      <c r="JOI4">
        <v>7</v>
      </c>
      <c r="JOJ4">
        <v>7</v>
      </c>
      <c r="JOK4">
        <v>7</v>
      </c>
      <c r="JOL4">
        <v>7</v>
      </c>
      <c r="JOM4">
        <v>7</v>
      </c>
      <c r="JON4">
        <v>7</v>
      </c>
      <c r="JOO4">
        <v>7</v>
      </c>
      <c r="JOP4">
        <v>7</v>
      </c>
      <c r="JOQ4">
        <v>7</v>
      </c>
      <c r="JOR4">
        <v>7</v>
      </c>
      <c r="JOS4">
        <v>7</v>
      </c>
      <c r="JOT4">
        <v>7</v>
      </c>
      <c r="JOU4">
        <v>7</v>
      </c>
      <c r="JOV4">
        <v>7</v>
      </c>
      <c r="JOW4">
        <v>7</v>
      </c>
      <c r="JOX4">
        <v>7</v>
      </c>
      <c r="JOY4">
        <v>7</v>
      </c>
      <c r="JOZ4">
        <v>7</v>
      </c>
      <c r="JPA4">
        <v>7</v>
      </c>
      <c r="JPB4">
        <v>7</v>
      </c>
      <c r="JPC4">
        <v>7</v>
      </c>
      <c r="JPD4">
        <v>7</v>
      </c>
      <c r="JPE4">
        <v>7</v>
      </c>
      <c r="JPF4">
        <v>7</v>
      </c>
      <c r="JPG4">
        <v>7</v>
      </c>
      <c r="JPH4">
        <v>7</v>
      </c>
      <c r="JPI4">
        <v>7</v>
      </c>
      <c r="JPJ4">
        <v>7</v>
      </c>
      <c r="JPK4">
        <v>7</v>
      </c>
      <c r="JPL4">
        <v>7</v>
      </c>
      <c r="JPM4">
        <v>7</v>
      </c>
      <c r="JPN4">
        <v>7</v>
      </c>
      <c r="JPO4">
        <v>7</v>
      </c>
      <c r="JPP4">
        <v>7</v>
      </c>
      <c r="JPQ4">
        <v>7</v>
      </c>
      <c r="JPR4">
        <v>7</v>
      </c>
      <c r="JPS4">
        <v>7</v>
      </c>
      <c r="JPT4">
        <v>7</v>
      </c>
      <c r="JPU4">
        <v>7</v>
      </c>
      <c r="JPV4">
        <v>7</v>
      </c>
      <c r="JPW4">
        <v>7</v>
      </c>
      <c r="JPX4">
        <v>7</v>
      </c>
      <c r="JPY4">
        <v>7</v>
      </c>
      <c r="JPZ4">
        <v>7</v>
      </c>
      <c r="JQA4">
        <v>7</v>
      </c>
      <c r="JQB4">
        <v>7</v>
      </c>
      <c r="JQC4">
        <v>7</v>
      </c>
      <c r="JQD4">
        <v>7</v>
      </c>
      <c r="JQE4">
        <v>7</v>
      </c>
      <c r="JQF4">
        <v>7</v>
      </c>
      <c r="JQG4">
        <v>7</v>
      </c>
      <c r="JQH4">
        <v>7</v>
      </c>
      <c r="JQI4">
        <v>7</v>
      </c>
      <c r="JQJ4">
        <v>7</v>
      </c>
      <c r="JQK4">
        <v>7</v>
      </c>
      <c r="JQL4">
        <v>7</v>
      </c>
      <c r="JQM4">
        <v>7</v>
      </c>
      <c r="JQN4">
        <v>7</v>
      </c>
      <c r="JQO4">
        <v>7</v>
      </c>
      <c r="JQP4">
        <v>7</v>
      </c>
      <c r="JQQ4">
        <v>7</v>
      </c>
      <c r="JQR4">
        <v>7</v>
      </c>
      <c r="JQS4">
        <v>7</v>
      </c>
      <c r="JQT4">
        <v>7</v>
      </c>
      <c r="JQU4">
        <v>7</v>
      </c>
      <c r="JQV4">
        <v>7</v>
      </c>
      <c r="JQW4">
        <v>7</v>
      </c>
      <c r="JQX4">
        <v>7</v>
      </c>
      <c r="JQY4">
        <v>7</v>
      </c>
      <c r="JQZ4">
        <v>7</v>
      </c>
      <c r="JRA4">
        <v>7</v>
      </c>
      <c r="JRB4">
        <v>7</v>
      </c>
      <c r="JRC4">
        <v>7</v>
      </c>
      <c r="JRD4">
        <v>7</v>
      </c>
      <c r="JRE4">
        <v>7</v>
      </c>
      <c r="JRF4">
        <v>7</v>
      </c>
      <c r="JRG4">
        <v>7</v>
      </c>
      <c r="JRH4">
        <v>7</v>
      </c>
      <c r="JRI4">
        <v>7</v>
      </c>
      <c r="JRJ4">
        <v>7</v>
      </c>
      <c r="JRK4">
        <v>7</v>
      </c>
      <c r="JRL4">
        <v>7</v>
      </c>
      <c r="JRM4">
        <v>7</v>
      </c>
      <c r="JRN4">
        <v>7</v>
      </c>
      <c r="JRO4">
        <v>7</v>
      </c>
      <c r="JRP4">
        <v>7</v>
      </c>
      <c r="JRQ4">
        <v>7</v>
      </c>
      <c r="JRR4">
        <v>7</v>
      </c>
      <c r="JRS4">
        <v>7</v>
      </c>
      <c r="JRT4">
        <v>7</v>
      </c>
      <c r="JRU4">
        <v>7</v>
      </c>
      <c r="JRV4">
        <v>7</v>
      </c>
      <c r="JRW4">
        <v>7</v>
      </c>
      <c r="JRX4">
        <v>7</v>
      </c>
      <c r="JRY4">
        <v>7</v>
      </c>
      <c r="JRZ4">
        <v>7</v>
      </c>
      <c r="JSA4">
        <v>7</v>
      </c>
      <c r="JSB4">
        <v>7</v>
      </c>
      <c r="JSC4">
        <v>7</v>
      </c>
      <c r="JSD4">
        <v>7</v>
      </c>
      <c r="JSE4">
        <v>7</v>
      </c>
      <c r="JSF4">
        <v>7</v>
      </c>
      <c r="JSG4">
        <v>7</v>
      </c>
      <c r="JSH4">
        <v>7</v>
      </c>
      <c r="JSI4">
        <v>7</v>
      </c>
      <c r="JSJ4">
        <v>7</v>
      </c>
      <c r="JSK4">
        <v>7</v>
      </c>
      <c r="JSL4">
        <v>7</v>
      </c>
      <c r="JSM4">
        <v>7</v>
      </c>
      <c r="JSN4">
        <v>7</v>
      </c>
      <c r="JSO4">
        <v>7</v>
      </c>
      <c r="JSP4">
        <v>7</v>
      </c>
      <c r="JSQ4">
        <v>7</v>
      </c>
      <c r="JSR4">
        <v>7</v>
      </c>
      <c r="JSS4">
        <v>7</v>
      </c>
      <c r="JST4">
        <v>7</v>
      </c>
      <c r="JSU4">
        <v>7</v>
      </c>
      <c r="JSV4">
        <v>7</v>
      </c>
      <c r="JSW4">
        <v>7</v>
      </c>
      <c r="JSX4">
        <v>7</v>
      </c>
      <c r="JSY4">
        <v>7</v>
      </c>
      <c r="JSZ4">
        <v>7</v>
      </c>
      <c r="JTA4">
        <v>7</v>
      </c>
      <c r="JTB4">
        <v>7</v>
      </c>
      <c r="JTC4">
        <v>7</v>
      </c>
      <c r="JTD4">
        <v>7</v>
      </c>
      <c r="JTE4">
        <v>7</v>
      </c>
      <c r="JTF4">
        <v>7</v>
      </c>
      <c r="JTG4">
        <v>7</v>
      </c>
      <c r="JTH4">
        <v>7</v>
      </c>
      <c r="JTI4">
        <v>7</v>
      </c>
      <c r="JTJ4">
        <v>7</v>
      </c>
      <c r="JTK4">
        <v>7</v>
      </c>
      <c r="JTL4">
        <v>7</v>
      </c>
      <c r="JTM4">
        <v>7</v>
      </c>
      <c r="JTN4">
        <v>7</v>
      </c>
      <c r="JTO4">
        <v>7</v>
      </c>
      <c r="JTP4">
        <v>7</v>
      </c>
      <c r="JTQ4">
        <v>7</v>
      </c>
      <c r="JTR4">
        <v>7</v>
      </c>
      <c r="JTS4">
        <v>7</v>
      </c>
      <c r="JTT4">
        <v>7</v>
      </c>
      <c r="JTU4">
        <v>7</v>
      </c>
      <c r="JTV4">
        <v>7</v>
      </c>
      <c r="JTW4">
        <v>7</v>
      </c>
      <c r="JTX4">
        <v>7</v>
      </c>
      <c r="JTY4">
        <v>7</v>
      </c>
      <c r="JTZ4">
        <v>7</v>
      </c>
      <c r="JUA4">
        <v>7</v>
      </c>
      <c r="JUB4">
        <v>7</v>
      </c>
      <c r="JUC4">
        <v>7</v>
      </c>
      <c r="JUD4">
        <v>7</v>
      </c>
      <c r="JUE4">
        <v>7</v>
      </c>
      <c r="JUF4">
        <v>7</v>
      </c>
      <c r="JUG4">
        <v>7</v>
      </c>
      <c r="JUH4">
        <v>7</v>
      </c>
      <c r="JUI4">
        <v>7</v>
      </c>
      <c r="JUJ4">
        <v>7</v>
      </c>
      <c r="JUK4">
        <v>7</v>
      </c>
      <c r="JUL4">
        <v>7</v>
      </c>
      <c r="JUM4">
        <v>7</v>
      </c>
      <c r="JUN4">
        <v>7</v>
      </c>
      <c r="JUO4">
        <v>7</v>
      </c>
      <c r="JUP4">
        <v>7</v>
      </c>
      <c r="JUQ4">
        <v>7</v>
      </c>
      <c r="JUR4">
        <v>7</v>
      </c>
      <c r="JUS4">
        <v>7</v>
      </c>
      <c r="JUT4">
        <v>7</v>
      </c>
      <c r="JUU4">
        <v>7</v>
      </c>
      <c r="JUV4">
        <v>7</v>
      </c>
      <c r="JUW4">
        <v>7</v>
      </c>
      <c r="JUX4">
        <v>7</v>
      </c>
      <c r="JUY4">
        <v>7</v>
      </c>
      <c r="JUZ4">
        <v>7</v>
      </c>
      <c r="JVA4">
        <v>7</v>
      </c>
      <c r="JVB4">
        <v>7</v>
      </c>
      <c r="JVC4">
        <v>7</v>
      </c>
      <c r="JVD4">
        <v>7</v>
      </c>
      <c r="JVE4">
        <v>7</v>
      </c>
      <c r="JVF4">
        <v>7</v>
      </c>
      <c r="JVG4">
        <v>7</v>
      </c>
      <c r="JVH4">
        <v>7</v>
      </c>
      <c r="JVI4">
        <v>7</v>
      </c>
      <c r="JVJ4">
        <v>7</v>
      </c>
      <c r="JVK4">
        <v>7</v>
      </c>
      <c r="JVL4">
        <v>7</v>
      </c>
      <c r="JVM4">
        <v>7</v>
      </c>
      <c r="JVN4">
        <v>7</v>
      </c>
      <c r="JVO4">
        <v>7</v>
      </c>
      <c r="JVP4">
        <v>7</v>
      </c>
      <c r="JVQ4">
        <v>7</v>
      </c>
      <c r="JVR4">
        <v>7</v>
      </c>
      <c r="JVS4">
        <v>7</v>
      </c>
      <c r="JVT4">
        <v>7</v>
      </c>
      <c r="JVU4">
        <v>7</v>
      </c>
      <c r="JVV4">
        <v>7</v>
      </c>
      <c r="JVW4">
        <v>7</v>
      </c>
      <c r="JVX4">
        <v>7</v>
      </c>
      <c r="JVY4">
        <v>7</v>
      </c>
      <c r="JVZ4">
        <v>7</v>
      </c>
      <c r="JWA4">
        <v>7</v>
      </c>
      <c r="KGU4" s="1">
        <f t="shared" si="0"/>
        <v>256</v>
      </c>
      <c r="KGV4">
        <f t="shared" si="1"/>
        <v>303</v>
      </c>
      <c r="KGW4">
        <f t="shared" si="2"/>
        <v>323</v>
      </c>
      <c r="KGX4">
        <f t="shared" si="3"/>
        <v>175</v>
      </c>
      <c r="KGY4">
        <f t="shared" si="4"/>
        <v>283</v>
      </c>
      <c r="KGZ4">
        <f t="shared" si="5"/>
        <v>105</v>
      </c>
      <c r="KHA4">
        <f t="shared" si="6"/>
        <v>475</v>
      </c>
      <c r="KHB4">
        <f t="shared" si="7"/>
        <v>0</v>
      </c>
      <c r="KHC4">
        <f t="shared" si="8"/>
        <v>0</v>
      </c>
      <c r="KHD4">
        <f t="shared" si="9"/>
        <v>0</v>
      </c>
      <c r="KHE4">
        <f t="shared" si="10"/>
        <v>0</v>
      </c>
      <c r="KHF4">
        <f t="shared" si="11"/>
        <v>0</v>
      </c>
      <c r="KHG4">
        <f t="shared" si="12"/>
        <v>0</v>
      </c>
      <c r="KHH4">
        <f t="shared" si="13"/>
        <v>0</v>
      </c>
      <c r="KHI4">
        <f t="shared" si="14"/>
        <v>0</v>
      </c>
      <c r="KHJ4">
        <f t="shared" si="15"/>
        <v>0</v>
      </c>
      <c r="KHK4">
        <f t="shared" si="16"/>
        <v>0</v>
      </c>
      <c r="KHL4">
        <f t="shared" si="17"/>
        <v>0</v>
      </c>
      <c r="KHM4">
        <f t="shared" si="18"/>
        <v>0</v>
      </c>
      <c r="KHN4">
        <f t="shared" si="19"/>
        <v>0</v>
      </c>
      <c r="KHO4">
        <f t="shared" si="20"/>
        <v>0</v>
      </c>
      <c r="KHP4">
        <f t="shared" si="21"/>
        <v>0</v>
      </c>
      <c r="KHQ4">
        <f t="shared" si="22"/>
        <v>0</v>
      </c>
      <c r="KHR4">
        <f t="shared" si="23"/>
        <v>0</v>
      </c>
      <c r="KHS4">
        <f t="shared" si="24"/>
        <v>0</v>
      </c>
      <c r="KHT4">
        <f t="shared" si="25"/>
        <v>0</v>
      </c>
      <c r="KHU4">
        <f t="shared" si="26"/>
        <v>0</v>
      </c>
      <c r="KHV4">
        <f t="shared" si="27"/>
        <v>0</v>
      </c>
      <c r="KHW4">
        <f t="shared" si="28"/>
        <v>0</v>
      </c>
      <c r="KHX4">
        <f t="shared" si="29"/>
        <v>0</v>
      </c>
      <c r="KHY4">
        <f t="shared" si="30"/>
        <v>0</v>
      </c>
      <c r="KHZ4">
        <f t="shared" si="31"/>
        <v>0</v>
      </c>
      <c r="KIA4">
        <f t="shared" si="32"/>
        <v>0</v>
      </c>
      <c r="KIB4">
        <f t="shared" si="33"/>
        <v>0</v>
      </c>
      <c r="KIC4">
        <f t="shared" si="34"/>
        <v>0</v>
      </c>
      <c r="KID4">
        <f t="shared" si="35"/>
        <v>0</v>
      </c>
      <c r="KIE4">
        <f t="shared" si="36"/>
        <v>0</v>
      </c>
      <c r="KIF4">
        <f t="shared" si="37"/>
        <v>0</v>
      </c>
      <c r="KIG4">
        <f t="shared" si="38"/>
        <v>0</v>
      </c>
      <c r="KIH4">
        <f t="shared" si="39"/>
        <v>0</v>
      </c>
      <c r="KII4">
        <f t="shared" si="40"/>
        <v>0</v>
      </c>
      <c r="KIJ4">
        <f t="shared" si="41"/>
        <v>0</v>
      </c>
      <c r="KIK4">
        <f t="shared" si="42"/>
        <v>0</v>
      </c>
      <c r="KIL4">
        <f t="shared" si="43"/>
        <v>0</v>
      </c>
      <c r="KIM4">
        <f t="shared" si="44"/>
        <v>0</v>
      </c>
      <c r="KIN4">
        <f t="shared" si="45"/>
        <v>0</v>
      </c>
      <c r="KIO4">
        <f t="shared" si="46"/>
        <v>0</v>
      </c>
      <c r="KIP4">
        <f t="shared" si="47"/>
        <v>0</v>
      </c>
      <c r="KIQ4">
        <f t="shared" si="48"/>
        <v>0</v>
      </c>
      <c r="KIR4">
        <f t="shared" si="49"/>
        <v>0</v>
      </c>
      <c r="KIS4">
        <f t="shared" si="50"/>
        <v>0</v>
      </c>
      <c r="KIT4">
        <f t="shared" si="51"/>
        <v>0</v>
      </c>
      <c r="KIU4">
        <f t="shared" si="52"/>
        <v>0</v>
      </c>
      <c r="KIV4">
        <f t="shared" si="53"/>
        <v>0</v>
      </c>
      <c r="KIW4">
        <f t="shared" si="54"/>
        <v>0</v>
      </c>
      <c r="KIX4">
        <f t="shared" si="55"/>
        <v>0</v>
      </c>
      <c r="KIY4">
        <f t="shared" si="56"/>
        <v>0</v>
      </c>
      <c r="KIZ4">
        <f t="shared" si="57"/>
        <v>0</v>
      </c>
      <c r="KJA4">
        <f t="shared" si="58"/>
        <v>0</v>
      </c>
      <c r="KJB4">
        <f t="shared" si="59"/>
        <v>0</v>
      </c>
      <c r="KJC4">
        <f t="shared" si="60"/>
        <v>0</v>
      </c>
      <c r="KJD4">
        <f t="shared" si="61"/>
        <v>0</v>
      </c>
      <c r="KJE4">
        <f t="shared" si="62"/>
        <v>0</v>
      </c>
      <c r="KJF4">
        <f t="shared" si="63"/>
        <v>0</v>
      </c>
      <c r="KJG4">
        <f t="shared" si="64"/>
        <v>0</v>
      </c>
      <c r="KJH4">
        <f t="shared" si="65"/>
        <v>0</v>
      </c>
      <c r="KJI4">
        <f t="shared" si="66"/>
        <v>0</v>
      </c>
      <c r="KJJ4">
        <f t="shared" si="67"/>
        <v>0</v>
      </c>
      <c r="KJK4">
        <f t="shared" si="68"/>
        <v>0</v>
      </c>
      <c r="KJL4">
        <f t="shared" si="69"/>
        <v>0</v>
      </c>
      <c r="KJM4">
        <f t="shared" si="70"/>
        <v>0</v>
      </c>
      <c r="KJN4">
        <f t="shared" si="71"/>
        <v>0</v>
      </c>
      <c r="KJO4">
        <f t="shared" si="72"/>
        <v>0</v>
      </c>
      <c r="KJP4">
        <f t="shared" si="73"/>
        <v>0</v>
      </c>
      <c r="KJQ4">
        <f t="shared" si="74"/>
        <v>0</v>
      </c>
      <c r="KJR4">
        <f t="shared" si="75"/>
        <v>0</v>
      </c>
      <c r="KJS4">
        <f t="shared" si="76"/>
        <v>0</v>
      </c>
      <c r="KJT4">
        <f t="shared" si="77"/>
        <v>0</v>
      </c>
      <c r="KJU4">
        <f t="shared" si="78"/>
        <v>0</v>
      </c>
      <c r="KJV4">
        <f t="shared" si="79"/>
        <v>0</v>
      </c>
      <c r="KJW4">
        <f t="shared" si="80"/>
        <v>0</v>
      </c>
      <c r="KJX4">
        <f t="shared" si="81"/>
        <v>0</v>
      </c>
      <c r="KJY4">
        <f t="shared" si="82"/>
        <v>0</v>
      </c>
      <c r="KJZ4">
        <f t="shared" si="83"/>
        <v>0</v>
      </c>
      <c r="KKA4">
        <f t="shared" si="84"/>
        <v>0</v>
      </c>
      <c r="KKB4">
        <f t="shared" si="85"/>
        <v>0</v>
      </c>
      <c r="KKC4">
        <f t="shared" si="86"/>
        <v>0</v>
      </c>
      <c r="KKD4">
        <f t="shared" si="87"/>
        <v>0</v>
      </c>
      <c r="KKE4">
        <f t="shared" si="88"/>
        <v>0</v>
      </c>
      <c r="KKF4">
        <f t="shared" si="89"/>
        <v>0</v>
      </c>
      <c r="KKG4">
        <f t="shared" si="90"/>
        <v>0</v>
      </c>
      <c r="KKH4">
        <f t="shared" si="91"/>
        <v>0</v>
      </c>
      <c r="KKI4">
        <f t="shared" si="92"/>
        <v>0</v>
      </c>
      <c r="KKJ4">
        <f t="shared" si="93"/>
        <v>0</v>
      </c>
      <c r="KKK4">
        <f t="shared" si="94"/>
        <v>0</v>
      </c>
      <c r="KKL4">
        <f t="shared" si="95"/>
        <v>0</v>
      </c>
      <c r="KKM4">
        <f t="shared" si="96"/>
        <v>0</v>
      </c>
      <c r="KKN4">
        <f t="shared" si="97"/>
        <v>0</v>
      </c>
      <c r="KKO4">
        <f t="shared" si="98"/>
        <v>0</v>
      </c>
      <c r="KKP4">
        <f t="shared" si="99"/>
        <v>0</v>
      </c>
      <c r="KKR4">
        <f t="shared" si="100"/>
        <v>1920</v>
      </c>
      <c r="KKS4">
        <f t="shared" si="100"/>
        <v>1920</v>
      </c>
      <c r="KKU4">
        <f t="shared" si="101"/>
        <v>76.8</v>
      </c>
      <c r="KKV4">
        <f t="shared" si="101"/>
        <v>76.8</v>
      </c>
    </row>
    <row r="5" spans="1:7745">
      <c r="A5" t="s">
        <v>4</v>
      </c>
      <c r="B5">
        <v>7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AZG5">
        <v>2</v>
      </c>
      <c r="AZH5">
        <v>2</v>
      </c>
      <c r="AZI5">
        <v>2</v>
      </c>
      <c r="AZJ5">
        <v>2</v>
      </c>
      <c r="AZK5">
        <v>2</v>
      </c>
      <c r="AZL5">
        <v>2</v>
      </c>
      <c r="AZM5">
        <v>2</v>
      </c>
      <c r="AZN5">
        <v>2</v>
      </c>
      <c r="AZO5">
        <v>2</v>
      </c>
      <c r="AZP5">
        <v>2</v>
      </c>
      <c r="AZQ5">
        <v>2</v>
      </c>
      <c r="AZR5">
        <v>2</v>
      </c>
      <c r="AZS5">
        <v>2</v>
      </c>
      <c r="AZT5">
        <v>2</v>
      </c>
      <c r="AZU5">
        <v>2</v>
      </c>
      <c r="AZV5">
        <v>2</v>
      </c>
      <c r="AZW5">
        <v>2</v>
      </c>
      <c r="AZX5">
        <v>2</v>
      </c>
      <c r="AZY5">
        <v>2</v>
      </c>
      <c r="AZZ5">
        <v>2</v>
      </c>
      <c r="BAA5">
        <v>2</v>
      </c>
      <c r="BAB5">
        <v>2</v>
      </c>
      <c r="BAC5">
        <v>2</v>
      </c>
      <c r="BAD5">
        <v>2</v>
      </c>
      <c r="BAE5">
        <v>2</v>
      </c>
      <c r="BAF5">
        <v>2</v>
      </c>
      <c r="BAG5">
        <v>2</v>
      </c>
      <c r="BAH5">
        <v>2</v>
      </c>
      <c r="BAI5">
        <v>2</v>
      </c>
      <c r="BAJ5">
        <v>2</v>
      </c>
      <c r="BAK5">
        <v>2</v>
      </c>
      <c r="BAL5">
        <v>2</v>
      </c>
      <c r="BAM5">
        <v>2</v>
      </c>
      <c r="BAN5">
        <v>2</v>
      </c>
      <c r="BAO5">
        <v>2</v>
      </c>
      <c r="BAP5">
        <v>2</v>
      </c>
      <c r="BAQ5">
        <v>2</v>
      </c>
      <c r="BAR5">
        <v>2</v>
      </c>
      <c r="BAS5">
        <v>2</v>
      </c>
      <c r="BAT5">
        <v>2</v>
      </c>
      <c r="BAU5">
        <v>2</v>
      </c>
      <c r="BAV5">
        <v>2</v>
      </c>
      <c r="BAW5">
        <v>2</v>
      </c>
      <c r="BAX5">
        <v>2</v>
      </c>
      <c r="BAY5">
        <v>2</v>
      </c>
      <c r="BAZ5">
        <v>2</v>
      </c>
      <c r="BBA5">
        <v>2</v>
      </c>
      <c r="BBB5">
        <v>2</v>
      </c>
      <c r="BBC5">
        <v>2</v>
      </c>
      <c r="BBD5">
        <v>2</v>
      </c>
      <c r="BBE5">
        <v>2</v>
      </c>
      <c r="BBF5">
        <v>2</v>
      </c>
      <c r="BBG5">
        <v>2</v>
      </c>
      <c r="BBH5">
        <v>2</v>
      </c>
      <c r="BBI5">
        <v>2</v>
      </c>
      <c r="BBJ5">
        <v>2</v>
      </c>
      <c r="BBK5">
        <v>2</v>
      </c>
      <c r="BBL5">
        <v>2</v>
      </c>
      <c r="BBM5">
        <v>2</v>
      </c>
      <c r="BBN5">
        <v>2</v>
      </c>
      <c r="BBO5">
        <v>2</v>
      </c>
      <c r="BBP5">
        <v>2</v>
      </c>
      <c r="BBQ5">
        <v>2</v>
      </c>
      <c r="BBR5">
        <v>2</v>
      </c>
      <c r="BBS5">
        <v>2</v>
      </c>
      <c r="BBT5">
        <v>2</v>
      </c>
      <c r="BBU5">
        <v>2</v>
      </c>
      <c r="BBV5">
        <v>2</v>
      </c>
      <c r="BBW5">
        <v>2</v>
      </c>
      <c r="BBX5">
        <v>2</v>
      </c>
      <c r="BBY5">
        <v>2</v>
      </c>
      <c r="BBZ5">
        <v>2</v>
      </c>
      <c r="BCA5">
        <v>2</v>
      </c>
      <c r="BCB5">
        <v>2</v>
      </c>
      <c r="BCC5">
        <v>2</v>
      </c>
      <c r="BCD5">
        <v>2</v>
      </c>
      <c r="BCE5">
        <v>2</v>
      </c>
      <c r="BCF5">
        <v>2</v>
      </c>
      <c r="BCG5">
        <v>2</v>
      </c>
      <c r="BCH5">
        <v>2</v>
      </c>
      <c r="BCI5">
        <v>2</v>
      </c>
      <c r="BCJ5">
        <v>2</v>
      </c>
      <c r="BCK5">
        <v>2</v>
      </c>
      <c r="BCL5">
        <v>2</v>
      </c>
      <c r="BCM5">
        <v>2</v>
      </c>
      <c r="BCN5">
        <v>2</v>
      </c>
      <c r="BCO5">
        <v>2</v>
      </c>
      <c r="BCP5">
        <v>2</v>
      </c>
      <c r="BCQ5">
        <v>2</v>
      </c>
      <c r="BCR5">
        <v>2</v>
      </c>
      <c r="BCS5">
        <v>2</v>
      </c>
      <c r="BCT5">
        <v>2</v>
      </c>
      <c r="BCU5">
        <v>2</v>
      </c>
      <c r="BCV5">
        <v>2</v>
      </c>
      <c r="BCW5">
        <v>2</v>
      </c>
      <c r="BCX5">
        <v>2</v>
      </c>
      <c r="BCY5">
        <v>2</v>
      </c>
      <c r="BCZ5">
        <v>2</v>
      </c>
      <c r="BDA5">
        <v>2</v>
      </c>
      <c r="BDB5">
        <v>2</v>
      </c>
      <c r="BDC5">
        <v>2</v>
      </c>
      <c r="BDD5">
        <v>2</v>
      </c>
      <c r="BDE5">
        <v>2</v>
      </c>
      <c r="BDF5">
        <v>2</v>
      </c>
      <c r="BDG5">
        <v>2</v>
      </c>
      <c r="BDH5">
        <v>2</v>
      </c>
      <c r="BDI5">
        <v>2</v>
      </c>
      <c r="BDJ5">
        <v>2</v>
      </c>
      <c r="BDK5">
        <v>2</v>
      </c>
      <c r="BDL5">
        <v>2</v>
      </c>
      <c r="BDM5">
        <v>2</v>
      </c>
      <c r="BDN5">
        <v>2</v>
      </c>
      <c r="BDO5">
        <v>2</v>
      </c>
      <c r="BDP5">
        <v>2</v>
      </c>
      <c r="BDQ5">
        <v>2</v>
      </c>
      <c r="BDR5">
        <v>2</v>
      </c>
      <c r="BDS5">
        <v>2</v>
      </c>
      <c r="BDT5">
        <v>2</v>
      </c>
      <c r="BDU5">
        <v>2</v>
      </c>
      <c r="BDV5">
        <v>2</v>
      </c>
      <c r="BDW5">
        <v>2</v>
      </c>
      <c r="BDX5">
        <v>2</v>
      </c>
      <c r="BDY5">
        <v>2</v>
      </c>
      <c r="BDZ5">
        <v>2</v>
      </c>
      <c r="BEA5">
        <v>2</v>
      </c>
      <c r="BEB5">
        <v>2</v>
      </c>
      <c r="BEC5">
        <v>2</v>
      </c>
      <c r="BED5">
        <v>2</v>
      </c>
      <c r="BEE5">
        <v>2</v>
      </c>
      <c r="BEF5">
        <v>2</v>
      </c>
      <c r="BEG5">
        <v>2</v>
      </c>
      <c r="BEH5">
        <v>2</v>
      </c>
      <c r="BEI5">
        <v>2</v>
      </c>
      <c r="BEJ5">
        <v>2</v>
      </c>
      <c r="BEK5">
        <v>2</v>
      </c>
      <c r="BEL5">
        <v>2</v>
      </c>
      <c r="BEM5">
        <v>2</v>
      </c>
      <c r="BEN5">
        <v>2</v>
      </c>
      <c r="BEO5">
        <v>2</v>
      </c>
      <c r="BEP5">
        <v>2</v>
      </c>
      <c r="BEQ5">
        <v>2</v>
      </c>
      <c r="BER5">
        <v>2</v>
      </c>
      <c r="BES5">
        <v>2</v>
      </c>
      <c r="BET5">
        <v>2</v>
      </c>
      <c r="BEU5">
        <v>2</v>
      </c>
      <c r="BEV5">
        <v>2</v>
      </c>
      <c r="BEW5">
        <v>2</v>
      </c>
      <c r="BEX5">
        <v>2</v>
      </c>
      <c r="BEY5">
        <v>2</v>
      </c>
      <c r="BEZ5">
        <v>2</v>
      </c>
      <c r="BFA5">
        <v>2</v>
      </c>
      <c r="BFB5">
        <v>2</v>
      </c>
      <c r="BFC5">
        <v>2</v>
      </c>
      <c r="BFD5">
        <v>2</v>
      </c>
      <c r="BFE5">
        <v>2</v>
      </c>
      <c r="BFF5">
        <v>2</v>
      </c>
      <c r="BFG5">
        <v>2</v>
      </c>
      <c r="BFH5">
        <v>2</v>
      </c>
      <c r="BFI5">
        <v>2</v>
      </c>
      <c r="BFJ5">
        <v>2</v>
      </c>
      <c r="BFK5">
        <v>2</v>
      </c>
      <c r="BFL5">
        <v>2</v>
      </c>
      <c r="BFM5">
        <v>2</v>
      </c>
      <c r="BFN5">
        <v>2</v>
      </c>
      <c r="BFO5">
        <v>2</v>
      </c>
      <c r="BFP5">
        <v>2</v>
      </c>
      <c r="BFQ5">
        <v>2</v>
      </c>
      <c r="BFR5">
        <v>2</v>
      </c>
      <c r="BFS5">
        <v>2</v>
      </c>
      <c r="BFT5">
        <v>2</v>
      </c>
      <c r="BFU5">
        <v>2</v>
      </c>
      <c r="BFV5">
        <v>2</v>
      </c>
      <c r="BFW5">
        <v>2</v>
      </c>
      <c r="BFX5">
        <v>2</v>
      </c>
      <c r="BFY5">
        <v>2</v>
      </c>
      <c r="BFZ5">
        <v>2</v>
      </c>
      <c r="BGA5">
        <v>2</v>
      </c>
      <c r="BGB5">
        <v>2</v>
      </c>
      <c r="BGC5">
        <v>2</v>
      </c>
      <c r="BGD5">
        <v>2</v>
      </c>
      <c r="BGE5">
        <v>2</v>
      </c>
      <c r="BGF5">
        <v>2</v>
      </c>
      <c r="BGG5">
        <v>2</v>
      </c>
      <c r="BGH5">
        <v>2</v>
      </c>
      <c r="BGI5">
        <v>2</v>
      </c>
      <c r="BGJ5">
        <v>2</v>
      </c>
      <c r="BGK5">
        <v>2</v>
      </c>
      <c r="BGL5">
        <v>2</v>
      </c>
      <c r="BGM5">
        <v>2</v>
      </c>
      <c r="BGN5">
        <v>2</v>
      </c>
      <c r="BGO5">
        <v>2</v>
      </c>
      <c r="BGP5">
        <v>2</v>
      </c>
      <c r="BGQ5">
        <v>2</v>
      </c>
      <c r="BGR5">
        <v>2</v>
      </c>
      <c r="BGS5">
        <v>2</v>
      </c>
      <c r="BGT5">
        <v>2</v>
      </c>
      <c r="BGU5">
        <v>2</v>
      </c>
      <c r="BGV5">
        <v>2</v>
      </c>
      <c r="BGW5">
        <v>2</v>
      </c>
      <c r="BGX5">
        <v>2</v>
      </c>
      <c r="BGY5">
        <v>2</v>
      </c>
      <c r="BGZ5">
        <v>2</v>
      </c>
      <c r="BHA5">
        <v>2</v>
      </c>
      <c r="BHB5">
        <v>2</v>
      </c>
      <c r="BHC5">
        <v>2</v>
      </c>
      <c r="BHD5">
        <v>2</v>
      </c>
      <c r="BHE5">
        <v>2</v>
      </c>
      <c r="BHF5">
        <v>2</v>
      </c>
      <c r="BHG5">
        <v>2</v>
      </c>
      <c r="BHH5">
        <v>2</v>
      </c>
      <c r="BHI5">
        <v>2</v>
      </c>
      <c r="BHJ5">
        <v>2</v>
      </c>
      <c r="BHK5">
        <v>2</v>
      </c>
      <c r="BHL5">
        <v>2</v>
      </c>
      <c r="BHM5">
        <v>2</v>
      </c>
      <c r="BHN5">
        <v>2</v>
      </c>
      <c r="BHO5">
        <v>2</v>
      </c>
      <c r="BHP5">
        <v>2</v>
      </c>
      <c r="BHQ5">
        <v>2</v>
      </c>
      <c r="BHR5">
        <v>2</v>
      </c>
      <c r="BHS5">
        <v>2</v>
      </c>
      <c r="BHT5">
        <v>2</v>
      </c>
      <c r="BHU5">
        <v>2</v>
      </c>
      <c r="BHV5">
        <v>2</v>
      </c>
      <c r="BHW5">
        <v>2</v>
      </c>
      <c r="BHX5">
        <v>2</v>
      </c>
      <c r="BHY5">
        <v>2</v>
      </c>
      <c r="BHZ5">
        <v>2</v>
      </c>
      <c r="BIA5">
        <v>2</v>
      </c>
      <c r="BIB5">
        <v>2</v>
      </c>
      <c r="BIC5">
        <v>2</v>
      </c>
      <c r="BID5">
        <v>2</v>
      </c>
      <c r="BIE5">
        <v>2</v>
      </c>
      <c r="BIF5">
        <v>2</v>
      </c>
      <c r="BIG5">
        <v>2</v>
      </c>
      <c r="BIH5">
        <v>2</v>
      </c>
      <c r="BII5">
        <v>2</v>
      </c>
      <c r="BIJ5">
        <v>2</v>
      </c>
      <c r="BIK5">
        <v>2</v>
      </c>
      <c r="CJX5">
        <v>3</v>
      </c>
      <c r="CJY5">
        <v>3</v>
      </c>
      <c r="CJZ5">
        <v>3</v>
      </c>
      <c r="CKA5">
        <v>3</v>
      </c>
      <c r="CKB5">
        <v>3</v>
      </c>
      <c r="CKC5">
        <v>3</v>
      </c>
      <c r="CKD5">
        <v>3</v>
      </c>
      <c r="CKE5">
        <v>3</v>
      </c>
      <c r="CKF5">
        <v>3</v>
      </c>
      <c r="CKG5">
        <v>3</v>
      </c>
      <c r="CKH5">
        <v>3</v>
      </c>
      <c r="CKI5">
        <v>3</v>
      </c>
      <c r="CKJ5">
        <v>3</v>
      </c>
      <c r="CKK5">
        <v>3</v>
      </c>
      <c r="CKL5">
        <v>3</v>
      </c>
      <c r="CKM5">
        <v>3</v>
      </c>
      <c r="CKN5">
        <v>3</v>
      </c>
      <c r="CKO5">
        <v>3</v>
      </c>
      <c r="CKP5">
        <v>3</v>
      </c>
      <c r="CKQ5">
        <v>3</v>
      </c>
      <c r="CKR5">
        <v>3</v>
      </c>
      <c r="CKS5">
        <v>3</v>
      </c>
      <c r="CKT5">
        <v>3</v>
      </c>
      <c r="CKU5">
        <v>3</v>
      </c>
      <c r="CKV5">
        <v>3</v>
      </c>
      <c r="CKW5">
        <v>3</v>
      </c>
      <c r="CKX5">
        <v>3</v>
      </c>
      <c r="CKY5">
        <v>3</v>
      </c>
      <c r="CKZ5">
        <v>3</v>
      </c>
      <c r="CLA5">
        <v>3</v>
      </c>
      <c r="CLB5">
        <v>3</v>
      </c>
      <c r="CLC5">
        <v>3</v>
      </c>
      <c r="CLD5">
        <v>3</v>
      </c>
      <c r="CLE5">
        <v>3</v>
      </c>
      <c r="CLF5">
        <v>3</v>
      </c>
      <c r="CLG5">
        <v>3</v>
      </c>
      <c r="CLH5">
        <v>3</v>
      </c>
      <c r="CLI5">
        <v>3</v>
      </c>
      <c r="CLJ5">
        <v>3</v>
      </c>
      <c r="CLK5">
        <v>3</v>
      </c>
      <c r="CLL5">
        <v>3</v>
      </c>
      <c r="CLM5">
        <v>3</v>
      </c>
      <c r="CLN5">
        <v>3</v>
      </c>
      <c r="CLO5">
        <v>3</v>
      </c>
      <c r="CLP5">
        <v>3</v>
      </c>
      <c r="CLQ5">
        <v>3</v>
      </c>
      <c r="CLR5">
        <v>3</v>
      </c>
      <c r="CLS5">
        <v>3</v>
      </c>
      <c r="CLT5">
        <v>3</v>
      </c>
      <c r="CLU5">
        <v>3</v>
      </c>
      <c r="CLV5">
        <v>3</v>
      </c>
      <c r="CLW5">
        <v>3</v>
      </c>
      <c r="CLX5">
        <v>3</v>
      </c>
      <c r="CLY5">
        <v>3</v>
      </c>
      <c r="CLZ5">
        <v>3</v>
      </c>
      <c r="CMA5">
        <v>3</v>
      </c>
      <c r="CMB5">
        <v>3</v>
      </c>
      <c r="CMC5">
        <v>3</v>
      </c>
      <c r="CMD5">
        <v>3</v>
      </c>
      <c r="CME5">
        <v>3</v>
      </c>
      <c r="CMF5">
        <v>3</v>
      </c>
      <c r="CMG5">
        <v>3</v>
      </c>
      <c r="CMH5">
        <v>3</v>
      </c>
      <c r="CMI5">
        <v>3</v>
      </c>
      <c r="CMJ5">
        <v>3</v>
      </c>
      <c r="CMK5">
        <v>3</v>
      </c>
      <c r="CML5">
        <v>3</v>
      </c>
      <c r="CMM5">
        <v>3</v>
      </c>
      <c r="CMN5">
        <v>3</v>
      </c>
      <c r="CMO5">
        <v>3</v>
      </c>
      <c r="CMP5">
        <v>3</v>
      </c>
      <c r="CMQ5">
        <v>3</v>
      </c>
      <c r="CMR5">
        <v>3</v>
      </c>
      <c r="CMS5">
        <v>3</v>
      </c>
      <c r="CMT5">
        <v>3</v>
      </c>
      <c r="CMU5">
        <v>3</v>
      </c>
      <c r="CMV5">
        <v>3</v>
      </c>
      <c r="CMW5">
        <v>3</v>
      </c>
      <c r="CMX5">
        <v>3</v>
      </c>
      <c r="CMY5">
        <v>3</v>
      </c>
      <c r="CMZ5">
        <v>3</v>
      </c>
      <c r="CNA5">
        <v>3</v>
      </c>
      <c r="CNB5">
        <v>3</v>
      </c>
      <c r="CNC5">
        <v>3</v>
      </c>
      <c r="CND5">
        <v>3</v>
      </c>
      <c r="CNE5">
        <v>3</v>
      </c>
      <c r="CNF5">
        <v>3</v>
      </c>
      <c r="CNG5">
        <v>3</v>
      </c>
      <c r="CNH5">
        <v>3</v>
      </c>
      <c r="CNI5">
        <v>3</v>
      </c>
      <c r="CNJ5">
        <v>3</v>
      </c>
      <c r="CNK5">
        <v>3</v>
      </c>
      <c r="CNL5">
        <v>3</v>
      </c>
      <c r="CNM5">
        <v>3</v>
      </c>
      <c r="CNN5">
        <v>3</v>
      </c>
      <c r="CNO5">
        <v>3</v>
      </c>
      <c r="CNP5">
        <v>3</v>
      </c>
      <c r="CNQ5">
        <v>3</v>
      </c>
      <c r="CNR5">
        <v>3</v>
      </c>
      <c r="CNS5">
        <v>3</v>
      </c>
      <c r="CNT5">
        <v>3</v>
      </c>
      <c r="CNU5">
        <v>3</v>
      </c>
      <c r="CNV5">
        <v>3</v>
      </c>
      <c r="CNW5">
        <v>3</v>
      </c>
      <c r="CNX5">
        <v>3</v>
      </c>
      <c r="CNY5">
        <v>3</v>
      </c>
      <c r="CNZ5">
        <v>3</v>
      </c>
      <c r="COA5">
        <v>3</v>
      </c>
      <c r="COB5">
        <v>3</v>
      </c>
      <c r="COC5">
        <v>3</v>
      </c>
      <c r="COD5">
        <v>3</v>
      </c>
      <c r="COE5">
        <v>3</v>
      </c>
      <c r="COF5">
        <v>3</v>
      </c>
      <c r="COG5">
        <v>3</v>
      </c>
      <c r="COH5">
        <v>3</v>
      </c>
      <c r="COI5">
        <v>3</v>
      </c>
      <c r="COJ5">
        <v>3</v>
      </c>
      <c r="COK5">
        <v>3</v>
      </c>
      <c r="COL5">
        <v>3</v>
      </c>
      <c r="COM5">
        <v>3</v>
      </c>
      <c r="CON5">
        <v>3</v>
      </c>
      <c r="COO5">
        <v>3</v>
      </c>
      <c r="COP5">
        <v>3</v>
      </c>
      <c r="COQ5">
        <v>3</v>
      </c>
      <c r="COR5">
        <v>3</v>
      </c>
      <c r="COS5">
        <v>3</v>
      </c>
      <c r="COT5">
        <v>3</v>
      </c>
      <c r="COU5">
        <v>3</v>
      </c>
      <c r="COV5">
        <v>3</v>
      </c>
      <c r="COW5">
        <v>3</v>
      </c>
      <c r="COX5">
        <v>3</v>
      </c>
      <c r="COY5">
        <v>3</v>
      </c>
      <c r="COZ5">
        <v>3</v>
      </c>
      <c r="CPA5">
        <v>3</v>
      </c>
      <c r="CPB5">
        <v>3</v>
      </c>
      <c r="CPC5">
        <v>3</v>
      </c>
      <c r="CPD5">
        <v>3</v>
      </c>
      <c r="CPE5">
        <v>3</v>
      </c>
      <c r="CPF5">
        <v>3</v>
      </c>
      <c r="CPG5">
        <v>3</v>
      </c>
      <c r="CPH5">
        <v>3</v>
      </c>
      <c r="CPI5">
        <v>3</v>
      </c>
      <c r="CPJ5">
        <v>3</v>
      </c>
      <c r="CPK5">
        <v>3</v>
      </c>
      <c r="CPL5">
        <v>3</v>
      </c>
      <c r="CPM5">
        <v>3</v>
      </c>
      <c r="CPN5">
        <v>3</v>
      </c>
      <c r="CPO5">
        <v>3</v>
      </c>
      <c r="CPP5">
        <v>3</v>
      </c>
      <c r="CPQ5">
        <v>3</v>
      </c>
      <c r="CPR5">
        <v>3</v>
      </c>
      <c r="CPS5">
        <v>3</v>
      </c>
      <c r="CPT5">
        <v>3</v>
      </c>
      <c r="CPU5">
        <v>3</v>
      </c>
      <c r="CPV5">
        <v>3</v>
      </c>
      <c r="CPW5">
        <v>3</v>
      </c>
      <c r="CPX5">
        <v>3</v>
      </c>
      <c r="CPY5">
        <v>3</v>
      </c>
      <c r="CPZ5">
        <v>3</v>
      </c>
      <c r="CQA5">
        <v>3</v>
      </c>
      <c r="CQB5">
        <v>3</v>
      </c>
      <c r="CQC5">
        <v>3</v>
      </c>
      <c r="CQD5">
        <v>3</v>
      </c>
      <c r="CQE5">
        <v>3</v>
      </c>
      <c r="CQF5">
        <v>3</v>
      </c>
      <c r="CQG5">
        <v>3</v>
      </c>
      <c r="CQH5">
        <v>3</v>
      </c>
      <c r="CQI5">
        <v>3</v>
      </c>
      <c r="CQJ5">
        <v>3</v>
      </c>
      <c r="CQK5">
        <v>3</v>
      </c>
      <c r="CQL5">
        <v>3</v>
      </c>
      <c r="CQM5">
        <v>3</v>
      </c>
      <c r="CQN5">
        <v>3</v>
      </c>
      <c r="CQO5">
        <v>3</v>
      </c>
      <c r="CQP5">
        <v>3</v>
      </c>
      <c r="CQQ5">
        <v>3</v>
      </c>
      <c r="CQR5">
        <v>3</v>
      </c>
      <c r="DQX5">
        <v>4</v>
      </c>
      <c r="DQY5">
        <v>4</v>
      </c>
      <c r="DQZ5">
        <v>4</v>
      </c>
      <c r="DRA5">
        <v>4</v>
      </c>
      <c r="DRB5">
        <v>4</v>
      </c>
      <c r="DRC5">
        <v>4</v>
      </c>
      <c r="DRD5">
        <v>4</v>
      </c>
      <c r="DRE5">
        <v>4</v>
      </c>
      <c r="DRF5">
        <v>4</v>
      </c>
      <c r="DRG5">
        <v>4</v>
      </c>
      <c r="DRH5">
        <v>4</v>
      </c>
      <c r="DRI5">
        <v>4</v>
      </c>
      <c r="DRJ5">
        <v>4</v>
      </c>
      <c r="DRK5">
        <v>4</v>
      </c>
      <c r="DRL5">
        <v>4</v>
      </c>
      <c r="DRM5">
        <v>4</v>
      </c>
      <c r="DRN5">
        <v>4</v>
      </c>
      <c r="DRO5">
        <v>4</v>
      </c>
      <c r="DRP5">
        <v>4</v>
      </c>
      <c r="DRQ5">
        <v>4</v>
      </c>
      <c r="DRR5">
        <v>4</v>
      </c>
      <c r="DRS5">
        <v>4</v>
      </c>
      <c r="DRT5">
        <v>4</v>
      </c>
      <c r="DRU5">
        <v>4</v>
      </c>
      <c r="DRV5">
        <v>4</v>
      </c>
      <c r="DRW5">
        <v>4</v>
      </c>
      <c r="DRX5">
        <v>4</v>
      </c>
      <c r="DRY5">
        <v>4</v>
      </c>
      <c r="DRZ5">
        <v>4</v>
      </c>
      <c r="DSA5">
        <v>4</v>
      </c>
      <c r="DSB5">
        <v>4</v>
      </c>
      <c r="DSC5">
        <v>4</v>
      </c>
      <c r="DSD5">
        <v>4</v>
      </c>
      <c r="DSE5">
        <v>4</v>
      </c>
      <c r="DSF5">
        <v>4</v>
      </c>
      <c r="DSG5">
        <v>4</v>
      </c>
      <c r="DSH5">
        <v>4</v>
      </c>
      <c r="DSI5">
        <v>4</v>
      </c>
      <c r="DSJ5">
        <v>4</v>
      </c>
      <c r="DSK5">
        <v>4</v>
      </c>
      <c r="DSL5">
        <v>4</v>
      </c>
      <c r="DSM5">
        <v>4</v>
      </c>
      <c r="DSN5">
        <v>4</v>
      </c>
      <c r="DSO5">
        <v>4</v>
      </c>
      <c r="DSP5">
        <v>4</v>
      </c>
      <c r="DSQ5">
        <v>4</v>
      </c>
      <c r="DSR5">
        <v>4</v>
      </c>
      <c r="DSS5">
        <v>4</v>
      </c>
      <c r="DST5">
        <v>4</v>
      </c>
      <c r="DSU5">
        <v>4</v>
      </c>
      <c r="DSV5">
        <v>4</v>
      </c>
      <c r="DSW5">
        <v>4</v>
      </c>
      <c r="DSX5">
        <v>4</v>
      </c>
      <c r="DSY5">
        <v>4</v>
      </c>
      <c r="DSZ5">
        <v>4</v>
      </c>
      <c r="DTA5">
        <v>4</v>
      </c>
      <c r="DTB5">
        <v>4</v>
      </c>
      <c r="DTC5">
        <v>4</v>
      </c>
      <c r="DTD5">
        <v>4</v>
      </c>
      <c r="DTE5">
        <v>4</v>
      </c>
      <c r="DTF5">
        <v>4</v>
      </c>
      <c r="DTG5">
        <v>4</v>
      </c>
      <c r="DTH5">
        <v>4</v>
      </c>
      <c r="DTI5">
        <v>4</v>
      </c>
      <c r="DTJ5">
        <v>4</v>
      </c>
      <c r="DTK5">
        <v>4</v>
      </c>
      <c r="DTL5">
        <v>4</v>
      </c>
      <c r="DTM5">
        <v>4</v>
      </c>
      <c r="DTN5">
        <v>4</v>
      </c>
      <c r="DTO5">
        <v>4</v>
      </c>
      <c r="DTP5">
        <v>4</v>
      </c>
      <c r="DTQ5">
        <v>4</v>
      </c>
      <c r="DTR5">
        <v>4</v>
      </c>
      <c r="DTS5">
        <v>4</v>
      </c>
      <c r="DTT5">
        <v>4</v>
      </c>
      <c r="DTU5">
        <v>4</v>
      </c>
      <c r="DTV5">
        <v>4</v>
      </c>
      <c r="DTW5">
        <v>4</v>
      </c>
      <c r="DTX5">
        <v>4</v>
      </c>
      <c r="DTY5">
        <v>4</v>
      </c>
      <c r="DTZ5">
        <v>4</v>
      </c>
      <c r="DUA5">
        <v>4</v>
      </c>
      <c r="DUB5">
        <v>4</v>
      </c>
      <c r="DUC5">
        <v>4</v>
      </c>
      <c r="DUD5">
        <v>4</v>
      </c>
      <c r="DUE5">
        <v>4</v>
      </c>
      <c r="DUF5">
        <v>4</v>
      </c>
      <c r="DUG5">
        <v>4</v>
      </c>
      <c r="DUH5">
        <v>4</v>
      </c>
      <c r="DUI5">
        <v>4</v>
      </c>
      <c r="DUJ5">
        <v>4</v>
      </c>
      <c r="DUK5">
        <v>4</v>
      </c>
      <c r="DUL5">
        <v>4</v>
      </c>
      <c r="DUM5">
        <v>4</v>
      </c>
      <c r="DUN5">
        <v>4</v>
      </c>
      <c r="DUO5">
        <v>4</v>
      </c>
      <c r="DUP5">
        <v>4</v>
      </c>
      <c r="DUQ5">
        <v>4</v>
      </c>
      <c r="DUR5">
        <v>4</v>
      </c>
      <c r="DUS5">
        <v>4</v>
      </c>
      <c r="DUT5">
        <v>4</v>
      </c>
      <c r="DUU5">
        <v>4</v>
      </c>
      <c r="DUV5">
        <v>4</v>
      </c>
      <c r="DUW5">
        <v>4</v>
      </c>
      <c r="DUX5">
        <v>4</v>
      </c>
      <c r="DUY5">
        <v>4</v>
      </c>
      <c r="DUZ5">
        <v>4</v>
      </c>
      <c r="DVA5">
        <v>4</v>
      </c>
      <c r="DVB5">
        <v>4</v>
      </c>
      <c r="DVC5">
        <v>4</v>
      </c>
      <c r="DVD5">
        <v>4</v>
      </c>
      <c r="DVE5">
        <v>4</v>
      </c>
      <c r="DVF5">
        <v>4</v>
      </c>
      <c r="DVG5">
        <v>4</v>
      </c>
      <c r="DVH5">
        <v>4</v>
      </c>
      <c r="DVI5">
        <v>4</v>
      </c>
      <c r="DVJ5">
        <v>4</v>
      </c>
      <c r="DVK5">
        <v>4</v>
      </c>
      <c r="DVL5">
        <v>4</v>
      </c>
      <c r="DVM5">
        <v>4</v>
      </c>
      <c r="DVN5">
        <v>4</v>
      </c>
      <c r="DVO5">
        <v>4</v>
      </c>
      <c r="DVP5">
        <v>4</v>
      </c>
      <c r="DVQ5">
        <v>4</v>
      </c>
      <c r="DVR5">
        <v>4</v>
      </c>
      <c r="DVS5">
        <v>4</v>
      </c>
      <c r="DVT5">
        <v>4</v>
      </c>
      <c r="DVU5">
        <v>4</v>
      </c>
      <c r="DVV5">
        <v>4</v>
      </c>
      <c r="DVW5">
        <v>4</v>
      </c>
      <c r="DVX5">
        <v>4</v>
      </c>
      <c r="DVY5">
        <v>4</v>
      </c>
      <c r="DVZ5">
        <v>4</v>
      </c>
      <c r="DWA5">
        <v>4</v>
      </c>
      <c r="DWB5">
        <v>4</v>
      </c>
      <c r="DWC5">
        <v>4</v>
      </c>
      <c r="DWD5">
        <v>4</v>
      </c>
      <c r="DWE5">
        <v>4</v>
      </c>
      <c r="DWF5">
        <v>4</v>
      </c>
      <c r="DWG5">
        <v>4</v>
      </c>
      <c r="DWH5">
        <v>4</v>
      </c>
      <c r="DWI5">
        <v>4</v>
      </c>
      <c r="DWJ5">
        <v>4</v>
      </c>
      <c r="DWK5">
        <v>4</v>
      </c>
      <c r="DWL5">
        <v>4</v>
      </c>
      <c r="DWM5">
        <v>4</v>
      </c>
      <c r="DWN5">
        <v>4</v>
      </c>
      <c r="DWO5">
        <v>4</v>
      </c>
      <c r="DWP5">
        <v>4</v>
      </c>
      <c r="DWQ5">
        <v>4</v>
      </c>
      <c r="DWR5">
        <v>4</v>
      </c>
      <c r="DWS5">
        <v>4</v>
      </c>
      <c r="DWT5">
        <v>4</v>
      </c>
      <c r="DWU5">
        <v>4</v>
      </c>
      <c r="DWV5">
        <v>4</v>
      </c>
      <c r="DWW5">
        <v>4</v>
      </c>
      <c r="DWX5">
        <v>4</v>
      </c>
      <c r="DWY5">
        <v>4</v>
      </c>
      <c r="DWZ5">
        <v>4</v>
      </c>
      <c r="DXA5">
        <v>4</v>
      </c>
      <c r="DXB5">
        <v>4</v>
      </c>
      <c r="DXC5">
        <v>4</v>
      </c>
      <c r="DXD5">
        <v>4</v>
      </c>
      <c r="DXE5">
        <v>4</v>
      </c>
      <c r="DXF5">
        <v>4</v>
      </c>
      <c r="DXG5">
        <v>4</v>
      </c>
      <c r="DXH5">
        <v>4</v>
      </c>
      <c r="DXI5">
        <v>4</v>
      </c>
      <c r="DXJ5">
        <v>4</v>
      </c>
      <c r="DXK5">
        <v>4</v>
      </c>
      <c r="DXL5">
        <v>4</v>
      </c>
      <c r="DXM5">
        <v>4</v>
      </c>
      <c r="DXN5">
        <v>4</v>
      </c>
      <c r="DXO5">
        <v>4</v>
      </c>
      <c r="DXP5">
        <v>4</v>
      </c>
      <c r="DXQ5">
        <v>4</v>
      </c>
      <c r="DXR5">
        <v>4</v>
      </c>
      <c r="DXS5">
        <v>4</v>
      </c>
      <c r="DXT5">
        <v>4</v>
      </c>
      <c r="DXU5">
        <v>4</v>
      </c>
      <c r="DXV5">
        <v>4</v>
      </c>
      <c r="DXW5">
        <v>4</v>
      </c>
      <c r="DXX5">
        <v>4</v>
      </c>
      <c r="DXY5">
        <v>4</v>
      </c>
      <c r="DXZ5">
        <v>4</v>
      </c>
      <c r="DYA5">
        <v>4</v>
      </c>
      <c r="DYB5">
        <v>4</v>
      </c>
      <c r="DYC5">
        <v>4</v>
      </c>
      <c r="DYD5">
        <v>4</v>
      </c>
      <c r="DYE5">
        <v>4</v>
      </c>
      <c r="DYF5">
        <v>4</v>
      </c>
      <c r="DYG5">
        <v>4</v>
      </c>
      <c r="DYH5">
        <v>4</v>
      </c>
      <c r="DYI5">
        <v>4</v>
      </c>
      <c r="DYJ5">
        <v>4</v>
      </c>
      <c r="DYK5">
        <v>4</v>
      </c>
      <c r="DYL5">
        <v>4</v>
      </c>
      <c r="DYM5">
        <v>4</v>
      </c>
      <c r="DYN5">
        <v>4</v>
      </c>
      <c r="DYO5">
        <v>4</v>
      </c>
      <c r="DYP5">
        <v>4</v>
      </c>
      <c r="DYQ5">
        <v>4</v>
      </c>
      <c r="DYR5">
        <v>4</v>
      </c>
      <c r="DYS5">
        <v>4</v>
      </c>
      <c r="DYT5">
        <v>4</v>
      </c>
      <c r="DYU5">
        <v>4</v>
      </c>
      <c r="DYV5">
        <v>4</v>
      </c>
      <c r="DYW5">
        <v>4</v>
      </c>
      <c r="DYX5">
        <v>4</v>
      </c>
      <c r="DYY5">
        <v>4</v>
      </c>
      <c r="DYZ5">
        <v>4</v>
      </c>
      <c r="DZA5">
        <v>4</v>
      </c>
      <c r="DZB5">
        <v>4</v>
      </c>
      <c r="DZC5">
        <v>4</v>
      </c>
      <c r="DZD5">
        <v>4</v>
      </c>
      <c r="DZE5">
        <v>4</v>
      </c>
      <c r="DZF5">
        <v>4</v>
      </c>
      <c r="EUU5">
        <v>5</v>
      </c>
      <c r="EUV5">
        <v>5</v>
      </c>
      <c r="EUW5">
        <v>5</v>
      </c>
      <c r="EUX5">
        <v>5</v>
      </c>
      <c r="EUY5">
        <v>5</v>
      </c>
      <c r="EUZ5">
        <v>5</v>
      </c>
      <c r="EVA5">
        <v>5</v>
      </c>
      <c r="EVB5">
        <v>5</v>
      </c>
      <c r="EVC5">
        <v>5</v>
      </c>
      <c r="EVD5">
        <v>5</v>
      </c>
      <c r="EVE5">
        <v>5</v>
      </c>
      <c r="EVF5">
        <v>5</v>
      </c>
      <c r="EVG5">
        <v>5</v>
      </c>
      <c r="EVH5">
        <v>5</v>
      </c>
      <c r="EVI5">
        <v>5</v>
      </c>
      <c r="EVJ5">
        <v>5</v>
      </c>
      <c r="EVK5">
        <v>5</v>
      </c>
      <c r="EVL5">
        <v>5</v>
      </c>
      <c r="EVM5">
        <v>5</v>
      </c>
      <c r="EVN5">
        <v>5</v>
      </c>
      <c r="EVO5">
        <v>5</v>
      </c>
      <c r="EVP5">
        <v>5</v>
      </c>
      <c r="EVQ5">
        <v>5</v>
      </c>
      <c r="EVR5">
        <v>5</v>
      </c>
      <c r="EVS5">
        <v>5</v>
      </c>
      <c r="EVT5">
        <v>5</v>
      </c>
      <c r="EVU5">
        <v>5</v>
      </c>
      <c r="EVV5">
        <v>5</v>
      </c>
      <c r="EVW5">
        <v>5</v>
      </c>
      <c r="EVX5">
        <v>5</v>
      </c>
      <c r="EVY5">
        <v>5</v>
      </c>
      <c r="EVZ5">
        <v>5</v>
      </c>
      <c r="EWA5">
        <v>5</v>
      </c>
      <c r="EWB5">
        <v>5</v>
      </c>
      <c r="EWC5">
        <v>5</v>
      </c>
      <c r="EWD5">
        <v>5</v>
      </c>
      <c r="EWE5">
        <v>5</v>
      </c>
      <c r="EWF5">
        <v>5</v>
      </c>
      <c r="EWG5">
        <v>5</v>
      </c>
      <c r="EWH5">
        <v>5</v>
      </c>
      <c r="EWI5">
        <v>5</v>
      </c>
      <c r="EWJ5">
        <v>5</v>
      </c>
      <c r="EWK5">
        <v>5</v>
      </c>
      <c r="EWL5">
        <v>5</v>
      </c>
      <c r="EWM5">
        <v>5</v>
      </c>
      <c r="EWN5">
        <v>5</v>
      </c>
      <c r="EWO5">
        <v>5</v>
      </c>
      <c r="EWP5">
        <v>5</v>
      </c>
      <c r="EWQ5">
        <v>5</v>
      </c>
      <c r="EWR5">
        <v>5</v>
      </c>
      <c r="EWS5">
        <v>5</v>
      </c>
      <c r="EWT5">
        <v>5</v>
      </c>
      <c r="EWU5">
        <v>5</v>
      </c>
      <c r="EWV5">
        <v>5</v>
      </c>
      <c r="EWW5">
        <v>5</v>
      </c>
      <c r="EWX5">
        <v>5</v>
      </c>
      <c r="EWY5">
        <v>5</v>
      </c>
      <c r="EWZ5">
        <v>5</v>
      </c>
      <c r="EXA5">
        <v>5</v>
      </c>
      <c r="EXB5">
        <v>5</v>
      </c>
      <c r="EXC5">
        <v>5</v>
      </c>
      <c r="EXD5">
        <v>5</v>
      </c>
      <c r="EXE5">
        <v>5</v>
      </c>
      <c r="EXF5">
        <v>5</v>
      </c>
      <c r="EXG5">
        <v>5</v>
      </c>
      <c r="EXH5">
        <v>5</v>
      </c>
      <c r="EXI5">
        <v>5</v>
      </c>
      <c r="EXJ5">
        <v>5</v>
      </c>
      <c r="EXK5">
        <v>5</v>
      </c>
      <c r="EXL5">
        <v>5</v>
      </c>
      <c r="EXM5">
        <v>5</v>
      </c>
      <c r="EXN5">
        <v>5</v>
      </c>
      <c r="EXO5">
        <v>5</v>
      </c>
      <c r="EXP5">
        <v>5</v>
      </c>
      <c r="EXQ5">
        <v>5</v>
      </c>
      <c r="EXR5">
        <v>5</v>
      </c>
      <c r="EXS5">
        <v>5</v>
      </c>
      <c r="EXT5">
        <v>5</v>
      </c>
      <c r="EXU5">
        <v>5</v>
      </c>
      <c r="EXV5">
        <v>5</v>
      </c>
      <c r="EXW5">
        <v>5</v>
      </c>
      <c r="EXX5">
        <v>5</v>
      </c>
      <c r="EXY5">
        <v>5</v>
      </c>
      <c r="EXZ5">
        <v>5</v>
      </c>
      <c r="EYA5">
        <v>5</v>
      </c>
      <c r="EYB5">
        <v>5</v>
      </c>
      <c r="EYC5">
        <v>5</v>
      </c>
      <c r="EYD5">
        <v>5</v>
      </c>
      <c r="EYE5">
        <v>5</v>
      </c>
      <c r="EYF5">
        <v>5</v>
      </c>
      <c r="EYG5">
        <v>5</v>
      </c>
      <c r="EYH5">
        <v>5</v>
      </c>
      <c r="EYI5">
        <v>5</v>
      </c>
      <c r="EYJ5">
        <v>5</v>
      </c>
      <c r="EYK5">
        <v>5</v>
      </c>
      <c r="EYL5">
        <v>5</v>
      </c>
      <c r="EYM5">
        <v>5</v>
      </c>
      <c r="EYN5">
        <v>5</v>
      </c>
      <c r="EYO5">
        <v>5</v>
      </c>
      <c r="EYP5">
        <v>5</v>
      </c>
      <c r="EYQ5">
        <v>5</v>
      </c>
      <c r="EYR5">
        <v>5</v>
      </c>
      <c r="EYS5">
        <v>5</v>
      </c>
      <c r="EYT5">
        <v>5</v>
      </c>
      <c r="EYU5">
        <v>5</v>
      </c>
      <c r="EYV5">
        <v>5</v>
      </c>
      <c r="EYW5">
        <v>5</v>
      </c>
      <c r="EYX5">
        <v>5</v>
      </c>
      <c r="EYY5">
        <v>5</v>
      </c>
      <c r="EYZ5">
        <v>5</v>
      </c>
      <c r="EZA5">
        <v>5</v>
      </c>
      <c r="EZB5">
        <v>5</v>
      </c>
      <c r="EZC5">
        <v>5</v>
      </c>
      <c r="EZD5">
        <v>5</v>
      </c>
      <c r="EZE5">
        <v>5</v>
      </c>
      <c r="EZF5">
        <v>5</v>
      </c>
      <c r="EZG5">
        <v>5</v>
      </c>
      <c r="EZH5">
        <v>5</v>
      </c>
      <c r="EZI5">
        <v>5</v>
      </c>
      <c r="EZJ5">
        <v>5</v>
      </c>
      <c r="EZK5">
        <v>5</v>
      </c>
      <c r="EZL5">
        <v>5</v>
      </c>
      <c r="EZM5">
        <v>5</v>
      </c>
      <c r="EZN5">
        <v>5</v>
      </c>
      <c r="EZO5">
        <v>5</v>
      </c>
      <c r="EZP5">
        <v>5</v>
      </c>
      <c r="EZQ5">
        <v>5</v>
      </c>
      <c r="EZR5">
        <v>5</v>
      </c>
      <c r="EZS5">
        <v>5</v>
      </c>
      <c r="EZT5">
        <v>5</v>
      </c>
      <c r="EZU5">
        <v>5</v>
      </c>
      <c r="EZV5">
        <v>5</v>
      </c>
      <c r="EZW5">
        <v>5</v>
      </c>
      <c r="EZX5">
        <v>5</v>
      </c>
      <c r="EZY5">
        <v>5</v>
      </c>
      <c r="EZZ5">
        <v>5</v>
      </c>
      <c r="FAA5">
        <v>5</v>
      </c>
      <c r="FAB5">
        <v>5</v>
      </c>
      <c r="FAC5">
        <v>5</v>
      </c>
      <c r="FAD5">
        <v>5</v>
      </c>
      <c r="FAE5">
        <v>5</v>
      </c>
      <c r="FAF5">
        <v>5</v>
      </c>
      <c r="FAG5">
        <v>5</v>
      </c>
      <c r="FAH5">
        <v>5</v>
      </c>
      <c r="FAI5">
        <v>5</v>
      </c>
      <c r="FAJ5">
        <v>5</v>
      </c>
      <c r="FAK5">
        <v>5</v>
      </c>
      <c r="FAL5">
        <v>5</v>
      </c>
      <c r="FAM5">
        <v>5</v>
      </c>
      <c r="FAN5">
        <v>5</v>
      </c>
      <c r="FAO5">
        <v>5</v>
      </c>
      <c r="FAP5">
        <v>5</v>
      </c>
      <c r="FAQ5">
        <v>5</v>
      </c>
      <c r="FAR5">
        <v>5</v>
      </c>
      <c r="FAS5">
        <v>5</v>
      </c>
      <c r="FAT5">
        <v>5</v>
      </c>
      <c r="FAU5">
        <v>5</v>
      </c>
      <c r="FAV5">
        <v>5</v>
      </c>
      <c r="FAW5">
        <v>5</v>
      </c>
      <c r="FAX5">
        <v>5</v>
      </c>
      <c r="FAY5">
        <v>5</v>
      </c>
      <c r="FAZ5">
        <v>5</v>
      </c>
      <c r="FBA5">
        <v>5</v>
      </c>
      <c r="FBB5">
        <v>5</v>
      </c>
      <c r="FBC5">
        <v>5</v>
      </c>
      <c r="FBD5">
        <v>5</v>
      </c>
      <c r="FBE5">
        <v>5</v>
      </c>
      <c r="FBF5">
        <v>5</v>
      </c>
      <c r="FBG5">
        <v>5</v>
      </c>
      <c r="FBH5">
        <v>5</v>
      </c>
      <c r="FBI5">
        <v>5</v>
      </c>
      <c r="FBJ5">
        <v>5</v>
      </c>
      <c r="FBK5">
        <v>5</v>
      </c>
      <c r="FBL5">
        <v>5</v>
      </c>
      <c r="FBM5">
        <v>5</v>
      </c>
      <c r="FBN5">
        <v>5</v>
      </c>
      <c r="FBO5">
        <v>5</v>
      </c>
      <c r="FBP5">
        <v>5</v>
      </c>
      <c r="FBQ5">
        <v>5</v>
      </c>
      <c r="FBR5">
        <v>5</v>
      </c>
      <c r="FBS5">
        <v>5</v>
      </c>
      <c r="FBT5">
        <v>5</v>
      </c>
      <c r="FBU5">
        <v>5</v>
      </c>
      <c r="FBV5">
        <v>5</v>
      </c>
      <c r="FBW5">
        <v>5</v>
      </c>
      <c r="FBX5">
        <v>5</v>
      </c>
      <c r="FBY5">
        <v>5</v>
      </c>
      <c r="FBZ5">
        <v>5</v>
      </c>
      <c r="FCA5">
        <v>5</v>
      </c>
      <c r="FCB5">
        <v>5</v>
      </c>
      <c r="FCC5">
        <v>5</v>
      </c>
      <c r="FCD5">
        <v>5</v>
      </c>
      <c r="FCE5">
        <v>5</v>
      </c>
      <c r="FCF5">
        <v>5</v>
      </c>
      <c r="FCG5">
        <v>5</v>
      </c>
      <c r="FCH5">
        <v>5</v>
      </c>
      <c r="FCI5">
        <v>5</v>
      </c>
      <c r="FCJ5">
        <v>5</v>
      </c>
      <c r="FCK5">
        <v>5</v>
      </c>
      <c r="FCL5">
        <v>5</v>
      </c>
      <c r="FCM5">
        <v>5</v>
      </c>
      <c r="FCN5">
        <v>5</v>
      </c>
      <c r="FCO5">
        <v>5</v>
      </c>
      <c r="FCP5">
        <v>5</v>
      </c>
      <c r="FCQ5">
        <v>5</v>
      </c>
      <c r="FCR5">
        <v>5</v>
      </c>
      <c r="FCS5">
        <v>5</v>
      </c>
      <c r="FCT5">
        <v>5</v>
      </c>
      <c r="FCU5">
        <v>5</v>
      </c>
      <c r="FCV5">
        <v>5</v>
      </c>
      <c r="FCW5">
        <v>5</v>
      </c>
      <c r="FCX5">
        <v>5</v>
      </c>
      <c r="FCY5">
        <v>5</v>
      </c>
      <c r="FCZ5">
        <v>5</v>
      </c>
      <c r="FDA5">
        <v>5</v>
      </c>
      <c r="FDB5">
        <v>5</v>
      </c>
      <c r="FDC5">
        <v>5</v>
      </c>
      <c r="FDD5">
        <v>5</v>
      </c>
      <c r="FDE5">
        <v>5</v>
      </c>
      <c r="FDF5">
        <v>5</v>
      </c>
      <c r="FDG5">
        <v>5</v>
      </c>
      <c r="FDH5">
        <v>5</v>
      </c>
      <c r="FDI5">
        <v>5</v>
      </c>
      <c r="FDJ5">
        <v>5</v>
      </c>
      <c r="FDK5">
        <v>5</v>
      </c>
      <c r="FDL5">
        <v>5</v>
      </c>
      <c r="FDM5">
        <v>5</v>
      </c>
      <c r="FDN5">
        <v>5</v>
      </c>
      <c r="FDO5">
        <v>5</v>
      </c>
      <c r="FDP5">
        <v>5</v>
      </c>
      <c r="FDQ5">
        <v>5</v>
      </c>
      <c r="FDR5">
        <v>5</v>
      </c>
      <c r="FDS5">
        <v>5</v>
      </c>
      <c r="FDT5">
        <v>5</v>
      </c>
      <c r="FDU5">
        <v>5</v>
      </c>
      <c r="FDV5">
        <v>5</v>
      </c>
      <c r="FDW5">
        <v>5</v>
      </c>
      <c r="FDX5">
        <v>5</v>
      </c>
      <c r="FDY5">
        <v>5</v>
      </c>
      <c r="FDZ5">
        <v>5</v>
      </c>
      <c r="FEA5">
        <v>5</v>
      </c>
      <c r="FEB5">
        <v>5</v>
      </c>
      <c r="FEC5">
        <v>5</v>
      </c>
      <c r="FED5">
        <v>5</v>
      </c>
      <c r="FEE5">
        <v>5</v>
      </c>
      <c r="FEF5">
        <v>5</v>
      </c>
      <c r="FEG5">
        <v>5</v>
      </c>
      <c r="FEH5">
        <v>5</v>
      </c>
      <c r="FEI5">
        <v>5</v>
      </c>
      <c r="FEJ5">
        <v>5</v>
      </c>
      <c r="FEK5">
        <v>5</v>
      </c>
      <c r="FEL5">
        <v>5</v>
      </c>
      <c r="FEM5">
        <v>5</v>
      </c>
      <c r="FEN5">
        <v>5</v>
      </c>
      <c r="FEO5">
        <v>5</v>
      </c>
      <c r="FEP5">
        <v>5</v>
      </c>
      <c r="FEQ5">
        <v>5</v>
      </c>
      <c r="FER5">
        <v>5</v>
      </c>
      <c r="FES5">
        <v>5</v>
      </c>
      <c r="FET5">
        <v>5</v>
      </c>
      <c r="FEU5">
        <v>5</v>
      </c>
      <c r="FEV5">
        <v>5</v>
      </c>
      <c r="FEW5">
        <v>5</v>
      </c>
      <c r="FEX5">
        <v>5</v>
      </c>
      <c r="FEY5">
        <v>5</v>
      </c>
      <c r="FEZ5">
        <v>5</v>
      </c>
      <c r="FFA5">
        <v>5</v>
      </c>
      <c r="FFB5">
        <v>5</v>
      </c>
      <c r="FFC5">
        <v>5</v>
      </c>
      <c r="FFD5">
        <v>5</v>
      </c>
      <c r="FFE5">
        <v>5</v>
      </c>
      <c r="FFF5">
        <v>5</v>
      </c>
      <c r="FFG5">
        <v>5</v>
      </c>
      <c r="FFH5">
        <v>5</v>
      </c>
      <c r="FFI5">
        <v>5</v>
      </c>
      <c r="FFJ5">
        <v>5</v>
      </c>
      <c r="FFK5">
        <v>5</v>
      </c>
      <c r="FFL5">
        <v>5</v>
      </c>
      <c r="FFM5">
        <v>5</v>
      </c>
      <c r="FFN5">
        <v>5</v>
      </c>
      <c r="FFO5">
        <v>5</v>
      </c>
      <c r="FFP5">
        <v>5</v>
      </c>
      <c r="FFQ5">
        <v>5</v>
      </c>
      <c r="FFR5">
        <v>5</v>
      </c>
      <c r="FFS5">
        <v>5</v>
      </c>
      <c r="FFT5">
        <v>5</v>
      </c>
      <c r="FFU5">
        <v>5</v>
      </c>
      <c r="FFV5">
        <v>5</v>
      </c>
      <c r="FFW5">
        <v>5</v>
      </c>
      <c r="FFX5">
        <v>5</v>
      </c>
      <c r="FFY5">
        <v>5</v>
      </c>
      <c r="FFZ5">
        <v>5</v>
      </c>
      <c r="FGA5">
        <v>5</v>
      </c>
      <c r="FGB5">
        <v>5</v>
      </c>
      <c r="FGC5">
        <v>5</v>
      </c>
      <c r="FGD5">
        <v>5</v>
      </c>
      <c r="FGE5">
        <v>5</v>
      </c>
      <c r="FGF5">
        <v>5</v>
      </c>
      <c r="FGG5">
        <v>5</v>
      </c>
      <c r="FGH5">
        <v>5</v>
      </c>
      <c r="FGI5">
        <v>5</v>
      </c>
      <c r="FGJ5">
        <v>5</v>
      </c>
      <c r="FGK5">
        <v>5</v>
      </c>
      <c r="FGL5">
        <v>5</v>
      </c>
      <c r="FGM5">
        <v>5</v>
      </c>
      <c r="FGN5">
        <v>5</v>
      </c>
      <c r="FGO5">
        <v>5</v>
      </c>
      <c r="FGP5">
        <v>5</v>
      </c>
      <c r="FGQ5">
        <v>5</v>
      </c>
      <c r="FGR5">
        <v>5</v>
      </c>
      <c r="FGS5">
        <v>5</v>
      </c>
      <c r="FGT5">
        <v>5</v>
      </c>
      <c r="FGU5">
        <v>5</v>
      </c>
      <c r="FGV5">
        <v>5</v>
      </c>
      <c r="FGW5">
        <v>5</v>
      </c>
      <c r="FGX5">
        <v>5</v>
      </c>
      <c r="FGY5">
        <v>5</v>
      </c>
      <c r="FGZ5">
        <v>5</v>
      </c>
      <c r="FHA5">
        <v>5</v>
      </c>
      <c r="FHB5">
        <v>5</v>
      </c>
      <c r="FHC5">
        <v>5</v>
      </c>
      <c r="FHD5">
        <v>5</v>
      </c>
      <c r="FHE5">
        <v>5</v>
      </c>
      <c r="FHF5">
        <v>5</v>
      </c>
      <c r="FHG5">
        <v>5</v>
      </c>
      <c r="FHH5">
        <v>5</v>
      </c>
      <c r="FHI5">
        <v>5</v>
      </c>
      <c r="FHJ5">
        <v>5</v>
      </c>
      <c r="FHK5">
        <v>5</v>
      </c>
      <c r="FHL5">
        <v>5</v>
      </c>
      <c r="FHM5">
        <v>5</v>
      </c>
      <c r="FHN5">
        <v>5</v>
      </c>
      <c r="FHO5">
        <v>5</v>
      </c>
      <c r="FHP5">
        <v>5</v>
      </c>
      <c r="FHQ5">
        <v>5</v>
      </c>
      <c r="FHR5">
        <v>5</v>
      </c>
      <c r="FHS5">
        <v>5</v>
      </c>
      <c r="FHT5">
        <v>5</v>
      </c>
      <c r="FHU5">
        <v>5</v>
      </c>
      <c r="FHV5">
        <v>5</v>
      </c>
      <c r="FHW5">
        <v>5</v>
      </c>
      <c r="FHX5">
        <v>5</v>
      </c>
      <c r="FHY5">
        <v>5</v>
      </c>
      <c r="FHZ5">
        <v>5</v>
      </c>
      <c r="FIA5">
        <v>5</v>
      </c>
      <c r="FIB5">
        <v>5</v>
      </c>
      <c r="FIC5">
        <v>5</v>
      </c>
      <c r="FID5">
        <v>5</v>
      </c>
      <c r="FIE5">
        <v>5</v>
      </c>
      <c r="FIF5">
        <v>5</v>
      </c>
      <c r="FIG5">
        <v>5</v>
      </c>
      <c r="FIH5">
        <v>5</v>
      </c>
      <c r="FII5">
        <v>5</v>
      </c>
      <c r="FIJ5">
        <v>5</v>
      </c>
      <c r="FIK5">
        <v>5</v>
      </c>
      <c r="FIL5">
        <v>5</v>
      </c>
      <c r="FIM5">
        <v>5</v>
      </c>
      <c r="FIN5">
        <v>5</v>
      </c>
      <c r="FIO5">
        <v>5</v>
      </c>
      <c r="FIP5">
        <v>5</v>
      </c>
      <c r="FIQ5">
        <v>5</v>
      </c>
      <c r="FIR5">
        <v>5</v>
      </c>
      <c r="FIS5">
        <v>5</v>
      </c>
      <c r="FIT5">
        <v>5</v>
      </c>
      <c r="FIU5">
        <v>5</v>
      </c>
      <c r="FIV5">
        <v>5</v>
      </c>
      <c r="FIW5">
        <v>5</v>
      </c>
      <c r="FIX5">
        <v>5</v>
      </c>
      <c r="FIY5">
        <v>5</v>
      </c>
      <c r="FIZ5">
        <v>5</v>
      </c>
      <c r="FJA5">
        <v>5</v>
      </c>
      <c r="FJB5">
        <v>5</v>
      </c>
      <c r="FJC5">
        <v>5</v>
      </c>
      <c r="FJD5">
        <v>5</v>
      </c>
      <c r="FJE5">
        <v>5</v>
      </c>
      <c r="FJF5">
        <v>5</v>
      </c>
      <c r="FJG5">
        <v>5</v>
      </c>
      <c r="FJH5">
        <v>5</v>
      </c>
      <c r="FJI5">
        <v>5</v>
      </c>
      <c r="FJJ5">
        <v>5</v>
      </c>
      <c r="FJK5">
        <v>5</v>
      </c>
      <c r="FJL5">
        <v>5</v>
      </c>
      <c r="FJM5">
        <v>5</v>
      </c>
      <c r="FJN5">
        <v>5</v>
      </c>
      <c r="FJO5">
        <v>5</v>
      </c>
      <c r="FJP5">
        <v>5</v>
      </c>
      <c r="FJQ5">
        <v>5</v>
      </c>
      <c r="FJR5">
        <v>5</v>
      </c>
      <c r="FJS5">
        <v>5</v>
      </c>
      <c r="FJT5">
        <v>5</v>
      </c>
      <c r="FJU5">
        <v>5</v>
      </c>
      <c r="FJV5">
        <v>5</v>
      </c>
      <c r="FJW5">
        <v>5</v>
      </c>
      <c r="FJX5">
        <v>5</v>
      </c>
      <c r="FJY5">
        <v>5</v>
      </c>
      <c r="FJZ5">
        <v>5</v>
      </c>
      <c r="FKA5">
        <v>5</v>
      </c>
      <c r="FKB5">
        <v>5</v>
      </c>
      <c r="FKC5">
        <v>5</v>
      </c>
      <c r="FKD5">
        <v>5</v>
      </c>
      <c r="FKE5">
        <v>5</v>
      </c>
      <c r="FKF5">
        <v>5</v>
      </c>
      <c r="FKG5">
        <v>5</v>
      </c>
      <c r="FKH5">
        <v>5</v>
      </c>
      <c r="FKI5">
        <v>5</v>
      </c>
      <c r="FKJ5">
        <v>5</v>
      </c>
      <c r="FKK5">
        <v>5</v>
      </c>
      <c r="FKL5">
        <v>5</v>
      </c>
      <c r="FKM5">
        <v>5</v>
      </c>
      <c r="FKN5">
        <v>5</v>
      </c>
      <c r="FKO5">
        <v>5</v>
      </c>
      <c r="FKP5">
        <v>5</v>
      </c>
      <c r="FKQ5">
        <v>5</v>
      </c>
      <c r="FKR5">
        <v>5</v>
      </c>
      <c r="FKS5">
        <v>5</v>
      </c>
      <c r="FKT5">
        <v>5</v>
      </c>
      <c r="FKU5">
        <v>5</v>
      </c>
      <c r="FKV5">
        <v>5</v>
      </c>
      <c r="FKW5">
        <v>5</v>
      </c>
      <c r="FKX5">
        <v>5</v>
      </c>
      <c r="FKY5">
        <v>5</v>
      </c>
      <c r="FKZ5">
        <v>5</v>
      </c>
      <c r="FLA5">
        <v>5</v>
      </c>
      <c r="FLB5">
        <v>5</v>
      </c>
      <c r="FLC5">
        <v>5</v>
      </c>
      <c r="FLD5">
        <v>5</v>
      </c>
      <c r="FLE5">
        <v>5</v>
      </c>
      <c r="FLF5">
        <v>5</v>
      </c>
      <c r="FLG5">
        <v>5</v>
      </c>
      <c r="FLH5">
        <v>5</v>
      </c>
      <c r="FLI5">
        <v>5</v>
      </c>
      <c r="FLJ5">
        <v>5</v>
      </c>
      <c r="FLK5">
        <v>5</v>
      </c>
      <c r="FLL5">
        <v>5</v>
      </c>
      <c r="FLM5">
        <v>5</v>
      </c>
      <c r="FLN5">
        <v>5</v>
      </c>
      <c r="FLO5">
        <v>5</v>
      </c>
      <c r="FLP5">
        <v>5</v>
      </c>
      <c r="FLQ5">
        <v>5</v>
      </c>
      <c r="FLR5">
        <v>5</v>
      </c>
      <c r="FLS5">
        <v>5</v>
      </c>
      <c r="FLT5">
        <v>5</v>
      </c>
      <c r="FLU5">
        <v>5</v>
      </c>
      <c r="FLV5">
        <v>5</v>
      </c>
      <c r="FLW5">
        <v>5</v>
      </c>
      <c r="FLX5">
        <v>5</v>
      </c>
      <c r="FLY5">
        <v>5</v>
      </c>
      <c r="FLZ5">
        <v>5</v>
      </c>
      <c r="FMA5">
        <v>5</v>
      </c>
      <c r="FMB5">
        <v>5</v>
      </c>
      <c r="FMC5">
        <v>5</v>
      </c>
      <c r="FMD5">
        <v>5</v>
      </c>
      <c r="FME5">
        <v>5</v>
      </c>
      <c r="FMF5">
        <v>5</v>
      </c>
      <c r="FMG5">
        <v>5</v>
      </c>
      <c r="FMH5">
        <v>5</v>
      </c>
      <c r="FMI5">
        <v>5</v>
      </c>
      <c r="FMJ5">
        <v>5</v>
      </c>
      <c r="FMK5">
        <v>5</v>
      </c>
      <c r="FML5">
        <v>5</v>
      </c>
      <c r="FMM5">
        <v>5</v>
      </c>
      <c r="FMN5">
        <v>5</v>
      </c>
      <c r="FMO5">
        <v>5</v>
      </c>
      <c r="FMP5">
        <v>5</v>
      </c>
      <c r="FMQ5">
        <v>5</v>
      </c>
      <c r="FMR5">
        <v>5</v>
      </c>
      <c r="FMS5">
        <v>5</v>
      </c>
      <c r="FMT5">
        <v>5</v>
      </c>
      <c r="FMU5">
        <v>5</v>
      </c>
      <c r="FMV5">
        <v>5</v>
      </c>
      <c r="FMW5">
        <v>5</v>
      </c>
      <c r="FMX5">
        <v>5</v>
      </c>
      <c r="FMY5">
        <v>5</v>
      </c>
      <c r="FMZ5">
        <v>5</v>
      </c>
      <c r="FNA5">
        <v>5</v>
      </c>
      <c r="FNB5">
        <v>5</v>
      </c>
      <c r="FNC5">
        <v>5</v>
      </c>
      <c r="FND5">
        <v>5</v>
      </c>
      <c r="FNE5">
        <v>5</v>
      </c>
      <c r="FNF5">
        <v>5</v>
      </c>
      <c r="FNG5">
        <v>5</v>
      </c>
      <c r="FNH5">
        <v>5</v>
      </c>
      <c r="FNI5">
        <v>5</v>
      </c>
      <c r="FNJ5">
        <v>5</v>
      </c>
      <c r="FNK5">
        <v>5</v>
      </c>
      <c r="FNL5">
        <v>5</v>
      </c>
      <c r="FNM5">
        <v>5</v>
      </c>
      <c r="FNN5">
        <v>5</v>
      </c>
      <c r="FNO5">
        <v>5</v>
      </c>
      <c r="FNP5">
        <v>5</v>
      </c>
      <c r="FNQ5">
        <v>5</v>
      </c>
      <c r="FNR5">
        <v>5</v>
      </c>
      <c r="FNS5">
        <v>5</v>
      </c>
      <c r="FNT5">
        <v>5</v>
      </c>
      <c r="FNU5">
        <v>5</v>
      </c>
      <c r="FNV5">
        <v>5</v>
      </c>
      <c r="FNW5">
        <v>5</v>
      </c>
      <c r="FNX5">
        <v>5</v>
      </c>
      <c r="FNY5">
        <v>5</v>
      </c>
      <c r="FNZ5">
        <v>5</v>
      </c>
      <c r="FOA5">
        <v>5</v>
      </c>
      <c r="FOB5">
        <v>5</v>
      </c>
      <c r="FOC5">
        <v>5</v>
      </c>
      <c r="FOD5">
        <v>5</v>
      </c>
      <c r="FOE5">
        <v>5</v>
      </c>
      <c r="FOF5">
        <v>5</v>
      </c>
      <c r="FOG5">
        <v>5</v>
      </c>
      <c r="FOH5">
        <v>5</v>
      </c>
      <c r="FOI5">
        <v>5</v>
      </c>
      <c r="FOJ5">
        <v>5</v>
      </c>
      <c r="FOK5">
        <v>5</v>
      </c>
      <c r="FOL5">
        <v>5</v>
      </c>
      <c r="FOM5">
        <v>5</v>
      </c>
      <c r="FON5">
        <v>5</v>
      </c>
      <c r="FOO5">
        <v>5</v>
      </c>
      <c r="FOP5">
        <v>5</v>
      </c>
      <c r="FOQ5">
        <v>5</v>
      </c>
      <c r="FOR5">
        <v>5</v>
      </c>
      <c r="FOS5">
        <v>5</v>
      </c>
      <c r="FOT5">
        <v>5</v>
      </c>
      <c r="FOU5">
        <v>5</v>
      </c>
      <c r="FOV5">
        <v>5</v>
      </c>
      <c r="FOW5">
        <v>5</v>
      </c>
      <c r="FOX5">
        <v>5</v>
      </c>
      <c r="FOY5">
        <v>5</v>
      </c>
      <c r="FOZ5">
        <v>5</v>
      </c>
      <c r="FPA5">
        <v>5</v>
      </c>
      <c r="FPB5">
        <v>5</v>
      </c>
      <c r="FPC5">
        <v>5</v>
      </c>
      <c r="FPD5">
        <v>5</v>
      </c>
      <c r="FPE5">
        <v>5</v>
      </c>
      <c r="FPF5">
        <v>5</v>
      </c>
      <c r="FPG5">
        <v>5</v>
      </c>
      <c r="FPH5">
        <v>5</v>
      </c>
      <c r="FPI5">
        <v>5</v>
      </c>
      <c r="FPJ5">
        <v>5</v>
      </c>
      <c r="FPK5">
        <v>5</v>
      </c>
      <c r="FPL5">
        <v>5</v>
      </c>
      <c r="FPM5">
        <v>5</v>
      </c>
      <c r="FPN5">
        <v>5</v>
      </c>
      <c r="FPO5">
        <v>5</v>
      </c>
      <c r="FPP5">
        <v>5</v>
      </c>
      <c r="FPQ5">
        <v>5</v>
      </c>
      <c r="FPR5">
        <v>5</v>
      </c>
      <c r="FPS5">
        <v>5</v>
      </c>
      <c r="FPT5">
        <v>5</v>
      </c>
      <c r="FPU5">
        <v>5</v>
      </c>
      <c r="FPV5">
        <v>5</v>
      </c>
      <c r="FPW5">
        <v>5</v>
      </c>
      <c r="FPX5">
        <v>5</v>
      </c>
      <c r="FPY5">
        <v>5</v>
      </c>
      <c r="FPZ5">
        <v>5</v>
      </c>
      <c r="FQA5">
        <v>5</v>
      </c>
      <c r="FQB5">
        <v>5</v>
      </c>
      <c r="FQC5">
        <v>5</v>
      </c>
      <c r="FQD5">
        <v>5</v>
      </c>
      <c r="FQE5">
        <v>5</v>
      </c>
      <c r="FQF5">
        <v>5</v>
      </c>
      <c r="FQG5">
        <v>5</v>
      </c>
      <c r="FQH5">
        <v>5</v>
      </c>
      <c r="FQI5">
        <v>5</v>
      </c>
      <c r="FQJ5">
        <v>5</v>
      </c>
      <c r="FQK5">
        <v>5</v>
      </c>
      <c r="FQL5">
        <v>5</v>
      </c>
      <c r="FQM5">
        <v>5</v>
      </c>
      <c r="FQN5">
        <v>5</v>
      </c>
      <c r="FQO5">
        <v>5</v>
      </c>
      <c r="FQP5">
        <v>5</v>
      </c>
      <c r="FQQ5">
        <v>5</v>
      </c>
      <c r="FQR5">
        <v>5</v>
      </c>
      <c r="FQS5">
        <v>5</v>
      </c>
      <c r="FQT5">
        <v>5</v>
      </c>
      <c r="FQU5">
        <v>5</v>
      </c>
      <c r="FQV5">
        <v>5</v>
      </c>
      <c r="FQW5">
        <v>5</v>
      </c>
      <c r="FQX5">
        <v>5</v>
      </c>
      <c r="FQY5">
        <v>5</v>
      </c>
      <c r="FQZ5">
        <v>5</v>
      </c>
      <c r="FRA5">
        <v>5</v>
      </c>
      <c r="FRB5">
        <v>5</v>
      </c>
      <c r="FRC5">
        <v>5</v>
      </c>
      <c r="FRD5">
        <v>5</v>
      </c>
      <c r="FRE5">
        <v>5</v>
      </c>
      <c r="FRF5">
        <v>5</v>
      </c>
      <c r="FRG5">
        <v>5</v>
      </c>
      <c r="FRH5">
        <v>5</v>
      </c>
      <c r="FRI5">
        <v>5</v>
      </c>
      <c r="FRJ5">
        <v>5</v>
      </c>
      <c r="FRK5">
        <v>5</v>
      </c>
      <c r="FRL5">
        <v>5</v>
      </c>
      <c r="FRM5">
        <v>5</v>
      </c>
      <c r="FRN5">
        <v>5</v>
      </c>
      <c r="FRO5">
        <v>5</v>
      </c>
      <c r="FRP5">
        <v>5</v>
      </c>
      <c r="FRQ5">
        <v>5</v>
      </c>
      <c r="FRR5">
        <v>5</v>
      </c>
      <c r="FRS5">
        <v>5</v>
      </c>
      <c r="FRT5">
        <v>5</v>
      </c>
      <c r="FRU5">
        <v>5</v>
      </c>
      <c r="FRV5">
        <v>5</v>
      </c>
      <c r="FRW5">
        <v>5</v>
      </c>
      <c r="FRX5">
        <v>5</v>
      </c>
      <c r="FRY5">
        <v>5</v>
      </c>
      <c r="FRZ5">
        <v>5</v>
      </c>
      <c r="FSA5">
        <v>5</v>
      </c>
      <c r="FSB5">
        <v>5</v>
      </c>
      <c r="FSC5">
        <v>5</v>
      </c>
      <c r="FSD5">
        <v>5</v>
      </c>
      <c r="FSE5">
        <v>5</v>
      </c>
      <c r="FSF5">
        <v>5</v>
      </c>
      <c r="FSG5">
        <v>5</v>
      </c>
      <c r="FSH5">
        <v>5</v>
      </c>
      <c r="FSI5">
        <v>5</v>
      </c>
      <c r="FSJ5">
        <v>5</v>
      </c>
      <c r="FSK5">
        <v>5</v>
      </c>
      <c r="FSL5">
        <v>5</v>
      </c>
      <c r="FSM5">
        <v>5</v>
      </c>
      <c r="FSN5">
        <v>5</v>
      </c>
      <c r="FSO5">
        <v>5</v>
      </c>
      <c r="FSP5">
        <v>5</v>
      </c>
      <c r="FSQ5">
        <v>5</v>
      </c>
      <c r="FSR5">
        <v>5</v>
      </c>
      <c r="FSS5">
        <v>5</v>
      </c>
      <c r="FST5">
        <v>5</v>
      </c>
      <c r="FSU5">
        <v>5</v>
      </c>
      <c r="FSV5">
        <v>5</v>
      </c>
      <c r="FSW5">
        <v>5</v>
      </c>
      <c r="FSX5">
        <v>5</v>
      </c>
      <c r="FSY5">
        <v>5</v>
      </c>
      <c r="FSZ5">
        <v>5</v>
      </c>
      <c r="FTA5">
        <v>5</v>
      </c>
      <c r="FTB5">
        <v>5</v>
      </c>
      <c r="FTC5">
        <v>5</v>
      </c>
      <c r="FTD5">
        <v>5</v>
      </c>
      <c r="FTE5">
        <v>5</v>
      </c>
      <c r="FTF5">
        <v>5</v>
      </c>
      <c r="FTG5">
        <v>5</v>
      </c>
      <c r="FTH5">
        <v>5</v>
      </c>
      <c r="HKB5">
        <v>6</v>
      </c>
      <c r="HKC5">
        <v>6</v>
      </c>
      <c r="HKD5">
        <v>6</v>
      </c>
      <c r="HKE5">
        <v>6</v>
      </c>
      <c r="HKF5">
        <v>6</v>
      </c>
      <c r="HKG5">
        <v>6</v>
      </c>
      <c r="HKH5">
        <v>6</v>
      </c>
      <c r="HKI5">
        <v>6</v>
      </c>
      <c r="HKJ5">
        <v>6</v>
      </c>
      <c r="HKK5">
        <v>6</v>
      </c>
      <c r="HKL5">
        <v>6</v>
      </c>
      <c r="HKM5">
        <v>6</v>
      </c>
      <c r="HKN5">
        <v>6</v>
      </c>
      <c r="HKO5">
        <v>6</v>
      </c>
      <c r="HKP5">
        <v>6</v>
      </c>
      <c r="HKQ5">
        <v>6</v>
      </c>
      <c r="HKR5">
        <v>6</v>
      </c>
      <c r="HKS5">
        <v>6</v>
      </c>
      <c r="HKT5">
        <v>6</v>
      </c>
      <c r="HKU5">
        <v>6</v>
      </c>
      <c r="HKV5">
        <v>6</v>
      </c>
      <c r="HKW5">
        <v>6</v>
      </c>
      <c r="HKX5">
        <v>6</v>
      </c>
      <c r="HKY5">
        <v>6</v>
      </c>
      <c r="HKZ5">
        <v>6</v>
      </c>
      <c r="HLA5">
        <v>6</v>
      </c>
      <c r="HLB5">
        <v>6</v>
      </c>
      <c r="HLC5">
        <v>6</v>
      </c>
      <c r="HLD5">
        <v>6</v>
      </c>
      <c r="HLE5">
        <v>6</v>
      </c>
      <c r="HLF5">
        <v>6</v>
      </c>
      <c r="HLG5">
        <v>6</v>
      </c>
      <c r="HLH5">
        <v>6</v>
      </c>
      <c r="HLI5">
        <v>6</v>
      </c>
      <c r="HLJ5">
        <v>6</v>
      </c>
      <c r="HLK5">
        <v>6</v>
      </c>
      <c r="HLL5">
        <v>6</v>
      </c>
      <c r="HLM5">
        <v>6</v>
      </c>
      <c r="HLN5">
        <v>6</v>
      </c>
      <c r="HLO5">
        <v>6</v>
      </c>
      <c r="HLP5">
        <v>6</v>
      </c>
      <c r="HLQ5">
        <v>6</v>
      </c>
      <c r="HLR5">
        <v>6</v>
      </c>
      <c r="HLS5">
        <v>6</v>
      </c>
      <c r="HLT5">
        <v>6</v>
      </c>
      <c r="HLU5">
        <v>6</v>
      </c>
      <c r="HLV5">
        <v>6</v>
      </c>
      <c r="HLW5">
        <v>6</v>
      </c>
      <c r="HLX5">
        <v>6</v>
      </c>
      <c r="HLY5">
        <v>6</v>
      </c>
      <c r="HLZ5">
        <v>6</v>
      </c>
      <c r="HMA5">
        <v>6</v>
      </c>
      <c r="HMB5">
        <v>6</v>
      </c>
      <c r="HMC5">
        <v>6</v>
      </c>
      <c r="HMD5">
        <v>6</v>
      </c>
      <c r="HME5">
        <v>6</v>
      </c>
      <c r="HMF5">
        <v>6</v>
      </c>
      <c r="HMG5">
        <v>6</v>
      </c>
      <c r="HMH5">
        <v>6</v>
      </c>
      <c r="HMI5">
        <v>6</v>
      </c>
      <c r="HMJ5">
        <v>6</v>
      </c>
      <c r="HMK5">
        <v>6</v>
      </c>
      <c r="HML5">
        <v>6</v>
      </c>
      <c r="HMM5">
        <v>6</v>
      </c>
      <c r="HMN5">
        <v>6</v>
      </c>
      <c r="HMO5">
        <v>6</v>
      </c>
      <c r="HMP5">
        <v>6</v>
      </c>
      <c r="HMQ5">
        <v>6</v>
      </c>
      <c r="HMR5">
        <v>6</v>
      </c>
      <c r="HMS5">
        <v>6</v>
      </c>
      <c r="HMT5">
        <v>6</v>
      </c>
      <c r="HMU5">
        <v>6</v>
      </c>
      <c r="HMV5">
        <v>6</v>
      </c>
      <c r="HMW5">
        <v>6</v>
      </c>
      <c r="HMX5">
        <v>6</v>
      </c>
      <c r="HMY5">
        <v>6</v>
      </c>
      <c r="HMZ5">
        <v>6</v>
      </c>
      <c r="HNA5">
        <v>6</v>
      </c>
      <c r="HNB5">
        <v>6</v>
      </c>
      <c r="HNC5">
        <v>6</v>
      </c>
      <c r="HND5">
        <v>6</v>
      </c>
      <c r="HNE5">
        <v>6</v>
      </c>
      <c r="HNF5">
        <v>6</v>
      </c>
      <c r="HNG5">
        <v>6</v>
      </c>
      <c r="HNH5">
        <v>6</v>
      </c>
      <c r="HNI5">
        <v>6</v>
      </c>
      <c r="HNJ5">
        <v>6</v>
      </c>
      <c r="HNK5">
        <v>6</v>
      </c>
      <c r="HNL5">
        <v>6</v>
      </c>
      <c r="HNM5">
        <v>6</v>
      </c>
      <c r="HNN5">
        <v>6</v>
      </c>
      <c r="HNO5">
        <v>6</v>
      </c>
      <c r="HNP5">
        <v>6</v>
      </c>
      <c r="HNQ5">
        <v>6</v>
      </c>
      <c r="HNR5">
        <v>6</v>
      </c>
      <c r="HNS5">
        <v>6</v>
      </c>
      <c r="HNT5">
        <v>6</v>
      </c>
      <c r="HNU5">
        <v>6</v>
      </c>
      <c r="HNV5">
        <v>6</v>
      </c>
      <c r="HNW5">
        <v>6</v>
      </c>
      <c r="HNX5">
        <v>6</v>
      </c>
      <c r="HNY5">
        <v>6</v>
      </c>
      <c r="HNZ5">
        <v>6</v>
      </c>
      <c r="HOA5">
        <v>6</v>
      </c>
      <c r="HOB5">
        <v>6</v>
      </c>
      <c r="HOC5">
        <v>6</v>
      </c>
      <c r="HOD5">
        <v>6</v>
      </c>
      <c r="HOE5">
        <v>6</v>
      </c>
      <c r="HOF5">
        <v>6</v>
      </c>
      <c r="HOG5">
        <v>6</v>
      </c>
      <c r="HOH5">
        <v>6</v>
      </c>
      <c r="HOI5">
        <v>6</v>
      </c>
      <c r="HOJ5">
        <v>6</v>
      </c>
      <c r="HOK5">
        <v>6</v>
      </c>
      <c r="HOL5">
        <v>6</v>
      </c>
      <c r="HOM5">
        <v>6</v>
      </c>
      <c r="HON5">
        <v>6</v>
      </c>
      <c r="HOO5">
        <v>6</v>
      </c>
      <c r="HOP5">
        <v>6</v>
      </c>
      <c r="HOQ5">
        <v>6</v>
      </c>
      <c r="HOR5">
        <v>6</v>
      </c>
      <c r="HOS5">
        <v>6</v>
      </c>
      <c r="HOT5">
        <v>6</v>
      </c>
      <c r="HOU5">
        <v>6</v>
      </c>
      <c r="HOV5">
        <v>6</v>
      </c>
      <c r="HOW5">
        <v>6</v>
      </c>
      <c r="HOX5">
        <v>6</v>
      </c>
      <c r="HOY5">
        <v>6</v>
      </c>
      <c r="HOZ5">
        <v>6</v>
      </c>
      <c r="HPA5">
        <v>6</v>
      </c>
      <c r="HPB5">
        <v>6</v>
      </c>
      <c r="HPC5">
        <v>6</v>
      </c>
      <c r="HPD5">
        <v>6</v>
      </c>
      <c r="HPE5">
        <v>6</v>
      </c>
      <c r="HPF5">
        <v>6</v>
      </c>
      <c r="HPG5">
        <v>6</v>
      </c>
      <c r="HPH5">
        <v>6</v>
      </c>
      <c r="HPI5">
        <v>6</v>
      </c>
      <c r="HPJ5">
        <v>6</v>
      </c>
      <c r="HPK5">
        <v>6</v>
      </c>
      <c r="HPL5">
        <v>6</v>
      </c>
      <c r="HPM5">
        <v>6</v>
      </c>
      <c r="HPN5">
        <v>6</v>
      </c>
      <c r="HPO5">
        <v>6</v>
      </c>
      <c r="HPP5">
        <v>6</v>
      </c>
      <c r="HPQ5">
        <v>6</v>
      </c>
      <c r="HPR5">
        <v>6</v>
      </c>
      <c r="HPS5">
        <v>6</v>
      </c>
      <c r="HPT5">
        <v>6</v>
      </c>
      <c r="HPU5">
        <v>6</v>
      </c>
      <c r="HPV5">
        <v>6</v>
      </c>
      <c r="HPW5">
        <v>6</v>
      </c>
      <c r="HPX5">
        <v>6</v>
      </c>
      <c r="HPY5">
        <v>6</v>
      </c>
      <c r="HPZ5">
        <v>6</v>
      </c>
      <c r="HQA5">
        <v>6</v>
      </c>
      <c r="HQB5">
        <v>6</v>
      </c>
      <c r="HQC5">
        <v>6</v>
      </c>
      <c r="HQD5">
        <v>6</v>
      </c>
      <c r="HQE5">
        <v>6</v>
      </c>
      <c r="HQF5">
        <v>6</v>
      </c>
      <c r="INU5">
        <v>7</v>
      </c>
      <c r="INV5">
        <v>7</v>
      </c>
      <c r="INW5">
        <v>7</v>
      </c>
      <c r="INX5">
        <v>7</v>
      </c>
      <c r="INY5">
        <v>7</v>
      </c>
      <c r="INZ5">
        <v>7</v>
      </c>
      <c r="IOA5">
        <v>7</v>
      </c>
      <c r="IOB5">
        <v>7</v>
      </c>
      <c r="IOC5">
        <v>7</v>
      </c>
      <c r="IOD5">
        <v>7</v>
      </c>
      <c r="IOE5">
        <v>7</v>
      </c>
      <c r="IOF5">
        <v>7</v>
      </c>
      <c r="IOG5">
        <v>7</v>
      </c>
      <c r="IOH5">
        <v>7</v>
      </c>
      <c r="IOI5">
        <v>7</v>
      </c>
      <c r="IOJ5">
        <v>7</v>
      </c>
      <c r="IOK5">
        <v>7</v>
      </c>
      <c r="IOL5">
        <v>7</v>
      </c>
      <c r="IOM5">
        <v>7</v>
      </c>
      <c r="ION5">
        <v>7</v>
      </c>
      <c r="IOO5">
        <v>7</v>
      </c>
      <c r="IOP5">
        <v>7</v>
      </c>
      <c r="IOQ5">
        <v>7</v>
      </c>
      <c r="IOR5">
        <v>7</v>
      </c>
      <c r="IOS5">
        <v>7</v>
      </c>
      <c r="IOT5">
        <v>7</v>
      </c>
      <c r="IOU5">
        <v>7</v>
      </c>
      <c r="IOV5">
        <v>7</v>
      </c>
      <c r="IOW5">
        <v>7</v>
      </c>
      <c r="IOX5">
        <v>7</v>
      </c>
      <c r="IOY5">
        <v>7</v>
      </c>
      <c r="IOZ5">
        <v>7</v>
      </c>
      <c r="IPA5">
        <v>7</v>
      </c>
      <c r="IPB5">
        <v>7</v>
      </c>
      <c r="IPC5">
        <v>7</v>
      </c>
      <c r="IPD5">
        <v>7</v>
      </c>
      <c r="IPE5">
        <v>7</v>
      </c>
      <c r="IPF5">
        <v>7</v>
      </c>
      <c r="IPG5">
        <v>7</v>
      </c>
      <c r="IPH5">
        <v>7</v>
      </c>
      <c r="IPI5">
        <v>7</v>
      </c>
      <c r="IPJ5">
        <v>7</v>
      </c>
      <c r="IPK5">
        <v>7</v>
      </c>
      <c r="IPL5">
        <v>7</v>
      </c>
      <c r="IPM5">
        <v>7</v>
      </c>
      <c r="IPN5">
        <v>7</v>
      </c>
      <c r="IPO5">
        <v>7</v>
      </c>
      <c r="IPP5">
        <v>7</v>
      </c>
      <c r="IPQ5">
        <v>7</v>
      </c>
      <c r="IPR5">
        <v>7</v>
      </c>
      <c r="IPS5">
        <v>7</v>
      </c>
      <c r="IPT5">
        <v>7</v>
      </c>
      <c r="IPU5">
        <v>7</v>
      </c>
      <c r="IPV5">
        <v>7</v>
      </c>
      <c r="IPW5">
        <v>7</v>
      </c>
      <c r="IPX5">
        <v>7</v>
      </c>
      <c r="IPY5">
        <v>7</v>
      </c>
      <c r="IPZ5">
        <v>7</v>
      </c>
      <c r="IQA5">
        <v>7</v>
      </c>
      <c r="IQB5">
        <v>7</v>
      </c>
      <c r="IQC5">
        <v>7</v>
      </c>
      <c r="IQD5">
        <v>7</v>
      </c>
      <c r="IQE5">
        <v>7</v>
      </c>
      <c r="IQF5">
        <v>7</v>
      </c>
      <c r="IQG5">
        <v>7</v>
      </c>
      <c r="IQH5">
        <v>7</v>
      </c>
      <c r="IQI5">
        <v>7</v>
      </c>
      <c r="IQJ5">
        <v>7</v>
      </c>
      <c r="IQK5">
        <v>7</v>
      </c>
      <c r="IQL5">
        <v>7</v>
      </c>
      <c r="IQM5">
        <v>7</v>
      </c>
      <c r="IQN5">
        <v>7</v>
      </c>
      <c r="IQO5">
        <v>7</v>
      </c>
      <c r="IQP5">
        <v>7</v>
      </c>
      <c r="IQQ5">
        <v>7</v>
      </c>
      <c r="IQR5">
        <v>7</v>
      </c>
      <c r="IQS5">
        <v>7</v>
      </c>
      <c r="IQT5">
        <v>7</v>
      </c>
      <c r="IQU5">
        <v>7</v>
      </c>
      <c r="IQV5">
        <v>7</v>
      </c>
      <c r="IQW5">
        <v>7</v>
      </c>
      <c r="IQX5">
        <v>7</v>
      </c>
      <c r="IQY5">
        <v>7</v>
      </c>
      <c r="IQZ5">
        <v>7</v>
      </c>
      <c r="IRA5">
        <v>7</v>
      </c>
      <c r="IRB5">
        <v>7</v>
      </c>
      <c r="IRC5">
        <v>7</v>
      </c>
      <c r="IRD5">
        <v>7</v>
      </c>
      <c r="IRE5">
        <v>7</v>
      </c>
      <c r="IRF5">
        <v>7</v>
      </c>
      <c r="IRG5">
        <v>7</v>
      </c>
      <c r="IRH5">
        <v>7</v>
      </c>
      <c r="IRI5">
        <v>7</v>
      </c>
      <c r="IRJ5">
        <v>7</v>
      </c>
      <c r="IRK5">
        <v>7</v>
      </c>
      <c r="IRL5">
        <v>7</v>
      </c>
      <c r="IRM5">
        <v>7</v>
      </c>
      <c r="IRN5">
        <v>7</v>
      </c>
      <c r="IRO5">
        <v>7</v>
      </c>
      <c r="IRP5">
        <v>7</v>
      </c>
      <c r="IRQ5">
        <v>7</v>
      </c>
      <c r="IRR5">
        <v>7</v>
      </c>
      <c r="IRS5">
        <v>7</v>
      </c>
      <c r="IRT5">
        <v>7</v>
      </c>
      <c r="IRU5">
        <v>7</v>
      </c>
      <c r="IRV5">
        <v>7</v>
      </c>
      <c r="IRW5">
        <v>7</v>
      </c>
      <c r="IRX5">
        <v>7</v>
      </c>
      <c r="IRY5">
        <v>7</v>
      </c>
      <c r="IRZ5">
        <v>7</v>
      </c>
      <c r="ISA5">
        <v>7</v>
      </c>
      <c r="ISB5">
        <v>7</v>
      </c>
      <c r="ISC5">
        <v>7</v>
      </c>
      <c r="ISD5">
        <v>7</v>
      </c>
      <c r="ISE5">
        <v>7</v>
      </c>
      <c r="ISF5">
        <v>7</v>
      </c>
      <c r="ISG5">
        <v>7</v>
      </c>
      <c r="ISH5">
        <v>7</v>
      </c>
      <c r="ISI5">
        <v>7</v>
      </c>
      <c r="ISJ5">
        <v>7</v>
      </c>
      <c r="ISK5">
        <v>7</v>
      </c>
      <c r="ISL5">
        <v>7</v>
      </c>
      <c r="ISM5">
        <v>7</v>
      </c>
      <c r="ISN5">
        <v>7</v>
      </c>
      <c r="ISO5">
        <v>7</v>
      </c>
      <c r="ISP5">
        <v>7</v>
      </c>
      <c r="ISQ5">
        <v>7</v>
      </c>
      <c r="ISR5">
        <v>7</v>
      </c>
      <c r="ISS5">
        <v>7</v>
      </c>
      <c r="IST5">
        <v>7</v>
      </c>
      <c r="ISU5">
        <v>7</v>
      </c>
      <c r="ISV5">
        <v>7</v>
      </c>
      <c r="ISW5">
        <v>7</v>
      </c>
      <c r="ISX5">
        <v>7</v>
      </c>
      <c r="ISY5">
        <v>7</v>
      </c>
      <c r="ISZ5">
        <v>7</v>
      </c>
      <c r="ITA5">
        <v>7</v>
      </c>
      <c r="ITB5">
        <v>7</v>
      </c>
      <c r="ITC5">
        <v>7</v>
      </c>
      <c r="ITD5">
        <v>7</v>
      </c>
      <c r="ITE5">
        <v>7</v>
      </c>
      <c r="ITF5">
        <v>7</v>
      </c>
      <c r="ITG5">
        <v>7</v>
      </c>
      <c r="ITH5">
        <v>7</v>
      </c>
      <c r="ITI5">
        <v>7</v>
      </c>
      <c r="ITJ5">
        <v>7</v>
      </c>
      <c r="ITK5">
        <v>7</v>
      </c>
      <c r="ITL5">
        <v>7</v>
      </c>
      <c r="ITM5">
        <v>7</v>
      </c>
      <c r="ITN5">
        <v>7</v>
      </c>
      <c r="ITO5">
        <v>7</v>
      </c>
      <c r="ITP5">
        <v>7</v>
      </c>
      <c r="ITQ5">
        <v>7</v>
      </c>
      <c r="ITR5">
        <v>7</v>
      </c>
      <c r="ITS5">
        <v>7</v>
      </c>
      <c r="ITT5">
        <v>7</v>
      </c>
      <c r="ITU5">
        <v>7</v>
      </c>
      <c r="ITV5">
        <v>7</v>
      </c>
      <c r="ITW5">
        <v>7</v>
      </c>
      <c r="ITX5">
        <v>7</v>
      </c>
      <c r="ITY5">
        <v>7</v>
      </c>
      <c r="ITZ5">
        <v>7</v>
      </c>
      <c r="IUA5">
        <v>7</v>
      </c>
      <c r="IUB5">
        <v>7</v>
      </c>
      <c r="IUC5">
        <v>7</v>
      </c>
      <c r="IUD5">
        <v>7</v>
      </c>
      <c r="IUE5">
        <v>7</v>
      </c>
      <c r="IUF5">
        <v>7</v>
      </c>
      <c r="IUG5">
        <v>7</v>
      </c>
      <c r="IUH5">
        <v>7</v>
      </c>
      <c r="IUI5">
        <v>7</v>
      </c>
      <c r="IUJ5">
        <v>7</v>
      </c>
      <c r="IUK5">
        <v>7</v>
      </c>
      <c r="IUL5">
        <v>7</v>
      </c>
      <c r="IUM5">
        <v>7</v>
      </c>
      <c r="IUN5">
        <v>7</v>
      </c>
      <c r="IUO5">
        <v>7</v>
      </c>
      <c r="IUP5">
        <v>7</v>
      </c>
      <c r="IUQ5">
        <v>7</v>
      </c>
      <c r="IUR5">
        <v>7</v>
      </c>
      <c r="IUS5">
        <v>7</v>
      </c>
      <c r="IUT5">
        <v>7</v>
      </c>
      <c r="IUU5">
        <v>7</v>
      </c>
      <c r="IUV5">
        <v>7</v>
      </c>
      <c r="IUW5">
        <v>7</v>
      </c>
      <c r="IUX5">
        <v>7</v>
      </c>
      <c r="IUY5">
        <v>7</v>
      </c>
      <c r="IUZ5">
        <v>7</v>
      </c>
      <c r="IVA5">
        <v>7</v>
      </c>
      <c r="IVB5">
        <v>7</v>
      </c>
      <c r="IVC5">
        <v>7</v>
      </c>
      <c r="IVD5">
        <v>7</v>
      </c>
      <c r="IVE5">
        <v>7</v>
      </c>
      <c r="IVF5">
        <v>7</v>
      </c>
      <c r="IVG5">
        <v>7</v>
      </c>
      <c r="IVH5">
        <v>7</v>
      </c>
      <c r="IVI5">
        <v>7</v>
      </c>
      <c r="IVJ5">
        <v>7</v>
      </c>
      <c r="IVK5">
        <v>7</v>
      </c>
      <c r="IVL5">
        <v>7</v>
      </c>
      <c r="IVM5">
        <v>7</v>
      </c>
      <c r="IVN5">
        <v>7</v>
      </c>
      <c r="IVO5">
        <v>7</v>
      </c>
      <c r="IVP5">
        <v>7</v>
      </c>
      <c r="IVQ5">
        <v>7</v>
      </c>
      <c r="IVR5">
        <v>7</v>
      </c>
      <c r="IVS5">
        <v>7</v>
      </c>
      <c r="IVT5">
        <v>7</v>
      </c>
      <c r="IVU5">
        <v>7</v>
      </c>
      <c r="IVV5">
        <v>7</v>
      </c>
      <c r="IVW5">
        <v>7</v>
      </c>
      <c r="IVX5">
        <v>7</v>
      </c>
      <c r="IVY5">
        <v>7</v>
      </c>
      <c r="IVZ5">
        <v>7</v>
      </c>
      <c r="IWA5">
        <v>7</v>
      </c>
      <c r="IWB5">
        <v>7</v>
      </c>
      <c r="IWC5">
        <v>7</v>
      </c>
      <c r="IWD5">
        <v>7</v>
      </c>
      <c r="IWE5">
        <v>7</v>
      </c>
      <c r="IWF5">
        <v>7</v>
      </c>
      <c r="IWG5">
        <v>7</v>
      </c>
      <c r="IWH5">
        <v>7</v>
      </c>
      <c r="IWI5">
        <v>7</v>
      </c>
      <c r="IWJ5">
        <v>7</v>
      </c>
      <c r="IWK5">
        <v>7</v>
      </c>
      <c r="IWL5">
        <v>7</v>
      </c>
      <c r="IWM5">
        <v>7</v>
      </c>
      <c r="IWN5">
        <v>7</v>
      </c>
      <c r="IWO5">
        <v>7</v>
      </c>
      <c r="IWP5">
        <v>7</v>
      </c>
      <c r="IWQ5">
        <v>7</v>
      </c>
      <c r="IWR5">
        <v>7</v>
      </c>
      <c r="IWS5">
        <v>7</v>
      </c>
      <c r="IWT5">
        <v>7</v>
      </c>
      <c r="IWU5">
        <v>7</v>
      </c>
      <c r="IWV5">
        <v>7</v>
      </c>
      <c r="IWW5">
        <v>7</v>
      </c>
      <c r="IWX5">
        <v>7</v>
      </c>
      <c r="IWY5">
        <v>7</v>
      </c>
      <c r="IWZ5">
        <v>7</v>
      </c>
      <c r="IXA5">
        <v>7</v>
      </c>
      <c r="IXB5">
        <v>7</v>
      </c>
      <c r="IXC5">
        <v>7</v>
      </c>
      <c r="IXD5">
        <v>7</v>
      </c>
      <c r="IXE5">
        <v>7</v>
      </c>
      <c r="IXF5">
        <v>7</v>
      </c>
      <c r="IXG5">
        <v>7</v>
      </c>
      <c r="IXH5">
        <v>7</v>
      </c>
      <c r="IXI5">
        <v>7</v>
      </c>
      <c r="IXJ5">
        <v>7</v>
      </c>
      <c r="IXK5">
        <v>7</v>
      </c>
      <c r="IXL5">
        <v>7</v>
      </c>
      <c r="IXM5">
        <v>7</v>
      </c>
      <c r="IXN5">
        <v>7</v>
      </c>
      <c r="IXO5">
        <v>7</v>
      </c>
      <c r="IXP5">
        <v>7</v>
      </c>
      <c r="IXQ5">
        <v>7</v>
      </c>
      <c r="IXR5">
        <v>7</v>
      </c>
      <c r="IXS5">
        <v>7</v>
      </c>
      <c r="IXT5">
        <v>7</v>
      </c>
      <c r="IXU5">
        <v>7</v>
      </c>
      <c r="IXV5">
        <v>7</v>
      </c>
      <c r="IXW5">
        <v>7</v>
      </c>
      <c r="IXX5">
        <v>7</v>
      </c>
      <c r="IXY5">
        <v>7</v>
      </c>
      <c r="IXZ5">
        <v>7</v>
      </c>
      <c r="IYA5">
        <v>7</v>
      </c>
      <c r="IYB5">
        <v>7</v>
      </c>
      <c r="IYC5">
        <v>7</v>
      </c>
      <c r="IYD5">
        <v>7</v>
      </c>
      <c r="IYE5">
        <v>7</v>
      </c>
      <c r="IYF5">
        <v>7</v>
      </c>
      <c r="IYG5">
        <v>7</v>
      </c>
      <c r="IYH5">
        <v>7</v>
      </c>
      <c r="IYI5">
        <v>7</v>
      </c>
      <c r="IYJ5">
        <v>7</v>
      </c>
      <c r="IYK5">
        <v>7</v>
      </c>
      <c r="IYL5">
        <v>7</v>
      </c>
      <c r="IYM5">
        <v>7</v>
      </c>
      <c r="IYN5">
        <v>7</v>
      </c>
      <c r="IYO5">
        <v>7</v>
      </c>
      <c r="IYP5">
        <v>7</v>
      </c>
      <c r="IYQ5">
        <v>7</v>
      </c>
      <c r="IYR5">
        <v>7</v>
      </c>
      <c r="IYS5">
        <v>7</v>
      </c>
      <c r="IYT5">
        <v>7</v>
      </c>
      <c r="IYU5">
        <v>7</v>
      </c>
      <c r="IYV5">
        <v>7</v>
      </c>
      <c r="IYW5">
        <v>7</v>
      </c>
      <c r="IYX5">
        <v>7</v>
      </c>
      <c r="IYY5">
        <v>7</v>
      </c>
      <c r="IYZ5">
        <v>7</v>
      </c>
      <c r="IZA5">
        <v>7</v>
      </c>
      <c r="IZB5">
        <v>7</v>
      </c>
      <c r="IZC5">
        <v>7</v>
      </c>
      <c r="IZD5">
        <v>7</v>
      </c>
      <c r="IZE5">
        <v>7</v>
      </c>
      <c r="IZF5">
        <v>7</v>
      </c>
      <c r="IZG5">
        <v>7</v>
      </c>
      <c r="IZH5">
        <v>7</v>
      </c>
      <c r="IZI5">
        <v>7</v>
      </c>
      <c r="IZJ5">
        <v>7</v>
      </c>
      <c r="IZK5">
        <v>7</v>
      </c>
      <c r="IZL5">
        <v>7</v>
      </c>
      <c r="IZM5">
        <v>7</v>
      </c>
      <c r="IZN5">
        <v>7</v>
      </c>
      <c r="IZO5">
        <v>7</v>
      </c>
      <c r="IZP5">
        <v>7</v>
      </c>
      <c r="IZQ5">
        <v>7</v>
      </c>
      <c r="IZR5">
        <v>7</v>
      </c>
      <c r="IZS5">
        <v>7</v>
      </c>
      <c r="IZT5">
        <v>7</v>
      </c>
      <c r="IZU5">
        <v>7</v>
      </c>
      <c r="IZV5">
        <v>7</v>
      </c>
      <c r="IZW5">
        <v>7</v>
      </c>
      <c r="IZX5">
        <v>7</v>
      </c>
      <c r="IZY5">
        <v>7</v>
      </c>
      <c r="IZZ5">
        <v>7</v>
      </c>
      <c r="JAA5">
        <v>7</v>
      </c>
      <c r="JAB5">
        <v>7</v>
      </c>
      <c r="JAC5">
        <v>7</v>
      </c>
      <c r="JAD5">
        <v>7</v>
      </c>
      <c r="JAE5">
        <v>7</v>
      </c>
      <c r="JAF5">
        <v>7</v>
      </c>
      <c r="JAG5">
        <v>7</v>
      </c>
      <c r="JAH5">
        <v>7</v>
      </c>
      <c r="JAI5">
        <v>7</v>
      </c>
      <c r="JAJ5">
        <v>7</v>
      </c>
      <c r="JAK5">
        <v>7</v>
      </c>
      <c r="JAL5">
        <v>7</v>
      </c>
      <c r="JAM5">
        <v>7</v>
      </c>
      <c r="JAN5">
        <v>7</v>
      </c>
      <c r="JAO5">
        <v>7</v>
      </c>
      <c r="JAP5">
        <v>7</v>
      </c>
      <c r="JAQ5">
        <v>7</v>
      </c>
      <c r="JAR5">
        <v>7</v>
      </c>
      <c r="JAS5">
        <v>7</v>
      </c>
      <c r="JAT5">
        <v>7</v>
      </c>
      <c r="JAU5">
        <v>7</v>
      </c>
      <c r="JAV5">
        <v>7</v>
      </c>
      <c r="JAW5">
        <v>7</v>
      </c>
      <c r="JAX5">
        <v>7</v>
      </c>
      <c r="JAY5">
        <v>7</v>
      </c>
      <c r="JAZ5">
        <v>7</v>
      </c>
      <c r="JBA5">
        <v>7</v>
      </c>
      <c r="JBB5">
        <v>7</v>
      </c>
      <c r="JBC5">
        <v>7</v>
      </c>
      <c r="JBD5">
        <v>7</v>
      </c>
      <c r="JBE5">
        <v>7</v>
      </c>
      <c r="JBF5">
        <v>7</v>
      </c>
      <c r="JBG5">
        <v>7</v>
      </c>
      <c r="JBH5">
        <v>7</v>
      </c>
      <c r="JBI5">
        <v>7</v>
      </c>
      <c r="JBJ5">
        <v>7</v>
      </c>
      <c r="JBK5">
        <v>7</v>
      </c>
      <c r="JBL5">
        <v>7</v>
      </c>
      <c r="JBM5">
        <v>7</v>
      </c>
      <c r="JBN5">
        <v>7</v>
      </c>
      <c r="JBO5">
        <v>7</v>
      </c>
      <c r="JBP5">
        <v>7</v>
      </c>
      <c r="JBQ5">
        <v>7</v>
      </c>
      <c r="JBR5">
        <v>7</v>
      </c>
      <c r="JBS5">
        <v>7</v>
      </c>
      <c r="JBT5">
        <v>7</v>
      </c>
      <c r="JBU5">
        <v>7</v>
      </c>
      <c r="JBV5">
        <v>7</v>
      </c>
      <c r="JBW5">
        <v>7</v>
      </c>
      <c r="JBX5">
        <v>7</v>
      </c>
      <c r="JBY5">
        <v>7</v>
      </c>
      <c r="JBZ5">
        <v>7</v>
      </c>
      <c r="JCA5">
        <v>7</v>
      </c>
      <c r="JCB5">
        <v>7</v>
      </c>
      <c r="JCC5">
        <v>7</v>
      </c>
      <c r="JCD5">
        <v>7</v>
      </c>
      <c r="JCE5">
        <v>7</v>
      </c>
      <c r="JCF5">
        <v>7</v>
      </c>
      <c r="JCG5">
        <v>7</v>
      </c>
      <c r="JCH5">
        <v>7</v>
      </c>
      <c r="JCI5">
        <v>7</v>
      </c>
      <c r="JCJ5">
        <v>7</v>
      </c>
      <c r="JCK5">
        <v>7</v>
      </c>
      <c r="JCL5">
        <v>7</v>
      </c>
      <c r="JCM5">
        <v>7</v>
      </c>
      <c r="JCN5">
        <v>7</v>
      </c>
      <c r="JCO5">
        <v>7</v>
      </c>
      <c r="JCP5">
        <v>7</v>
      </c>
      <c r="JCQ5">
        <v>7</v>
      </c>
      <c r="JCR5">
        <v>7</v>
      </c>
      <c r="JCS5">
        <v>7</v>
      </c>
      <c r="JCT5">
        <v>7</v>
      </c>
      <c r="JCU5">
        <v>7</v>
      </c>
      <c r="JCV5">
        <v>7</v>
      </c>
      <c r="JCW5">
        <v>7</v>
      </c>
      <c r="JCX5">
        <v>7</v>
      </c>
      <c r="JCY5">
        <v>7</v>
      </c>
      <c r="JCZ5">
        <v>7</v>
      </c>
      <c r="JDA5">
        <v>7</v>
      </c>
      <c r="JDB5">
        <v>7</v>
      </c>
      <c r="JDC5">
        <v>7</v>
      </c>
      <c r="JDD5">
        <v>7</v>
      </c>
      <c r="JDE5">
        <v>7</v>
      </c>
      <c r="JDF5">
        <v>7</v>
      </c>
      <c r="JDG5">
        <v>7</v>
      </c>
      <c r="JDH5">
        <v>7</v>
      </c>
      <c r="JDI5">
        <v>7</v>
      </c>
      <c r="JDJ5">
        <v>7</v>
      </c>
      <c r="JDK5">
        <v>7</v>
      </c>
      <c r="JDL5">
        <v>7</v>
      </c>
      <c r="JDM5">
        <v>7</v>
      </c>
      <c r="JDN5">
        <v>7</v>
      </c>
      <c r="JDO5">
        <v>7</v>
      </c>
      <c r="JDP5">
        <v>7</v>
      </c>
      <c r="JDQ5">
        <v>7</v>
      </c>
      <c r="JDR5">
        <v>7</v>
      </c>
      <c r="JDS5">
        <v>7</v>
      </c>
      <c r="JDT5">
        <v>7</v>
      </c>
      <c r="JDU5">
        <v>7</v>
      </c>
      <c r="JDV5">
        <v>7</v>
      </c>
      <c r="JDW5">
        <v>7</v>
      </c>
      <c r="JDX5">
        <v>7</v>
      </c>
      <c r="JDY5">
        <v>7</v>
      </c>
      <c r="JDZ5">
        <v>7</v>
      </c>
      <c r="JEA5">
        <v>7</v>
      </c>
      <c r="JEB5">
        <v>7</v>
      </c>
      <c r="JEC5">
        <v>7</v>
      </c>
      <c r="KGU5" s="1">
        <f t="shared" si="0"/>
        <v>425</v>
      </c>
      <c r="KGV5">
        <f t="shared" si="1"/>
        <v>239</v>
      </c>
      <c r="KGW5">
        <f t="shared" si="2"/>
        <v>177</v>
      </c>
      <c r="KGX5">
        <f t="shared" si="3"/>
        <v>217</v>
      </c>
      <c r="KGY5">
        <f t="shared" si="4"/>
        <v>638</v>
      </c>
      <c r="KGZ5">
        <f t="shared" si="5"/>
        <v>161</v>
      </c>
      <c r="KHA5">
        <f t="shared" si="6"/>
        <v>425</v>
      </c>
      <c r="KHB5">
        <f t="shared" si="7"/>
        <v>0</v>
      </c>
      <c r="KHC5">
        <f t="shared" si="8"/>
        <v>0</v>
      </c>
      <c r="KHD5">
        <f t="shared" si="9"/>
        <v>0</v>
      </c>
      <c r="KHE5">
        <f t="shared" si="10"/>
        <v>0</v>
      </c>
      <c r="KHF5">
        <f t="shared" si="11"/>
        <v>0</v>
      </c>
      <c r="KHG5">
        <f t="shared" si="12"/>
        <v>0</v>
      </c>
      <c r="KHH5">
        <f t="shared" si="13"/>
        <v>0</v>
      </c>
      <c r="KHI5">
        <f t="shared" si="14"/>
        <v>0</v>
      </c>
      <c r="KHJ5">
        <f t="shared" si="15"/>
        <v>0</v>
      </c>
      <c r="KHK5">
        <f t="shared" si="16"/>
        <v>0</v>
      </c>
      <c r="KHL5">
        <f t="shared" si="17"/>
        <v>0</v>
      </c>
      <c r="KHM5">
        <f t="shared" si="18"/>
        <v>0</v>
      </c>
      <c r="KHN5">
        <f t="shared" si="19"/>
        <v>0</v>
      </c>
      <c r="KHO5">
        <f t="shared" si="20"/>
        <v>0</v>
      </c>
      <c r="KHP5">
        <f t="shared" si="21"/>
        <v>0</v>
      </c>
      <c r="KHQ5">
        <f t="shared" si="22"/>
        <v>0</v>
      </c>
      <c r="KHR5">
        <f t="shared" si="23"/>
        <v>0</v>
      </c>
      <c r="KHS5">
        <f t="shared" si="24"/>
        <v>0</v>
      </c>
      <c r="KHT5">
        <f t="shared" si="25"/>
        <v>0</v>
      </c>
      <c r="KHU5">
        <f t="shared" si="26"/>
        <v>0</v>
      </c>
      <c r="KHV5">
        <f t="shared" si="27"/>
        <v>0</v>
      </c>
      <c r="KHW5">
        <f t="shared" si="28"/>
        <v>0</v>
      </c>
      <c r="KHX5">
        <f t="shared" si="29"/>
        <v>0</v>
      </c>
      <c r="KHY5">
        <f t="shared" si="30"/>
        <v>0</v>
      </c>
      <c r="KHZ5">
        <f t="shared" si="31"/>
        <v>0</v>
      </c>
      <c r="KIA5">
        <f t="shared" si="32"/>
        <v>0</v>
      </c>
      <c r="KIB5">
        <f t="shared" si="33"/>
        <v>0</v>
      </c>
      <c r="KIC5">
        <f t="shared" si="34"/>
        <v>0</v>
      </c>
      <c r="KID5">
        <f t="shared" si="35"/>
        <v>0</v>
      </c>
      <c r="KIE5">
        <f t="shared" si="36"/>
        <v>0</v>
      </c>
      <c r="KIF5">
        <f t="shared" si="37"/>
        <v>0</v>
      </c>
      <c r="KIG5">
        <f t="shared" si="38"/>
        <v>0</v>
      </c>
      <c r="KIH5">
        <f t="shared" si="39"/>
        <v>0</v>
      </c>
      <c r="KII5">
        <f t="shared" si="40"/>
        <v>0</v>
      </c>
      <c r="KIJ5">
        <f t="shared" si="41"/>
        <v>0</v>
      </c>
      <c r="KIK5">
        <f t="shared" si="42"/>
        <v>0</v>
      </c>
      <c r="KIL5">
        <f t="shared" si="43"/>
        <v>0</v>
      </c>
      <c r="KIM5">
        <f t="shared" si="44"/>
        <v>0</v>
      </c>
      <c r="KIN5">
        <f t="shared" si="45"/>
        <v>0</v>
      </c>
      <c r="KIO5">
        <f t="shared" si="46"/>
        <v>0</v>
      </c>
      <c r="KIP5">
        <f t="shared" si="47"/>
        <v>0</v>
      </c>
      <c r="KIQ5">
        <f t="shared" si="48"/>
        <v>0</v>
      </c>
      <c r="KIR5">
        <f t="shared" si="49"/>
        <v>0</v>
      </c>
      <c r="KIS5">
        <f t="shared" si="50"/>
        <v>0</v>
      </c>
      <c r="KIT5">
        <f t="shared" si="51"/>
        <v>0</v>
      </c>
      <c r="KIU5">
        <f t="shared" si="52"/>
        <v>0</v>
      </c>
      <c r="KIV5">
        <f t="shared" si="53"/>
        <v>0</v>
      </c>
      <c r="KIW5">
        <f t="shared" si="54"/>
        <v>0</v>
      </c>
      <c r="KIX5">
        <f t="shared" si="55"/>
        <v>0</v>
      </c>
      <c r="KIY5">
        <f t="shared" si="56"/>
        <v>0</v>
      </c>
      <c r="KIZ5">
        <f t="shared" si="57"/>
        <v>0</v>
      </c>
      <c r="KJA5">
        <f t="shared" si="58"/>
        <v>0</v>
      </c>
      <c r="KJB5">
        <f t="shared" si="59"/>
        <v>0</v>
      </c>
      <c r="KJC5">
        <f t="shared" si="60"/>
        <v>0</v>
      </c>
      <c r="KJD5">
        <f t="shared" si="61"/>
        <v>0</v>
      </c>
      <c r="KJE5">
        <f t="shared" si="62"/>
        <v>0</v>
      </c>
      <c r="KJF5">
        <f t="shared" si="63"/>
        <v>0</v>
      </c>
      <c r="KJG5">
        <f t="shared" si="64"/>
        <v>0</v>
      </c>
      <c r="KJH5">
        <f t="shared" si="65"/>
        <v>0</v>
      </c>
      <c r="KJI5">
        <f t="shared" si="66"/>
        <v>0</v>
      </c>
      <c r="KJJ5">
        <f t="shared" si="67"/>
        <v>0</v>
      </c>
      <c r="KJK5">
        <f t="shared" si="68"/>
        <v>0</v>
      </c>
      <c r="KJL5">
        <f t="shared" si="69"/>
        <v>0</v>
      </c>
      <c r="KJM5">
        <f t="shared" si="70"/>
        <v>0</v>
      </c>
      <c r="KJN5">
        <f t="shared" si="71"/>
        <v>0</v>
      </c>
      <c r="KJO5">
        <f t="shared" si="72"/>
        <v>0</v>
      </c>
      <c r="KJP5">
        <f t="shared" si="73"/>
        <v>0</v>
      </c>
      <c r="KJQ5">
        <f t="shared" si="74"/>
        <v>0</v>
      </c>
      <c r="KJR5">
        <f t="shared" si="75"/>
        <v>0</v>
      </c>
      <c r="KJS5">
        <f t="shared" si="76"/>
        <v>0</v>
      </c>
      <c r="KJT5">
        <f t="shared" si="77"/>
        <v>0</v>
      </c>
      <c r="KJU5">
        <f t="shared" si="78"/>
        <v>0</v>
      </c>
      <c r="KJV5">
        <f t="shared" si="79"/>
        <v>0</v>
      </c>
      <c r="KJW5">
        <f t="shared" si="80"/>
        <v>0</v>
      </c>
      <c r="KJX5">
        <f t="shared" si="81"/>
        <v>0</v>
      </c>
      <c r="KJY5">
        <f t="shared" si="82"/>
        <v>0</v>
      </c>
      <c r="KJZ5">
        <f t="shared" si="83"/>
        <v>0</v>
      </c>
      <c r="KKA5">
        <f t="shared" si="84"/>
        <v>0</v>
      </c>
      <c r="KKB5">
        <f t="shared" si="85"/>
        <v>0</v>
      </c>
      <c r="KKC5">
        <f t="shared" si="86"/>
        <v>0</v>
      </c>
      <c r="KKD5">
        <f t="shared" si="87"/>
        <v>0</v>
      </c>
      <c r="KKE5">
        <f t="shared" si="88"/>
        <v>0</v>
      </c>
      <c r="KKF5">
        <f t="shared" si="89"/>
        <v>0</v>
      </c>
      <c r="KKG5">
        <f t="shared" si="90"/>
        <v>0</v>
      </c>
      <c r="KKH5">
        <f t="shared" si="91"/>
        <v>0</v>
      </c>
      <c r="KKI5">
        <f t="shared" si="92"/>
        <v>0</v>
      </c>
      <c r="KKJ5">
        <f t="shared" si="93"/>
        <v>0</v>
      </c>
      <c r="KKK5">
        <f t="shared" si="94"/>
        <v>0</v>
      </c>
      <c r="KKL5">
        <f t="shared" si="95"/>
        <v>0</v>
      </c>
      <c r="KKM5">
        <f t="shared" si="96"/>
        <v>0</v>
      </c>
      <c r="KKN5">
        <f t="shared" si="97"/>
        <v>0</v>
      </c>
      <c r="KKO5">
        <f t="shared" si="98"/>
        <v>0</v>
      </c>
      <c r="KKP5">
        <f t="shared" si="99"/>
        <v>0</v>
      </c>
      <c r="KKR5">
        <f t="shared" si="100"/>
        <v>2282</v>
      </c>
      <c r="KKS5">
        <f t="shared" si="100"/>
        <v>2282</v>
      </c>
      <c r="KKU5">
        <f t="shared" si="101"/>
        <v>91.28</v>
      </c>
      <c r="KKV5">
        <f t="shared" si="101"/>
        <v>91.28</v>
      </c>
    </row>
    <row r="6" spans="1:7745">
      <c r="A6" t="s">
        <v>44</v>
      </c>
      <c r="KGU6" s="1">
        <f t="shared" si="0"/>
        <v>0</v>
      </c>
      <c r="KGV6">
        <f t="shared" si="1"/>
        <v>0</v>
      </c>
      <c r="KGW6">
        <f t="shared" si="2"/>
        <v>0</v>
      </c>
      <c r="KGX6">
        <f t="shared" si="3"/>
        <v>0</v>
      </c>
      <c r="KGY6">
        <f t="shared" si="4"/>
        <v>0</v>
      </c>
      <c r="KGZ6">
        <f t="shared" si="5"/>
        <v>0</v>
      </c>
      <c r="KHA6">
        <f t="shared" si="6"/>
        <v>0</v>
      </c>
      <c r="KHB6">
        <f t="shared" si="7"/>
        <v>0</v>
      </c>
      <c r="KHC6">
        <f t="shared" si="8"/>
        <v>0</v>
      </c>
      <c r="KHD6">
        <f t="shared" si="9"/>
        <v>0</v>
      </c>
      <c r="KHE6">
        <f t="shared" si="10"/>
        <v>0</v>
      </c>
      <c r="KHF6">
        <f t="shared" si="11"/>
        <v>0</v>
      </c>
      <c r="KHG6">
        <f t="shared" si="12"/>
        <v>0</v>
      </c>
      <c r="KHH6">
        <f t="shared" si="13"/>
        <v>0</v>
      </c>
      <c r="KHI6">
        <f t="shared" si="14"/>
        <v>0</v>
      </c>
      <c r="KHJ6">
        <f t="shared" si="15"/>
        <v>0</v>
      </c>
      <c r="KHK6">
        <f t="shared" si="16"/>
        <v>0</v>
      </c>
      <c r="KHL6">
        <f t="shared" si="17"/>
        <v>0</v>
      </c>
      <c r="KHM6">
        <f t="shared" si="18"/>
        <v>0</v>
      </c>
      <c r="KHN6">
        <f t="shared" si="19"/>
        <v>0</v>
      </c>
      <c r="KHO6">
        <f t="shared" si="20"/>
        <v>0</v>
      </c>
      <c r="KHP6">
        <f t="shared" si="21"/>
        <v>0</v>
      </c>
      <c r="KHQ6">
        <f t="shared" si="22"/>
        <v>0</v>
      </c>
      <c r="KHR6">
        <f t="shared" si="23"/>
        <v>0</v>
      </c>
      <c r="KHS6">
        <f t="shared" si="24"/>
        <v>0</v>
      </c>
      <c r="KHT6">
        <f t="shared" si="25"/>
        <v>0</v>
      </c>
      <c r="KHU6">
        <f t="shared" si="26"/>
        <v>0</v>
      </c>
      <c r="KHV6">
        <f t="shared" si="27"/>
        <v>0</v>
      </c>
      <c r="KHW6">
        <f t="shared" si="28"/>
        <v>0</v>
      </c>
      <c r="KHX6">
        <f t="shared" si="29"/>
        <v>0</v>
      </c>
      <c r="KHY6">
        <f t="shared" si="30"/>
        <v>0</v>
      </c>
      <c r="KHZ6">
        <f t="shared" si="31"/>
        <v>0</v>
      </c>
      <c r="KIA6">
        <f t="shared" si="32"/>
        <v>0</v>
      </c>
      <c r="KIB6">
        <f t="shared" si="33"/>
        <v>0</v>
      </c>
      <c r="KIC6">
        <f t="shared" si="34"/>
        <v>0</v>
      </c>
      <c r="KID6">
        <f t="shared" si="35"/>
        <v>0</v>
      </c>
      <c r="KIE6">
        <f t="shared" si="36"/>
        <v>0</v>
      </c>
      <c r="KIF6">
        <f t="shared" si="37"/>
        <v>0</v>
      </c>
      <c r="KIG6">
        <f t="shared" si="38"/>
        <v>0</v>
      </c>
      <c r="KIH6">
        <f t="shared" si="39"/>
        <v>0</v>
      </c>
      <c r="KII6">
        <f t="shared" si="40"/>
        <v>0</v>
      </c>
      <c r="KIJ6">
        <f t="shared" si="41"/>
        <v>0</v>
      </c>
      <c r="KIK6">
        <f t="shared" si="42"/>
        <v>0</v>
      </c>
      <c r="KIL6">
        <f t="shared" si="43"/>
        <v>0</v>
      </c>
      <c r="KIM6">
        <f t="shared" si="44"/>
        <v>0</v>
      </c>
      <c r="KIN6">
        <f t="shared" si="45"/>
        <v>0</v>
      </c>
      <c r="KIO6">
        <f t="shared" si="46"/>
        <v>0</v>
      </c>
      <c r="KIP6">
        <f t="shared" si="47"/>
        <v>0</v>
      </c>
      <c r="KIQ6">
        <f t="shared" si="48"/>
        <v>0</v>
      </c>
      <c r="KIR6">
        <f t="shared" si="49"/>
        <v>0</v>
      </c>
      <c r="KIS6">
        <f t="shared" si="50"/>
        <v>0</v>
      </c>
      <c r="KIT6">
        <f t="shared" si="51"/>
        <v>0</v>
      </c>
      <c r="KIU6">
        <f t="shared" si="52"/>
        <v>0</v>
      </c>
      <c r="KIV6">
        <f t="shared" si="53"/>
        <v>0</v>
      </c>
      <c r="KIW6">
        <f t="shared" si="54"/>
        <v>0</v>
      </c>
      <c r="KIX6">
        <f t="shared" si="55"/>
        <v>0</v>
      </c>
      <c r="KIY6">
        <f t="shared" si="56"/>
        <v>0</v>
      </c>
      <c r="KIZ6">
        <f t="shared" si="57"/>
        <v>0</v>
      </c>
      <c r="KJA6">
        <f t="shared" si="58"/>
        <v>0</v>
      </c>
      <c r="KJB6">
        <f t="shared" si="59"/>
        <v>0</v>
      </c>
      <c r="KJC6">
        <f t="shared" si="60"/>
        <v>0</v>
      </c>
      <c r="KJD6">
        <f t="shared" si="61"/>
        <v>0</v>
      </c>
      <c r="KJE6">
        <f t="shared" si="62"/>
        <v>0</v>
      </c>
      <c r="KJF6">
        <f t="shared" si="63"/>
        <v>0</v>
      </c>
      <c r="KJG6">
        <f t="shared" si="64"/>
        <v>0</v>
      </c>
      <c r="KJH6">
        <f t="shared" si="65"/>
        <v>0</v>
      </c>
      <c r="KJI6">
        <f t="shared" si="66"/>
        <v>0</v>
      </c>
      <c r="KJJ6">
        <f t="shared" si="67"/>
        <v>0</v>
      </c>
      <c r="KJK6">
        <f t="shared" si="68"/>
        <v>0</v>
      </c>
      <c r="KJL6">
        <f t="shared" si="69"/>
        <v>0</v>
      </c>
      <c r="KJM6">
        <f t="shared" si="70"/>
        <v>0</v>
      </c>
      <c r="KJN6">
        <f t="shared" si="71"/>
        <v>0</v>
      </c>
      <c r="KJO6">
        <f t="shared" si="72"/>
        <v>0</v>
      </c>
      <c r="KJP6">
        <f t="shared" si="73"/>
        <v>0</v>
      </c>
      <c r="KJQ6">
        <f t="shared" si="74"/>
        <v>0</v>
      </c>
      <c r="KJR6">
        <f t="shared" si="75"/>
        <v>0</v>
      </c>
      <c r="KJS6">
        <f t="shared" si="76"/>
        <v>0</v>
      </c>
      <c r="KJT6">
        <f t="shared" si="77"/>
        <v>0</v>
      </c>
      <c r="KJU6">
        <f t="shared" si="78"/>
        <v>0</v>
      </c>
      <c r="KJV6">
        <f t="shared" si="79"/>
        <v>0</v>
      </c>
      <c r="KJW6">
        <f t="shared" si="80"/>
        <v>0</v>
      </c>
      <c r="KJX6">
        <f t="shared" si="81"/>
        <v>0</v>
      </c>
      <c r="KJY6">
        <f t="shared" si="82"/>
        <v>0</v>
      </c>
      <c r="KJZ6">
        <f t="shared" si="83"/>
        <v>0</v>
      </c>
      <c r="KKA6">
        <f t="shared" si="84"/>
        <v>0</v>
      </c>
      <c r="KKB6">
        <f t="shared" si="85"/>
        <v>0</v>
      </c>
      <c r="KKC6">
        <f t="shared" si="86"/>
        <v>0</v>
      </c>
      <c r="KKD6">
        <f t="shared" si="87"/>
        <v>0</v>
      </c>
      <c r="KKE6">
        <f t="shared" si="88"/>
        <v>0</v>
      </c>
      <c r="KKF6">
        <f t="shared" si="89"/>
        <v>0</v>
      </c>
      <c r="KKG6">
        <f t="shared" si="90"/>
        <v>0</v>
      </c>
      <c r="KKH6">
        <f t="shared" si="91"/>
        <v>0</v>
      </c>
      <c r="KKI6">
        <f t="shared" si="92"/>
        <v>0</v>
      </c>
      <c r="KKJ6">
        <f t="shared" si="93"/>
        <v>0</v>
      </c>
      <c r="KKK6">
        <f t="shared" si="94"/>
        <v>0</v>
      </c>
      <c r="KKL6">
        <f t="shared" si="95"/>
        <v>0</v>
      </c>
      <c r="KKM6">
        <f t="shared" si="96"/>
        <v>0</v>
      </c>
      <c r="KKN6">
        <f t="shared" si="97"/>
        <v>0</v>
      </c>
      <c r="KKO6">
        <f t="shared" si="98"/>
        <v>0</v>
      </c>
      <c r="KKP6">
        <f t="shared" si="99"/>
        <v>0</v>
      </c>
      <c r="KKR6">
        <f>SUM($KGU6:$KKQ6)</f>
        <v>0</v>
      </c>
      <c r="KKT6">
        <f>SUM($KGU6:$KKQ6)</f>
        <v>0</v>
      </c>
      <c r="KKU6">
        <f>$KKR6*40/1000</f>
        <v>0</v>
      </c>
      <c r="KKW6">
        <f>$KKR6*40/1000</f>
        <v>0</v>
      </c>
    </row>
    <row r="7" spans="1:7745">
      <c r="A7" t="s">
        <v>43</v>
      </c>
      <c r="KGU7" s="1">
        <f t="shared" si="0"/>
        <v>0</v>
      </c>
      <c r="KGV7">
        <f t="shared" si="1"/>
        <v>0</v>
      </c>
      <c r="KGW7">
        <f t="shared" si="2"/>
        <v>0</v>
      </c>
      <c r="KGX7">
        <f t="shared" si="3"/>
        <v>0</v>
      </c>
      <c r="KGY7">
        <f t="shared" si="4"/>
        <v>0</v>
      </c>
      <c r="KGZ7">
        <f t="shared" si="5"/>
        <v>0</v>
      </c>
      <c r="KHA7">
        <f t="shared" si="6"/>
        <v>0</v>
      </c>
      <c r="KHB7">
        <f t="shared" si="7"/>
        <v>0</v>
      </c>
      <c r="KHC7">
        <f t="shared" si="8"/>
        <v>0</v>
      </c>
      <c r="KHD7">
        <f t="shared" si="9"/>
        <v>0</v>
      </c>
      <c r="KHE7">
        <f t="shared" si="10"/>
        <v>0</v>
      </c>
      <c r="KHF7">
        <f t="shared" si="11"/>
        <v>0</v>
      </c>
      <c r="KHG7">
        <f t="shared" si="12"/>
        <v>0</v>
      </c>
      <c r="KHH7">
        <f t="shared" si="13"/>
        <v>0</v>
      </c>
      <c r="KHI7">
        <f t="shared" si="14"/>
        <v>0</v>
      </c>
      <c r="KHJ7">
        <f t="shared" si="15"/>
        <v>0</v>
      </c>
      <c r="KHK7">
        <f t="shared" si="16"/>
        <v>0</v>
      </c>
      <c r="KHL7">
        <f t="shared" si="17"/>
        <v>0</v>
      </c>
      <c r="KHM7">
        <f t="shared" si="18"/>
        <v>0</v>
      </c>
      <c r="KHN7">
        <f t="shared" si="19"/>
        <v>0</v>
      </c>
      <c r="KHO7">
        <f t="shared" si="20"/>
        <v>0</v>
      </c>
      <c r="KHP7">
        <f t="shared" si="21"/>
        <v>0</v>
      </c>
      <c r="KHQ7">
        <f t="shared" si="22"/>
        <v>0</v>
      </c>
      <c r="KHR7">
        <f t="shared" si="23"/>
        <v>0</v>
      </c>
      <c r="KHS7">
        <f t="shared" si="24"/>
        <v>0</v>
      </c>
      <c r="KHT7">
        <f t="shared" si="25"/>
        <v>0</v>
      </c>
      <c r="KHU7">
        <f t="shared" si="26"/>
        <v>0</v>
      </c>
      <c r="KHV7">
        <f t="shared" si="27"/>
        <v>0</v>
      </c>
      <c r="KHW7">
        <f t="shared" si="28"/>
        <v>0</v>
      </c>
      <c r="KHX7">
        <f t="shared" si="29"/>
        <v>0</v>
      </c>
      <c r="KHY7">
        <f t="shared" si="30"/>
        <v>0</v>
      </c>
      <c r="KHZ7">
        <f t="shared" si="31"/>
        <v>0</v>
      </c>
      <c r="KIA7">
        <f t="shared" si="32"/>
        <v>0</v>
      </c>
      <c r="KIB7">
        <f t="shared" si="33"/>
        <v>0</v>
      </c>
      <c r="KIC7">
        <f t="shared" si="34"/>
        <v>0</v>
      </c>
      <c r="KID7">
        <f t="shared" si="35"/>
        <v>0</v>
      </c>
      <c r="KIE7">
        <f t="shared" si="36"/>
        <v>0</v>
      </c>
      <c r="KIF7">
        <f t="shared" si="37"/>
        <v>0</v>
      </c>
      <c r="KIG7">
        <f t="shared" si="38"/>
        <v>0</v>
      </c>
      <c r="KIH7">
        <f t="shared" si="39"/>
        <v>0</v>
      </c>
      <c r="KII7">
        <f t="shared" si="40"/>
        <v>0</v>
      </c>
      <c r="KIJ7">
        <f t="shared" si="41"/>
        <v>0</v>
      </c>
      <c r="KIK7">
        <f t="shared" si="42"/>
        <v>0</v>
      </c>
      <c r="KIL7">
        <f t="shared" si="43"/>
        <v>0</v>
      </c>
      <c r="KIM7">
        <f t="shared" si="44"/>
        <v>0</v>
      </c>
      <c r="KIN7">
        <f t="shared" si="45"/>
        <v>0</v>
      </c>
      <c r="KIO7">
        <f t="shared" si="46"/>
        <v>0</v>
      </c>
      <c r="KIP7">
        <f t="shared" si="47"/>
        <v>0</v>
      </c>
      <c r="KIQ7">
        <f t="shared" si="48"/>
        <v>0</v>
      </c>
      <c r="KIR7">
        <f t="shared" si="49"/>
        <v>0</v>
      </c>
      <c r="KIS7">
        <f t="shared" si="50"/>
        <v>0</v>
      </c>
      <c r="KIT7">
        <f t="shared" si="51"/>
        <v>0</v>
      </c>
      <c r="KIU7">
        <f t="shared" si="52"/>
        <v>0</v>
      </c>
      <c r="KIV7">
        <f t="shared" si="53"/>
        <v>0</v>
      </c>
      <c r="KIW7">
        <f t="shared" si="54"/>
        <v>0</v>
      </c>
      <c r="KIX7">
        <f t="shared" si="55"/>
        <v>0</v>
      </c>
      <c r="KIY7">
        <f t="shared" si="56"/>
        <v>0</v>
      </c>
      <c r="KIZ7">
        <f t="shared" si="57"/>
        <v>0</v>
      </c>
      <c r="KJA7">
        <f t="shared" si="58"/>
        <v>0</v>
      </c>
      <c r="KJB7">
        <f t="shared" si="59"/>
        <v>0</v>
      </c>
      <c r="KJC7">
        <f t="shared" si="60"/>
        <v>0</v>
      </c>
      <c r="KJD7">
        <f t="shared" si="61"/>
        <v>0</v>
      </c>
      <c r="KJE7">
        <f t="shared" si="62"/>
        <v>0</v>
      </c>
      <c r="KJF7">
        <f t="shared" si="63"/>
        <v>0</v>
      </c>
      <c r="KJG7">
        <f t="shared" si="64"/>
        <v>0</v>
      </c>
      <c r="KJH7">
        <f t="shared" si="65"/>
        <v>0</v>
      </c>
      <c r="KJI7">
        <f t="shared" si="66"/>
        <v>0</v>
      </c>
      <c r="KJJ7">
        <f t="shared" si="67"/>
        <v>0</v>
      </c>
      <c r="KJK7">
        <f t="shared" si="68"/>
        <v>0</v>
      </c>
      <c r="KJL7">
        <f t="shared" si="69"/>
        <v>0</v>
      </c>
      <c r="KJM7">
        <f t="shared" si="70"/>
        <v>0</v>
      </c>
      <c r="KJN7">
        <f t="shared" si="71"/>
        <v>0</v>
      </c>
      <c r="KJO7">
        <f t="shared" si="72"/>
        <v>0</v>
      </c>
      <c r="KJP7">
        <f t="shared" si="73"/>
        <v>0</v>
      </c>
      <c r="KJQ7">
        <f t="shared" si="74"/>
        <v>0</v>
      </c>
      <c r="KJR7">
        <f t="shared" si="75"/>
        <v>0</v>
      </c>
      <c r="KJS7">
        <f t="shared" si="76"/>
        <v>0</v>
      </c>
      <c r="KJT7">
        <f t="shared" si="77"/>
        <v>0</v>
      </c>
      <c r="KJU7">
        <f t="shared" si="78"/>
        <v>0</v>
      </c>
      <c r="KJV7">
        <f t="shared" si="79"/>
        <v>0</v>
      </c>
      <c r="KJW7">
        <f t="shared" si="80"/>
        <v>0</v>
      </c>
      <c r="KJX7">
        <f t="shared" si="81"/>
        <v>0</v>
      </c>
      <c r="KJY7">
        <f t="shared" si="82"/>
        <v>0</v>
      </c>
      <c r="KJZ7">
        <f t="shared" si="83"/>
        <v>0</v>
      </c>
      <c r="KKA7">
        <f t="shared" si="84"/>
        <v>0</v>
      </c>
      <c r="KKB7">
        <f t="shared" si="85"/>
        <v>0</v>
      </c>
      <c r="KKC7">
        <f t="shared" si="86"/>
        <v>0</v>
      </c>
      <c r="KKD7">
        <f t="shared" si="87"/>
        <v>0</v>
      </c>
      <c r="KKE7">
        <f t="shared" si="88"/>
        <v>0</v>
      </c>
      <c r="KKF7">
        <f t="shared" si="89"/>
        <v>0</v>
      </c>
      <c r="KKG7">
        <f t="shared" si="90"/>
        <v>0</v>
      </c>
      <c r="KKH7">
        <f t="shared" si="91"/>
        <v>0</v>
      </c>
      <c r="KKI7">
        <f t="shared" si="92"/>
        <v>0</v>
      </c>
      <c r="KKJ7">
        <f t="shared" si="93"/>
        <v>0</v>
      </c>
      <c r="KKK7">
        <f t="shared" si="94"/>
        <v>0</v>
      </c>
      <c r="KKL7">
        <f t="shared" si="95"/>
        <v>0</v>
      </c>
      <c r="KKM7">
        <f t="shared" si="96"/>
        <v>0</v>
      </c>
      <c r="KKN7">
        <f t="shared" si="97"/>
        <v>0</v>
      </c>
      <c r="KKO7">
        <f t="shared" si="98"/>
        <v>0</v>
      </c>
      <c r="KKP7">
        <f t="shared" si="99"/>
        <v>0</v>
      </c>
      <c r="KKR7">
        <f>SUM($KGU7:$KKQ7)</f>
        <v>0</v>
      </c>
      <c r="KKT7">
        <f>SUM($KGU7:$KKQ7)</f>
        <v>0</v>
      </c>
      <c r="KKU7">
        <f>$KKR7*40/1000</f>
        <v>0</v>
      </c>
      <c r="KKW7">
        <f>$KKR7*40/1000</f>
        <v>0</v>
      </c>
    </row>
    <row r="8" spans="1:7745">
      <c r="A8" t="s">
        <v>42</v>
      </c>
      <c r="KGU8" s="1">
        <f t="shared" si="0"/>
        <v>0</v>
      </c>
      <c r="KGV8">
        <f t="shared" si="1"/>
        <v>0</v>
      </c>
      <c r="KGW8">
        <f t="shared" si="2"/>
        <v>0</v>
      </c>
      <c r="KGX8">
        <f t="shared" si="3"/>
        <v>0</v>
      </c>
      <c r="KGY8">
        <f t="shared" si="4"/>
        <v>0</v>
      </c>
      <c r="KGZ8">
        <f t="shared" si="5"/>
        <v>0</v>
      </c>
      <c r="KHA8">
        <f t="shared" si="6"/>
        <v>0</v>
      </c>
      <c r="KHB8">
        <f t="shared" si="7"/>
        <v>0</v>
      </c>
      <c r="KHC8">
        <f t="shared" si="8"/>
        <v>0</v>
      </c>
      <c r="KHD8">
        <f t="shared" si="9"/>
        <v>0</v>
      </c>
      <c r="KHE8">
        <f t="shared" si="10"/>
        <v>0</v>
      </c>
      <c r="KHF8">
        <f t="shared" si="11"/>
        <v>0</v>
      </c>
      <c r="KHG8">
        <f t="shared" si="12"/>
        <v>0</v>
      </c>
      <c r="KHH8">
        <f t="shared" si="13"/>
        <v>0</v>
      </c>
      <c r="KHI8">
        <f t="shared" si="14"/>
        <v>0</v>
      </c>
      <c r="KHJ8">
        <f t="shared" si="15"/>
        <v>0</v>
      </c>
      <c r="KHK8">
        <f t="shared" si="16"/>
        <v>0</v>
      </c>
      <c r="KHL8">
        <f t="shared" si="17"/>
        <v>0</v>
      </c>
      <c r="KHM8">
        <f t="shared" si="18"/>
        <v>0</v>
      </c>
      <c r="KHN8">
        <f t="shared" si="19"/>
        <v>0</v>
      </c>
      <c r="KHO8">
        <f t="shared" si="20"/>
        <v>0</v>
      </c>
      <c r="KHP8">
        <f t="shared" si="21"/>
        <v>0</v>
      </c>
      <c r="KHQ8">
        <f t="shared" si="22"/>
        <v>0</v>
      </c>
      <c r="KHR8">
        <f t="shared" si="23"/>
        <v>0</v>
      </c>
      <c r="KHS8">
        <f t="shared" si="24"/>
        <v>0</v>
      </c>
      <c r="KHT8">
        <f t="shared" si="25"/>
        <v>0</v>
      </c>
      <c r="KHU8">
        <f t="shared" si="26"/>
        <v>0</v>
      </c>
      <c r="KHV8">
        <f t="shared" si="27"/>
        <v>0</v>
      </c>
      <c r="KHW8">
        <f t="shared" si="28"/>
        <v>0</v>
      </c>
      <c r="KHX8">
        <f t="shared" si="29"/>
        <v>0</v>
      </c>
      <c r="KHY8">
        <f t="shared" si="30"/>
        <v>0</v>
      </c>
      <c r="KHZ8">
        <f t="shared" si="31"/>
        <v>0</v>
      </c>
      <c r="KIA8">
        <f t="shared" si="32"/>
        <v>0</v>
      </c>
      <c r="KIB8">
        <f t="shared" si="33"/>
        <v>0</v>
      </c>
      <c r="KIC8">
        <f t="shared" si="34"/>
        <v>0</v>
      </c>
      <c r="KID8">
        <f t="shared" si="35"/>
        <v>0</v>
      </c>
      <c r="KIE8">
        <f t="shared" si="36"/>
        <v>0</v>
      </c>
      <c r="KIF8">
        <f t="shared" si="37"/>
        <v>0</v>
      </c>
      <c r="KIG8">
        <f t="shared" si="38"/>
        <v>0</v>
      </c>
      <c r="KIH8">
        <f t="shared" si="39"/>
        <v>0</v>
      </c>
      <c r="KII8">
        <f t="shared" si="40"/>
        <v>0</v>
      </c>
      <c r="KIJ8">
        <f t="shared" si="41"/>
        <v>0</v>
      </c>
      <c r="KIK8">
        <f t="shared" si="42"/>
        <v>0</v>
      </c>
      <c r="KIL8">
        <f t="shared" si="43"/>
        <v>0</v>
      </c>
      <c r="KIM8">
        <f t="shared" si="44"/>
        <v>0</v>
      </c>
      <c r="KIN8">
        <f t="shared" si="45"/>
        <v>0</v>
      </c>
      <c r="KIO8">
        <f t="shared" si="46"/>
        <v>0</v>
      </c>
      <c r="KIP8">
        <f t="shared" si="47"/>
        <v>0</v>
      </c>
      <c r="KIQ8">
        <f t="shared" si="48"/>
        <v>0</v>
      </c>
      <c r="KIR8">
        <f t="shared" si="49"/>
        <v>0</v>
      </c>
      <c r="KIS8">
        <f t="shared" si="50"/>
        <v>0</v>
      </c>
      <c r="KIT8">
        <f t="shared" si="51"/>
        <v>0</v>
      </c>
      <c r="KIU8">
        <f t="shared" si="52"/>
        <v>0</v>
      </c>
      <c r="KIV8">
        <f t="shared" si="53"/>
        <v>0</v>
      </c>
      <c r="KIW8">
        <f t="shared" si="54"/>
        <v>0</v>
      </c>
      <c r="KIX8">
        <f t="shared" si="55"/>
        <v>0</v>
      </c>
      <c r="KIY8">
        <f t="shared" si="56"/>
        <v>0</v>
      </c>
      <c r="KIZ8">
        <f t="shared" si="57"/>
        <v>0</v>
      </c>
      <c r="KJA8">
        <f t="shared" si="58"/>
        <v>0</v>
      </c>
      <c r="KJB8">
        <f t="shared" si="59"/>
        <v>0</v>
      </c>
      <c r="KJC8">
        <f t="shared" si="60"/>
        <v>0</v>
      </c>
      <c r="KJD8">
        <f t="shared" si="61"/>
        <v>0</v>
      </c>
      <c r="KJE8">
        <f t="shared" si="62"/>
        <v>0</v>
      </c>
      <c r="KJF8">
        <f t="shared" si="63"/>
        <v>0</v>
      </c>
      <c r="KJG8">
        <f t="shared" si="64"/>
        <v>0</v>
      </c>
      <c r="KJH8">
        <f t="shared" si="65"/>
        <v>0</v>
      </c>
      <c r="KJI8">
        <f t="shared" si="66"/>
        <v>0</v>
      </c>
      <c r="KJJ8">
        <f t="shared" si="67"/>
        <v>0</v>
      </c>
      <c r="KJK8">
        <f t="shared" si="68"/>
        <v>0</v>
      </c>
      <c r="KJL8">
        <f t="shared" si="69"/>
        <v>0</v>
      </c>
      <c r="KJM8">
        <f t="shared" si="70"/>
        <v>0</v>
      </c>
      <c r="KJN8">
        <f t="shared" si="71"/>
        <v>0</v>
      </c>
      <c r="KJO8">
        <f t="shared" si="72"/>
        <v>0</v>
      </c>
      <c r="KJP8">
        <f t="shared" si="73"/>
        <v>0</v>
      </c>
      <c r="KJQ8">
        <f t="shared" si="74"/>
        <v>0</v>
      </c>
      <c r="KJR8">
        <f t="shared" si="75"/>
        <v>0</v>
      </c>
      <c r="KJS8">
        <f t="shared" si="76"/>
        <v>0</v>
      </c>
      <c r="KJT8">
        <f t="shared" si="77"/>
        <v>0</v>
      </c>
      <c r="KJU8">
        <f t="shared" si="78"/>
        <v>0</v>
      </c>
      <c r="KJV8">
        <f t="shared" si="79"/>
        <v>0</v>
      </c>
      <c r="KJW8">
        <f t="shared" si="80"/>
        <v>0</v>
      </c>
      <c r="KJX8">
        <f t="shared" si="81"/>
        <v>0</v>
      </c>
      <c r="KJY8">
        <f t="shared" si="82"/>
        <v>0</v>
      </c>
      <c r="KJZ8">
        <f t="shared" si="83"/>
        <v>0</v>
      </c>
      <c r="KKA8">
        <f t="shared" si="84"/>
        <v>0</v>
      </c>
      <c r="KKB8">
        <f t="shared" si="85"/>
        <v>0</v>
      </c>
      <c r="KKC8">
        <f t="shared" si="86"/>
        <v>0</v>
      </c>
      <c r="KKD8">
        <f t="shared" si="87"/>
        <v>0</v>
      </c>
      <c r="KKE8">
        <f t="shared" si="88"/>
        <v>0</v>
      </c>
      <c r="KKF8">
        <f t="shared" si="89"/>
        <v>0</v>
      </c>
      <c r="KKG8">
        <f t="shared" si="90"/>
        <v>0</v>
      </c>
      <c r="KKH8">
        <f t="shared" si="91"/>
        <v>0</v>
      </c>
      <c r="KKI8">
        <f t="shared" si="92"/>
        <v>0</v>
      </c>
      <c r="KKJ8">
        <f t="shared" si="93"/>
        <v>0</v>
      </c>
      <c r="KKK8">
        <f t="shared" si="94"/>
        <v>0</v>
      </c>
      <c r="KKL8">
        <f t="shared" si="95"/>
        <v>0</v>
      </c>
      <c r="KKM8">
        <f t="shared" si="96"/>
        <v>0</v>
      </c>
      <c r="KKN8">
        <f t="shared" si="97"/>
        <v>0</v>
      </c>
      <c r="KKO8">
        <f t="shared" si="98"/>
        <v>0</v>
      </c>
      <c r="KKP8">
        <f t="shared" si="99"/>
        <v>0</v>
      </c>
      <c r="KKR8">
        <f>SUM($KGU8:$KKQ8)</f>
        <v>0</v>
      </c>
      <c r="KKT8">
        <f>SUM($KGU8:$KKQ8)</f>
        <v>0</v>
      </c>
      <c r="KKU8">
        <f>$KKR8*40/1000</f>
        <v>0</v>
      </c>
      <c r="KKW8">
        <f>$KKR8*40/1000</f>
        <v>0</v>
      </c>
    </row>
    <row r="9" spans="1:7745">
      <c r="A9" t="s">
        <v>41</v>
      </c>
      <c r="KGU9" s="1">
        <f t="shared" si="0"/>
        <v>0</v>
      </c>
      <c r="KGV9">
        <f t="shared" si="1"/>
        <v>0</v>
      </c>
      <c r="KGW9">
        <f t="shared" si="2"/>
        <v>0</v>
      </c>
      <c r="KGX9">
        <f t="shared" si="3"/>
        <v>0</v>
      </c>
      <c r="KGY9">
        <f t="shared" si="4"/>
        <v>0</v>
      </c>
      <c r="KGZ9">
        <f t="shared" si="5"/>
        <v>0</v>
      </c>
      <c r="KHA9">
        <f t="shared" si="6"/>
        <v>0</v>
      </c>
      <c r="KHB9">
        <f t="shared" si="7"/>
        <v>0</v>
      </c>
      <c r="KHC9">
        <f t="shared" si="8"/>
        <v>0</v>
      </c>
      <c r="KHD9">
        <f t="shared" si="9"/>
        <v>0</v>
      </c>
      <c r="KHE9">
        <f t="shared" si="10"/>
        <v>0</v>
      </c>
      <c r="KHF9">
        <f t="shared" si="11"/>
        <v>0</v>
      </c>
      <c r="KHG9">
        <f t="shared" si="12"/>
        <v>0</v>
      </c>
      <c r="KHH9">
        <f t="shared" si="13"/>
        <v>0</v>
      </c>
      <c r="KHI9">
        <f t="shared" si="14"/>
        <v>0</v>
      </c>
      <c r="KHJ9">
        <f t="shared" si="15"/>
        <v>0</v>
      </c>
      <c r="KHK9">
        <f t="shared" si="16"/>
        <v>0</v>
      </c>
      <c r="KHL9">
        <f t="shared" si="17"/>
        <v>0</v>
      </c>
      <c r="KHM9">
        <f t="shared" si="18"/>
        <v>0</v>
      </c>
      <c r="KHN9">
        <f t="shared" si="19"/>
        <v>0</v>
      </c>
      <c r="KHO9">
        <f t="shared" si="20"/>
        <v>0</v>
      </c>
      <c r="KHP9">
        <f t="shared" si="21"/>
        <v>0</v>
      </c>
      <c r="KHQ9">
        <f t="shared" si="22"/>
        <v>0</v>
      </c>
      <c r="KHR9">
        <f t="shared" si="23"/>
        <v>0</v>
      </c>
      <c r="KHS9">
        <f t="shared" si="24"/>
        <v>0</v>
      </c>
      <c r="KHT9">
        <f t="shared" si="25"/>
        <v>0</v>
      </c>
      <c r="KHU9">
        <f t="shared" si="26"/>
        <v>0</v>
      </c>
      <c r="KHV9">
        <f t="shared" si="27"/>
        <v>0</v>
      </c>
      <c r="KHW9">
        <f t="shared" si="28"/>
        <v>0</v>
      </c>
      <c r="KHX9">
        <f t="shared" si="29"/>
        <v>0</v>
      </c>
      <c r="KHY9">
        <f t="shared" si="30"/>
        <v>0</v>
      </c>
      <c r="KHZ9">
        <f t="shared" si="31"/>
        <v>0</v>
      </c>
      <c r="KIA9">
        <f t="shared" si="32"/>
        <v>0</v>
      </c>
      <c r="KIB9">
        <f t="shared" si="33"/>
        <v>0</v>
      </c>
      <c r="KIC9">
        <f t="shared" si="34"/>
        <v>0</v>
      </c>
      <c r="KID9">
        <f t="shared" si="35"/>
        <v>0</v>
      </c>
      <c r="KIE9">
        <f t="shared" si="36"/>
        <v>0</v>
      </c>
      <c r="KIF9">
        <f t="shared" si="37"/>
        <v>0</v>
      </c>
      <c r="KIG9">
        <f t="shared" si="38"/>
        <v>0</v>
      </c>
      <c r="KIH9">
        <f t="shared" si="39"/>
        <v>0</v>
      </c>
      <c r="KII9">
        <f t="shared" si="40"/>
        <v>0</v>
      </c>
      <c r="KIJ9">
        <f t="shared" si="41"/>
        <v>0</v>
      </c>
      <c r="KIK9">
        <f t="shared" si="42"/>
        <v>0</v>
      </c>
      <c r="KIL9">
        <f t="shared" si="43"/>
        <v>0</v>
      </c>
      <c r="KIM9">
        <f t="shared" si="44"/>
        <v>0</v>
      </c>
      <c r="KIN9">
        <f t="shared" si="45"/>
        <v>0</v>
      </c>
      <c r="KIO9">
        <f t="shared" si="46"/>
        <v>0</v>
      </c>
      <c r="KIP9">
        <f t="shared" si="47"/>
        <v>0</v>
      </c>
      <c r="KIQ9">
        <f t="shared" si="48"/>
        <v>0</v>
      </c>
      <c r="KIR9">
        <f t="shared" si="49"/>
        <v>0</v>
      </c>
      <c r="KIS9">
        <f t="shared" si="50"/>
        <v>0</v>
      </c>
      <c r="KIT9">
        <f t="shared" si="51"/>
        <v>0</v>
      </c>
      <c r="KIU9">
        <f t="shared" si="52"/>
        <v>0</v>
      </c>
      <c r="KIV9">
        <f t="shared" si="53"/>
        <v>0</v>
      </c>
      <c r="KIW9">
        <f t="shared" si="54"/>
        <v>0</v>
      </c>
      <c r="KIX9">
        <f t="shared" si="55"/>
        <v>0</v>
      </c>
      <c r="KIY9">
        <f t="shared" si="56"/>
        <v>0</v>
      </c>
      <c r="KIZ9">
        <f t="shared" si="57"/>
        <v>0</v>
      </c>
      <c r="KJA9">
        <f t="shared" si="58"/>
        <v>0</v>
      </c>
      <c r="KJB9">
        <f t="shared" si="59"/>
        <v>0</v>
      </c>
      <c r="KJC9">
        <f t="shared" si="60"/>
        <v>0</v>
      </c>
      <c r="KJD9">
        <f t="shared" si="61"/>
        <v>0</v>
      </c>
      <c r="KJE9">
        <f t="shared" si="62"/>
        <v>0</v>
      </c>
      <c r="KJF9">
        <f t="shared" si="63"/>
        <v>0</v>
      </c>
      <c r="KJG9">
        <f t="shared" si="64"/>
        <v>0</v>
      </c>
      <c r="KJH9">
        <f t="shared" si="65"/>
        <v>0</v>
      </c>
      <c r="KJI9">
        <f t="shared" si="66"/>
        <v>0</v>
      </c>
      <c r="KJJ9">
        <f t="shared" si="67"/>
        <v>0</v>
      </c>
      <c r="KJK9">
        <f t="shared" si="68"/>
        <v>0</v>
      </c>
      <c r="KJL9">
        <f t="shared" si="69"/>
        <v>0</v>
      </c>
      <c r="KJM9">
        <f t="shared" si="70"/>
        <v>0</v>
      </c>
      <c r="KJN9">
        <f t="shared" si="71"/>
        <v>0</v>
      </c>
      <c r="KJO9">
        <f t="shared" si="72"/>
        <v>0</v>
      </c>
      <c r="KJP9">
        <f t="shared" si="73"/>
        <v>0</v>
      </c>
      <c r="KJQ9">
        <f t="shared" si="74"/>
        <v>0</v>
      </c>
      <c r="KJR9">
        <f t="shared" si="75"/>
        <v>0</v>
      </c>
      <c r="KJS9">
        <f t="shared" si="76"/>
        <v>0</v>
      </c>
      <c r="KJT9">
        <f t="shared" si="77"/>
        <v>0</v>
      </c>
      <c r="KJU9">
        <f t="shared" si="78"/>
        <v>0</v>
      </c>
      <c r="KJV9">
        <f t="shared" si="79"/>
        <v>0</v>
      </c>
      <c r="KJW9">
        <f t="shared" si="80"/>
        <v>0</v>
      </c>
      <c r="KJX9">
        <f t="shared" si="81"/>
        <v>0</v>
      </c>
      <c r="KJY9">
        <f t="shared" si="82"/>
        <v>0</v>
      </c>
      <c r="KJZ9">
        <f t="shared" si="83"/>
        <v>0</v>
      </c>
      <c r="KKA9">
        <f t="shared" si="84"/>
        <v>0</v>
      </c>
      <c r="KKB9">
        <f t="shared" si="85"/>
        <v>0</v>
      </c>
      <c r="KKC9">
        <f t="shared" si="86"/>
        <v>0</v>
      </c>
      <c r="KKD9">
        <f t="shared" si="87"/>
        <v>0</v>
      </c>
      <c r="KKE9">
        <f t="shared" si="88"/>
        <v>0</v>
      </c>
      <c r="KKF9">
        <f t="shared" si="89"/>
        <v>0</v>
      </c>
      <c r="KKG9">
        <f t="shared" si="90"/>
        <v>0</v>
      </c>
      <c r="KKH9">
        <f t="shared" si="91"/>
        <v>0</v>
      </c>
      <c r="KKI9">
        <f t="shared" si="92"/>
        <v>0</v>
      </c>
      <c r="KKJ9">
        <f t="shared" si="93"/>
        <v>0</v>
      </c>
      <c r="KKK9">
        <f t="shared" si="94"/>
        <v>0</v>
      </c>
      <c r="KKL9">
        <f t="shared" si="95"/>
        <v>0</v>
      </c>
      <c r="KKM9">
        <f t="shared" si="96"/>
        <v>0</v>
      </c>
      <c r="KKN9">
        <f t="shared" si="97"/>
        <v>0</v>
      </c>
      <c r="KKO9">
        <f t="shared" si="98"/>
        <v>0</v>
      </c>
      <c r="KKP9">
        <f t="shared" si="99"/>
        <v>0</v>
      </c>
      <c r="KKR9">
        <f>SUM($KGU9:$KKQ9)</f>
        <v>0</v>
      </c>
      <c r="KKT9">
        <f>SUM($KGU9:$KKQ9)</f>
        <v>0</v>
      </c>
      <c r="KKU9">
        <f>$KKR9*40/1000</f>
        <v>0</v>
      </c>
      <c r="KKW9">
        <f>$KKR9*40/1000</f>
        <v>0</v>
      </c>
    </row>
    <row r="10" spans="1:7745">
      <c r="A10" s="1" t="s">
        <v>5</v>
      </c>
      <c r="B10">
        <v>76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W10">
        <v>2</v>
      </c>
      <c r="CX10">
        <v>2</v>
      </c>
      <c r="CY10">
        <v>2</v>
      </c>
      <c r="CZ10">
        <v>2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2</v>
      </c>
      <c r="DH10">
        <v>2</v>
      </c>
      <c r="DI10">
        <v>2</v>
      </c>
      <c r="DJ10">
        <v>2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3</v>
      </c>
      <c r="JE10">
        <v>4</v>
      </c>
      <c r="JF10">
        <v>4</v>
      </c>
      <c r="JG10">
        <v>4</v>
      </c>
      <c r="JH10">
        <v>4</v>
      </c>
      <c r="JI10">
        <v>4</v>
      </c>
      <c r="JJ10">
        <v>4</v>
      </c>
      <c r="JK10">
        <v>4</v>
      </c>
      <c r="JL10">
        <v>4</v>
      </c>
      <c r="JM10">
        <v>4</v>
      </c>
      <c r="JN10">
        <v>4</v>
      </c>
      <c r="JO10">
        <v>4</v>
      </c>
      <c r="JP10">
        <v>4</v>
      </c>
      <c r="JQ10">
        <v>4</v>
      </c>
      <c r="JR10">
        <v>4</v>
      </c>
      <c r="JS10">
        <v>4</v>
      </c>
      <c r="JT10">
        <v>4</v>
      </c>
      <c r="JU10">
        <v>4</v>
      </c>
      <c r="JV10">
        <v>4</v>
      </c>
      <c r="JW10">
        <v>4</v>
      </c>
      <c r="JX10">
        <v>4</v>
      </c>
      <c r="JY10">
        <v>4</v>
      </c>
      <c r="JZ10">
        <v>4</v>
      </c>
      <c r="KA10">
        <v>4</v>
      </c>
      <c r="KB10">
        <v>4</v>
      </c>
      <c r="KC10">
        <v>4</v>
      </c>
      <c r="KD10">
        <v>4</v>
      </c>
      <c r="KE10">
        <v>4</v>
      </c>
      <c r="KF10">
        <v>4</v>
      </c>
      <c r="KG10">
        <v>4</v>
      </c>
      <c r="KH10">
        <v>4</v>
      </c>
      <c r="KI10">
        <v>4</v>
      </c>
      <c r="KJ10">
        <v>4</v>
      </c>
      <c r="KK10">
        <v>4</v>
      </c>
      <c r="KL10">
        <v>4</v>
      </c>
      <c r="KM10">
        <v>4</v>
      </c>
      <c r="KN10">
        <v>4</v>
      </c>
      <c r="KO10">
        <v>4</v>
      </c>
      <c r="KP10">
        <v>4</v>
      </c>
      <c r="KQ10">
        <v>4</v>
      </c>
      <c r="KR10">
        <v>4</v>
      </c>
      <c r="KS10">
        <v>4</v>
      </c>
      <c r="KT10">
        <v>4</v>
      </c>
      <c r="KU10">
        <v>4</v>
      </c>
      <c r="NH10">
        <v>5</v>
      </c>
      <c r="NI10">
        <v>5</v>
      </c>
      <c r="NJ10">
        <v>5</v>
      </c>
      <c r="NK10">
        <v>5</v>
      </c>
      <c r="NL10">
        <v>5</v>
      </c>
      <c r="NM10">
        <v>5</v>
      </c>
      <c r="NN10">
        <v>5</v>
      </c>
      <c r="NO10">
        <v>5</v>
      </c>
      <c r="NP10">
        <v>5</v>
      </c>
      <c r="NQ10">
        <v>5</v>
      </c>
      <c r="NR10">
        <v>5</v>
      </c>
      <c r="NS10">
        <v>5</v>
      </c>
      <c r="NT10">
        <v>5</v>
      </c>
      <c r="NU10">
        <v>5</v>
      </c>
      <c r="NV10">
        <v>5</v>
      </c>
      <c r="NW10">
        <v>5</v>
      </c>
      <c r="NX10">
        <v>5</v>
      </c>
      <c r="NY10">
        <v>5</v>
      </c>
      <c r="NZ10">
        <v>5</v>
      </c>
      <c r="OA10">
        <v>5</v>
      </c>
      <c r="OB10">
        <v>5</v>
      </c>
      <c r="OC10">
        <v>5</v>
      </c>
      <c r="OD10">
        <v>5</v>
      </c>
      <c r="OE10">
        <v>5</v>
      </c>
      <c r="OF10">
        <v>5</v>
      </c>
      <c r="OG10">
        <v>5</v>
      </c>
      <c r="OH10">
        <v>5</v>
      </c>
      <c r="OI10">
        <v>5</v>
      </c>
      <c r="OJ10">
        <v>5</v>
      </c>
      <c r="OK10">
        <v>5</v>
      </c>
      <c r="OL10">
        <v>5</v>
      </c>
      <c r="OM10">
        <v>5</v>
      </c>
      <c r="ON10">
        <v>5</v>
      </c>
      <c r="OO10">
        <v>5</v>
      </c>
      <c r="OP10">
        <v>5</v>
      </c>
      <c r="OQ10">
        <v>5</v>
      </c>
      <c r="OR10">
        <v>5</v>
      </c>
      <c r="OS10">
        <v>5</v>
      </c>
      <c r="OT10">
        <v>5</v>
      </c>
      <c r="OU10">
        <v>5</v>
      </c>
      <c r="OV10">
        <v>5</v>
      </c>
      <c r="OW10">
        <v>5</v>
      </c>
      <c r="OX10">
        <v>5</v>
      </c>
      <c r="OY10">
        <v>5</v>
      </c>
      <c r="OZ10">
        <v>5</v>
      </c>
      <c r="PA10">
        <v>5</v>
      </c>
      <c r="PB10">
        <v>5</v>
      </c>
      <c r="PC10">
        <v>5</v>
      </c>
      <c r="PD10">
        <v>5</v>
      </c>
      <c r="PE10">
        <v>5</v>
      </c>
      <c r="PF10">
        <v>5</v>
      </c>
      <c r="PG10">
        <v>5</v>
      </c>
      <c r="PH10">
        <v>5</v>
      </c>
      <c r="PI10">
        <v>5</v>
      </c>
      <c r="PJ10">
        <v>5</v>
      </c>
      <c r="PK10">
        <v>5</v>
      </c>
      <c r="PL10">
        <v>5</v>
      </c>
      <c r="PM10">
        <v>5</v>
      </c>
      <c r="PN10">
        <v>5</v>
      </c>
      <c r="PO10">
        <v>5</v>
      </c>
      <c r="PP10">
        <v>5</v>
      </c>
      <c r="PQ10">
        <v>5</v>
      </c>
      <c r="PR10">
        <v>5</v>
      </c>
      <c r="PS10">
        <v>5</v>
      </c>
      <c r="PT10">
        <v>5</v>
      </c>
      <c r="PU10">
        <v>5</v>
      </c>
      <c r="PV10">
        <v>5</v>
      </c>
      <c r="PW10">
        <v>5</v>
      </c>
      <c r="PX10">
        <v>5</v>
      </c>
      <c r="PY10">
        <v>5</v>
      </c>
      <c r="PZ10">
        <v>5</v>
      </c>
      <c r="QA10">
        <v>5</v>
      </c>
      <c r="QB10">
        <v>5</v>
      </c>
      <c r="QC10">
        <v>5</v>
      </c>
      <c r="QD10">
        <v>5</v>
      </c>
      <c r="QE10">
        <v>5</v>
      </c>
      <c r="QF10">
        <v>5</v>
      </c>
      <c r="QG10">
        <v>5</v>
      </c>
      <c r="QH10">
        <v>5</v>
      </c>
      <c r="QI10">
        <v>5</v>
      </c>
      <c r="QJ10">
        <v>5</v>
      </c>
      <c r="SU10">
        <v>6</v>
      </c>
      <c r="SV10">
        <v>6</v>
      </c>
      <c r="SW10">
        <v>6</v>
      </c>
      <c r="SX10">
        <v>6</v>
      </c>
      <c r="SY10">
        <v>6</v>
      </c>
      <c r="SZ10">
        <v>6</v>
      </c>
      <c r="TA10">
        <v>6</v>
      </c>
      <c r="TB10">
        <v>6</v>
      </c>
      <c r="TC10">
        <v>6</v>
      </c>
      <c r="TD10">
        <v>6</v>
      </c>
      <c r="TE10">
        <v>6</v>
      </c>
      <c r="TF10">
        <v>6</v>
      </c>
      <c r="TG10">
        <v>6</v>
      </c>
      <c r="TH10">
        <v>6</v>
      </c>
      <c r="TI10">
        <v>6</v>
      </c>
      <c r="TJ10">
        <v>6</v>
      </c>
      <c r="TK10">
        <v>6</v>
      </c>
      <c r="VS10">
        <v>7</v>
      </c>
      <c r="VT10">
        <v>7</v>
      </c>
      <c r="VU10">
        <v>7</v>
      </c>
      <c r="VV10">
        <v>7</v>
      </c>
      <c r="VW10">
        <v>7</v>
      </c>
      <c r="VX10">
        <v>7</v>
      </c>
      <c r="VY10">
        <v>7</v>
      </c>
      <c r="XW10">
        <v>8</v>
      </c>
      <c r="XX10">
        <v>8</v>
      </c>
      <c r="XY10">
        <v>8</v>
      </c>
      <c r="XZ10">
        <v>8</v>
      </c>
      <c r="YA10">
        <v>8</v>
      </c>
      <c r="YB10">
        <v>8</v>
      </c>
      <c r="YC10">
        <v>8</v>
      </c>
      <c r="YD10">
        <v>8</v>
      </c>
      <c r="YE10">
        <v>8</v>
      </c>
      <c r="YF10">
        <v>8</v>
      </c>
      <c r="YG10">
        <v>8</v>
      </c>
      <c r="YH10">
        <v>8</v>
      </c>
      <c r="YI10">
        <v>8</v>
      </c>
      <c r="YJ10">
        <v>8</v>
      </c>
      <c r="ZN10">
        <v>9</v>
      </c>
      <c r="ZO10">
        <v>9</v>
      </c>
      <c r="ZP10">
        <v>9</v>
      </c>
      <c r="ZQ10">
        <v>9</v>
      </c>
      <c r="ZR10">
        <v>9</v>
      </c>
      <c r="ZS10">
        <v>9</v>
      </c>
      <c r="ZT10">
        <v>9</v>
      </c>
      <c r="ZU10">
        <v>9</v>
      </c>
      <c r="ZV10">
        <v>9</v>
      </c>
      <c r="ZW10">
        <v>9</v>
      </c>
      <c r="ZX10">
        <v>9</v>
      </c>
      <c r="ZY10">
        <v>9</v>
      </c>
      <c r="ZZ10">
        <v>9</v>
      </c>
      <c r="AAA10">
        <v>9</v>
      </c>
      <c r="AAN10">
        <v>10</v>
      </c>
      <c r="AAO10">
        <v>10</v>
      </c>
      <c r="AAP10">
        <v>10</v>
      </c>
      <c r="AAQ10">
        <v>10</v>
      </c>
      <c r="AAR10">
        <v>10</v>
      </c>
      <c r="AAS10">
        <v>10</v>
      </c>
      <c r="AAT10">
        <v>10</v>
      </c>
      <c r="AAU10">
        <v>10</v>
      </c>
      <c r="AAV10">
        <v>10</v>
      </c>
      <c r="AAW10">
        <v>10</v>
      </c>
      <c r="AAX10">
        <v>10</v>
      </c>
      <c r="AAY10">
        <v>10</v>
      </c>
      <c r="AAZ10">
        <v>10</v>
      </c>
      <c r="ABA10">
        <v>10</v>
      </c>
      <c r="ABB10">
        <v>10</v>
      </c>
      <c r="ABC10">
        <v>10</v>
      </c>
      <c r="ABD10">
        <v>10</v>
      </c>
      <c r="ADK10">
        <v>11</v>
      </c>
      <c r="ADL10">
        <v>11</v>
      </c>
      <c r="ADM10">
        <v>11</v>
      </c>
      <c r="ADN10">
        <v>11</v>
      </c>
      <c r="ADO10">
        <v>11</v>
      </c>
      <c r="ADP10">
        <v>11</v>
      </c>
      <c r="ADQ10">
        <v>11</v>
      </c>
      <c r="ADR10">
        <v>11</v>
      </c>
      <c r="ADS10">
        <v>11</v>
      </c>
      <c r="ADT10">
        <v>11</v>
      </c>
      <c r="ADU10">
        <v>11</v>
      </c>
      <c r="ADV10">
        <v>11</v>
      </c>
      <c r="ADW10">
        <v>11</v>
      </c>
      <c r="ADX10">
        <v>11</v>
      </c>
      <c r="ADY10">
        <v>11</v>
      </c>
      <c r="ADZ10">
        <v>11</v>
      </c>
      <c r="AEA10">
        <v>11</v>
      </c>
      <c r="AEB10">
        <v>11</v>
      </c>
      <c r="AEC10">
        <v>11</v>
      </c>
      <c r="AED10">
        <v>11</v>
      </c>
      <c r="AEE10">
        <v>11</v>
      </c>
      <c r="AEF10">
        <v>11</v>
      </c>
      <c r="AEG10">
        <v>11</v>
      </c>
      <c r="AEH10">
        <v>11</v>
      </c>
      <c r="AEI10">
        <v>11</v>
      </c>
      <c r="AEJ10">
        <v>11</v>
      </c>
      <c r="AEK10">
        <v>11</v>
      </c>
      <c r="AEL10">
        <v>11</v>
      </c>
      <c r="AEM10">
        <v>11</v>
      </c>
      <c r="AEN10">
        <v>11</v>
      </c>
      <c r="AEO10">
        <v>11</v>
      </c>
      <c r="AEP10">
        <v>11</v>
      </c>
      <c r="AEQ10">
        <v>11</v>
      </c>
      <c r="AER10">
        <v>11</v>
      </c>
      <c r="AES10">
        <v>11</v>
      </c>
      <c r="AET10">
        <v>11</v>
      </c>
      <c r="AEU10">
        <v>11</v>
      </c>
      <c r="AEV10">
        <v>11</v>
      </c>
      <c r="AEW10">
        <v>11</v>
      </c>
      <c r="AEX10">
        <v>11</v>
      </c>
      <c r="AEY10">
        <v>11</v>
      </c>
      <c r="AEZ10">
        <v>11</v>
      </c>
      <c r="AFA10">
        <v>11</v>
      </c>
      <c r="AFB10">
        <v>11</v>
      </c>
      <c r="AFC10">
        <v>11</v>
      </c>
      <c r="AFD10">
        <v>11</v>
      </c>
      <c r="AFE10">
        <v>11</v>
      </c>
      <c r="AFF10">
        <v>11</v>
      </c>
      <c r="AFG10">
        <v>11</v>
      </c>
      <c r="AFH10">
        <v>11</v>
      </c>
      <c r="AFI10">
        <v>11</v>
      </c>
      <c r="AFJ10">
        <v>11</v>
      </c>
      <c r="AFK10">
        <v>11</v>
      </c>
      <c r="AFL10">
        <v>11</v>
      </c>
      <c r="AFX10">
        <v>12</v>
      </c>
      <c r="AFY10">
        <v>12</v>
      </c>
      <c r="AFZ10">
        <v>12</v>
      </c>
      <c r="AGA10">
        <v>12</v>
      </c>
      <c r="AGB10">
        <v>12</v>
      </c>
      <c r="AGC10">
        <v>12</v>
      </c>
      <c r="AGD10">
        <v>12</v>
      </c>
      <c r="AGE10">
        <v>12</v>
      </c>
      <c r="AGF10">
        <v>12</v>
      </c>
      <c r="AGG10">
        <v>12</v>
      </c>
      <c r="AGH10">
        <v>12</v>
      </c>
      <c r="AGI10">
        <v>12</v>
      </c>
      <c r="AGJ10">
        <v>12</v>
      </c>
      <c r="AGK10">
        <v>12</v>
      </c>
      <c r="AGL10">
        <v>12</v>
      </c>
      <c r="AGM10">
        <v>12</v>
      </c>
      <c r="AGN10">
        <v>12</v>
      </c>
      <c r="AGO10">
        <v>12</v>
      </c>
      <c r="AGP10">
        <v>12</v>
      </c>
      <c r="AGQ10">
        <v>12</v>
      </c>
      <c r="AGR10">
        <v>12</v>
      </c>
      <c r="AGS10">
        <v>12</v>
      </c>
      <c r="AGT10">
        <v>12</v>
      </c>
      <c r="AGU10">
        <v>12</v>
      </c>
      <c r="AGV10">
        <v>12</v>
      </c>
      <c r="AGW10">
        <v>12</v>
      </c>
      <c r="AGX10">
        <v>12</v>
      </c>
      <c r="AGY10">
        <v>12</v>
      </c>
      <c r="AGZ10">
        <v>12</v>
      </c>
      <c r="AHA10">
        <v>12</v>
      </c>
      <c r="AHP10">
        <v>13</v>
      </c>
      <c r="AHQ10">
        <v>13</v>
      </c>
      <c r="AHR10">
        <v>13</v>
      </c>
      <c r="AHS10">
        <v>13</v>
      </c>
      <c r="AHT10">
        <v>13</v>
      </c>
      <c r="AHU10">
        <v>13</v>
      </c>
      <c r="AHV10">
        <v>13</v>
      </c>
      <c r="AHW10">
        <v>13</v>
      </c>
      <c r="AHX10">
        <v>13</v>
      </c>
      <c r="AHY10">
        <v>13</v>
      </c>
      <c r="AHZ10">
        <v>13</v>
      </c>
      <c r="AIA10">
        <v>13</v>
      </c>
      <c r="AIB10">
        <v>13</v>
      </c>
      <c r="AIC10">
        <v>13</v>
      </c>
      <c r="AID10">
        <v>13</v>
      </c>
      <c r="AIE10">
        <v>13</v>
      </c>
      <c r="AIF10">
        <v>13</v>
      </c>
      <c r="AIG10">
        <v>13</v>
      </c>
      <c r="AIH10">
        <v>13</v>
      </c>
      <c r="AII10">
        <v>13</v>
      </c>
      <c r="AIJ10">
        <v>13</v>
      </c>
      <c r="AIK10">
        <v>13</v>
      </c>
      <c r="AIL10">
        <v>13</v>
      </c>
      <c r="AIM10">
        <v>13</v>
      </c>
      <c r="AIN10">
        <v>13</v>
      </c>
      <c r="AIO10">
        <v>13</v>
      </c>
      <c r="AIP10">
        <v>13</v>
      </c>
      <c r="AIQ10">
        <v>13</v>
      </c>
      <c r="AIR10">
        <v>13</v>
      </c>
      <c r="AIS10">
        <v>13</v>
      </c>
      <c r="AIT10">
        <v>13</v>
      </c>
      <c r="AIU10">
        <v>13</v>
      </c>
      <c r="AIV10">
        <v>13</v>
      </c>
      <c r="AIW10">
        <v>13</v>
      </c>
      <c r="AIX10">
        <v>13</v>
      </c>
      <c r="AIY10">
        <v>13</v>
      </c>
      <c r="AIZ10">
        <v>13</v>
      </c>
      <c r="AJA10">
        <v>13</v>
      </c>
      <c r="AJB10">
        <v>13</v>
      </c>
      <c r="AJC10">
        <v>13</v>
      </c>
      <c r="AJD10">
        <v>13</v>
      </c>
      <c r="AJE10">
        <v>13</v>
      </c>
      <c r="AJF10">
        <v>13</v>
      </c>
      <c r="AJG10">
        <v>13</v>
      </c>
      <c r="AJH10">
        <v>13</v>
      </c>
      <c r="AJI10">
        <v>13</v>
      </c>
      <c r="AJJ10">
        <v>13</v>
      </c>
      <c r="AJK10">
        <v>13</v>
      </c>
      <c r="AJL10">
        <v>13</v>
      </c>
      <c r="AJM10">
        <v>13</v>
      </c>
      <c r="AJN10">
        <v>13</v>
      </c>
      <c r="AJO10">
        <v>13</v>
      </c>
      <c r="AJP10">
        <v>13</v>
      </c>
      <c r="AJQ10">
        <v>13</v>
      </c>
      <c r="AJR10">
        <v>13</v>
      </c>
      <c r="AJS10">
        <v>13</v>
      </c>
      <c r="AJT10">
        <v>13</v>
      </c>
      <c r="AJU10">
        <v>13</v>
      </c>
      <c r="AJV10">
        <v>13</v>
      </c>
      <c r="AJW10">
        <v>13</v>
      </c>
      <c r="AJX10">
        <v>13</v>
      </c>
      <c r="AJY10">
        <v>13</v>
      </c>
      <c r="AJZ10">
        <v>13</v>
      </c>
      <c r="AKA10">
        <v>13</v>
      </c>
      <c r="AKB10">
        <v>13</v>
      </c>
      <c r="AKC10">
        <v>13</v>
      </c>
      <c r="AKS10">
        <v>14</v>
      </c>
      <c r="AKT10">
        <v>14</v>
      </c>
      <c r="AKU10">
        <v>14</v>
      </c>
      <c r="AKV10">
        <v>14</v>
      </c>
      <c r="AKW10">
        <v>14</v>
      </c>
      <c r="AKX10">
        <v>14</v>
      </c>
      <c r="AKY10">
        <v>14</v>
      </c>
      <c r="AKZ10">
        <v>14</v>
      </c>
      <c r="ALA10">
        <v>14</v>
      </c>
      <c r="ALB10">
        <v>14</v>
      </c>
      <c r="ALC10">
        <v>14</v>
      </c>
      <c r="ALD10">
        <v>14</v>
      </c>
      <c r="ALE10">
        <v>14</v>
      </c>
      <c r="ALF10">
        <v>14</v>
      </c>
      <c r="ALG10">
        <v>14</v>
      </c>
      <c r="ALH10">
        <v>14</v>
      </c>
      <c r="ALI10">
        <v>14</v>
      </c>
      <c r="ALJ10">
        <v>14</v>
      </c>
      <c r="ALK10">
        <v>14</v>
      </c>
      <c r="ALL10">
        <v>14</v>
      </c>
      <c r="ALM10">
        <v>14</v>
      </c>
      <c r="ALN10">
        <v>14</v>
      </c>
      <c r="ALO10">
        <v>14</v>
      </c>
      <c r="ALP10">
        <v>14</v>
      </c>
      <c r="ALQ10">
        <v>14</v>
      </c>
      <c r="ALR10">
        <v>14</v>
      </c>
      <c r="AMG10">
        <v>15</v>
      </c>
      <c r="AMH10">
        <v>15</v>
      </c>
      <c r="AMI10">
        <v>15</v>
      </c>
      <c r="AMJ10">
        <v>15</v>
      </c>
      <c r="AMK10">
        <v>15</v>
      </c>
      <c r="AML10">
        <v>15</v>
      </c>
      <c r="AMM10">
        <v>15</v>
      </c>
      <c r="AMN10">
        <v>15</v>
      </c>
      <c r="AMO10">
        <v>15</v>
      </c>
      <c r="AMP10">
        <v>15</v>
      </c>
      <c r="AMQ10">
        <v>15</v>
      </c>
      <c r="AMR10">
        <v>15</v>
      </c>
      <c r="AMS10">
        <v>15</v>
      </c>
      <c r="AMT10">
        <v>15</v>
      </c>
      <c r="AMU10">
        <v>15</v>
      </c>
      <c r="AMV10">
        <v>15</v>
      </c>
      <c r="AMW10">
        <v>15</v>
      </c>
      <c r="AMX10">
        <v>15</v>
      </c>
      <c r="AMY10">
        <v>15</v>
      </c>
      <c r="AMZ10">
        <v>15</v>
      </c>
      <c r="ANA10">
        <v>15</v>
      </c>
      <c r="ANB10">
        <v>15</v>
      </c>
      <c r="ANC10">
        <v>15</v>
      </c>
      <c r="AND10">
        <v>15</v>
      </c>
      <c r="ANE10">
        <v>15</v>
      </c>
      <c r="ANF10">
        <v>15</v>
      </c>
      <c r="ANG10">
        <v>15</v>
      </c>
      <c r="ANH10">
        <v>15</v>
      </c>
      <c r="ANI10">
        <v>15</v>
      </c>
      <c r="ANJ10">
        <v>15</v>
      </c>
      <c r="ANK10">
        <v>15</v>
      </c>
      <c r="ANL10">
        <v>15</v>
      </c>
      <c r="ANM10">
        <v>15</v>
      </c>
      <c r="ANN10">
        <v>15</v>
      </c>
      <c r="APG10">
        <v>16</v>
      </c>
      <c r="APH10">
        <v>16</v>
      </c>
      <c r="API10">
        <v>16</v>
      </c>
      <c r="APJ10">
        <v>16</v>
      </c>
      <c r="APK10">
        <v>16</v>
      </c>
      <c r="APL10">
        <v>16</v>
      </c>
      <c r="APM10">
        <v>16</v>
      </c>
      <c r="APN10">
        <v>16</v>
      </c>
      <c r="APO10">
        <v>16</v>
      </c>
      <c r="APP10">
        <v>16</v>
      </c>
      <c r="APQ10">
        <v>16</v>
      </c>
      <c r="APR10">
        <v>16</v>
      </c>
      <c r="APS10">
        <v>16</v>
      </c>
      <c r="APT10">
        <v>16</v>
      </c>
      <c r="APU10">
        <v>16</v>
      </c>
      <c r="APV10">
        <v>16</v>
      </c>
      <c r="APW10">
        <v>16</v>
      </c>
      <c r="APX10">
        <v>16</v>
      </c>
      <c r="APY10">
        <v>16</v>
      </c>
      <c r="APZ10">
        <v>16</v>
      </c>
      <c r="AQA10">
        <v>16</v>
      </c>
      <c r="AQB10">
        <v>16</v>
      </c>
      <c r="AQC10">
        <v>16</v>
      </c>
      <c r="AQD10">
        <v>16</v>
      </c>
      <c r="AQE10">
        <v>16</v>
      </c>
      <c r="AQF10">
        <v>16</v>
      </c>
      <c r="AQG10">
        <v>16</v>
      </c>
      <c r="AQH10">
        <v>16</v>
      </c>
      <c r="AQI10">
        <v>16</v>
      </c>
      <c r="AQJ10">
        <v>16</v>
      </c>
      <c r="AQK10">
        <v>16</v>
      </c>
      <c r="AQL10">
        <v>16</v>
      </c>
      <c r="AQM10">
        <v>16</v>
      </c>
      <c r="AQN10">
        <v>16</v>
      </c>
      <c r="AQO10">
        <v>16</v>
      </c>
      <c r="AQP10">
        <v>16</v>
      </c>
      <c r="AQQ10">
        <v>16</v>
      </c>
      <c r="AQR10">
        <v>16</v>
      </c>
      <c r="AQS10">
        <v>16</v>
      </c>
      <c r="AQT10">
        <v>16</v>
      </c>
      <c r="AQU10">
        <v>16</v>
      </c>
      <c r="AQV10">
        <v>16</v>
      </c>
      <c r="AQW10">
        <v>16</v>
      </c>
      <c r="AQX10">
        <v>16</v>
      </c>
      <c r="AQY10">
        <v>16</v>
      </c>
      <c r="AQZ10">
        <v>16</v>
      </c>
      <c r="ARA10">
        <v>16</v>
      </c>
      <c r="ARB10">
        <v>16</v>
      </c>
      <c r="ARC10">
        <v>16</v>
      </c>
      <c r="ARD10">
        <v>16</v>
      </c>
      <c r="ARE10">
        <v>16</v>
      </c>
      <c r="ARF10">
        <v>16</v>
      </c>
      <c r="ARG10">
        <v>16</v>
      </c>
      <c r="ARH10">
        <v>16</v>
      </c>
      <c r="ARI10">
        <v>16</v>
      </c>
      <c r="ARJ10">
        <v>16</v>
      </c>
      <c r="ARK10">
        <v>16</v>
      </c>
      <c r="ARL10">
        <v>16</v>
      </c>
      <c r="ARM10">
        <v>16</v>
      </c>
      <c r="ARN10">
        <v>16</v>
      </c>
      <c r="ARO10">
        <v>16</v>
      </c>
      <c r="ARP10">
        <v>16</v>
      </c>
      <c r="ARQ10">
        <v>16</v>
      </c>
      <c r="ARR10">
        <v>16</v>
      </c>
      <c r="ARS10">
        <v>16</v>
      </c>
      <c r="ART10">
        <v>16</v>
      </c>
      <c r="ARU10">
        <v>16</v>
      </c>
      <c r="ARV10">
        <v>16</v>
      </c>
      <c r="ARW10">
        <v>16</v>
      </c>
      <c r="ARX10">
        <v>16</v>
      </c>
      <c r="ARY10">
        <v>16</v>
      </c>
      <c r="ASX10">
        <v>17</v>
      </c>
      <c r="ASY10">
        <v>17</v>
      </c>
      <c r="ASZ10">
        <v>17</v>
      </c>
      <c r="ATA10">
        <v>17</v>
      </c>
      <c r="ATB10">
        <v>17</v>
      </c>
      <c r="ATC10">
        <v>17</v>
      </c>
      <c r="ATD10">
        <v>17</v>
      </c>
      <c r="ATE10">
        <v>17</v>
      </c>
      <c r="ATF10">
        <v>17</v>
      </c>
      <c r="ATR10">
        <v>18</v>
      </c>
      <c r="ATS10">
        <v>18</v>
      </c>
      <c r="ATT10">
        <v>18</v>
      </c>
      <c r="ATU10">
        <v>18</v>
      </c>
      <c r="ATV10">
        <v>18</v>
      </c>
      <c r="ATW10">
        <v>18</v>
      </c>
      <c r="ATX10">
        <v>18</v>
      </c>
      <c r="ATY10">
        <v>18</v>
      </c>
      <c r="ATZ10">
        <v>18</v>
      </c>
      <c r="AUA10">
        <v>18</v>
      </c>
      <c r="AUB10">
        <v>18</v>
      </c>
      <c r="AUC10">
        <v>18</v>
      </c>
      <c r="AUD10">
        <v>18</v>
      </c>
      <c r="AUE10">
        <v>18</v>
      </c>
      <c r="AUF10">
        <v>18</v>
      </c>
      <c r="AZG10">
        <v>19</v>
      </c>
      <c r="AZH10">
        <v>19</v>
      </c>
      <c r="AZI10">
        <v>19</v>
      </c>
      <c r="AZJ10">
        <v>19</v>
      </c>
      <c r="AZK10">
        <v>19</v>
      </c>
      <c r="AZL10">
        <v>19</v>
      </c>
      <c r="AZM10">
        <v>19</v>
      </c>
      <c r="AZN10">
        <v>19</v>
      </c>
      <c r="AZO10">
        <v>19</v>
      </c>
      <c r="AZP10">
        <v>19</v>
      </c>
      <c r="AZQ10">
        <v>19</v>
      </c>
      <c r="AZR10">
        <v>19</v>
      </c>
      <c r="AZS10">
        <v>19</v>
      </c>
      <c r="AZT10">
        <v>19</v>
      </c>
      <c r="AZU10">
        <v>19</v>
      </c>
      <c r="AZV10">
        <v>19</v>
      </c>
      <c r="AZW10">
        <v>19</v>
      </c>
      <c r="AZX10">
        <v>19</v>
      </c>
      <c r="AZY10">
        <v>19</v>
      </c>
      <c r="AZZ10">
        <v>19</v>
      </c>
      <c r="BAA10">
        <v>19</v>
      </c>
      <c r="BAB10">
        <v>19</v>
      </c>
      <c r="BAC10">
        <v>19</v>
      </c>
      <c r="BAD10">
        <v>19</v>
      </c>
      <c r="BAE10">
        <v>19</v>
      </c>
      <c r="BAF10">
        <v>19</v>
      </c>
      <c r="BAG10">
        <v>19</v>
      </c>
      <c r="BAH10">
        <v>19</v>
      </c>
      <c r="BAI10">
        <v>19</v>
      </c>
      <c r="BAJ10">
        <v>19</v>
      </c>
      <c r="BAK10">
        <v>19</v>
      </c>
      <c r="BAL10">
        <v>19</v>
      </c>
      <c r="BAM10">
        <v>19</v>
      </c>
      <c r="BAN10">
        <v>19</v>
      </c>
      <c r="BAO10">
        <v>19</v>
      </c>
      <c r="BAP10">
        <v>19</v>
      </c>
      <c r="BAQ10">
        <v>19</v>
      </c>
      <c r="BAR10">
        <v>19</v>
      </c>
      <c r="BAS10">
        <v>19</v>
      </c>
      <c r="BBP10">
        <v>20</v>
      </c>
      <c r="BBQ10">
        <v>20</v>
      </c>
      <c r="BBR10">
        <v>20</v>
      </c>
      <c r="BBS10">
        <v>20</v>
      </c>
      <c r="BBT10">
        <v>20</v>
      </c>
      <c r="BBU10">
        <v>20</v>
      </c>
      <c r="BBV10">
        <v>20</v>
      </c>
      <c r="BBW10">
        <v>20</v>
      </c>
      <c r="BBX10">
        <v>20</v>
      </c>
      <c r="BBY10">
        <v>20</v>
      </c>
      <c r="BBZ10">
        <v>20</v>
      </c>
      <c r="BCA10">
        <v>20</v>
      </c>
      <c r="BCB10">
        <v>20</v>
      </c>
      <c r="BCC10">
        <v>20</v>
      </c>
      <c r="BCD10">
        <v>20</v>
      </c>
      <c r="BCE10">
        <v>20</v>
      </c>
      <c r="BCF10">
        <v>20</v>
      </c>
      <c r="BCG10">
        <v>20</v>
      </c>
      <c r="BCH10">
        <v>20</v>
      </c>
      <c r="BCI10">
        <v>20</v>
      </c>
      <c r="BCP10">
        <v>21</v>
      </c>
      <c r="BCQ10">
        <v>21</v>
      </c>
      <c r="BCR10">
        <v>21</v>
      </c>
      <c r="BCS10">
        <v>21</v>
      </c>
      <c r="BCT10">
        <v>21</v>
      </c>
      <c r="BCU10">
        <v>21</v>
      </c>
      <c r="BCV10">
        <v>21</v>
      </c>
      <c r="BCW10">
        <v>21</v>
      </c>
      <c r="BCX10">
        <v>21</v>
      </c>
      <c r="BCY10">
        <v>21</v>
      </c>
      <c r="BCZ10">
        <v>21</v>
      </c>
      <c r="BDA10">
        <v>21</v>
      </c>
      <c r="BDB10">
        <v>21</v>
      </c>
      <c r="BDC10">
        <v>21</v>
      </c>
      <c r="BDD10">
        <v>21</v>
      </c>
      <c r="BDE10">
        <v>21</v>
      </c>
      <c r="BDF10">
        <v>21</v>
      </c>
      <c r="BDG10">
        <v>21</v>
      </c>
      <c r="BDH10">
        <v>21</v>
      </c>
      <c r="BDI10">
        <v>21</v>
      </c>
      <c r="BDJ10">
        <v>21</v>
      </c>
      <c r="BDK10">
        <v>21</v>
      </c>
      <c r="BDL10">
        <v>21</v>
      </c>
      <c r="BDM10">
        <v>21</v>
      </c>
      <c r="BDN10">
        <v>21</v>
      </c>
      <c r="BDO10">
        <v>21</v>
      </c>
      <c r="BDP10">
        <v>21</v>
      </c>
      <c r="BDQ10">
        <v>21</v>
      </c>
      <c r="BDR10">
        <v>21</v>
      </c>
      <c r="BFY10">
        <v>22</v>
      </c>
      <c r="BFZ10">
        <v>22</v>
      </c>
      <c r="BGA10">
        <v>22</v>
      </c>
      <c r="BGB10">
        <v>22</v>
      </c>
      <c r="BGC10">
        <v>22</v>
      </c>
      <c r="BGD10">
        <v>22</v>
      </c>
      <c r="BGE10">
        <v>22</v>
      </c>
      <c r="BGF10">
        <v>22</v>
      </c>
      <c r="BGG10">
        <v>22</v>
      </c>
      <c r="BGH10">
        <v>22</v>
      </c>
      <c r="BGI10">
        <v>22</v>
      </c>
      <c r="BGJ10">
        <v>22</v>
      </c>
      <c r="BGK10">
        <v>22</v>
      </c>
      <c r="BGL10">
        <v>22</v>
      </c>
      <c r="BGM10">
        <v>22</v>
      </c>
      <c r="BGN10">
        <v>22</v>
      </c>
      <c r="BGO10">
        <v>22</v>
      </c>
      <c r="BGP10">
        <v>22</v>
      </c>
      <c r="BGQ10">
        <v>22</v>
      </c>
      <c r="BGR10">
        <v>22</v>
      </c>
      <c r="BGS10">
        <v>22</v>
      </c>
      <c r="BGT10">
        <v>22</v>
      </c>
      <c r="BGU10">
        <v>22</v>
      </c>
      <c r="BGV10">
        <v>22</v>
      </c>
      <c r="BGW10">
        <v>22</v>
      </c>
      <c r="BGX10">
        <v>22</v>
      </c>
      <c r="BGY10">
        <v>22</v>
      </c>
      <c r="BGZ10">
        <v>22</v>
      </c>
      <c r="BHA10">
        <v>22</v>
      </c>
      <c r="BHB10">
        <v>22</v>
      </c>
      <c r="BHC10">
        <v>22</v>
      </c>
      <c r="BHD10">
        <v>22</v>
      </c>
      <c r="BHE10">
        <v>22</v>
      </c>
      <c r="BHF10">
        <v>22</v>
      </c>
      <c r="BHG10">
        <v>22</v>
      </c>
      <c r="BHH10">
        <v>22</v>
      </c>
      <c r="BHI10">
        <v>22</v>
      </c>
      <c r="BHJ10">
        <v>22</v>
      </c>
      <c r="BHK10">
        <v>22</v>
      </c>
      <c r="BHL10">
        <v>22</v>
      </c>
      <c r="BHM10">
        <v>22</v>
      </c>
      <c r="BHN10">
        <v>22</v>
      </c>
      <c r="BHO10">
        <v>22</v>
      </c>
      <c r="BHP10">
        <v>22</v>
      </c>
      <c r="BHQ10">
        <v>22</v>
      </c>
      <c r="BHR10">
        <v>22</v>
      </c>
      <c r="BHS10">
        <v>22</v>
      </c>
      <c r="BHT10">
        <v>22</v>
      </c>
      <c r="BHU10">
        <v>22</v>
      </c>
      <c r="BHV10">
        <v>22</v>
      </c>
      <c r="BHW10">
        <v>22</v>
      </c>
      <c r="BHX10">
        <v>22</v>
      </c>
      <c r="BHY10">
        <v>22</v>
      </c>
      <c r="BHZ10">
        <v>22</v>
      </c>
      <c r="BIA10">
        <v>22</v>
      </c>
      <c r="BIB10">
        <v>22</v>
      </c>
      <c r="BIC10">
        <v>22</v>
      </c>
      <c r="BID10">
        <v>22</v>
      </c>
      <c r="BIE10">
        <v>22</v>
      </c>
      <c r="BIF10">
        <v>22</v>
      </c>
      <c r="BIG10">
        <v>22</v>
      </c>
      <c r="BIH10">
        <v>22</v>
      </c>
      <c r="BII10">
        <v>22</v>
      </c>
      <c r="BIJ10">
        <v>22</v>
      </c>
      <c r="BIK10">
        <v>22</v>
      </c>
      <c r="BIL10">
        <v>22</v>
      </c>
      <c r="BIM10">
        <v>22</v>
      </c>
      <c r="BIN10">
        <v>22</v>
      </c>
      <c r="BIO10">
        <v>22</v>
      </c>
      <c r="BIP10">
        <v>22</v>
      </c>
      <c r="BIQ10">
        <v>22</v>
      </c>
      <c r="BIR10">
        <v>22</v>
      </c>
      <c r="BIS10">
        <v>22</v>
      </c>
      <c r="BIT10">
        <v>22</v>
      </c>
      <c r="BIU10">
        <v>22</v>
      </c>
      <c r="BIV10">
        <v>22</v>
      </c>
      <c r="BIW10">
        <v>22</v>
      </c>
      <c r="BIX10">
        <v>22</v>
      </c>
      <c r="BIY10">
        <v>22</v>
      </c>
      <c r="BIZ10">
        <v>22</v>
      </c>
      <c r="BJA10">
        <v>22</v>
      </c>
      <c r="BJB10">
        <v>22</v>
      </c>
      <c r="BJC10">
        <v>22</v>
      </c>
      <c r="BJD10">
        <v>22</v>
      </c>
      <c r="BJE10">
        <v>22</v>
      </c>
      <c r="BJF10">
        <v>22</v>
      </c>
      <c r="BJG10">
        <v>22</v>
      </c>
      <c r="BJH10">
        <v>22</v>
      </c>
      <c r="BJI10">
        <v>22</v>
      </c>
      <c r="BJJ10">
        <v>22</v>
      </c>
      <c r="BJK10">
        <v>22</v>
      </c>
      <c r="BJL10">
        <v>22</v>
      </c>
      <c r="BJM10">
        <v>22</v>
      </c>
      <c r="BJN10">
        <v>22</v>
      </c>
      <c r="BJO10">
        <v>22</v>
      </c>
      <c r="BJP10">
        <v>22</v>
      </c>
      <c r="BJQ10">
        <v>22</v>
      </c>
      <c r="BJR10">
        <v>22</v>
      </c>
      <c r="BJS10">
        <v>22</v>
      </c>
      <c r="BJT10">
        <v>22</v>
      </c>
      <c r="BJU10">
        <v>22</v>
      </c>
      <c r="BJV10">
        <v>22</v>
      </c>
      <c r="BML10">
        <v>23</v>
      </c>
      <c r="BMM10">
        <v>23</v>
      </c>
      <c r="BMN10">
        <v>23</v>
      </c>
      <c r="BMO10">
        <v>23</v>
      </c>
      <c r="BMP10">
        <v>23</v>
      </c>
      <c r="BMQ10">
        <v>23</v>
      </c>
      <c r="BMR10">
        <v>23</v>
      </c>
      <c r="BMS10">
        <v>23</v>
      </c>
      <c r="BMT10">
        <v>23</v>
      </c>
      <c r="BMU10">
        <v>23</v>
      </c>
      <c r="BMV10">
        <v>23</v>
      </c>
      <c r="BMW10">
        <v>23</v>
      </c>
      <c r="BMX10">
        <v>23</v>
      </c>
      <c r="BMY10">
        <v>23</v>
      </c>
      <c r="BMZ10">
        <v>23</v>
      </c>
      <c r="BNA10">
        <v>23</v>
      </c>
      <c r="BNB10">
        <v>23</v>
      </c>
      <c r="BNC10">
        <v>23</v>
      </c>
      <c r="BND10">
        <v>23</v>
      </c>
      <c r="BNE10">
        <v>23</v>
      </c>
      <c r="BNF10">
        <v>23</v>
      </c>
      <c r="BNG10">
        <v>23</v>
      </c>
      <c r="BNH10">
        <v>23</v>
      </c>
      <c r="BNI10">
        <v>23</v>
      </c>
      <c r="BNJ10">
        <v>23</v>
      </c>
      <c r="BNK10">
        <v>23</v>
      </c>
      <c r="BNL10">
        <v>23</v>
      </c>
      <c r="BNM10">
        <v>23</v>
      </c>
      <c r="BNN10">
        <v>23</v>
      </c>
      <c r="BNO10">
        <v>23</v>
      </c>
      <c r="BNP10">
        <v>23</v>
      </c>
      <c r="BNQ10">
        <v>23</v>
      </c>
      <c r="BNR10">
        <v>23</v>
      </c>
      <c r="BNS10">
        <v>23</v>
      </c>
      <c r="BNT10">
        <v>23</v>
      </c>
      <c r="BNU10">
        <v>23</v>
      </c>
      <c r="BNV10">
        <v>23</v>
      </c>
      <c r="BNW10">
        <v>23</v>
      </c>
      <c r="BNX10">
        <v>23</v>
      </c>
      <c r="BNY10">
        <v>23</v>
      </c>
      <c r="BNZ10">
        <v>23</v>
      </c>
      <c r="BOA10">
        <v>23</v>
      </c>
      <c r="BOB10">
        <v>23</v>
      </c>
      <c r="BOC10">
        <v>23</v>
      </c>
      <c r="BOD10">
        <v>23</v>
      </c>
      <c r="BOE10">
        <v>23</v>
      </c>
      <c r="BOF10">
        <v>23</v>
      </c>
      <c r="BOG10">
        <v>23</v>
      </c>
      <c r="BOH10">
        <v>23</v>
      </c>
      <c r="BOI10">
        <v>23</v>
      </c>
      <c r="BOJ10">
        <v>23</v>
      </c>
      <c r="BOK10">
        <v>23</v>
      </c>
      <c r="BOL10">
        <v>23</v>
      </c>
      <c r="BOM10">
        <v>23</v>
      </c>
      <c r="BON10">
        <v>23</v>
      </c>
      <c r="BOO10">
        <v>23</v>
      </c>
      <c r="BOP10">
        <v>23</v>
      </c>
      <c r="BSZ10">
        <v>24</v>
      </c>
      <c r="BTA10">
        <v>24</v>
      </c>
      <c r="BTB10">
        <v>24</v>
      </c>
      <c r="BTC10">
        <v>24</v>
      </c>
      <c r="BTD10">
        <v>24</v>
      </c>
      <c r="BTE10">
        <v>24</v>
      </c>
      <c r="BTF10">
        <v>24</v>
      </c>
      <c r="BTG10">
        <v>24</v>
      </c>
      <c r="BTH10">
        <v>24</v>
      </c>
      <c r="BTI10">
        <v>24</v>
      </c>
      <c r="BTJ10">
        <v>24</v>
      </c>
      <c r="BTK10">
        <v>24</v>
      </c>
      <c r="BTL10">
        <v>24</v>
      </c>
      <c r="BTM10">
        <v>24</v>
      </c>
      <c r="BTN10">
        <v>24</v>
      </c>
      <c r="BTO10">
        <v>24</v>
      </c>
      <c r="BTP10">
        <v>24</v>
      </c>
      <c r="BTQ10">
        <v>24</v>
      </c>
      <c r="BTR10">
        <v>24</v>
      </c>
      <c r="BTS10">
        <v>24</v>
      </c>
      <c r="BTT10">
        <v>24</v>
      </c>
      <c r="BTU10">
        <v>24</v>
      </c>
      <c r="BTV10">
        <v>24</v>
      </c>
      <c r="BTW10">
        <v>24</v>
      </c>
      <c r="BTX10">
        <v>24</v>
      </c>
      <c r="BTY10">
        <v>24</v>
      </c>
      <c r="BTZ10">
        <v>24</v>
      </c>
      <c r="BUA10">
        <v>24</v>
      </c>
      <c r="BUB10">
        <v>24</v>
      </c>
      <c r="BUC10">
        <v>24</v>
      </c>
      <c r="BUD10">
        <v>24</v>
      </c>
      <c r="BUE10">
        <v>24</v>
      </c>
      <c r="BUF10">
        <v>24</v>
      </c>
      <c r="BUG10">
        <v>24</v>
      </c>
      <c r="BUH10">
        <v>24</v>
      </c>
      <c r="BUI10">
        <v>24</v>
      </c>
      <c r="BUJ10">
        <v>24</v>
      </c>
      <c r="BUK10">
        <v>24</v>
      </c>
      <c r="BUL10">
        <v>24</v>
      </c>
      <c r="BUM10">
        <v>24</v>
      </c>
      <c r="BUN10">
        <v>24</v>
      </c>
      <c r="BUO10">
        <v>24</v>
      </c>
      <c r="BUP10">
        <v>24</v>
      </c>
      <c r="BUQ10">
        <v>24</v>
      </c>
      <c r="BUR10">
        <v>24</v>
      </c>
      <c r="BUS10">
        <v>24</v>
      </c>
      <c r="BUT10">
        <v>24</v>
      </c>
      <c r="BUU10">
        <v>24</v>
      </c>
      <c r="BUV10">
        <v>24</v>
      </c>
      <c r="BUW10">
        <v>24</v>
      </c>
      <c r="BUX10">
        <v>24</v>
      </c>
      <c r="BUY10">
        <v>24</v>
      </c>
      <c r="BUZ10">
        <v>24</v>
      </c>
      <c r="BVA10">
        <v>24</v>
      </c>
      <c r="BVB10">
        <v>24</v>
      </c>
      <c r="BVC10">
        <v>24</v>
      </c>
      <c r="BVD10">
        <v>24</v>
      </c>
      <c r="BWP10">
        <v>25</v>
      </c>
      <c r="BWQ10">
        <v>25</v>
      </c>
      <c r="BWR10">
        <v>25</v>
      </c>
      <c r="BWS10">
        <v>25</v>
      </c>
      <c r="BWT10">
        <v>25</v>
      </c>
      <c r="BWU10">
        <v>25</v>
      </c>
      <c r="BWV10">
        <v>25</v>
      </c>
      <c r="BWW10">
        <v>25</v>
      </c>
      <c r="BWX10">
        <v>25</v>
      </c>
      <c r="BWY10">
        <v>25</v>
      </c>
      <c r="BWZ10">
        <v>25</v>
      </c>
      <c r="BXA10">
        <v>25</v>
      </c>
      <c r="BXB10">
        <v>25</v>
      </c>
      <c r="BXC10">
        <v>25</v>
      </c>
      <c r="BXD10">
        <v>25</v>
      </c>
      <c r="BXE10">
        <v>25</v>
      </c>
      <c r="BXF10">
        <v>25</v>
      </c>
      <c r="BXG10">
        <v>25</v>
      </c>
      <c r="BXH10">
        <v>25</v>
      </c>
      <c r="BXI10">
        <v>25</v>
      </c>
      <c r="BXJ10">
        <v>25</v>
      </c>
      <c r="BXK10">
        <v>25</v>
      </c>
      <c r="BXL10">
        <v>25</v>
      </c>
      <c r="BXM10">
        <v>25</v>
      </c>
      <c r="BXN10">
        <v>25</v>
      </c>
      <c r="BXO10">
        <v>25</v>
      </c>
      <c r="BXP10">
        <v>25</v>
      </c>
      <c r="BXQ10">
        <v>25</v>
      </c>
      <c r="BXR10">
        <v>25</v>
      </c>
      <c r="BXS10">
        <v>25</v>
      </c>
      <c r="BXT10">
        <v>25</v>
      </c>
      <c r="BXU10">
        <v>25</v>
      </c>
      <c r="BXV10">
        <v>25</v>
      </c>
      <c r="BXW10">
        <v>25</v>
      </c>
      <c r="BXX10">
        <v>25</v>
      </c>
      <c r="BXY10">
        <v>25</v>
      </c>
      <c r="BXZ10">
        <v>25</v>
      </c>
      <c r="BYA10">
        <v>25</v>
      </c>
      <c r="BYB10">
        <v>25</v>
      </c>
      <c r="BYC10">
        <v>25</v>
      </c>
      <c r="BYD10">
        <v>25</v>
      </c>
      <c r="BYE10">
        <v>25</v>
      </c>
      <c r="BYF10">
        <v>25</v>
      </c>
      <c r="BYG10">
        <v>25</v>
      </c>
      <c r="BYH10">
        <v>25</v>
      </c>
      <c r="BYI10">
        <v>25</v>
      </c>
      <c r="BYJ10">
        <v>25</v>
      </c>
      <c r="BYK10">
        <v>25</v>
      </c>
      <c r="BYL10">
        <v>25</v>
      </c>
      <c r="BYM10">
        <v>25</v>
      </c>
      <c r="BYN10">
        <v>25</v>
      </c>
      <c r="BYO10">
        <v>25</v>
      </c>
      <c r="BYP10">
        <v>25</v>
      </c>
      <c r="BYQ10">
        <v>25</v>
      </c>
      <c r="BYR10">
        <v>25</v>
      </c>
      <c r="BYS10">
        <v>25</v>
      </c>
      <c r="BYT10">
        <v>25</v>
      </c>
      <c r="BYU10">
        <v>25</v>
      </c>
      <c r="CBU10">
        <v>26</v>
      </c>
      <c r="CBV10">
        <v>26</v>
      </c>
      <c r="CBW10">
        <v>26</v>
      </c>
      <c r="CBX10">
        <v>26</v>
      </c>
      <c r="CBY10">
        <v>26</v>
      </c>
      <c r="CBZ10">
        <v>26</v>
      </c>
      <c r="CCA10">
        <v>26</v>
      </c>
      <c r="CCB10">
        <v>26</v>
      </c>
      <c r="CCC10">
        <v>26</v>
      </c>
      <c r="CCD10">
        <v>26</v>
      </c>
      <c r="CCE10">
        <v>26</v>
      </c>
      <c r="CCF10">
        <v>26</v>
      </c>
      <c r="CCG10">
        <v>26</v>
      </c>
      <c r="CCH10">
        <v>26</v>
      </c>
      <c r="CCI10">
        <v>26</v>
      </c>
      <c r="CCJ10">
        <v>26</v>
      </c>
      <c r="CCK10">
        <v>26</v>
      </c>
      <c r="CCL10">
        <v>26</v>
      </c>
      <c r="CCM10">
        <v>26</v>
      </c>
      <c r="CCN10">
        <v>26</v>
      </c>
      <c r="CCO10">
        <v>26</v>
      </c>
      <c r="CCP10">
        <v>26</v>
      </c>
      <c r="CCQ10">
        <v>26</v>
      </c>
      <c r="CCR10">
        <v>26</v>
      </c>
      <c r="CCS10">
        <v>26</v>
      </c>
      <c r="CCT10">
        <v>26</v>
      </c>
      <c r="CCU10">
        <v>26</v>
      </c>
      <c r="CCV10">
        <v>26</v>
      </c>
      <c r="CCW10">
        <v>26</v>
      </c>
      <c r="CCX10">
        <v>26</v>
      </c>
      <c r="CCY10">
        <v>26</v>
      </c>
      <c r="CEO10">
        <v>27</v>
      </c>
      <c r="CEP10">
        <v>27</v>
      </c>
      <c r="CEQ10">
        <v>27</v>
      </c>
      <c r="CER10">
        <v>27</v>
      </c>
      <c r="CES10">
        <v>27</v>
      </c>
      <c r="CET10">
        <v>27</v>
      </c>
      <c r="CEU10">
        <v>27</v>
      </c>
      <c r="CEV10">
        <v>27</v>
      </c>
      <c r="CEW10">
        <v>27</v>
      </c>
      <c r="CEX10">
        <v>27</v>
      </c>
      <c r="CEY10">
        <v>27</v>
      </c>
      <c r="CEZ10">
        <v>27</v>
      </c>
      <c r="CFA10">
        <v>27</v>
      </c>
      <c r="CFB10">
        <v>27</v>
      </c>
      <c r="CFC10">
        <v>27</v>
      </c>
      <c r="CFD10">
        <v>27</v>
      </c>
      <c r="CFE10">
        <v>27</v>
      </c>
      <c r="CFF10">
        <v>27</v>
      </c>
      <c r="CFG10">
        <v>27</v>
      </c>
      <c r="CFH10">
        <v>27</v>
      </c>
      <c r="CFI10">
        <v>27</v>
      </c>
      <c r="CFJ10">
        <v>27</v>
      </c>
      <c r="CFK10">
        <v>27</v>
      </c>
      <c r="CFL10">
        <v>27</v>
      </c>
      <c r="CFM10">
        <v>27</v>
      </c>
      <c r="CFN10">
        <v>27</v>
      </c>
      <c r="CFO10">
        <v>27</v>
      </c>
      <c r="CFP10">
        <v>27</v>
      </c>
      <c r="CFQ10">
        <v>27</v>
      </c>
      <c r="CFR10">
        <v>27</v>
      </c>
      <c r="CFS10">
        <v>27</v>
      </c>
      <c r="CFT10">
        <v>27</v>
      </c>
      <c r="CFU10">
        <v>27</v>
      </c>
      <c r="CFV10">
        <v>27</v>
      </c>
      <c r="CFW10">
        <v>27</v>
      </c>
      <c r="CFX10">
        <v>27</v>
      </c>
      <c r="CFY10">
        <v>27</v>
      </c>
      <c r="CFZ10">
        <v>27</v>
      </c>
      <c r="CGA10">
        <v>27</v>
      </c>
      <c r="CGB10">
        <v>27</v>
      </c>
      <c r="CGC10">
        <v>27</v>
      </c>
      <c r="CGD10">
        <v>27</v>
      </c>
      <c r="CGE10">
        <v>27</v>
      </c>
      <c r="CGF10">
        <v>27</v>
      </c>
      <c r="CGG10">
        <v>27</v>
      </c>
      <c r="CGH10">
        <v>27</v>
      </c>
      <c r="CGI10">
        <v>27</v>
      </c>
      <c r="CGJ10">
        <v>27</v>
      </c>
      <c r="CGK10">
        <v>27</v>
      </c>
      <c r="CGL10">
        <v>27</v>
      </c>
      <c r="CGY10">
        <v>28</v>
      </c>
      <c r="CGZ10">
        <v>28</v>
      </c>
      <c r="CHA10">
        <v>28</v>
      </c>
      <c r="CHB10">
        <v>28</v>
      </c>
      <c r="CHC10">
        <v>28</v>
      </c>
      <c r="CHD10">
        <v>28</v>
      </c>
      <c r="CHE10">
        <v>28</v>
      </c>
      <c r="CHF10">
        <v>28</v>
      </c>
      <c r="CHG10">
        <v>28</v>
      </c>
      <c r="CHH10">
        <v>28</v>
      </c>
      <c r="CHI10">
        <v>28</v>
      </c>
      <c r="CHJ10">
        <v>28</v>
      </c>
      <c r="CHK10">
        <v>28</v>
      </c>
      <c r="CHL10">
        <v>28</v>
      </c>
      <c r="CHM10">
        <v>28</v>
      </c>
      <c r="CHN10">
        <v>28</v>
      </c>
      <c r="CHO10">
        <v>28</v>
      </c>
      <c r="CHP10">
        <v>28</v>
      </c>
      <c r="CHQ10">
        <v>28</v>
      </c>
      <c r="CHR10">
        <v>28</v>
      </c>
      <c r="CHS10">
        <v>28</v>
      </c>
      <c r="CHT10">
        <v>28</v>
      </c>
      <c r="CJL10">
        <v>29</v>
      </c>
      <c r="CJM10">
        <v>29</v>
      </c>
      <c r="CJN10">
        <v>29</v>
      </c>
      <c r="CJO10">
        <v>29</v>
      </c>
      <c r="CJP10">
        <v>29</v>
      </c>
      <c r="CJQ10">
        <v>29</v>
      </c>
      <c r="CJR10">
        <v>29</v>
      </c>
      <c r="CJS10">
        <v>29</v>
      </c>
      <c r="CJT10">
        <v>29</v>
      </c>
      <c r="CJU10">
        <v>29</v>
      </c>
      <c r="CJV10">
        <v>29</v>
      </c>
      <c r="CJW10">
        <v>29</v>
      </c>
      <c r="CJX10">
        <v>29</v>
      </c>
      <c r="CJY10">
        <v>29</v>
      </c>
      <c r="CJZ10">
        <v>29</v>
      </c>
      <c r="CKA10">
        <v>29</v>
      </c>
      <c r="CKB10">
        <v>29</v>
      </c>
      <c r="CKC10">
        <v>29</v>
      </c>
      <c r="CKD10">
        <v>29</v>
      </c>
      <c r="CKE10">
        <v>29</v>
      </c>
      <c r="CKF10">
        <v>29</v>
      </c>
      <c r="CKG10">
        <v>29</v>
      </c>
      <c r="CKH10">
        <v>29</v>
      </c>
      <c r="CKI10">
        <v>29</v>
      </c>
      <c r="CKJ10">
        <v>29</v>
      </c>
      <c r="CKK10">
        <v>29</v>
      </c>
      <c r="CKL10">
        <v>29</v>
      </c>
      <c r="CKM10">
        <v>29</v>
      </c>
      <c r="CKN10">
        <v>29</v>
      </c>
      <c r="CKO10">
        <v>29</v>
      </c>
      <c r="CKP10">
        <v>29</v>
      </c>
      <c r="CKQ10">
        <v>29</v>
      </c>
      <c r="CKR10">
        <v>29</v>
      </c>
      <c r="CKS10">
        <v>29</v>
      </c>
      <c r="CKT10">
        <v>29</v>
      </c>
      <c r="CKU10">
        <v>29</v>
      </c>
      <c r="CKV10">
        <v>29</v>
      </c>
      <c r="CKW10">
        <v>29</v>
      </c>
      <c r="CKX10">
        <v>29</v>
      </c>
      <c r="CKY10">
        <v>29</v>
      </c>
      <c r="CKZ10">
        <v>29</v>
      </c>
      <c r="CLA10">
        <v>29</v>
      </c>
      <c r="CLB10">
        <v>29</v>
      </c>
      <c r="CLC10">
        <v>29</v>
      </c>
      <c r="CLD10">
        <v>29</v>
      </c>
      <c r="CLE10">
        <v>29</v>
      </c>
      <c r="CLF10">
        <v>29</v>
      </c>
      <c r="CLG10">
        <v>29</v>
      </c>
      <c r="CLH10">
        <v>29</v>
      </c>
      <c r="CLI10">
        <v>29</v>
      </c>
      <c r="CLJ10">
        <v>29</v>
      </c>
      <c r="CLK10">
        <v>29</v>
      </c>
      <c r="CLL10">
        <v>29</v>
      </c>
      <c r="CLM10">
        <v>29</v>
      </c>
      <c r="CLN10">
        <v>29</v>
      </c>
      <c r="CLO10">
        <v>29</v>
      </c>
      <c r="CLP10">
        <v>29</v>
      </c>
      <c r="CLQ10">
        <v>29</v>
      </c>
      <c r="CLR10">
        <v>29</v>
      </c>
      <c r="CLS10">
        <v>29</v>
      </c>
      <c r="CLT10">
        <v>29</v>
      </c>
      <c r="CLU10">
        <v>29</v>
      </c>
      <c r="CLV10">
        <v>29</v>
      </c>
      <c r="CLW10">
        <v>29</v>
      </c>
      <c r="CLX10">
        <v>29</v>
      </c>
      <c r="CLY10">
        <v>29</v>
      </c>
      <c r="CLZ10">
        <v>29</v>
      </c>
      <c r="CMA10">
        <v>29</v>
      </c>
      <c r="CMB10">
        <v>29</v>
      </c>
      <c r="CMC10">
        <v>29</v>
      </c>
      <c r="CMD10">
        <v>29</v>
      </c>
      <c r="CME10">
        <v>29</v>
      </c>
      <c r="CMF10">
        <v>29</v>
      </c>
      <c r="CMG10">
        <v>29</v>
      </c>
      <c r="CMH10">
        <v>29</v>
      </c>
      <c r="CMI10">
        <v>29</v>
      </c>
      <c r="CMJ10">
        <v>29</v>
      </c>
      <c r="CMK10">
        <v>29</v>
      </c>
      <c r="CML10">
        <v>29</v>
      </c>
      <c r="CMM10">
        <v>29</v>
      </c>
      <c r="CMN10">
        <v>29</v>
      </c>
      <c r="CMO10">
        <v>29</v>
      </c>
      <c r="CMP10">
        <v>29</v>
      </c>
      <c r="CMQ10">
        <v>29</v>
      </c>
      <c r="CMR10">
        <v>29</v>
      </c>
      <c r="CMS10">
        <v>29</v>
      </c>
      <c r="CMT10">
        <v>29</v>
      </c>
      <c r="CMU10">
        <v>29</v>
      </c>
      <c r="CMV10">
        <v>29</v>
      </c>
      <c r="CMW10">
        <v>29</v>
      </c>
      <c r="CMX10">
        <v>29</v>
      </c>
      <c r="CMY10">
        <v>29</v>
      </c>
      <c r="CMZ10">
        <v>29</v>
      </c>
      <c r="CNA10">
        <v>29</v>
      </c>
      <c r="CNB10">
        <v>29</v>
      </c>
      <c r="CNC10">
        <v>29</v>
      </c>
      <c r="CND10">
        <v>29</v>
      </c>
      <c r="CNE10">
        <v>29</v>
      </c>
      <c r="CNF10">
        <v>29</v>
      </c>
      <c r="CNG10">
        <v>29</v>
      </c>
      <c r="CNH10">
        <v>29</v>
      </c>
      <c r="CNI10">
        <v>29</v>
      </c>
      <c r="CNJ10">
        <v>29</v>
      </c>
      <c r="CNK10">
        <v>29</v>
      </c>
      <c r="CNL10">
        <v>29</v>
      </c>
      <c r="CNM10">
        <v>29</v>
      </c>
      <c r="CNN10">
        <v>29</v>
      </c>
      <c r="CNO10">
        <v>29</v>
      </c>
      <c r="CNP10">
        <v>29</v>
      </c>
      <c r="CNQ10">
        <v>29</v>
      </c>
      <c r="CNR10">
        <v>29</v>
      </c>
      <c r="CNS10">
        <v>29</v>
      </c>
      <c r="CNT10">
        <v>29</v>
      </c>
      <c r="CNU10">
        <v>29</v>
      </c>
      <c r="CNV10">
        <v>29</v>
      </c>
      <c r="CNW10">
        <v>29</v>
      </c>
      <c r="CNX10">
        <v>29</v>
      </c>
      <c r="CNY10">
        <v>29</v>
      </c>
      <c r="CNZ10">
        <v>29</v>
      </c>
      <c r="COA10">
        <v>29</v>
      </c>
      <c r="COB10">
        <v>29</v>
      </c>
      <c r="COC10">
        <v>29</v>
      </c>
      <c r="COD10">
        <v>29</v>
      </c>
      <c r="COE10">
        <v>29</v>
      </c>
      <c r="COF10">
        <v>29</v>
      </c>
      <c r="COG10">
        <v>29</v>
      </c>
      <c r="COH10">
        <v>29</v>
      </c>
      <c r="COI10">
        <v>29</v>
      </c>
      <c r="COJ10">
        <v>29</v>
      </c>
      <c r="COK10">
        <v>29</v>
      </c>
      <c r="COL10">
        <v>29</v>
      </c>
      <c r="COM10">
        <v>29</v>
      </c>
      <c r="CON10">
        <v>29</v>
      </c>
      <c r="COO10">
        <v>29</v>
      </c>
      <c r="COP10">
        <v>29</v>
      </c>
      <c r="COQ10">
        <v>29</v>
      </c>
      <c r="COR10">
        <v>29</v>
      </c>
      <c r="COS10">
        <v>29</v>
      </c>
      <c r="COT10">
        <v>29</v>
      </c>
      <c r="COU10">
        <v>29</v>
      </c>
      <c r="COV10">
        <v>29</v>
      </c>
      <c r="COW10">
        <v>29</v>
      </c>
      <c r="COX10">
        <v>29</v>
      </c>
      <c r="COY10">
        <v>29</v>
      </c>
      <c r="COZ10">
        <v>29</v>
      </c>
      <c r="CPA10">
        <v>29</v>
      </c>
      <c r="CPB10">
        <v>29</v>
      </c>
      <c r="CPC10">
        <v>29</v>
      </c>
      <c r="CPD10">
        <v>29</v>
      </c>
      <c r="CQA10">
        <v>30</v>
      </c>
      <c r="CQB10">
        <v>30</v>
      </c>
      <c r="CQC10">
        <v>30</v>
      </c>
      <c r="CQD10">
        <v>30</v>
      </c>
      <c r="CQE10">
        <v>30</v>
      </c>
      <c r="CQF10">
        <v>30</v>
      </c>
      <c r="CQG10">
        <v>30</v>
      </c>
      <c r="CQH10">
        <v>30</v>
      </c>
      <c r="CQI10">
        <v>30</v>
      </c>
      <c r="CQJ10">
        <v>30</v>
      </c>
      <c r="CQK10">
        <v>30</v>
      </c>
      <c r="CQL10">
        <v>30</v>
      </c>
      <c r="CQM10">
        <v>30</v>
      </c>
      <c r="CQN10">
        <v>30</v>
      </c>
      <c r="CQO10">
        <v>30</v>
      </c>
      <c r="CQP10">
        <v>30</v>
      </c>
      <c r="CQQ10">
        <v>30</v>
      </c>
      <c r="CQR10">
        <v>30</v>
      </c>
      <c r="CQS10">
        <v>30</v>
      </c>
      <c r="CQT10">
        <v>30</v>
      </c>
      <c r="CQU10">
        <v>30</v>
      </c>
      <c r="CQV10">
        <v>30</v>
      </c>
      <c r="CQW10">
        <v>30</v>
      </c>
      <c r="CQX10">
        <v>30</v>
      </c>
      <c r="CUO10">
        <v>31</v>
      </c>
      <c r="CUP10">
        <v>31</v>
      </c>
      <c r="CUQ10">
        <v>31</v>
      </c>
      <c r="CUR10">
        <v>31</v>
      </c>
      <c r="CUS10">
        <v>31</v>
      </c>
      <c r="CUT10">
        <v>31</v>
      </c>
      <c r="CUU10">
        <v>31</v>
      </c>
      <c r="CUV10">
        <v>31</v>
      </c>
      <c r="CUW10">
        <v>31</v>
      </c>
      <c r="CUX10">
        <v>31</v>
      </c>
      <c r="CUY10">
        <v>31</v>
      </c>
      <c r="CUZ10">
        <v>31</v>
      </c>
      <c r="CWO10">
        <v>32</v>
      </c>
      <c r="CWP10">
        <v>32</v>
      </c>
      <c r="CWQ10">
        <v>32</v>
      </c>
      <c r="CWR10">
        <v>32</v>
      </c>
      <c r="CWS10">
        <v>32</v>
      </c>
      <c r="CWT10">
        <v>32</v>
      </c>
      <c r="CWU10">
        <v>32</v>
      </c>
      <c r="CWV10">
        <v>32</v>
      </c>
      <c r="CWW10">
        <v>32</v>
      </c>
      <c r="CWX10">
        <v>32</v>
      </c>
      <c r="CWY10">
        <v>32</v>
      </c>
      <c r="CWZ10">
        <v>32</v>
      </c>
      <c r="CXA10">
        <v>32</v>
      </c>
      <c r="CXB10">
        <v>32</v>
      </c>
      <c r="CXC10">
        <v>32</v>
      </c>
      <c r="CXD10">
        <v>32</v>
      </c>
      <c r="CXE10">
        <v>32</v>
      </c>
      <c r="CXF10">
        <v>32</v>
      </c>
      <c r="CXG10">
        <v>32</v>
      </c>
      <c r="CXH10">
        <v>32</v>
      </c>
      <c r="CXI10">
        <v>32</v>
      </c>
      <c r="CXJ10">
        <v>32</v>
      </c>
      <c r="CXK10">
        <v>32</v>
      </c>
      <c r="CXL10">
        <v>32</v>
      </c>
      <c r="CXM10">
        <v>32</v>
      </c>
      <c r="CXN10">
        <v>32</v>
      </c>
      <c r="CXO10">
        <v>32</v>
      </c>
      <c r="CXP10">
        <v>32</v>
      </c>
      <c r="CXQ10">
        <v>32</v>
      </c>
      <c r="CXR10">
        <v>32</v>
      </c>
      <c r="CXS10">
        <v>32</v>
      </c>
      <c r="CXT10">
        <v>32</v>
      </c>
      <c r="CXU10">
        <v>32</v>
      </c>
      <c r="CXV10">
        <v>32</v>
      </c>
      <c r="CXW10">
        <v>32</v>
      </c>
      <c r="CXX10">
        <v>32</v>
      </c>
      <c r="CXY10">
        <v>32</v>
      </c>
      <c r="CXZ10">
        <v>32</v>
      </c>
      <c r="CYA10">
        <v>32</v>
      </c>
      <c r="CYB10">
        <v>32</v>
      </c>
      <c r="CYC10">
        <v>32</v>
      </c>
      <c r="CYD10">
        <v>32</v>
      </c>
      <c r="CYE10">
        <v>32</v>
      </c>
      <c r="CYF10">
        <v>32</v>
      </c>
      <c r="CYG10">
        <v>32</v>
      </c>
      <c r="CYH10">
        <v>32</v>
      </c>
      <c r="CYI10">
        <v>32</v>
      </c>
      <c r="CYJ10">
        <v>32</v>
      </c>
      <c r="CYK10">
        <v>32</v>
      </c>
      <c r="CYL10">
        <v>32</v>
      </c>
      <c r="CYM10">
        <v>32</v>
      </c>
      <c r="CYN10">
        <v>32</v>
      </c>
      <c r="CYO10">
        <v>32</v>
      </c>
      <c r="CYP10">
        <v>32</v>
      </c>
      <c r="CYQ10">
        <v>32</v>
      </c>
      <c r="CYR10">
        <v>32</v>
      </c>
      <c r="CYS10">
        <v>32</v>
      </c>
      <c r="CYT10">
        <v>32</v>
      </c>
      <c r="CYU10">
        <v>32</v>
      </c>
      <c r="CYV10">
        <v>32</v>
      </c>
      <c r="CYW10">
        <v>32</v>
      </c>
      <c r="CYX10">
        <v>32</v>
      </c>
      <c r="CZO10">
        <v>33</v>
      </c>
      <c r="CZP10">
        <v>33</v>
      </c>
      <c r="CZQ10">
        <v>33</v>
      </c>
      <c r="CZR10">
        <v>33</v>
      </c>
      <c r="CZS10">
        <v>33</v>
      </c>
      <c r="CZT10">
        <v>33</v>
      </c>
      <c r="CZU10">
        <v>33</v>
      </c>
      <c r="CZV10">
        <v>33</v>
      </c>
      <c r="CZW10">
        <v>33</v>
      </c>
      <c r="DCF10">
        <v>34</v>
      </c>
      <c r="DCG10">
        <v>34</v>
      </c>
      <c r="DCH10">
        <v>34</v>
      </c>
      <c r="DCI10">
        <v>34</v>
      </c>
      <c r="DCJ10">
        <v>34</v>
      </c>
      <c r="DCK10">
        <v>34</v>
      </c>
      <c r="DCL10">
        <v>34</v>
      </c>
      <c r="DCM10">
        <v>34</v>
      </c>
      <c r="DCN10">
        <v>34</v>
      </c>
      <c r="DCO10">
        <v>34</v>
      </c>
      <c r="DCP10">
        <v>34</v>
      </c>
      <c r="DCQ10">
        <v>34</v>
      </c>
      <c r="DCR10">
        <v>34</v>
      </c>
      <c r="DCS10">
        <v>34</v>
      </c>
      <c r="DCT10">
        <v>34</v>
      </c>
      <c r="DCU10">
        <v>34</v>
      </c>
      <c r="DCV10">
        <v>34</v>
      </c>
      <c r="DCW10">
        <v>34</v>
      </c>
      <c r="DDN10">
        <v>35</v>
      </c>
      <c r="DDO10">
        <v>35</v>
      </c>
      <c r="DDP10">
        <v>35</v>
      </c>
      <c r="DDQ10">
        <v>35</v>
      </c>
      <c r="DDR10">
        <v>35</v>
      </c>
      <c r="DDS10">
        <v>35</v>
      </c>
      <c r="DDT10">
        <v>35</v>
      </c>
      <c r="DDU10">
        <v>35</v>
      </c>
      <c r="DDV10">
        <v>35</v>
      </c>
      <c r="DDW10">
        <v>35</v>
      </c>
      <c r="DDX10">
        <v>35</v>
      </c>
      <c r="DDY10">
        <v>35</v>
      </c>
      <c r="DDZ10">
        <v>35</v>
      </c>
      <c r="DEA10">
        <v>35</v>
      </c>
      <c r="DEB10">
        <v>35</v>
      </c>
      <c r="DEC10">
        <v>35</v>
      </c>
      <c r="DED10">
        <v>35</v>
      </c>
      <c r="DEE10">
        <v>35</v>
      </c>
      <c r="DEF10">
        <v>35</v>
      </c>
      <c r="DEG10">
        <v>35</v>
      </c>
      <c r="DEH10">
        <v>35</v>
      </c>
      <c r="DEI10">
        <v>35</v>
      </c>
      <c r="DEJ10">
        <v>35</v>
      </c>
      <c r="DEK10">
        <v>35</v>
      </c>
      <c r="DEL10">
        <v>35</v>
      </c>
      <c r="DEM10">
        <v>35</v>
      </c>
      <c r="DEN10">
        <v>35</v>
      </c>
      <c r="DEO10">
        <v>35</v>
      </c>
      <c r="DEP10">
        <v>35</v>
      </c>
      <c r="DEQ10">
        <v>35</v>
      </c>
      <c r="DER10">
        <v>35</v>
      </c>
      <c r="DES10">
        <v>35</v>
      </c>
      <c r="DET10">
        <v>35</v>
      </c>
      <c r="DEU10">
        <v>35</v>
      </c>
      <c r="DEV10">
        <v>35</v>
      </c>
      <c r="DEW10">
        <v>35</v>
      </c>
      <c r="DEX10">
        <v>35</v>
      </c>
      <c r="DEY10">
        <v>35</v>
      </c>
      <c r="DEZ10">
        <v>35</v>
      </c>
      <c r="DFA10">
        <v>35</v>
      </c>
      <c r="DFB10">
        <v>35</v>
      </c>
      <c r="DFC10">
        <v>35</v>
      </c>
      <c r="DGJ10">
        <v>36</v>
      </c>
      <c r="DGK10">
        <v>36</v>
      </c>
      <c r="DGL10">
        <v>36</v>
      </c>
      <c r="DGM10">
        <v>36</v>
      </c>
      <c r="DGN10">
        <v>36</v>
      </c>
      <c r="DGO10">
        <v>36</v>
      </c>
      <c r="DGP10">
        <v>36</v>
      </c>
      <c r="DGQ10">
        <v>36</v>
      </c>
      <c r="DGR10">
        <v>36</v>
      </c>
      <c r="DGS10">
        <v>36</v>
      </c>
      <c r="DGT10">
        <v>36</v>
      </c>
      <c r="DGU10">
        <v>36</v>
      </c>
      <c r="DGV10">
        <v>36</v>
      </c>
      <c r="DGW10">
        <v>36</v>
      </c>
      <c r="DGX10">
        <v>36</v>
      </c>
      <c r="DGY10">
        <v>36</v>
      </c>
      <c r="DHQ10">
        <v>37</v>
      </c>
      <c r="DHR10">
        <v>37</v>
      </c>
      <c r="DHS10">
        <v>37</v>
      </c>
      <c r="DHT10">
        <v>37</v>
      </c>
      <c r="DHU10">
        <v>37</v>
      </c>
      <c r="DHV10">
        <v>37</v>
      </c>
      <c r="DHW10">
        <v>37</v>
      </c>
      <c r="DHX10">
        <v>37</v>
      </c>
      <c r="DHY10">
        <v>37</v>
      </c>
      <c r="DHZ10">
        <v>37</v>
      </c>
      <c r="DIA10">
        <v>37</v>
      </c>
      <c r="DIB10">
        <v>37</v>
      </c>
      <c r="DIC10">
        <v>37</v>
      </c>
      <c r="DID10">
        <v>37</v>
      </c>
      <c r="DIE10">
        <v>37</v>
      </c>
      <c r="DIF10">
        <v>37</v>
      </c>
      <c r="DIG10">
        <v>37</v>
      </c>
      <c r="DIH10">
        <v>37</v>
      </c>
      <c r="DII10">
        <v>37</v>
      </c>
      <c r="DIJ10">
        <v>37</v>
      </c>
      <c r="DIK10">
        <v>37</v>
      </c>
      <c r="DIL10">
        <v>37</v>
      </c>
      <c r="DIM10">
        <v>37</v>
      </c>
      <c r="DKL10">
        <v>38</v>
      </c>
      <c r="DKM10">
        <v>38</v>
      </c>
      <c r="DKN10">
        <v>38</v>
      </c>
      <c r="DKO10">
        <v>38</v>
      </c>
      <c r="DKP10">
        <v>38</v>
      </c>
      <c r="DKQ10">
        <v>38</v>
      </c>
      <c r="DKR10">
        <v>38</v>
      </c>
      <c r="DKS10">
        <v>38</v>
      </c>
      <c r="DKT10">
        <v>38</v>
      </c>
      <c r="DKU10">
        <v>38</v>
      </c>
      <c r="DKV10">
        <v>38</v>
      </c>
      <c r="DKW10">
        <v>38</v>
      </c>
      <c r="DKX10">
        <v>38</v>
      </c>
      <c r="DKY10">
        <v>38</v>
      </c>
      <c r="DKZ10">
        <v>38</v>
      </c>
      <c r="DLA10">
        <v>38</v>
      </c>
      <c r="DLB10">
        <v>38</v>
      </c>
      <c r="DLC10">
        <v>38</v>
      </c>
      <c r="DLD10">
        <v>38</v>
      </c>
      <c r="DLE10">
        <v>38</v>
      </c>
      <c r="DLF10">
        <v>38</v>
      </c>
      <c r="DLG10">
        <v>38</v>
      </c>
      <c r="DLH10">
        <v>38</v>
      </c>
      <c r="DLI10">
        <v>38</v>
      </c>
      <c r="DLJ10">
        <v>38</v>
      </c>
      <c r="DLK10">
        <v>38</v>
      </c>
      <c r="DLL10">
        <v>38</v>
      </c>
      <c r="DLM10">
        <v>38</v>
      </c>
      <c r="DLN10">
        <v>38</v>
      </c>
      <c r="DLO10">
        <v>38</v>
      </c>
      <c r="DLP10">
        <v>38</v>
      </c>
      <c r="DLQ10">
        <v>38</v>
      </c>
      <c r="DLR10">
        <v>38</v>
      </c>
      <c r="DLS10">
        <v>38</v>
      </c>
      <c r="DLT10">
        <v>38</v>
      </c>
      <c r="DLU10">
        <v>38</v>
      </c>
      <c r="DLV10">
        <v>38</v>
      </c>
      <c r="DLW10">
        <v>38</v>
      </c>
      <c r="DLX10">
        <v>38</v>
      </c>
      <c r="DLY10">
        <v>38</v>
      </c>
      <c r="DLZ10">
        <v>38</v>
      </c>
      <c r="DMA10">
        <v>38</v>
      </c>
      <c r="DMB10">
        <v>38</v>
      </c>
      <c r="DMC10">
        <v>38</v>
      </c>
      <c r="DMD10">
        <v>38</v>
      </c>
      <c r="DME10">
        <v>38</v>
      </c>
      <c r="DMF10">
        <v>38</v>
      </c>
      <c r="DMG10">
        <v>38</v>
      </c>
      <c r="DMH10">
        <v>38</v>
      </c>
      <c r="DMI10">
        <v>38</v>
      </c>
      <c r="DMJ10">
        <v>38</v>
      </c>
      <c r="DMK10">
        <v>38</v>
      </c>
      <c r="DML10">
        <v>38</v>
      </c>
      <c r="DMM10">
        <v>38</v>
      </c>
      <c r="DMN10">
        <v>38</v>
      </c>
      <c r="DMO10">
        <v>38</v>
      </c>
      <c r="DMP10">
        <v>38</v>
      </c>
      <c r="DMQ10">
        <v>38</v>
      </c>
      <c r="DNH10">
        <v>39</v>
      </c>
      <c r="DNI10">
        <v>39</v>
      </c>
      <c r="DNJ10">
        <v>39</v>
      </c>
      <c r="DNK10">
        <v>39</v>
      </c>
      <c r="DNL10">
        <v>39</v>
      </c>
      <c r="DNM10">
        <v>39</v>
      </c>
      <c r="DNN10">
        <v>39</v>
      </c>
      <c r="DNO10">
        <v>39</v>
      </c>
      <c r="DNP10">
        <v>39</v>
      </c>
      <c r="DNQ10">
        <v>39</v>
      </c>
      <c r="DNR10">
        <v>39</v>
      </c>
      <c r="DNS10">
        <v>39</v>
      </c>
      <c r="DNT10">
        <v>39</v>
      </c>
      <c r="DNU10">
        <v>39</v>
      </c>
      <c r="DNV10">
        <v>39</v>
      </c>
      <c r="DNW10">
        <v>39</v>
      </c>
      <c r="DQH10">
        <v>40</v>
      </c>
      <c r="DQI10">
        <v>40</v>
      </c>
      <c r="DQJ10">
        <v>40</v>
      </c>
      <c r="DQK10">
        <v>40</v>
      </c>
      <c r="DQL10">
        <v>40</v>
      </c>
      <c r="DQX10">
        <v>41</v>
      </c>
      <c r="DQY10">
        <v>41</v>
      </c>
      <c r="DQZ10">
        <v>41</v>
      </c>
      <c r="DRA10">
        <v>41</v>
      </c>
      <c r="DRB10">
        <v>41</v>
      </c>
      <c r="DRC10">
        <v>41</v>
      </c>
      <c r="DRD10">
        <v>41</v>
      </c>
      <c r="DRE10">
        <v>41</v>
      </c>
      <c r="DRF10">
        <v>41</v>
      </c>
      <c r="DRG10">
        <v>41</v>
      </c>
      <c r="DRH10">
        <v>41</v>
      </c>
      <c r="DRI10">
        <v>41</v>
      </c>
      <c r="DRJ10">
        <v>41</v>
      </c>
      <c r="DRK10">
        <v>41</v>
      </c>
      <c r="DRL10">
        <v>41</v>
      </c>
      <c r="DRM10">
        <v>41</v>
      </c>
      <c r="DRN10">
        <v>41</v>
      </c>
      <c r="DRO10">
        <v>41</v>
      </c>
      <c r="DSC10">
        <v>42</v>
      </c>
      <c r="DSD10">
        <v>42</v>
      </c>
      <c r="DSE10">
        <v>42</v>
      </c>
      <c r="DSF10">
        <v>42</v>
      </c>
      <c r="DSG10">
        <v>42</v>
      </c>
      <c r="DSH10">
        <v>42</v>
      </c>
      <c r="DSI10">
        <v>42</v>
      </c>
      <c r="DSJ10">
        <v>42</v>
      </c>
      <c r="DSK10">
        <v>42</v>
      </c>
      <c r="DSL10">
        <v>42</v>
      </c>
      <c r="DSM10">
        <v>42</v>
      </c>
      <c r="DSN10">
        <v>42</v>
      </c>
      <c r="DSO10">
        <v>42</v>
      </c>
      <c r="DSP10">
        <v>42</v>
      </c>
      <c r="DSQ10">
        <v>42</v>
      </c>
      <c r="DSR10">
        <v>42</v>
      </c>
      <c r="DSS10">
        <v>42</v>
      </c>
      <c r="DST10">
        <v>42</v>
      </c>
      <c r="DSU10">
        <v>42</v>
      </c>
      <c r="DSV10">
        <v>42</v>
      </c>
      <c r="DSW10">
        <v>42</v>
      </c>
      <c r="DSX10">
        <v>42</v>
      </c>
      <c r="DSY10">
        <v>42</v>
      </c>
      <c r="DSZ10">
        <v>42</v>
      </c>
      <c r="DTA10">
        <v>42</v>
      </c>
      <c r="DTB10">
        <v>42</v>
      </c>
      <c r="DTC10">
        <v>42</v>
      </c>
      <c r="DTD10">
        <v>42</v>
      </c>
      <c r="DTE10">
        <v>42</v>
      </c>
      <c r="DTF10">
        <v>42</v>
      </c>
      <c r="DTG10">
        <v>42</v>
      </c>
      <c r="DTH10">
        <v>42</v>
      </c>
      <c r="DTI10">
        <v>42</v>
      </c>
      <c r="DTJ10">
        <v>42</v>
      </c>
      <c r="DTK10">
        <v>42</v>
      </c>
      <c r="DTL10">
        <v>42</v>
      </c>
      <c r="DTM10">
        <v>42</v>
      </c>
      <c r="DTN10">
        <v>42</v>
      </c>
      <c r="DTO10">
        <v>42</v>
      </c>
      <c r="DTP10">
        <v>42</v>
      </c>
      <c r="DTQ10">
        <v>42</v>
      </c>
      <c r="DTR10">
        <v>42</v>
      </c>
      <c r="DTS10">
        <v>42</v>
      </c>
      <c r="DTT10">
        <v>42</v>
      </c>
      <c r="DTU10">
        <v>42</v>
      </c>
      <c r="DTV10">
        <v>42</v>
      </c>
      <c r="DTW10">
        <v>42</v>
      </c>
      <c r="DTX10">
        <v>42</v>
      </c>
      <c r="DTY10">
        <v>42</v>
      </c>
      <c r="DTZ10">
        <v>42</v>
      </c>
      <c r="DUA10">
        <v>42</v>
      </c>
      <c r="DUB10">
        <v>42</v>
      </c>
      <c r="DUC10">
        <v>42</v>
      </c>
      <c r="DUD10">
        <v>42</v>
      </c>
      <c r="DUE10">
        <v>42</v>
      </c>
      <c r="DUF10">
        <v>42</v>
      </c>
      <c r="DUG10">
        <v>42</v>
      </c>
      <c r="DUH10">
        <v>42</v>
      </c>
      <c r="DUI10">
        <v>42</v>
      </c>
      <c r="DUJ10">
        <v>42</v>
      </c>
      <c r="DVK10">
        <v>43</v>
      </c>
      <c r="DVL10">
        <v>43</v>
      </c>
      <c r="DVM10">
        <v>43</v>
      </c>
      <c r="DVN10">
        <v>43</v>
      </c>
      <c r="DVO10">
        <v>43</v>
      </c>
      <c r="DVP10">
        <v>43</v>
      </c>
      <c r="DVQ10">
        <v>43</v>
      </c>
      <c r="DVR10">
        <v>43</v>
      </c>
      <c r="DVS10">
        <v>43</v>
      </c>
      <c r="DVT10">
        <v>43</v>
      </c>
      <c r="DVU10">
        <v>43</v>
      </c>
      <c r="DVV10">
        <v>43</v>
      </c>
      <c r="DVW10">
        <v>43</v>
      </c>
      <c r="DVX10">
        <v>43</v>
      </c>
      <c r="DVY10">
        <v>43</v>
      </c>
      <c r="DVZ10">
        <v>43</v>
      </c>
      <c r="DWA10">
        <v>43</v>
      </c>
      <c r="DWB10">
        <v>43</v>
      </c>
      <c r="DWC10">
        <v>43</v>
      </c>
      <c r="DWD10">
        <v>43</v>
      </c>
      <c r="DWE10">
        <v>43</v>
      </c>
      <c r="DWF10">
        <v>43</v>
      </c>
      <c r="DWG10">
        <v>43</v>
      </c>
      <c r="DWH10">
        <v>43</v>
      </c>
      <c r="DWI10">
        <v>43</v>
      </c>
      <c r="DWJ10">
        <v>43</v>
      </c>
      <c r="DWK10">
        <v>43</v>
      </c>
      <c r="DWL10">
        <v>43</v>
      </c>
      <c r="DWM10">
        <v>43</v>
      </c>
      <c r="DWN10">
        <v>43</v>
      </c>
      <c r="DWO10">
        <v>43</v>
      </c>
      <c r="DWP10">
        <v>43</v>
      </c>
      <c r="DYL10">
        <v>44</v>
      </c>
      <c r="DYM10">
        <v>44</v>
      </c>
      <c r="DYN10">
        <v>44</v>
      </c>
      <c r="DYO10">
        <v>44</v>
      </c>
      <c r="DYP10">
        <v>44</v>
      </c>
      <c r="DYQ10">
        <v>44</v>
      </c>
      <c r="DYR10">
        <v>44</v>
      </c>
      <c r="DYS10">
        <v>44</v>
      </c>
      <c r="DYT10">
        <v>44</v>
      </c>
      <c r="DYU10">
        <v>44</v>
      </c>
      <c r="DYV10">
        <v>44</v>
      </c>
      <c r="DYW10">
        <v>44</v>
      </c>
      <c r="DYX10">
        <v>44</v>
      </c>
      <c r="DYY10">
        <v>44</v>
      </c>
      <c r="DYZ10">
        <v>44</v>
      </c>
      <c r="DZA10">
        <v>44</v>
      </c>
      <c r="DZB10">
        <v>44</v>
      </c>
      <c r="DZC10">
        <v>44</v>
      </c>
      <c r="DZD10">
        <v>44</v>
      </c>
      <c r="DZE10">
        <v>44</v>
      </c>
      <c r="DZF10">
        <v>44</v>
      </c>
      <c r="DZG10">
        <v>44</v>
      </c>
      <c r="DZH10">
        <v>44</v>
      </c>
      <c r="DZI10">
        <v>44</v>
      </c>
      <c r="DZJ10">
        <v>44</v>
      </c>
      <c r="DZK10">
        <v>44</v>
      </c>
      <c r="DZL10">
        <v>44</v>
      </c>
      <c r="DZM10">
        <v>44</v>
      </c>
      <c r="DZN10">
        <v>44</v>
      </c>
      <c r="DZO10">
        <v>44</v>
      </c>
      <c r="DZP10">
        <v>44</v>
      </c>
      <c r="DZQ10">
        <v>44</v>
      </c>
      <c r="DZR10">
        <v>44</v>
      </c>
      <c r="DZS10">
        <v>44</v>
      </c>
      <c r="DZT10">
        <v>44</v>
      </c>
      <c r="DZU10">
        <v>44</v>
      </c>
      <c r="DZV10">
        <v>44</v>
      </c>
      <c r="DZW10">
        <v>44</v>
      </c>
      <c r="DZX10">
        <v>44</v>
      </c>
      <c r="DZY10">
        <v>44</v>
      </c>
      <c r="DZZ10">
        <v>44</v>
      </c>
      <c r="EAA10">
        <v>44</v>
      </c>
      <c r="EAB10">
        <v>44</v>
      </c>
      <c r="EAC10">
        <v>44</v>
      </c>
      <c r="EAD10">
        <v>44</v>
      </c>
      <c r="EAE10">
        <v>44</v>
      </c>
      <c r="EAF10">
        <v>44</v>
      </c>
      <c r="EAG10">
        <v>44</v>
      </c>
      <c r="EAH10">
        <v>44</v>
      </c>
      <c r="EAI10">
        <v>44</v>
      </c>
      <c r="EAV10">
        <v>45</v>
      </c>
      <c r="EAW10">
        <v>45</v>
      </c>
      <c r="EAX10">
        <v>45</v>
      </c>
      <c r="EAY10">
        <v>45</v>
      </c>
      <c r="EAZ10">
        <v>45</v>
      </c>
      <c r="EBA10">
        <v>45</v>
      </c>
      <c r="EBB10">
        <v>45</v>
      </c>
      <c r="EBC10">
        <v>45</v>
      </c>
      <c r="EBD10">
        <v>45</v>
      </c>
      <c r="EBE10">
        <v>45</v>
      </c>
      <c r="EBF10">
        <v>45</v>
      </c>
      <c r="EBG10">
        <v>45</v>
      </c>
      <c r="EBH10">
        <v>45</v>
      </c>
      <c r="EBI10">
        <v>45</v>
      </c>
      <c r="EBJ10">
        <v>45</v>
      </c>
      <c r="EBK10">
        <v>45</v>
      </c>
      <c r="EBL10">
        <v>45</v>
      </c>
      <c r="EBM10">
        <v>45</v>
      </c>
      <c r="EBN10">
        <v>45</v>
      </c>
      <c r="EBO10">
        <v>45</v>
      </c>
      <c r="EBP10">
        <v>45</v>
      </c>
      <c r="EBQ10">
        <v>45</v>
      </c>
      <c r="EBR10">
        <v>45</v>
      </c>
      <c r="EBS10">
        <v>45</v>
      </c>
      <c r="EBT10">
        <v>45</v>
      </c>
      <c r="EBU10">
        <v>45</v>
      </c>
      <c r="EBV10">
        <v>45</v>
      </c>
      <c r="EBW10">
        <v>45</v>
      </c>
      <c r="EBX10">
        <v>45</v>
      </c>
      <c r="EBY10">
        <v>45</v>
      </c>
      <c r="EBZ10">
        <v>45</v>
      </c>
      <c r="ECA10">
        <v>45</v>
      </c>
      <c r="ECB10">
        <v>45</v>
      </c>
      <c r="ECC10">
        <v>45</v>
      </c>
      <c r="ECD10">
        <v>45</v>
      </c>
      <c r="ECE10">
        <v>45</v>
      </c>
      <c r="ECF10">
        <v>45</v>
      </c>
      <c r="ECG10">
        <v>45</v>
      </c>
      <c r="ECH10">
        <v>45</v>
      </c>
      <c r="ECI10">
        <v>45</v>
      </c>
      <c r="ECJ10">
        <v>45</v>
      </c>
      <c r="ECK10">
        <v>45</v>
      </c>
      <c r="ECL10">
        <v>45</v>
      </c>
      <c r="ECM10">
        <v>45</v>
      </c>
      <c r="ECN10">
        <v>45</v>
      </c>
      <c r="ECT10">
        <v>46</v>
      </c>
      <c r="ECU10">
        <v>46</v>
      </c>
      <c r="ECV10">
        <v>46</v>
      </c>
      <c r="ECW10">
        <v>46</v>
      </c>
      <c r="ECX10">
        <v>46</v>
      </c>
      <c r="ECY10">
        <v>46</v>
      </c>
      <c r="ECZ10">
        <v>46</v>
      </c>
      <c r="EDA10">
        <v>46</v>
      </c>
      <c r="EDB10">
        <v>46</v>
      </c>
      <c r="EDC10">
        <v>46</v>
      </c>
      <c r="EDD10">
        <v>46</v>
      </c>
      <c r="EDE10">
        <v>46</v>
      </c>
      <c r="EDF10">
        <v>46</v>
      </c>
      <c r="EDG10">
        <v>46</v>
      </c>
      <c r="EDH10">
        <v>46</v>
      </c>
      <c r="EDI10">
        <v>46</v>
      </c>
      <c r="EDJ10">
        <v>46</v>
      </c>
      <c r="EDK10">
        <v>46</v>
      </c>
      <c r="EDL10">
        <v>46</v>
      </c>
      <c r="EDM10">
        <v>46</v>
      </c>
      <c r="EDN10">
        <v>46</v>
      </c>
      <c r="EDO10">
        <v>46</v>
      </c>
      <c r="EDP10">
        <v>46</v>
      </c>
      <c r="EDQ10">
        <v>46</v>
      </c>
      <c r="EDR10">
        <v>46</v>
      </c>
      <c r="EDS10">
        <v>46</v>
      </c>
      <c r="EDT10">
        <v>46</v>
      </c>
      <c r="EDU10">
        <v>46</v>
      </c>
      <c r="EDV10">
        <v>46</v>
      </c>
      <c r="EDW10">
        <v>46</v>
      </c>
      <c r="EDX10">
        <v>46</v>
      </c>
      <c r="EDY10">
        <v>46</v>
      </c>
      <c r="EDZ10">
        <v>46</v>
      </c>
      <c r="EEA10">
        <v>46</v>
      </c>
      <c r="EEB10">
        <v>46</v>
      </c>
      <c r="EEC10">
        <v>46</v>
      </c>
      <c r="EED10">
        <v>46</v>
      </c>
      <c r="EET10">
        <v>47</v>
      </c>
      <c r="EEU10">
        <v>47</v>
      </c>
      <c r="EEV10">
        <v>47</v>
      </c>
      <c r="EEW10">
        <v>47</v>
      </c>
      <c r="EEX10">
        <v>47</v>
      </c>
      <c r="EEY10">
        <v>47</v>
      </c>
      <c r="EEZ10">
        <v>47</v>
      </c>
      <c r="EFA10">
        <v>47</v>
      </c>
      <c r="EFB10">
        <v>47</v>
      </c>
      <c r="EFC10">
        <v>47</v>
      </c>
      <c r="EFD10">
        <v>47</v>
      </c>
      <c r="EFE10">
        <v>47</v>
      </c>
      <c r="EFF10">
        <v>47</v>
      </c>
      <c r="EFG10">
        <v>47</v>
      </c>
      <c r="EFH10">
        <v>47</v>
      </c>
      <c r="EFI10">
        <v>47</v>
      </c>
      <c r="EFJ10">
        <v>47</v>
      </c>
      <c r="EFK10">
        <v>47</v>
      </c>
      <c r="EFL10">
        <v>47</v>
      </c>
      <c r="EFM10">
        <v>47</v>
      </c>
      <c r="EFN10">
        <v>47</v>
      </c>
      <c r="EFO10">
        <v>47</v>
      </c>
      <c r="EFP10">
        <v>47</v>
      </c>
      <c r="EFQ10">
        <v>47</v>
      </c>
      <c r="EFR10">
        <v>47</v>
      </c>
      <c r="EFS10">
        <v>47</v>
      </c>
      <c r="EFT10">
        <v>47</v>
      </c>
      <c r="EFU10">
        <v>47</v>
      </c>
      <c r="EFV10">
        <v>47</v>
      </c>
      <c r="EFW10">
        <v>47</v>
      </c>
      <c r="EFX10">
        <v>47</v>
      </c>
      <c r="EFY10">
        <v>47</v>
      </c>
      <c r="EFZ10">
        <v>47</v>
      </c>
      <c r="EGA10">
        <v>47</v>
      </c>
      <c r="EGB10">
        <v>47</v>
      </c>
      <c r="EGC10">
        <v>47</v>
      </c>
      <c r="EGD10">
        <v>47</v>
      </c>
      <c r="EGE10">
        <v>47</v>
      </c>
      <c r="EGF10">
        <v>47</v>
      </c>
      <c r="EGG10">
        <v>47</v>
      </c>
      <c r="EGH10">
        <v>47</v>
      </c>
      <c r="EGI10">
        <v>47</v>
      </c>
      <c r="EGJ10">
        <v>47</v>
      </c>
      <c r="EGK10">
        <v>47</v>
      </c>
      <c r="EGL10">
        <v>47</v>
      </c>
      <c r="EGM10">
        <v>47</v>
      </c>
      <c r="EGN10">
        <v>47</v>
      </c>
      <c r="EGO10">
        <v>47</v>
      </c>
      <c r="EHW10">
        <v>48</v>
      </c>
      <c r="EHX10">
        <v>48</v>
      </c>
      <c r="EHY10">
        <v>48</v>
      </c>
      <c r="EHZ10">
        <v>48</v>
      </c>
      <c r="EIA10">
        <v>48</v>
      </c>
      <c r="EIB10">
        <v>48</v>
      </c>
      <c r="EIC10">
        <v>48</v>
      </c>
      <c r="EID10">
        <v>48</v>
      </c>
      <c r="EIE10">
        <v>48</v>
      </c>
      <c r="EIF10">
        <v>48</v>
      </c>
      <c r="EIG10">
        <v>48</v>
      </c>
      <c r="EIH10">
        <v>48</v>
      </c>
      <c r="EII10">
        <v>48</v>
      </c>
      <c r="EIJ10">
        <v>48</v>
      </c>
      <c r="EIK10">
        <v>48</v>
      </c>
      <c r="EIL10">
        <v>48</v>
      </c>
      <c r="EIM10">
        <v>48</v>
      </c>
      <c r="EIN10">
        <v>48</v>
      </c>
      <c r="EIO10">
        <v>48</v>
      </c>
      <c r="EIP10">
        <v>48</v>
      </c>
      <c r="EIQ10">
        <v>48</v>
      </c>
      <c r="EIR10">
        <v>48</v>
      </c>
      <c r="EIS10">
        <v>48</v>
      </c>
      <c r="EIT10">
        <v>48</v>
      </c>
      <c r="EIU10">
        <v>48</v>
      </c>
      <c r="EJB10">
        <v>49</v>
      </c>
      <c r="EJC10">
        <v>49</v>
      </c>
      <c r="EJD10">
        <v>49</v>
      </c>
      <c r="EJE10">
        <v>49</v>
      </c>
      <c r="EJF10">
        <v>49</v>
      </c>
      <c r="EJG10">
        <v>49</v>
      </c>
      <c r="EJH10">
        <v>49</v>
      </c>
      <c r="EJI10">
        <v>49</v>
      </c>
      <c r="EJJ10">
        <v>49</v>
      </c>
      <c r="EJK10">
        <v>49</v>
      </c>
      <c r="EJL10">
        <v>49</v>
      </c>
      <c r="EJM10">
        <v>49</v>
      </c>
      <c r="EJN10">
        <v>49</v>
      </c>
      <c r="EJO10">
        <v>49</v>
      </c>
      <c r="EJP10">
        <v>49</v>
      </c>
      <c r="EJQ10">
        <v>49</v>
      </c>
      <c r="EJR10">
        <v>49</v>
      </c>
      <c r="EJS10">
        <v>49</v>
      </c>
      <c r="EJT10">
        <v>49</v>
      </c>
      <c r="EJU10">
        <v>49</v>
      </c>
      <c r="ELE10">
        <v>50</v>
      </c>
      <c r="ELF10">
        <v>50</v>
      </c>
      <c r="ELG10">
        <v>50</v>
      </c>
      <c r="ELH10">
        <v>50</v>
      </c>
      <c r="ELI10">
        <v>50</v>
      </c>
      <c r="ELJ10">
        <v>50</v>
      </c>
      <c r="ELK10">
        <v>50</v>
      </c>
      <c r="ELL10">
        <v>50</v>
      </c>
      <c r="ELM10">
        <v>50</v>
      </c>
      <c r="ELN10">
        <v>50</v>
      </c>
      <c r="ELO10">
        <v>50</v>
      </c>
      <c r="ELP10">
        <v>50</v>
      </c>
      <c r="ELQ10">
        <v>50</v>
      </c>
      <c r="ELR10">
        <v>50</v>
      </c>
      <c r="ELS10">
        <v>50</v>
      </c>
      <c r="ELT10">
        <v>50</v>
      </c>
      <c r="ELU10">
        <v>50</v>
      </c>
      <c r="ELV10">
        <v>50</v>
      </c>
      <c r="ELW10">
        <v>50</v>
      </c>
      <c r="ELX10">
        <v>50</v>
      </c>
      <c r="EMN10">
        <v>51</v>
      </c>
      <c r="EMO10">
        <v>51</v>
      </c>
      <c r="EMP10">
        <v>51</v>
      </c>
      <c r="EMQ10">
        <v>51</v>
      </c>
      <c r="EMR10">
        <v>51</v>
      </c>
      <c r="EMS10">
        <v>51</v>
      </c>
      <c r="EMT10">
        <v>51</v>
      </c>
      <c r="EMU10">
        <v>51</v>
      </c>
      <c r="EMV10">
        <v>51</v>
      </c>
      <c r="EMW10">
        <v>51</v>
      </c>
      <c r="EMX10">
        <v>51</v>
      </c>
      <c r="EMY10">
        <v>51</v>
      </c>
      <c r="EMZ10">
        <v>51</v>
      </c>
      <c r="ENA10">
        <v>51</v>
      </c>
      <c r="EPU10">
        <v>52</v>
      </c>
      <c r="EPV10">
        <v>52</v>
      </c>
      <c r="EPW10">
        <v>52</v>
      </c>
      <c r="EPX10">
        <v>52</v>
      </c>
      <c r="EPY10">
        <v>52</v>
      </c>
      <c r="EPZ10">
        <v>52</v>
      </c>
      <c r="EQA10">
        <v>52</v>
      </c>
      <c r="EQB10">
        <v>52</v>
      </c>
      <c r="EQC10">
        <v>52</v>
      </c>
      <c r="EQD10">
        <v>52</v>
      </c>
      <c r="EQE10">
        <v>52</v>
      </c>
      <c r="EQF10">
        <v>52</v>
      </c>
      <c r="EQG10">
        <v>52</v>
      </c>
      <c r="EQH10">
        <v>52</v>
      </c>
      <c r="EQI10">
        <v>52</v>
      </c>
      <c r="EQJ10">
        <v>52</v>
      </c>
      <c r="EQK10">
        <v>52</v>
      </c>
      <c r="EQL10">
        <v>52</v>
      </c>
      <c r="EQM10">
        <v>52</v>
      </c>
      <c r="EQN10">
        <v>52</v>
      </c>
      <c r="EQO10">
        <v>52</v>
      </c>
      <c r="EQP10">
        <v>52</v>
      </c>
      <c r="EQQ10">
        <v>52</v>
      </c>
      <c r="EQR10">
        <v>52</v>
      </c>
      <c r="EQS10">
        <v>52</v>
      </c>
      <c r="EQT10">
        <v>52</v>
      </c>
      <c r="EQU10">
        <v>52</v>
      </c>
      <c r="EQV10">
        <v>52</v>
      </c>
      <c r="EST10">
        <v>53</v>
      </c>
      <c r="ESU10">
        <v>53</v>
      </c>
      <c r="ESV10">
        <v>53</v>
      </c>
      <c r="ESW10">
        <v>53</v>
      </c>
      <c r="ESX10">
        <v>53</v>
      </c>
      <c r="ESY10">
        <v>53</v>
      </c>
      <c r="ESZ10">
        <v>53</v>
      </c>
      <c r="ETA10">
        <v>53</v>
      </c>
      <c r="ETB10">
        <v>53</v>
      </c>
      <c r="ETC10">
        <v>53</v>
      </c>
      <c r="ETD10">
        <v>53</v>
      </c>
      <c r="ETE10">
        <v>53</v>
      </c>
      <c r="ETF10">
        <v>53</v>
      </c>
      <c r="ETG10">
        <v>53</v>
      </c>
      <c r="ETH10">
        <v>53</v>
      </c>
      <c r="ETI10">
        <v>53</v>
      </c>
      <c r="ETJ10">
        <v>53</v>
      </c>
      <c r="ETK10">
        <v>53</v>
      </c>
      <c r="ETL10">
        <v>53</v>
      </c>
      <c r="ETM10">
        <v>53</v>
      </c>
      <c r="ETN10">
        <v>53</v>
      </c>
      <c r="ETO10">
        <v>53</v>
      </c>
      <c r="ETP10">
        <v>53</v>
      </c>
      <c r="ETQ10">
        <v>53</v>
      </c>
      <c r="ETR10">
        <v>53</v>
      </c>
      <c r="ETS10">
        <v>53</v>
      </c>
      <c r="ETT10">
        <v>53</v>
      </c>
      <c r="ETU10">
        <v>53</v>
      </c>
      <c r="ETV10">
        <v>53</v>
      </c>
      <c r="ETW10">
        <v>53</v>
      </c>
      <c r="ETX10">
        <v>53</v>
      </c>
      <c r="ETY10">
        <v>53</v>
      </c>
      <c r="ETZ10">
        <v>53</v>
      </c>
      <c r="EUA10">
        <v>53</v>
      </c>
      <c r="EUB10">
        <v>53</v>
      </c>
      <c r="EUC10">
        <v>53</v>
      </c>
      <c r="EUD10">
        <v>53</v>
      </c>
      <c r="EUE10">
        <v>53</v>
      </c>
      <c r="EUF10">
        <v>53</v>
      </c>
      <c r="EUG10">
        <v>53</v>
      </c>
      <c r="EUH10">
        <v>53</v>
      </c>
      <c r="EUI10">
        <v>53</v>
      </c>
      <c r="EUJ10">
        <v>53</v>
      </c>
      <c r="EUK10">
        <v>53</v>
      </c>
      <c r="EUL10">
        <v>53</v>
      </c>
      <c r="EUM10">
        <v>53</v>
      </c>
      <c r="EUN10">
        <v>53</v>
      </c>
      <c r="EUO10">
        <v>53</v>
      </c>
      <c r="EUP10">
        <v>53</v>
      </c>
      <c r="EUQ10">
        <v>53</v>
      </c>
      <c r="EUR10">
        <v>53</v>
      </c>
      <c r="EUS10">
        <v>53</v>
      </c>
      <c r="EUT10">
        <v>53</v>
      </c>
      <c r="EUU10">
        <v>53</v>
      </c>
      <c r="EUV10">
        <v>53</v>
      </c>
      <c r="EUW10">
        <v>53</v>
      </c>
      <c r="EUX10">
        <v>53</v>
      </c>
      <c r="EUY10">
        <v>53</v>
      </c>
      <c r="EUZ10">
        <v>53</v>
      </c>
      <c r="EVA10">
        <v>53</v>
      </c>
      <c r="EVB10">
        <v>53</v>
      </c>
      <c r="EVC10">
        <v>53</v>
      </c>
      <c r="EVD10">
        <v>53</v>
      </c>
      <c r="EVE10">
        <v>53</v>
      </c>
      <c r="EVF10">
        <v>53</v>
      </c>
      <c r="EZG10">
        <v>54</v>
      </c>
      <c r="EZH10">
        <v>54</v>
      </c>
      <c r="EZI10">
        <v>54</v>
      </c>
      <c r="EZJ10">
        <v>54</v>
      </c>
      <c r="EZK10">
        <v>54</v>
      </c>
      <c r="EZL10">
        <v>54</v>
      </c>
      <c r="EZM10">
        <v>54</v>
      </c>
      <c r="EZN10">
        <v>54</v>
      </c>
      <c r="EZO10">
        <v>54</v>
      </c>
      <c r="EZP10">
        <v>54</v>
      </c>
      <c r="EZQ10">
        <v>54</v>
      </c>
      <c r="EZR10">
        <v>54</v>
      </c>
      <c r="EZS10">
        <v>54</v>
      </c>
      <c r="EZT10">
        <v>54</v>
      </c>
      <c r="EZU10">
        <v>54</v>
      </c>
      <c r="EZV10">
        <v>54</v>
      </c>
      <c r="EZW10">
        <v>54</v>
      </c>
      <c r="EZX10">
        <v>54</v>
      </c>
      <c r="EZY10">
        <v>54</v>
      </c>
      <c r="EZZ10">
        <v>54</v>
      </c>
      <c r="FAA10">
        <v>54</v>
      </c>
      <c r="FAB10">
        <v>54</v>
      </c>
      <c r="FAC10">
        <v>54</v>
      </c>
      <c r="FAD10">
        <v>54</v>
      </c>
      <c r="FAE10">
        <v>54</v>
      </c>
      <c r="FAF10">
        <v>54</v>
      </c>
      <c r="FAG10">
        <v>54</v>
      </c>
      <c r="FAH10">
        <v>54</v>
      </c>
      <c r="FAI10">
        <v>54</v>
      </c>
      <c r="FAJ10">
        <v>54</v>
      </c>
      <c r="FAK10">
        <v>54</v>
      </c>
      <c r="FAL10">
        <v>54</v>
      </c>
      <c r="FAM10">
        <v>54</v>
      </c>
      <c r="FAN10">
        <v>54</v>
      </c>
      <c r="FAO10">
        <v>54</v>
      </c>
      <c r="FAP10">
        <v>54</v>
      </c>
      <c r="FAQ10">
        <v>54</v>
      </c>
      <c r="FAR10">
        <v>54</v>
      </c>
      <c r="FAS10">
        <v>54</v>
      </c>
      <c r="FAT10">
        <v>54</v>
      </c>
      <c r="FAU10">
        <v>54</v>
      </c>
      <c r="FAV10">
        <v>54</v>
      </c>
      <c r="FAW10">
        <v>54</v>
      </c>
      <c r="FAX10">
        <v>54</v>
      </c>
      <c r="FAY10">
        <v>54</v>
      </c>
      <c r="FAZ10">
        <v>54</v>
      </c>
      <c r="FBA10">
        <v>54</v>
      </c>
      <c r="FBB10">
        <v>54</v>
      </c>
      <c r="FBC10">
        <v>54</v>
      </c>
      <c r="FBD10">
        <v>54</v>
      </c>
      <c r="FBE10">
        <v>54</v>
      </c>
      <c r="FBF10">
        <v>54</v>
      </c>
      <c r="FBG10">
        <v>54</v>
      </c>
      <c r="FBH10">
        <v>54</v>
      </c>
      <c r="FBI10">
        <v>54</v>
      </c>
      <c r="FBJ10">
        <v>54</v>
      </c>
      <c r="FBK10">
        <v>54</v>
      </c>
      <c r="FBL10">
        <v>54</v>
      </c>
      <c r="FBM10">
        <v>54</v>
      </c>
      <c r="FBN10">
        <v>54</v>
      </c>
      <c r="FBO10">
        <v>54</v>
      </c>
      <c r="FBP10">
        <v>54</v>
      </c>
      <c r="FBQ10">
        <v>54</v>
      </c>
      <c r="FBR10">
        <v>54</v>
      </c>
      <c r="FBS10">
        <v>54</v>
      </c>
      <c r="FBT10">
        <v>54</v>
      </c>
      <c r="FBU10">
        <v>54</v>
      </c>
      <c r="FBV10">
        <v>54</v>
      </c>
      <c r="FBW10">
        <v>54</v>
      </c>
      <c r="FBX10">
        <v>54</v>
      </c>
      <c r="FBY10">
        <v>54</v>
      </c>
      <c r="FRI10">
        <v>55</v>
      </c>
      <c r="FRJ10">
        <v>55</v>
      </c>
      <c r="FRK10">
        <v>55</v>
      </c>
      <c r="FRL10">
        <v>55</v>
      </c>
      <c r="FRM10">
        <v>55</v>
      </c>
      <c r="FRN10">
        <v>55</v>
      </c>
      <c r="FRO10">
        <v>55</v>
      </c>
      <c r="FRP10">
        <v>55</v>
      </c>
      <c r="FRQ10">
        <v>55</v>
      </c>
      <c r="FRR10">
        <v>55</v>
      </c>
      <c r="FRS10">
        <v>55</v>
      </c>
      <c r="FRT10">
        <v>55</v>
      </c>
      <c r="FRU10">
        <v>55</v>
      </c>
      <c r="FRV10">
        <v>55</v>
      </c>
      <c r="FRW10">
        <v>55</v>
      </c>
      <c r="FRX10">
        <v>55</v>
      </c>
      <c r="FRY10">
        <v>55</v>
      </c>
      <c r="FRZ10">
        <v>55</v>
      </c>
      <c r="FSA10">
        <v>55</v>
      </c>
      <c r="FSB10">
        <v>55</v>
      </c>
      <c r="FSC10">
        <v>55</v>
      </c>
      <c r="FSD10">
        <v>55</v>
      </c>
      <c r="FSE10">
        <v>55</v>
      </c>
      <c r="FSF10">
        <v>55</v>
      </c>
      <c r="FSG10">
        <v>55</v>
      </c>
      <c r="FSH10">
        <v>55</v>
      </c>
      <c r="FSI10">
        <v>55</v>
      </c>
      <c r="FSJ10">
        <v>55</v>
      </c>
      <c r="FSK10">
        <v>55</v>
      </c>
      <c r="FSL10">
        <v>55</v>
      </c>
      <c r="FSM10">
        <v>55</v>
      </c>
      <c r="FSN10">
        <v>55</v>
      </c>
      <c r="FSO10">
        <v>55</v>
      </c>
      <c r="FSP10">
        <v>55</v>
      </c>
      <c r="FSQ10">
        <v>55</v>
      </c>
      <c r="FSR10">
        <v>55</v>
      </c>
      <c r="FSS10">
        <v>55</v>
      </c>
      <c r="FST10">
        <v>55</v>
      </c>
      <c r="FSU10">
        <v>55</v>
      </c>
      <c r="FSV10">
        <v>55</v>
      </c>
      <c r="FSW10">
        <v>55</v>
      </c>
      <c r="FSX10">
        <v>55</v>
      </c>
      <c r="FSY10">
        <v>55</v>
      </c>
      <c r="FSZ10">
        <v>55</v>
      </c>
      <c r="FTA10">
        <v>55</v>
      </c>
      <c r="FTB10">
        <v>55</v>
      </c>
      <c r="FTC10">
        <v>55</v>
      </c>
      <c r="FTD10">
        <v>55</v>
      </c>
      <c r="FTE10">
        <v>55</v>
      </c>
      <c r="FTF10">
        <v>55</v>
      </c>
      <c r="FTG10">
        <v>55</v>
      </c>
      <c r="FTH10">
        <v>55</v>
      </c>
      <c r="FTI10">
        <v>55</v>
      </c>
      <c r="FTJ10">
        <v>55</v>
      </c>
      <c r="FTK10">
        <v>55</v>
      </c>
      <c r="FTL10">
        <v>55</v>
      </c>
      <c r="FTM10">
        <v>55</v>
      </c>
      <c r="FTN10">
        <v>55</v>
      </c>
      <c r="FTO10">
        <v>55</v>
      </c>
      <c r="FTP10">
        <v>55</v>
      </c>
      <c r="FTQ10">
        <v>55</v>
      </c>
      <c r="FTR10">
        <v>55</v>
      </c>
      <c r="FTS10">
        <v>55</v>
      </c>
      <c r="FTT10">
        <v>55</v>
      </c>
      <c r="FTU10">
        <v>55</v>
      </c>
      <c r="FTV10">
        <v>55</v>
      </c>
      <c r="FTW10">
        <v>55</v>
      </c>
      <c r="FTX10">
        <v>55</v>
      </c>
      <c r="GAG10">
        <v>56</v>
      </c>
      <c r="GAH10">
        <v>56</v>
      </c>
      <c r="GAI10">
        <v>56</v>
      </c>
      <c r="GAJ10">
        <v>56</v>
      </c>
      <c r="GAK10">
        <v>56</v>
      </c>
      <c r="GAL10">
        <v>56</v>
      </c>
      <c r="GAM10">
        <v>56</v>
      </c>
      <c r="GAN10">
        <v>56</v>
      </c>
      <c r="GAO10">
        <v>56</v>
      </c>
      <c r="GAP10">
        <v>56</v>
      </c>
      <c r="GAQ10">
        <v>56</v>
      </c>
      <c r="GAR10">
        <v>56</v>
      </c>
      <c r="GAS10">
        <v>56</v>
      </c>
      <c r="GAT10">
        <v>56</v>
      </c>
      <c r="GAU10">
        <v>56</v>
      </c>
      <c r="GAV10">
        <v>56</v>
      </c>
      <c r="GAW10">
        <v>56</v>
      </c>
      <c r="GAX10">
        <v>56</v>
      </c>
      <c r="GAY10">
        <v>56</v>
      </c>
      <c r="GAZ10">
        <v>56</v>
      </c>
      <c r="GBA10">
        <v>56</v>
      </c>
      <c r="GBB10">
        <v>56</v>
      </c>
      <c r="GBC10">
        <v>56</v>
      </c>
      <c r="GBD10">
        <v>56</v>
      </c>
      <c r="GBE10">
        <v>56</v>
      </c>
      <c r="GBF10">
        <v>56</v>
      </c>
      <c r="GBG10">
        <v>56</v>
      </c>
      <c r="GBH10">
        <v>56</v>
      </c>
      <c r="GBI10">
        <v>56</v>
      </c>
      <c r="GBJ10">
        <v>56</v>
      </c>
      <c r="GBK10">
        <v>56</v>
      </c>
      <c r="GBL10">
        <v>56</v>
      </c>
      <c r="GBM10">
        <v>56</v>
      </c>
      <c r="GBN10">
        <v>56</v>
      </c>
      <c r="GBO10">
        <v>56</v>
      </c>
      <c r="GBP10">
        <v>56</v>
      </c>
      <c r="GBQ10">
        <v>56</v>
      </c>
      <c r="GBR10">
        <v>56</v>
      </c>
      <c r="GBS10">
        <v>56</v>
      </c>
      <c r="GBT10">
        <v>56</v>
      </c>
      <c r="GBU10">
        <v>56</v>
      </c>
      <c r="GBV10">
        <v>56</v>
      </c>
      <c r="GBW10">
        <v>56</v>
      </c>
      <c r="GBX10">
        <v>56</v>
      </c>
      <c r="GBY10">
        <v>56</v>
      </c>
      <c r="GBZ10">
        <v>56</v>
      </c>
      <c r="GCA10">
        <v>56</v>
      </c>
      <c r="GCB10">
        <v>56</v>
      </c>
      <c r="GCC10">
        <v>56</v>
      </c>
      <c r="GCD10">
        <v>56</v>
      </c>
      <c r="GCE10">
        <v>56</v>
      </c>
      <c r="GCF10">
        <v>56</v>
      </c>
      <c r="GCG10">
        <v>56</v>
      </c>
      <c r="GCH10">
        <v>56</v>
      </c>
      <c r="GCI10">
        <v>56</v>
      </c>
      <c r="GCJ10">
        <v>56</v>
      </c>
      <c r="GCK10">
        <v>56</v>
      </c>
      <c r="GCL10">
        <v>56</v>
      </c>
      <c r="GCM10">
        <v>56</v>
      </c>
      <c r="GCN10">
        <v>56</v>
      </c>
      <c r="GCO10">
        <v>56</v>
      </c>
      <c r="GCP10">
        <v>56</v>
      </c>
      <c r="GCQ10">
        <v>56</v>
      </c>
      <c r="GCR10">
        <v>56</v>
      </c>
      <c r="GCS10">
        <v>56</v>
      </c>
      <c r="GCT10">
        <v>56</v>
      </c>
      <c r="GCU10">
        <v>56</v>
      </c>
      <c r="GCV10">
        <v>56</v>
      </c>
      <c r="GCW10">
        <v>56</v>
      </c>
      <c r="GCX10">
        <v>56</v>
      </c>
      <c r="GCY10">
        <v>56</v>
      </c>
      <c r="GCZ10">
        <v>56</v>
      </c>
      <c r="GDA10">
        <v>56</v>
      </c>
      <c r="GDB10">
        <v>56</v>
      </c>
      <c r="GDC10">
        <v>56</v>
      </c>
      <c r="GDD10">
        <v>56</v>
      </c>
      <c r="GDE10">
        <v>56</v>
      </c>
      <c r="GDF10">
        <v>56</v>
      </c>
      <c r="GDG10">
        <v>56</v>
      </c>
      <c r="GDH10">
        <v>56</v>
      </c>
      <c r="GDI10">
        <v>56</v>
      </c>
      <c r="GDJ10">
        <v>56</v>
      </c>
      <c r="GDK10">
        <v>56</v>
      </c>
      <c r="GDL10">
        <v>56</v>
      </c>
      <c r="GDM10">
        <v>56</v>
      </c>
      <c r="GDN10">
        <v>56</v>
      </c>
      <c r="GDO10">
        <v>56</v>
      </c>
      <c r="GDP10">
        <v>56</v>
      </c>
      <c r="GDQ10">
        <v>56</v>
      </c>
      <c r="GDR10">
        <v>56</v>
      </c>
      <c r="GDS10">
        <v>56</v>
      </c>
      <c r="GDT10">
        <v>56</v>
      </c>
      <c r="GDU10">
        <v>56</v>
      </c>
      <c r="GDV10">
        <v>56</v>
      </c>
      <c r="GDW10">
        <v>56</v>
      </c>
      <c r="GDX10">
        <v>56</v>
      </c>
      <c r="GDY10">
        <v>56</v>
      </c>
      <c r="GDZ10">
        <v>56</v>
      </c>
      <c r="GEA10">
        <v>56</v>
      </c>
      <c r="GEB10">
        <v>56</v>
      </c>
      <c r="GEC10">
        <v>56</v>
      </c>
      <c r="GED10">
        <v>56</v>
      </c>
      <c r="GNI10">
        <v>57</v>
      </c>
      <c r="GNJ10">
        <v>57</v>
      </c>
      <c r="GNK10">
        <v>57</v>
      </c>
      <c r="GNL10">
        <v>57</v>
      </c>
      <c r="GNM10">
        <v>57</v>
      </c>
      <c r="GNN10">
        <v>57</v>
      </c>
      <c r="GNO10">
        <v>57</v>
      </c>
      <c r="GNP10">
        <v>57</v>
      </c>
      <c r="GNQ10">
        <v>57</v>
      </c>
      <c r="GNR10">
        <v>57</v>
      </c>
      <c r="GNS10">
        <v>57</v>
      </c>
      <c r="GNT10">
        <v>57</v>
      </c>
      <c r="GNU10">
        <v>57</v>
      </c>
      <c r="GNV10">
        <v>57</v>
      </c>
      <c r="GNW10">
        <v>57</v>
      </c>
      <c r="GNX10">
        <v>57</v>
      </c>
      <c r="GUK10">
        <v>58</v>
      </c>
      <c r="GUL10">
        <v>58</v>
      </c>
      <c r="GUM10">
        <v>58</v>
      </c>
      <c r="GUN10">
        <v>58</v>
      </c>
      <c r="GUO10">
        <v>58</v>
      </c>
      <c r="GUP10">
        <v>58</v>
      </c>
      <c r="GUQ10">
        <v>58</v>
      </c>
      <c r="GUR10">
        <v>58</v>
      </c>
      <c r="GUS10">
        <v>58</v>
      </c>
      <c r="GUT10">
        <v>58</v>
      </c>
      <c r="GUU10">
        <v>58</v>
      </c>
      <c r="GUV10">
        <v>58</v>
      </c>
      <c r="GUW10">
        <v>58</v>
      </c>
      <c r="GUX10">
        <v>58</v>
      </c>
      <c r="GUY10">
        <v>58</v>
      </c>
      <c r="GUZ10">
        <v>58</v>
      </c>
      <c r="GVA10">
        <v>58</v>
      </c>
      <c r="GVB10">
        <v>58</v>
      </c>
      <c r="GVC10">
        <v>58</v>
      </c>
      <c r="GVD10">
        <v>58</v>
      </c>
      <c r="GVE10">
        <v>58</v>
      </c>
      <c r="GVF10">
        <v>58</v>
      </c>
      <c r="GVG10">
        <v>58</v>
      </c>
      <c r="GVH10">
        <v>58</v>
      </c>
      <c r="GVI10">
        <v>58</v>
      </c>
      <c r="GVJ10">
        <v>58</v>
      </c>
      <c r="GVK10">
        <v>58</v>
      </c>
      <c r="GVL10">
        <v>58</v>
      </c>
      <c r="GVM10">
        <v>58</v>
      </c>
      <c r="GVN10">
        <v>58</v>
      </c>
      <c r="GVO10">
        <v>58</v>
      </c>
      <c r="GVP10">
        <v>58</v>
      </c>
      <c r="GWP10">
        <v>59</v>
      </c>
      <c r="GWQ10">
        <v>59</v>
      </c>
      <c r="GWR10">
        <v>59</v>
      </c>
      <c r="GWS10">
        <v>59</v>
      </c>
      <c r="GWT10">
        <v>59</v>
      </c>
      <c r="GWU10">
        <v>59</v>
      </c>
      <c r="GWV10">
        <v>59</v>
      </c>
      <c r="GWW10">
        <v>59</v>
      </c>
      <c r="GWX10">
        <v>59</v>
      </c>
      <c r="GWY10">
        <v>59</v>
      </c>
      <c r="GWZ10">
        <v>59</v>
      </c>
      <c r="GXA10">
        <v>59</v>
      </c>
      <c r="GXB10">
        <v>59</v>
      </c>
      <c r="GXC10">
        <v>59</v>
      </c>
      <c r="GXD10">
        <v>59</v>
      </c>
      <c r="GXE10">
        <v>59</v>
      </c>
      <c r="GXF10">
        <v>59</v>
      </c>
      <c r="GXG10">
        <v>59</v>
      </c>
      <c r="GXH10">
        <v>59</v>
      </c>
      <c r="GXI10">
        <v>59</v>
      </c>
      <c r="GXJ10">
        <v>59</v>
      </c>
      <c r="GXK10">
        <v>59</v>
      </c>
      <c r="GXL10">
        <v>59</v>
      </c>
      <c r="GXM10">
        <v>59</v>
      </c>
      <c r="GXN10">
        <v>59</v>
      </c>
      <c r="GXO10">
        <v>59</v>
      </c>
      <c r="GXP10">
        <v>59</v>
      </c>
      <c r="HGO10">
        <v>60</v>
      </c>
      <c r="HGP10">
        <v>60</v>
      </c>
      <c r="HGQ10">
        <v>60</v>
      </c>
      <c r="HGR10">
        <v>60</v>
      </c>
      <c r="HGS10">
        <v>60</v>
      </c>
      <c r="HGT10">
        <v>60</v>
      </c>
      <c r="HGU10">
        <v>60</v>
      </c>
      <c r="HGV10">
        <v>60</v>
      </c>
      <c r="HGW10">
        <v>60</v>
      </c>
      <c r="HGX10">
        <v>60</v>
      </c>
      <c r="HGY10">
        <v>60</v>
      </c>
      <c r="HGZ10">
        <v>60</v>
      </c>
      <c r="HHA10">
        <v>60</v>
      </c>
      <c r="HHB10">
        <v>60</v>
      </c>
      <c r="HHC10">
        <v>60</v>
      </c>
      <c r="HHD10">
        <v>60</v>
      </c>
      <c r="HHE10">
        <v>60</v>
      </c>
      <c r="HHF10">
        <v>60</v>
      </c>
      <c r="HHG10">
        <v>60</v>
      </c>
      <c r="HHH10">
        <v>60</v>
      </c>
      <c r="HHI10">
        <v>60</v>
      </c>
      <c r="HHJ10">
        <v>60</v>
      </c>
      <c r="HHK10">
        <v>60</v>
      </c>
      <c r="HHL10">
        <v>60</v>
      </c>
      <c r="HHM10">
        <v>60</v>
      </c>
      <c r="HHN10">
        <v>60</v>
      </c>
      <c r="HHO10">
        <v>60</v>
      </c>
      <c r="HHP10">
        <v>60</v>
      </c>
      <c r="HHQ10">
        <v>60</v>
      </c>
      <c r="HHR10">
        <v>60</v>
      </c>
      <c r="HHS10">
        <v>60</v>
      </c>
      <c r="HHT10">
        <v>60</v>
      </c>
      <c r="HHU10">
        <v>60</v>
      </c>
      <c r="HHV10">
        <v>60</v>
      </c>
      <c r="HHW10">
        <v>60</v>
      </c>
      <c r="HHX10">
        <v>60</v>
      </c>
      <c r="HHY10">
        <v>60</v>
      </c>
      <c r="HHZ10">
        <v>60</v>
      </c>
      <c r="HIA10">
        <v>60</v>
      </c>
      <c r="HIB10">
        <v>60</v>
      </c>
      <c r="HIC10">
        <v>60</v>
      </c>
      <c r="HID10">
        <v>60</v>
      </c>
      <c r="HIE10">
        <v>60</v>
      </c>
      <c r="HIF10">
        <v>60</v>
      </c>
      <c r="HIG10">
        <v>60</v>
      </c>
      <c r="HIH10">
        <v>60</v>
      </c>
      <c r="HII10">
        <v>60</v>
      </c>
      <c r="HIJ10">
        <v>60</v>
      </c>
      <c r="HIK10">
        <v>60</v>
      </c>
      <c r="HIL10">
        <v>60</v>
      </c>
      <c r="HIM10">
        <v>60</v>
      </c>
      <c r="HIN10">
        <v>60</v>
      </c>
      <c r="HIO10">
        <v>60</v>
      </c>
      <c r="HIP10">
        <v>60</v>
      </c>
      <c r="HIQ10">
        <v>60</v>
      </c>
      <c r="HIR10">
        <v>60</v>
      </c>
      <c r="HIS10">
        <v>60</v>
      </c>
      <c r="HIT10">
        <v>60</v>
      </c>
      <c r="HIU10">
        <v>60</v>
      </c>
      <c r="HIV10">
        <v>60</v>
      </c>
      <c r="HIW10">
        <v>60</v>
      </c>
      <c r="HIX10">
        <v>60</v>
      </c>
      <c r="HIY10">
        <v>60</v>
      </c>
      <c r="HIZ10">
        <v>60</v>
      </c>
      <c r="HJA10">
        <v>60</v>
      </c>
      <c r="HJB10">
        <v>60</v>
      </c>
      <c r="HJC10">
        <v>60</v>
      </c>
      <c r="HJD10">
        <v>60</v>
      </c>
      <c r="HJE10">
        <v>60</v>
      </c>
      <c r="HJF10">
        <v>60</v>
      </c>
      <c r="HJG10">
        <v>60</v>
      </c>
      <c r="HJH10">
        <v>60</v>
      </c>
      <c r="HJI10">
        <v>60</v>
      </c>
      <c r="HJJ10">
        <v>60</v>
      </c>
      <c r="HJK10">
        <v>60</v>
      </c>
      <c r="HJL10">
        <v>60</v>
      </c>
      <c r="HJM10">
        <v>60</v>
      </c>
      <c r="HJN10">
        <v>60</v>
      </c>
      <c r="HJO10">
        <v>60</v>
      </c>
      <c r="HJP10">
        <v>60</v>
      </c>
      <c r="HJQ10">
        <v>60</v>
      </c>
      <c r="HJR10">
        <v>60</v>
      </c>
      <c r="HJS10">
        <v>60</v>
      </c>
      <c r="HJT10">
        <v>60</v>
      </c>
      <c r="HJU10">
        <v>60</v>
      </c>
      <c r="HJV10">
        <v>60</v>
      </c>
      <c r="HJW10">
        <v>60</v>
      </c>
      <c r="HJX10">
        <v>60</v>
      </c>
      <c r="HJY10">
        <v>60</v>
      </c>
      <c r="HJZ10">
        <v>60</v>
      </c>
      <c r="HKA10">
        <v>60</v>
      </c>
      <c r="HKB10">
        <v>60</v>
      </c>
      <c r="HKC10">
        <v>60</v>
      </c>
      <c r="HKD10">
        <v>60</v>
      </c>
      <c r="HKE10">
        <v>60</v>
      </c>
      <c r="HKF10">
        <v>60</v>
      </c>
      <c r="HKG10">
        <v>60</v>
      </c>
      <c r="HKH10">
        <v>60</v>
      </c>
      <c r="HKI10">
        <v>60</v>
      </c>
      <c r="HKJ10">
        <v>60</v>
      </c>
      <c r="HKK10">
        <v>60</v>
      </c>
      <c r="HKL10">
        <v>60</v>
      </c>
      <c r="HKM10">
        <v>60</v>
      </c>
      <c r="HKN10">
        <v>60</v>
      </c>
      <c r="HKO10">
        <v>60</v>
      </c>
      <c r="HKP10">
        <v>60</v>
      </c>
      <c r="HKQ10">
        <v>60</v>
      </c>
      <c r="HKR10">
        <v>60</v>
      </c>
      <c r="HLE10">
        <v>61</v>
      </c>
      <c r="HLF10">
        <v>61</v>
      </c>
      <c r="HLG10">
        <v>61</v>
      </c>
      <c r="HLH10">
        <v>61</v>
      </c>
      <c r="HLI10">
        <v>61</v>
      </c>
      <c r="HLJ10">
        <v>61</v>
      </c>
      <c r="HLK10">
        <v>61</v>
      </c>
      <c r="HLL10">
        <v>61</v>
      </c>
      <c r="HLM10">
        <v>61</v>
      </c>
      <c r="HLN10">
        <v>61</v>
      </c>
      <c r="HLO10">
        <v>61</v>
      </c>
      <c r="HLP10">
        <v>61</v>
      </c>
      <c r="HLQ10">
        <v>61</v>
      </c>
      <c r="HLR10">
        <v>61</v>
      </c>
      <c r="HLS10">
        <v>61</v>
      </c>
      <c r="HLT10">
        <v>61</v>
      </c>
      <c r="HLU10">
        <v>61</v>
      </c>
      <c r="HLV10">
        <v>61</v>
      </c>
      <c r="HLW10">
        <v>61</v>
      </c>
      <c r="HLX10">
        <v>61</v>
      </c>
      <c r="HLY10">
        <v>61</v>
      </c>
      <c r="HLZ10">
        <v>61</v>
      </c>
      <c r="HMA10">
        <v>61</v>
      </c>
      <c r="HMB10">
        <v>61</v>
      </c>
      <c r="HMC10">
        <v>61</v>
      </c>
      <c r="HMD10">
        <v>61</v>
      </c>
      <c r="HME10">
        <v>61</v>
      </c>
      <c r="HMF10">
        <v>61</v>
      </c>
      <c r="HMG10">
        <v>61</v>
      </c>
      <c r="HMH10">
        <v>61</v>
      </c>
      <c r="HMI10">
        <v>61</v>
      </c>
      <c r="HMJ10">
        <v>61</v>
      </c>
      <c r="HMK10">
        <v>61</v>
      </c>
      <c r="HML10">
        <v>61</v>
      </c>
      <c r="HMM10">
        <v>61</v>
      </c>
      <c r="HMN10">
        <v>61</v>
      </c>
      <c r="HMO10">
        <v>61</v>
      </c>
      <c r="HMP10">
        <v>61</v>
      </c>
      <c r="HMQ10">
        <v>61</v>
      </c>
      <c r="HMR10">
        <v>61</v>
      </c>
      <c r="HMS10">
        <v>61</v>
      </c>
      <c r="HMT10">
        <v>61</v>
      </c>
      <c r="HMU10">
        <v>61</v>
      </c>
      <c r="HMV10">
        <v>61</v>
      </c>
      <c r="HMW10">
        <v>61</v>
      </c>
      <c r="HMX10">
        <v>61</v>
      </c>
      <c r="HMY10">
        <v>61</v>
      </c>
      <c r="HMZ10">
        <v>61</v>
      </c>
      <c r="HNA10">
        <v>61</v>
      </c>
      <c r="HNB10">
        <v>61</v>
      </c>
      <c r="HNC10">
        <v>61</v>
      </c>
      <c r="HND10">
        <v>61</v>
      </c>
      <c r="HNE10">
        <v>61</v>
      </c>
      <c r="HPH10">
        <v>62</v>
      </c>
      <c r="HPI10">
        <v>62</v>
      </c>
      <c r="HPJ10">
        <v>62</v>
      </c>
      <c r="HPK10">
        <v>62</v>
      </c>
      <c r="HPL10">
        <v>62</v>
      </c>
      <c r="HPM10">
        <v>62</v>
      </c>
      <c r="HPN10">
        <v>62</v>
      </c>
      <c r="HPO10">
        <v>62</v>
      </c>
      <c r="HPP10">
        <v>62</v>
      </c>
      <c r="HPQ10">
        <v>62</v>
      </c>
      <c r="HPR10">
        <v>62</v>
      </c>
      <c r="HPS10">
        <v>62</v>
      </c>
      <c r="HPT10">
        <v>62</v>
      </c>
      <c r="HPU10">
        <v>62</v>
      </c>
      <c r="HPV10">
        <v>62</v>
      </c>
      <c r="HPW10">
        <v>62</v>
      </c>
      <c r="HPX10">
        <v>62</v>
      </c>
      <c r="HPY10">
        <v>62</v>
      </c>
      <c r="HPZ10">
        <v>62</v>
      </c>
      <c r="HQA10">
        <v>62</v>
      </c>
      <c r="HQB10">
        <v>62</v>
      </c>
      <c r="HQC10">
        <v>62</v>
      </c>
      <c r="HQD10">
        <v>62</v>
      </c>
      <c r="HQE10">
        <v>62</v>
      </c>
      <c r="HQF10">
        <v>62</v>
      </c>
      <c r="HQG10">
        <v>62</v>
      </c>
      <c r="HQH10">
        <v>62</v>
      </c>
      <c r="HQI10">
        <v>62</v>
      </c>
      <c r="HQJ10">
        <v>62</v>
      </c>
      <c r="HQK10">
        <v>62</v>
      </c>
      <c r="HQL10">
        <v>62</v>
      </c>
      <c r="HQM10">
        <v>62</v>
      </c>
      <c r="HQN10">
        <v>62</v>
      </c>
      <c r="HQO10">
        <v>62</v>
      </c>
      <c r="HQP10">
        <v>62</v>
      </c>
      <c r="HQQ10">
        <v>62</v>
      </c>
      <c r="HQR10">
        <v>62</v>
      </c>
      <c r="HQS10">
        <v>62</v>
      </c>
      <c r="HQT10">
        <v>62</v>
      </c>
      <c r="HQU10">
        <v>62</v>
      </c>
      <c r="HQV10">
        <v>62</v>
      </c>
      <c r="HQW10">
        <v>62</v>
      </c>
      <c r="HQX10">
        <v>62</v>
      </c>
      <c r="HQY10">
        <v>62</v>
      </c>
      <c r="HQZ10">
        <v>62</v>
      </c>
      <c r="HRA10">
        <v>62</v>
      </c>
      <c r="HRB10">
        <v>62</v>
      </c>
      <c r="HRC10">
        <v>62</v>
      </c>
      <c r="HRD10">
        <v>62</v>
      </c>
      <c r="HRE10">
        <v>62</v>
      </c>
      <c r="HRF10">
        <v>62</v>
      </c>
      <c r="HRG10">
        <v>62</v>
      </c>
      <c r="HRH10">
        <v>62</v>
      </c>
      <c r="HRI10">
        <v>62</v>
      </c>
      <c r="HRJ10">
        <v>62</v>
      </c>
      <c r="HRK10">
        <v>62</v>
      </c>
      <c r="HRL10">
        <v>62</v>
      </c>
      <c r="HRM10">
        <v>62</v>
      </c>
      <c r="HRN10">
        <v>62</v>
      </c>
      <c r="HRO10">
        <v>62</v>
      </c>
      <c r="HRP10">
        <v>62</v>
      </c>
      <c r="HRQ10">
        <v>62</v>
      </c>
      <c r="HRR10">
        <v>62</v>
      </c>
      <c r="HRS10">
        <v>62</v>
      </c>
      <c r="HRT10">
        <v>62</v>
      </c>
      <c r="HRU10">
        <v>62</v>
      </c>
      <c r="HRV10">
        <v>62</v>
      </c>
      <c r="HRW10">
        <v>62</v>
      </c>
      <c r="HRX10">
        <v>62</v>
      </c>
      <c r="HRY10">
        <v>62</v>
      </c>
      <c r="HRZ10">
        <v>62</v>
      </c>
      <c r="HSA10">
        <v>62</v>
      </c>
      <c r="HSB10">
        <v>62</v>
      </c>
      <c r="HSC10">
        <v>62</v>
      </c>
      <c r="HSD10">
        <v>62</v>
      </c>
      <c r="HSE10">
        <v>62</v>
      </c>
      <c r="HSF10">
        <v>62</v>
      </c>
      <c r="HSG10">
        <v>62</v>
      </c>
      <c r="HSH10">
        <v>62</v>
      </c>
      <c r="HSI10">
        <v>62</v>
      </c>
      <c r="HTU10">
        <v>63</v>
      </c>
      <c r="HTV10">
        <v>63</v>
      </c>
      <c r="HTW10">
        <v>63</v>
      </c>
      <c r="HTX10">
        <v>63</v>
      </c>
      <c r="HTY10">
        <v>63</v>
      </c>
      <c r="HTZ10">
        <v>63</v>
      </c>
      <c r="HUA10">
        <v>63</v>
      </c>
      <c r="HUB10">
        <v>63</v>
      </c>
      <c r="HUC10">
        <v>63</v>
      </c>
      <c r="HUD10">
        <v>63</v>
      </c>
      <c r="HUE10">
        <v>63</v>
      </c>
      <c r="HUF10">
        <v>63</v>
      </c>
      <c r="HUG10">
        <v>63</v>
      </c>
      <c r="HUH10">
        <v>63</v>
      </c>
      <c r="HUI10">
        <v>63</v>
      </c>
      <c r="HUJ10">
        <v>63</v>
      </c>
      <c r="HUK10">
        <v>63</v>
      </c>
      <c r="HUL10">
        <v>63</v>
      </c>
      <c r="HWH10">
        <v>64</v>
      </c>
      <c r="HWI10">
        <v>64</v>
      </c>
      <c r="HWJ10">
        <v>64</v>
      </c>
      <c r="HWK10">
        <v>64</v>
      </c>
      <c r="HWL10">
        <v>64</v>
      </c>
      <c r="HWM10">
        <v>64</v>
      </c>
      <c r="HWN10">
        <v>64</v>
      </c>
      <c r="HWO10">
        <v>64</v>
      </c>
      <c r="HWP10">
        <v>64</v>
      </c>
      <c r="HWQ10">
        <v>64</v>
      </c>
      <c r="HWR10">
        <v>64</v>
      </c>
      <c r="HWS10">
        <v>64</v>
      </c>
      <c r="HWT10">
        <v>64</v>
      </c>
      <c r="HWU10">
        <v>64</v>
      </c>
      <c r="HWV10">
        <v>64</v>
      </c>
      <c r="HWW10">
        <v>64</v>
      </c>
      <c r="HWX10">
        <v>64</v>
      </c>
      <c r="HWY10">
        <v>64</v>
      </c>
      <c r="HWZ10">
        <v>64</v>
      </c>
      <c r="HXA10">
        <v>64</v>
      </c>
      <c r="HXB10">
        <v>64</v>
      </c>
      <c r="HXC10">
        <v>64</v>
      </c>
      <c r="HXD10">
        <v>64</v>
      </c>
      <c r="HXE10">
        <v>64</v>
      </c>
      <c r="HXF10">
        <v>64</v>
      </c>
      <c r="HXG10">
        <v>64</v>
      </c>
      <c r="HXH10">
        <v>64</v>
      </c>
      <c r="HYH10">
        <v>65</v>
      </c>
      <c r="HYI10">
        <v>65</v>
      </c>
      <c r="HYJ10">
        <v>65</v>
      </c>
      <c r="HYK10">
        <v>65</v>
      </c>
      <c r="HYL10">
        <v>65</v>
      </c>
      <c r="HYM10">
        <v>65</v>
      </c>
      <c r="HYN10">
        <v>65</v>
      </c>
      <c r="HYO10">
        <v>65</v>
      </c>
      <c r="HYP10">
        <v>65</v>
      </c>
      <c r="HYQ10">
        <v>65</v>
      </c>
      <c r="HYR10">
        <v>65</v>
      </c>
      <c r="HYS10">
        <v>65</v>
      </c>
      <c r="HYT10">
        <v>65</v>
      </c>
      <c r="HYU10">
        <v>65</v>
      </c>
      <c r="HYV10">
        <v>65</v>
      </c>
      <c r="HYW10">
        <v>65</v>
      </c>
      <c r="HYX10">
        <v>65</v>
      </c>
      <c r="HYY10">
        <v>65</v>
      </c>
      <c r="HYZ10">
        <v>65</v>
      </c>
      <c r="HZA10">
        <v>65</v>
      </c>
      <c r="HZB10">
        <v>65</v>
      </c>
      <c r="HZC10">
        <v>65</v>
      </c>
      <c r="HZD10">
        <v>65</v>
      </c>
      <c r="HZE10">
        <v>65</v>
      </c>
      <c r="HZF10">
        <v>65</v>
      </c>
      <c r="HZG10">
        <v>65</v>
      </c>
      <c r="HZH10">
        <v>65</v>
      </c>
      <c r="HZI10">
        <v>65</v>
      </c>
      <c r="HZJ10">
        <v>65</v>
      </c>
      <c r="HZK10">
        <v>65</v>
      </c>
      <c r="HZL10">
        <v>65</v>
      </c>
      <c r="HZM10">
        <v>65</v>
      </c>
      <c r="HZN10">
        <v>65</v>
      </c>
      <c r="HZO10">
        <v>65</v>
      </c>
      <c r="HZP10">
        <v>65</v>
      </c>
      <c r="HZQ10">
        <v>65</v>
      </c>
      <c r="HZR10">
        <v>65</v>
      </c>
      <c r="HZS10">
        <v>65</v>
      </c>
      <c r="IBM10">
        <v>66</v>
      </c>
      <c r="IBN10">
        <v>66</v>
      </c>
      <c r="IBO10">
        <v>66</v>
      </c>
      <c r="IBP10">
        <v>66</v>
      </c>
      <c r="IBQ10">
        <v>66</v>
      </c>
      <c r="IBR10">
        <v>66</v>
      </c>
      <c r="IBS10">
        <v>66</v>
      </c>
      <c r="IBT10">
        <v>66</v>
      </c>
      <c r="IBU10">
        <v>66</v>
      </c>
      <c r="III10">
        <v>67</v>
      </c>
      <c r="IIJ10">
        <v>67</v>
      </c>
      <c r="IIK10">
        <v>67</v>
      </c>
      <c r="IIL10">
        <v>67</v>
      </c>
      <c r="IIM10">
        <v>67</v>
      </c>
      <c r="IIN10">
        <v>67</v>
      </c>
      <c r="IIO10">
        <v>67</v>
      </c>
      <c r="IIP10">
        <v>67</v>
      </c>
      <c r="IIQ10">
        <v>67</v>
      </c>
      <c r="IIR10">
        <v>67</v>
      </c>
      <c r="IIS10">
        <v>67</v>
      </c>
      <c r="IIT10">
        <v>67</v>
      </c>
      <c r="IIU10">
        <v>67</v>
      </c>
      <c r="IIV10">
        <v>67</v>
      </c>
      <c r="IIW10">
        <v>67</v>
      </c>
      <c r="IIX10">
        <v>67</v>
      </c>
      <c r="IIY10">
        <v>67</v>
      </c>
      <c r="IIZ10">
        <v>67</v>
      </c>
      <c r="IJA10">
        <v>67</v>
      </c>
      <c r="IJB10">
        <v>67</v>
      </c>
      <c r="IJC10">
        <v>67</v>
      </c>
      <c r="IJD10">
        <v>67</v>
      </c>
      <c r="IJE10">
        <v>67</v>
      </c>
      <c r="IJF10">
        <v>67</v>
      </c>
      <c r="IJG10">
        <v>67</v>
      </c>
      <c r="IJH10">
        <v>67</v>
      </c>
      <c r="IJI10">
        <v>67</v>
      </c>
      <c r="IJJ10">
        <v>67</v>
      </c>
      <c r="IJK10">
        <v>67</v>
      </c>
      <c r="IJL10">
        <v>67</v>
      </c>
      <c r="IJM10">
        <v>67</v>
      </c>
      <c r="IJN10">
        <v>67</v>
      </c>
      <c r="IJO10">
        <v>67</v>
      </c>
      <c r="IJP10">
        <v>67</v>
      </c>
      <c r="IJQ10">
        <v>67</v>
      </c>
      <c r="IJR10">
        <v>67</v>
      </c>
      <c r="IJS10">
        <v>67</v>
      </c>
      <c r="IJT10">
        <v>67</v>
      </c>
      <c r="IJU10">
        <v>67</v>
      </c>
      <c r="ILM10">
        <v>68</v>
      </c>
      <c r="ILN10">
        <v>68</v>
      </c>
      <c r="ILO10">
        <v>68</v>
      </c>
      <c r="ILP10">
        <v>68</v>
      </c>
      <c r="ILQ10">
        <v>68</v>
      </c>
      <c r="ILR10">
        <v>68</v>
      </c>
      <c r="ILS10">
        <v>68</v>
      </c>
      <c r="ILT10">
        <v>68</v>
      </c>
      <c r="ILU10">
        <v>68</v>
      </c>
      <c r="ILV10">
        <v>68</v>
      </c>
      <c r="ILW10">
        <v>68</v>
      </c>
      <c r="INU10">
        <v>69</v>
      </c>
      <c r="INV10">
        <v>69</v>
      </c>
      <c r="INW10">
        <v>69</v>
      </c>
      <c r="INX10">
        <v>69</v>
      </c>
      <c r="INY10">
        <v>69</v>
      </c>
      <c r="INZ10">
        <v>69</v>
      </c>
      <c r="IOA10">
        <v>69</v>
      </c>
      <c r="IOB10">
        <v>69</v>
      </c>
      <c r="IOC10">
        <v>69</v>
      </c>
      <c r="IOD10">
        <v>69</v>
      </c>
      <c r="IOE10">
        <v>69</v>
      </c>
      <c r="IOF10">
        <v>69</v>
      </c>
      <c r="IOG10">
        <v>69</v>
      </c>
      <c r="IOH10">
        <v>69</v>
      </c>
      <c r="IOI10">
        <v>69</v>
      </c>
      <c r="IOJ10">
        <v>69</v>
      </c>
      <c r="IOK10">
        <v>69</v>
      </c>
      <c r="IOL10">
        <v>69</v>
      </c>
      <c r="IOM10">
        <v>69</v>
      </c>
      <c r="ION10">
        <v>69</v>
      </c>
      <c r="IOO10">
        <v>69</v>
      </c>
      <c r="IOP10">
        <v>69</v>
      </c>
      <c r="IZE10">
        <v>70</v>
      </c>
      <c r="IZF10">
        <v>70</v>
      </c>
      <c r="IZG10">
        <v>70</v>
      </c>
      <c r="IZH10">
        <v>70</v>
      </c>
      <c r="IZI10">
        <v>70</v>
      </c>
      <c r="IZJ10">
        <v>70</v>
      </c>
      <c r="IZK10">
        <v>70</v>
      </c>
      <c r="IZL10">
        <v>70</v>
      </c>
      <c r="IZM10">
        <v>70</v>
      </c>
      <c r="IZN10">
        <v>70</v>
      </c>
      <c r="IZO10">
        <v>70</v>
      </c>
      <c r="IZP10">
        <v>70</v>
      </c>
      <c r="IZQ10">
        <v>70</v>
      </c>
      <c r="IZR10">
        <v>70</v>
      </c>
      <c r="IZS10">
        <v>70</v>
      </c>
      <c r="IZT10">
        <v>70</v>
      </c>
      <c r="IZU10">
        <v>70</v>
      </c>
      <c r="IZV10">
        <v>70</v>
      </c>
      <c r="IZW10">
        <v>70</v>
      </c>
      <c r="IZX10">
        <v>70</v>
      </c>
      <c r="IZY10">
        <v>70</v>
      </c>
      <c r="IZZ10">
        <v>70</v>
      </c>
      <c r="JAA10">
        <v>70</v>
      </c>
      <c r="JAB10">
        <v>70</v>
      </c>
      <c r="JAC10">
        <v>70</v>
      </c>
      <c r="JAD10">
        <v>70</v>
      </c>
      <c r="JAE10">
        <v>70</v>
      </c>
      <c r="JAF10">
        <v>70</v>
      </c>
      <c r="JAG10">
        <v>70</v>
      </c>
      <c r="JAH10">
        <v>70</v>
      </c>
      <c r="JAI10">
        <v>70</v>
      </c>
      <c r="JAJ10">
        <v>70</v>
      </c>
      <c r="JAK10">
        <v>70</v>
      </c>
      <c r="JAL10">
        <v>70</v>
      </c>
      <c r="JCW10">
        <v>71</v>
      </c>
      <c r="JCX10">
        <v>71</v>
      </c>
      <c r="JCY10">
        <v>71</v>
      </c>
      <c r="JCZ10">
        <v>71</v>
      </c>
      <c r="JDA10">
        <v>71</v>
      </c>
      <c r="JDB10">
        <v>71</v>
      </c>
      <c r="JDC10">
        <v>71</v>
      </c>
      <c r="JDD10">
        <v>71</v>
      </c>
      <c r="JDE10">
        <v>71</v>
      </c>
      <c r="JDF10">
        <v>71</v>
      </c>
      <c r="JDG10">
        <v>71</v>
      </c>
      <c r="JDH10">
        <v>71</v>
      </c>
      <c r="JDI10">
        <v>71</v>
      </c>
      <c r="JDJ10">
        <v>71</v>
      </c>
      <c r="JDK10">
        <v>71</v>
      </c>
      <c r="JDL10">
        <v>71</v>
      </c>
      <c r="JDM10">
        <v>71</v>
      </c>
      <c r="JDN10">
        <v>71</v>
      </c>
      <c r="JDO10">
        <v>71</v>
      </c>
      <c r="JDP10">
        <v>71</v>
      </c>
      <c r="JDQ10">
        <v>71</v>
      </c>
      <c r="JDR10">
        <v>71</v>
      </c>
      <c r="JDS10">
        <v>71</v>
      </c>
      <c r="JDT10">
        <v>71</v>
      </c>
      <c r="JDU10">
        <v>71</v>
      </c>
      <c r="JDV10">
        <v>71</v>
      </c>
      <c r="JDW10">
        <v>71</v>
      </c>
      <c r="JDX10">
        <v>71</v>
      </c>
      <c r="JDY10">
        <v>71</v>
      </c>
      <c r="JDZ10">
        <v>71</v>
      </c>
      <c r="JEA10">
        <v>71</v>
      </c>
      <c r="JEB10">
        <v>71</v>
      </c>
      <c r="JEC10">
        <v>71</v>
      </c>
      <c r="JED10">
        <v>71</v>
      </c>
      <c r="JLT10">
        <v>72</v>
      </c>
      <c r="JLU10">
        <v>72</v>
      </c>
      <c r="JLV10">
        <v>72</v>
      </c>
      <c r="JLW10">
        <v>72</v>
      </c>
      <c r="JLX10">
        <v>72</v>
      </c>
      <c r="JLY10">
        <v>72</v>
      </c>
      <c r="JLZ10">
        <v>72</v>
      </c>
      <c r="JNK10">
        <v>73</v>
      </c>
      <c r="JNL10">
        <v>73</v>
      </c>
      <c r="JNM10">
        <v>73</v>
      </c>
      <c r="JNN10">
        <v>73</v>
      </c>
      <c r="JNO10">
        <v>73</v>
      </c>
      <c r="JNP10">
        <v>73</v>
      </c>
      <c r="JNQ10">
        <v>73</v>
      </c>
      <c r="JNR10">
        <v>73</v>
      </c>
      <c r="JNS10">
        <v>73</v>
      </c>
      <c r="JNT10">
        <v>73</v>
      </c>
      <c r="JNU10">
        <v>73</v>
      </c>
      <c r="JNV10">
        <v>73</v>
      </c>
      <c r="JNW10">
        <v>73</v>
      </c>
      <c r="JNX10">
        <v>73</v>
      </c>
      <c r="JNY10">
        <v>73</v>
      </c>
      <c r="JNZ10">
        <v>73</v>
      </c>
      <c r="JOA10">
        <v>73</v>
      </c>
      <c r="JOB10">
        <v>73</v>
      </c>
      <c r="JOC10">
        <v>73</v>
      </c>
      <c r="JOD10">
        <v>73</v>
      </c>
      <c r="JOE10">
        <v>73</v>
      </c>
      <c r="JOF10">
        <v>73</v>
      </c>
      <c r="JOG10">
        <v>73</v>
      </c>
      <c r="JOH10">
        <v>73</v>
      </c>
      <c r="JOI10">
        <v>73</v>
      </c>
      <c r="JOJ10">
        <v>73</v>
      </c>
      <c r="JOK10">
        <v>73</v>
      </c>
      <c r="JOL10">
        <v>73</v>
      </c>
      <c r="JOM10">
        <v>73</v>
      </c>
      <c r="JON10">
        <v>73</v>
      </c>
      <c r="JOO10">
        <v>73</v>
      </c>
      <c r="JOP10">
        <v>73</v>
      </c>
      <c r="JOQ10">
        <v>73</v>
      </c>
      <c r="JOR10">
        <v>73</v>
      </c>
      <c r="JOS10">
        <v>73</v>
      </c>
      <c r="JOT10">
        <v>73</v>
      </c>
      <c r="JOU10">
        <v>73</v>
      </c>
      <c r="JOV10">
        <v>73</v>
      </c>
      <c r="JOW10">
        <v>73</v>
      </c>
      <c r="JOX10">
        <v>73</v>
      </c>
      <c r="JOY10">
        <v>73</v>
      </c>
      <c r="JOZ10">
        <v>73</v>
      </c>
      <c r="JPA10">
        <v>73</v>
      </c>
      <c r="JPB10">
        <v>73</v>
      </c>
      <c r="JPC10">
        <v>73</v>
      </c>
      <c r="JPD10">
        <v>73</v>
      </c>
      <c r="JPE10">
        <v>73</v>
      </c>
      <c r="JQE10">
        <v>74</v>
      </c>
      <c r="JQF10">
        <v>74</v>
      </c>
      <c r="JQG10">
        <v>74</v>
      </c>
      <c r="JQH10">
        <v>74</v>
      </c>
      <c r="JQI10">
        <v>74</v>
      </c>
      <c r="JQJ10">
        <v>74</v>
      </c>
      <c r="JQK10">
        <v>74</v>
      </c>
      <c r="JQL10">
        <v>74</v>
      </c>
      <c r="JQM10">
        <v>74</v>
      </c>
      <c r="JQN10">
        <v>74</v>
      </c>
      <c r="JQO10">
        <v>74</v>
      </c>
      <c r="JVI10">
        <v>75</v>
      </c>
      <c r="JVJ10">
        <v>75</v>
      </c>
      <c r="JVK10">
        <v>75</v>
      </c>
      <c r="JVL10">
        <v>75</v>
      </c>
      <c r="JVM10">
        <v>75</v>
      </c>
      <c r="JVN10">
        <v>75</v>
      </c>
      <c r="JVO10">
        <v>75</v>
      </c>
      <c r="JVP10">
        <v>75</v>
      </c>
      <c r="JVQ10">
        <v>75</v>
      </c>
      <c r="JVR10">
        <v>75</v>
      </c>
      <c r="JVS10">
        <v>75</v>
      </c>
      <c r="JVT10">
        <v>75</v>
      </c>
      <c r="JVU10">
        <v>75</v>
      </c>
      <c r="JVV10">
        <v>75</v>
      </c>
      <c r="JVW10">
        <v>75</v>
      </c>
      <c r="JVX10">
        <v>75</v>
      </c>
      <c r="JVY10">
        <v>75</v>
      </c>
      <c r="JVZ10">
        <v>75</v>
      </c>
      <c r="JWA10">
        <v>75</v>
      </c>
      <c r="JWB10">
        <v>75</v>
      </c>
      <c r="JWJ10">
        <v>76</v>
      </c>
      <c r="JWK10">
        <v>76</v>
      </c>
      <c r="JWL10">
        <v>76</v>
      </c>
      <c r="JWM10">
        <v>76</v>
      </c>
      <c r="JWN10">
        <v>76</v>
      </c>
      <c r="JWO10">
        <v>76</v>
      </c>
      <c r="JWP10">
        <v>76</v>
      </c>
      <c r="JWQ10">
        <v>76</v>
      </c>
      <c r="JWR10">
        <v>76</v>
      </c>
      <c r="JWS10">
        <v>76</v>
      </c>
      <c r="JWT10">
        <v>76</v>
      </c>
      <c r="JWU10">
        <v>76</v>
      </c>
      <c r="JWV10">
        <v>76</v>
      </c>
      <c r="JWW10">
        <v>76</v>
      </c>
      <c r="JWX10">
        <v>76</v>
      </c>
      <c r="JWY10">
        <v>76</v>
      </c>
      <c r="JWZ10">
        <v>76</v>
      </c>
      <c r="JXA10">
        <v>76</v>
      </c>
      <c r="JXB10">
        <v>76</v>
      </c>
      <c r="JXC10">
        <v>76</v>
      </c>
      <c r="JXD10">
        <v>76</v>
      </c>
      <c r="JXE10">
        <v>76</v>
      </c>
      <c r="JXF10">
        <v>76</v>
      </c>
      <c r="JXG10">
        <v>76</v>
      </c>
      <c r="JXH10">
        <v>76</v>
      </c>
      <c r="JXI10">
        <v>76</v>
      </c>
      <c r="JXJ10">
        <v>76</v>
      </c>
      <c r="JXK10">
        <v>76</v>
      </c>
      <c r="JXL10">
        <v>76</v>
      </c>
      <c r="JXM10">
        <v>76</v>
      </c>
      <c r="JXN10">
        <v>76</v>
      </c>
      <c r="JXO10">
        <v>76</v>
      </c>
      <c r="JXP10">
        <v>76</v>
      </c>
      <c r="JXQ10">
        <v>76</v>
      </c>
      <c r="JXR10">
        <v>76</v>
      </c>
      <c r="JXS10">
        <v>76</v>
      </c>
      <c r="JXT10">
        <v>76</v>
      </c>
      <c r="JXU10">
        <v>76</v>
      </c>
      <c r="JXV10">
        <v>76</v>
      </c>
      <c r="JXW10">
        <v>76</v>
      </c>
      <c r="JXX10">
        <v>76</v>
      </c>
      <c r="JXY10">
        <v>76</v>
      </c>
      <c r="JXZ10">
        <v>76</v>
      </c>
      <c r="JYA10">
        <v>76</v>
      </c>
      <c r="JYB10">
        <v>76</v>
      </c>
      <c r="JYC10">
        <v>76</v>
      </c>
      <c r="JYD10">
        <v>76</v>
      </c>
      <c r="JYE10">
        <v>76</v>
      </c>
      <c r="JYF10">
        <v>76</v>
      </c>
      <c r="KGU10" s="1">
        <f t="shared" si="0"/>
        <v>12</v>
      </c>
      <c r="KGV10">
        <f t="shared" si="1"/>
        <v>14</v>
      </c>
      <c r="KGW10">
        <f t="shared" si="2"/>
        <v>18</v>
      </c>
      <c r="KGX10">
        <f t="shared" si="3"/>
        <v>43</v>
      </c>
      <c r="KGY10">
        <f t="shared" si="4"/>
        <v>81</v>
      </c>
      <c r="KGZ10">
        <f t="shared" si="5"/>
        <v>17</v>
      </c>
      <c r="KHA10">
        <f t="shared" si="6"/>
        <v>7</v>
      </c>
      <c r="KHB10">
        <f t="shared" si="7"/>
        <v>14</v>
      </c>
      <c r="KHC10">
        <f t="shared" si="8"/>
        <v>14</v>
      </c>
      <c r="KHD10">
        <f t="shared" si="9"/>
        <v>17</v>
      </c>
      <c r="KHE10">
        <f t="shared" si="10"/>
        <v>54</v>
      </c>
      <c r="KHF10">
        <f t="shared" si="11"/>
        <v>30</v>
      </c>
      <c r="KHG10">
        <f t="shared" si="12"/>
        <v>66</v>
      </c>
      <c r="KHH10">
        <f t="shared" si="13"/>
        <v>26</v>
      </c>
      <c r="KHI10">
        <f t="shared" si="14"/>
        <v>34</v>
      </c>
      <c r="KHJ10">
        <f t="shared" si="15"/>
        <v>71</v>
      </c>
      <c r="KHK10">
        <f t="shared" si="16"/>
        <v>9</v>
      </c>
      <c r="KHL10">
        <f t="shared" si="17"/>
        <v>15</v>
      </c>
      <c r="KHM10">
        <f t="shared" si="18"/>
        <v>39</v>
      </c>
      <c r="KHN10">
        <f t="shared" si="19"/>
        <v>20</v>
      </c>
      <c r="KHO10">
        <f t="shared" si="20"/>
        <v>29</v>
      </c>
      <c r="KHP10">
        <f t="shared" si="21"/>
        <v>102</v>
      </c>
      <c r="KHQ10">
        <f t="shared" si="22"/>
        <v>57</v>
      </c>
      <c r="KHR10">
        <f t="shared" si="23"/>
        <v>57</v>
      </c>
      <c r="KHS10">
        <f t="shared" si="24"/>
        <v>58</v>
      </c>
      <c r="KHT10">
        <f t="shared" si="25"/>
        <v>31</v>
      </c>
      <c r="KHU10">
        <f t="shared" si="26"/>
        <v>50</v>
      </c>
      <c r="KHV10">
        <f t="shared" si="27"/>
        <v>22</v>
      </c>
      <c r="KHW10">
        <f t="shared" si="28"/>
        <v>149</v>
      </c>
      <c r="KHX10">
        <f t="shared" si="29"/>
        <v>24</v>
      </c>
      <c r="KHY10">
        <f t="shared" si="30"/>
        <v>12</v>
      </c>
      <c r="KHZ10">
        <f t="shared" si="31"/>
        <v>62</v>
      </c>
      <c r="KIA10">
        <f t="shared" si="32"/>
        <v>9</v>
      </c>
      <c r="KIB10">
        <f t="shared" si="33"/>
        <v>18</v>
      </c>
      <c r="KIC10">
        <f t="shared" si="34"/>
        <v>42</v>
      </c>
      <c r="KID10">
        <f t="shared" si="35"/>
        <v>16</v>
      </c>
      <c r="KIE10">
        <f t="shared" si="36"/>
        <v>23</v>
      </c>
      <c r="KIF10">
        <f t="shared" si="37"/>
        <v>58</v>
      </c>
      <c r="KIG10">
        <f t="shared" si="38"/>
        <v>16</v>
      </c>
      <c r="KIH10">
        <f t="shared" si="39"/>
        <v>5</v>
      </c>
      <c r="KII10">
        <f t="shared" si="40"/>
        <v>18</v>
      </c>
      <c r="KIJ10">
        <f t="shared" si="41"/>
        <v>60</v>
      </c>
      <c r="KIK10">
        <f t="shared" si="42"/>
        <v>32</v>
      </c>
      <c r="KIL10">
        <f t="shared" si="43"/>
        <v>50</v>
      </c>
      <c r="KIM10">
        <f t="shared" si="44"/>
        <v>45</v>
      </c>
      <c r="KIN10">
        <f t="shared" si="45"/>
        <v>37</v>
      </c>
      <c r="KIO10">
        <f t="shared" si="46"/>
        <v>48</v>
      </c>
      <c r="KIP10">
        <f t="shared" si="47"/>
        <v>25</v>
      </c>
      <c r="KIQ10">
        <f t="shared" si="48"/>
        <v>20</v>
      </c>
      <c r="KIR10">
        <f t="shared" si="49"/>
        <v>20</v>
      </c>
      <c r="KIS10">
        <f t="shared" si="50"/>
        <v>14</v>
      </c>
      <c r="KIT10">
        <f t="shared" si="51"/>
        <v>28</v>
      </c>
      <c r="KIU10">
        <f t="shared" si="52"/>
        <v>65</v>
      </c>
      <c r="KIV10">
        <f t="shared" si="53"/>
        <v>71</v>
      </c>
      <c r="KIW10">
        <f t="shared" si="54"/>
        <v>68</v>
      </c>
      <c r="KIX10">
        <f t="shared" si="55"/>
        <v>102</v>
      </c>
      <c r="KIY10">
        <f t="shared" si="56"/>
        <v>16</v>
      </c>
      <c r="KIZ10">
        <f t="shared" si="57"/>
        <v>32</v>
      </c>
      <c r="KJA10">
        <f t="shared" si="58"/>
        <v>27</v>
      </c>
      <c r="KJB10">
        <f t="shared" si="59"/>
        <v>108</v>
      </c>
      <c r="KJC10">
        <f t="shared" si="60"/>
        <v>53</v>
      </c>
      <c r="KJD10">
        <f t="shared" si="61"/>
        <v>80</v>
      </c>
      <c r="KJE10">
        <f t="shared" si="62"/>
        <v>18</v>
      </c>
      <c r="KJF10">
        <f t="shared" si="63"/>
        <v>27</v>
      </c>
      <c r="KJG10" s="1">
        <f t="shared" si="64"/>
        <v>38</v>
      </c>
      <c r="KJH10" s="1">
        <f t="shared" si="65"/>
        <v>9</v>
      </c>
      <c r="KJI10" s="1">
        <f t="shared" si="66"/>
        <v>39</v>
      </c>
      <c r="KJJ10" s="1">
        <f t="shared" si="67"/>
        <v>11</v>
      </c>
      <c r="KJK10" s="1">
        <f t="shared" si="68"/>
        <v>22</v>
      </c>
      <c r="KJL10" s="1">
        <f t="shared" si="69"/>
        <v>34</v>
      </c>
      <c r="KJM10" s="1">
        <f t="shared" si="70"/>
        <v>34</v>
      </c>
      <c r="KJN10" s="1">
        <f t="shared" si="71"/>
        <v>7</v>
      </c>
      <c r="KJO10" s="1">
        <f t="shared" si="72"/>
        <v>47</v>
      </c>
      <c r="KJP10" s="1">
        <f t="shared" si="73"/>
        <v>11</v>
      </c>
      <c r="KJQ10" s="1">
        <f t="shared" si="74"/>
        <v>20</v>
      </c>
      <c r="KJR10" s="1">
        <f t="shared" si="75"/>
        <v>49</v>
      </c>
      <c r="KJS10" s="1">
        <f t="shared" si="76"/>
        <v>34</v>
      </c>
      <c r="KJT10" s="1">
        <f t="shared" si="77"/>
        <v>0</v>
      </c>
      <c r="KJU10" s="1">
        <f t="shared" si="78"/>
        <v>0</v>
      </c>
      <c r="KJV10" s="1">
        <f t="shared" si="79"/>
        <v>0</v>
      </c>
      <c r="KJW10" s="1">
        <f t="shared" si="80"/>
        <v>0</v>
      </c>
      <c r="KJX10" s="1">
        <f t="shared" si="81"/>
        <v>0</v>
      </c>
      <c r="KJY10" s="1">
        <f t="shared" si="82"/>
        <v>0</v>
      </c>
      <c r="KJZ10" s="1">
        <f t="shared" si="83"/>
        <v>0</v>
      </c>
      <c r="KKA10" s="1">
        <f t="shared" si="84"/>
        <v>0</v>
      </c>
      <c r="KKB10" s="1">
        <f t="shared" si="85"/>
        <v>0</v>
      </c>
      <c r="KKC10" s="1">
        <f t="shared" si="86"/>
        <v>0</v>
      </c>
      <c r="KKD10" s="1">
        <f t="shared" si="87"/>
        <v>0</v>
      </c>
      <c r="KKE10" s="1">
        <f t="shared" si="88"/>
        <v>0</v>
      </c>
      <c r="KKF10" s="1">
        <f t="shared" si="89"/>
        <v>0</v>
      </c>
      <c r="KKG10" s="1">
        <f t="shared" si="90"/>
        <v>0</v>
      </c>
      <c r="KKH10" s="1">
        <f t="shared" si="91"/>
        <v>0</v>
      </c>
      <c r="KKI10" s="1">
        <f t="shared" si="92"/>
        <v>0</v>
      </c>
      <c r="KKJ10" s="1">
        <f t="shared" si="93"/>
        <v>0</v>
      </c>
      <c r="KKK10" s="1">
        <f t="shared" si="94"/>
        <v>0</v>
      </c>
      <c r="KKL10" s="1">
        <f t="shared" si="95"/>
        <v>0</v>
      </c>
      <c r="KKM10" s="1">
        <f t="shared" si="96"/>
        <v>0</v>
      </c>
      <c r="KKN10" s="1">
        <f t="shared" si="97"/>
        <v>0</v>
      </c>
      <c r="KKO10" s="1">
        <f t="shared" si="98"/>
        <v>0</v>
      </c>
      <c r="KKP10" s="1">
        <f t="shared" si="99"/>
        <v>0</v>
      </c>
      <c r="KKQ10" s="1"/>
      <c r="KKR10">
        <f t="shared" si="100"/>
        <v>2860</v>
      </c>
      <c r="KKT10">
        <f t="shared" si="100"/>
        <v>2860</v>
      </c>
      <c r="KKU10" s="1">
        <f t="shared" si="101"/>
        <v>114.4</v>
      </c>
      <c r="KKV10" s="1"/>
      <c r="KKW10" s="1">
        <f t="shared" si="101"/>
        <v>114.4</v>
      </c>
    </row>
    <row r="11" spans="1:7745" ht="13.2" customHeight="1">
      <c r="A11" t="s">
        <v>6</v>
      </c>
      <c r="B11">
        <v>7</v>
      </c>
      <c r="BOQ11">
        <v>1</v>
      </c>
      <c r="BOR11">
        <v>1</v>
      </c>
      <c r="BOS11">
        <v>1</v>
      </c>
      <c r="BOT11">
        <v>1</v>
      </c>
      <c r="BOU11">
        <v>1</v>
      </c>
      <c r="BOV11">
        <v>1</v>
      </c>
      <c r="BOW11">
        <v>1</v>
      </c>
      <c r="BOX11">
        <v>1</v>
      </c>
      <c r="BOY11">
        <v>1</v>
      </c>
      <c r="BOZ11">
        <v>1</v>
      </c>
      <c r="BPA11">
        <v>1</v>
      </c>
      <c r="BPB11">
        <v>1</v>
      </c>
      <c r="BPC11">
        <v>1</v>
      </c>
      <c r="BPD11">
        <v>1</v>
      </c>
      <c r="BPE11">
        <v>1</v>
      </c>
      <c r="BPF11">
        <v>1</v>
      </c>
      <c r="BPG11">
        <v>1</v>
      </c>
      <c r="BPH11">
        <v>1</v>
      </c>
      <c r="BPI11">
        <v>1</v>
      </c>
      <c r="BPJ11">
        <v>1</v>
      </c>
      <c r="BPK11">
        <v>1</v>
      </c>
      <c r="BPL11">
        <v>1</v>
      </c>
      <c r="BPM11">
        <v>1</v>
      </c>
      <c r="BPN11">
        <v>1</v>
      </c>
      <c r="BPO11">
        <v>1</v>
      </c>
      <c r="BPP11">
        <v>1</v>
      </c>
      <c r="BPQ11">
        <v>1</v>
      </c>
      <c r="BPR11">
        <v>1</v>
      </c>
      <c r="BPS11">
        <v>1</v>
      </c>
      <c r="BPT11">
        <v>1</v>
      </c>
      <c r="BPU11">
        <v>1</v>
      </c>
      <c r="BPV11">
        <v>1</v>
      </c>
      <c r="BPW11">
        <v>1</v>
      </c>
      <c r="BPX11">
        <v>1</v>
      </c>
      <c r="BPY11">
        <v>1</v>
      </c>
      <c r="BPZ11">
        <v>1</v>
      </c>
      <c r="BQA11">
        <v>1</v>
      </c>
      <c r="BQB11">
        <v>1</v>
      </c>
      <c r="BQC11">
        <v>1</v>
      </c>
      <c r="BQD11">
        <v>1</v>
      </c>
      <c r="BQE11">
        <v>1</v>
      </c>
      <c r="BQF11">
        <v>1</v>
      </c>
      <c r="BQG11">
        <v>1</v>
      </c>
      <c r="BQH11">
        <v>1</v>
      </c>
      <c r="BQI11">
        <v>1</v>
      </c>
      <c r="BQJ11">
        <v>1</v>
      </c>
      <c r="BQK11">
        <v>1</v>
      </c>
      <c r="BQL11">
        <v>1</v>
      </c>
      <c r="BQM11">
        <v>1</v>
      </c>
      <c r="BQN11">
        <v>1</v>
      </c>
      <c r="BQO11">
        <v>1</v>
      </c>
      <c r="BQP11">
        <v>1</v>
      </c>
      <c r="BQQ11">
        <v>1</v>
      </c>
      <c r="BQR11">
        <v>1</v>
      </c>
      <c r="BQS11">
        <v>1</v>
      </c>
      <c r="BQT11">
        <v>1</v>
      </c>
      <c r="BQU11">
        <v>1</v>
      </c>
      <c r="BQV11">
        <v>1</v>
      </c>
      <c r="BQW11">
        <v>1</v>
      </c>
      <c r="BQX11">
        <v>1</v>
      </c>
      <c r="BQY11">
        <v>1</v>
      </c>
      <c r="BQZ11">
        <v>1</v>
      </c>
      <c r="BRA11">
        <v>1</v>
      </c>
      <c r="BRB11">
        <v>1</v>
      </c>
      <c r="BRC11">
        <v>1</v>
      </c>
      <c r="BRD11">
        <v>1</v>
      </c>
      <c r="BRE11">
        <v>1</v>
      </c>
      <c r="BRF11">
        <v>1</v>
      </c>
      <c r="BRG11">
        <v>1</v>
      </c>
      <c r="BRH11">
        <v>1</v>
      </c>
      <c r="BRI11">
        <v>1</v>
      </c>
      <c r="BRJ11">
        <v>1</v>
      </c>
      <c r="BRK11">
        <v>1</v>
      </c>
      <c r="BRL11">
        <v>1</v>
      </c>
      <c r="BRM11">
        <v>1</v>
      </c>
      <c r="BRN11">
        <v>1</v>
      </c>
      <c r="BRO11">
        <v>1</v>
      </c>
      <c r="BRP11">
        <v>1</v>
      </c>
      <c r="BRQ11">
        <v>1</v>
      </c>
      <c r="BRR11">
        <v>1</v>
      </c>
      <c r="BRS11">
        <v>1</v>
      </c>
      <c r="BRT11">
        <v>1</v>
      </c>
      <c r="BRU11">
        <v>1</v>
      </c>
      <c r="BRV11">
        <v>1</v>
      </c>
      <c r="BRW11">
        <v>1</v>
      </c>
      <c r="BRX11">
        <v>1</v>
      </c>
      <c r="BRY11">
        <v>1</v>
      </c>
      <c r="BRZ11">
        <v>1</v>
      </c>
      <c r="BSA11">
        <v>1</v>
      </c>
      <c r="BSB11">
        <v>1</v>
      </c>
      <c r="BSC11">
        <v>1</v>
      </c>
      <c r="BSD11">
        <v>1</v>
      </c>
      <c r="BSE11">
        <v>1</v>
      </c>
      <c r="BSF11">
        <v>1</v>
      </c>
      <c r="BSG11">
        <v>1</v>
      </c>
      <c r="BSH11">
        <v>1</v>
      </c>
      <c r="BSI11">
        <v>1</v>
      </c>
      <c r="BSJ11">
        <v>1</v>
      </c>
      <c r="BSK11">
        <v>1</v>
      </c>
      <c r="BSL11">
        <v>1</v>
      </c>
      <c r="BSM11">
        <v>1</v>
      </c>
      <c r="BSN11">
        <v>1</v>
      </c>
      <c r="BSO11">
        <v>1</v>
      </c>
      <c r="BSP11">
        <v>1</v>
      </c>
      <c r="BSQ11">
        <v>1</v>
      </c>
      <c r="BSR11">
        <v>1</v>
      </c>
      <c r="BSS11">
        <v>1</v>
      </c>
      <c r="BST11">
        <v>1</v>
      </c>
      <c r="BSU11">
        <v>1</v>
      </c>
      <c r="BSV11">
        <v>1</v>
      </c>
      <c r="BSW11">
        <v>1</v>
      </c>
      <c r="BSX11">
        <v>1</v>
      </c>
      <c r="BSY11">
        <v>1</v>
      </c>
      <c r="CIG11">
        <v>2</v>
      </c>
      <c r="CIH11">
        <v>2</v>
      </c>
      <c r="CII11">
        <v>2</v>
      </c>
      <c r="CIJ11">
        <v>2</v>
      </c>
      <c r="CIK11">
        <v>2</v>
      </c>
      <c r="CIL11">
        <v>2</v>
      </c>
      <c r="CIM11">
        <v>2</v>
      </c>
      <c r="CIN11">
        <v>2</v>
      </c>
      <c r="CIO11">
        <v>2</v>
      </c>
      <c r="CIP11">
        <v>2</v>
      </c>
      <c r="CIQ11">
        <v>2</v>
      </c>
      <c r="CIR11">
        <v>2</v>
      </c>
      <c r="CIS11">
        <v>2</v>
      </c>
      <c r="CIT11">
        <v>2</v>
      </c>
      <c r="CIU11">
        <v>2</v>
      </c>
      <c r="CIV11">
        <v>2</v>
      </c>
      <c r="CIW11">
        <v>2</v>
      </c>
      <c r="CIX11">
        <v>2</v>
      </c>
      <c r="CIY11">
        <v>2</v>
      </c>
      <c r="CIZ11">
        <v>2</v>
      </c>
      <c r="CJA11">
        <v>2</v>
      </c>
      <c r="CJB11">
        <v>2</v>
      </c>
      <c r="CJC11">
        <v>2</v>
      </c>
      <c r="CJD11">
        <v>2</v>
      </c>
      <c r="CJE11">
        <v>2</v>
      </c>
      <c r="CJF11">
        <v>2</v>
      </c>
      <c r="CJG11">
        <v>2</v>
      </c>
      <c r="CJH11">
        <v>2</v>
      </c>
      <c r="CJI11">
        <v>2</v>
      </c>
      <c r="CJJ11">
        <v>2</v>
      </c>
      <c r="CJK11">
        <v>2</v>
      </c>
      <c r="DAF11">
        <v>3</v>
      </c>
      <c r="DAG11">
        <v>3</v>
      </c>
      <c r="DAH11">
        <v>3</v>
      </c>
      <c r="DAI11">
        <v>3</v>
      </c>
      <c r="DAJ11">
        <v>3</v>
      </c>
      <c r="DAK11">
        <v>3</v>
      </c>
      <c r="DAL11">
        <v>3</v>
      </c>
      <c r="DAM11">
        <v>3</v>
      </c>
      <c r="DAN11">
        <v>3</v>
      </c>
      <c r="DAO11">
        <v>3</v>
      </c>
      <c r="DAP11">
        <v>3</v>
      </c>
      <c r="DAQ11">
        <v>3</v>
      </c>
      <c r="DAR11">
        <v>3</v>
      </c>
      <c r="DAS11">
        <v>3</v>
      </c>
      <c r="DAT11">
        <v>3</v>
      </c>
      <c r="DAU11">
        <v>3</v>
      </c>
      <c r="DAV11">
        <v>3</v>
      </c>
      <c r="DAW11">
        <v>3</v>
      </c>
      <c r="DAX11">
        <v>3</v>
      </c>
      <c r="DAY11">
        <v>3</v>
      </c>
      <c r="DAZ11">
        <v>3</v>
      </c>
      <c r="DBA11">
        <v>3</v>
      </c>
      <c r="DBB11">
        <v>3</v>
      </c>
      <c r="DBC11">
        <v>3</v>
      </c>
      <c r="DBD11">
        <v>3</v>
      </c>
      <c r="DBE11">
        <v>3</v>
      </c>
      <c r="DBF11">
        <v>3</v>
      </c>
      <c r="DBG11">
        <v>3</v>
      </c>
      <c r="DBH11">
        <v>3</v>
      </c>
      <c r="DBI11">
        <v>3</v>
      </c>
      <c r="DBJ11">
        <v>3</v>
      </c>
      <c r="DBK11">
        <v>3</v>
      </c>
      <c r="DBL11">
        <v>3</v>
      </c>
      <c r="DBM11">
        <v>3</v>
      </c>
      <c r="DBN11">
        <v>3</v>
      </c>
      <c r="DBO11">
        <v>3</v>
      </c>
      <c r="DBP11">
        <v>3</v>
      </c>
      <c r="DBQ11">
        <v>3</v>
      </c>
      <c r="DBR11">
        <v>3</v>
      </c>
      <c r="DBS11">
        <v>3</v>
      </c>
      <c r="DBT11">
        <v>3</v>
      </c>
      <c r="DBU11">
        <v>3</v>
      </c>
      <c r="DBV11">
        <v>3</v>
      </c>
      <c r="DBW11">
        <v>3</v>
      </c>
      <c r="DBX11">
        <v>3</v>
      </c>
      <c r="DBY11">
        <v>3</v>
      </c>
      <c r="DBZ11">
        <v>3</v>
      </c>
      <c r="DCA11">
        <v>3</v>
      </c>
      <c r="DCB11">
        <v>3</v>
      </c>
      <c r="DCC11">
        <v>3</v>
      </c>
      <c r="DCD11">
        <v>3</v>
      </c>
      <c r="DCE11">
        <v>3</v>
      </c>
      <c r="DFD11">
        <v>4</v>
      </c>
      <c r="DFE11">
        <v>4</v>
      </c>
      <c r="DFF11">
        <v>4</v>
      </c>
      <c r="DFG11">
        <v>4</v>
      </c>
      <c r="DFH11">
        <v>4</v>
      </c>
      <c r="DFI11">
        <v>4</v>
      </c>
      <c r="DFJ11">
        <v>4</v>
      </c>
      <c r="DFK11">
        <v>4</v>
      </c>
      <c r="DFL11">
        <v>4</v>
      </c>
      <c r="DFM11">
        <v>4</v>
      </c>
      <c r="DFN11">
        <v>4</v>
      </c>
      <c r="DFO11">
        <v>4</v>
      </c>
      <c r="DFP11">
        <v>4</v>
      </c>
      <c r="DFQ11">
        <v>4</v>
      </c>
      <c r="DFR11">
        <v>4</v>
      </c>
      <c r="DFS11">
        <v>4</v>
      </c>
      <c r="DFT11">
        <v>4</v>
      </c>
      <c r="DFU11">
        <v>4</v>
      </c>
      <c r="DFV11">
        <v>4</v>
      </c>
      <c r="DFW11">
        <v>4</v>
      </c>
      <c r="DFX11">
        <v>4</v>
      </c>
      <c r="DFY11">
        <v>4</v>
      </c>
      <c r="DFZ11">
        <v>4</v>
      </c>
      <c r="DGA11">
        <v>4</v>
      </c>
      <c r="DGB11">
        <v>4</v>
      </c>
      <c r="DGC11">
        <v>4</v>
      </c>
      <c r="DGD11">
        <v>4</v>
      </c>
      <c r="DGE11">
        <v>4</v>
      </c>
      <c r="DGF11">
        <v>4</v>
      </c>
      <c r="DGG11">
        <v>4</v>
      </c>
      <c r="DGH11">
        <v>4</v>
      </c>
      <c r="DGI11">
        <v>4</v>
      </c>
      <c r="HDN11">
        <v>5</v>
      </c>
      <c r="HDO11">
        <v>5</v>
      </c>
      <c r="HDP11">
        <v>5</v>
      </c>
      <c r="HDQ11">
        <v>5</v>
      </c>
      <c r="HDR11">
        <v>5</v>
      </c>
      <c r="HDS11">
        <v>5</v>
      </c>
      <c r="HDT11">
        <v>5</v>
      </c>
      <c r="HDU11">
        <v>5</v>
      </c>
      <c r="HDV11">
        <v>5</v>
      </c>
      <c r="HDW11">
        <v>5</v>
      </c>
      <c r="HDX11">
        <v>5</v>
      </c>
      <c r="HDY11">
        <v>5</v>
      </c>
      <c r="HDZ11">
        <v>5</v>
      </c>
      <c r="HEA11">
        <v>5</v>
      </c>
      <c r="HEB11">
        <v>5</v>
      </c>
      <c r="HEC11">
        <v>5</v>
      </c>
      <c r="HED11">
        <v>5</v>
      </c>
      <c r="HEE11">
        <v>5</v>
      </c>
      <c r="HEF11">
        <v>5</v>
      </c>
      <c r="HEG11">
        <v>5</v>
      </c>
      <c r="HEH11">
        <v>5</v>
      </c>
      <c r="HEI11">
        <v>5</v>
      </c>
      <c r="HEJ11">
        <v>5</v>
      </c>
      <c r="HEK11">
        <v>5</v>
      </c>
      <c r="HEL11">
        <v>5</v>
      </c>
      <c r="HEM11">
        <v>5</v>
      </c>
      <c r="HEN11">
        <v>5</v>
      </c>
      <c r="HEO11">
        <v>5</v>
      </c>
      <c r="HEP11">
        <v>5</v>
      </c>
      <c r="HEQ11">
        <v>5</v>
      </c>
      <c r="HER11">
        <v>5</v>
      </c>
      <c r="HES11">
        <v>5</v>
      </c>
      <c r="HET11">
        <v>5</v>
      </c>
      <c r="HEU11">
        <v>5</v>
      </c>
      <c r="HEV11">
        <v>5</v>
      </c>
      <c r="HEW11">
        <v>5</v>
      </c>
      <c r="HEX11">
        <v>5</v>
      </c>
      <c r="HEY11">
        <v>5</v>
      </c>
      <c r="HEZ11">
        <v>5</v>
      </c>
      <c r="HFA11">
        <v>5</v>
      </c>
      <c r="HFB11">
        <v>5</v>
      </c>
      <c r="HFC11">
        <v>5</v>
      </c>
      <c r="HFD11">
        <v>5</v>
      </c>
      <c r="HFE11">
        <v>5</v>
      </c>
      <c r="HFF11">
        <v>5</v>
      </c>
      <c r="HFG11">
        <v>5</v>
      </c>
      <c r="HFH11">
        <v>5</v>
      </c>
      <c r="HFI11">
        <v>5</v>
      </c>
      <c r="HFJ11">
        <v>5</v>
      </c>
      <c r="HFK11">
        <v>5</v>
      </c>
      <c r="HFL11">
        <v>5</v>
      </c>
      <c r="HFM11">
        <v>5</v>
      </c>
      <c r="HFN11">
        <v>5</v>
      </c>
      <c r="HFO11">
        <v>5</v>
      </c>
      <c r="HFP11">
        <v>5</v>
      </c>
      <c r="HFQ11">
        <v>5</v>
      </c>
      <c r="HFR11">
        <v>5</v>
      </c>
      <c r="HFS11">
        <v>5</v>
      </c>
      <c r="HFT11">
        <v>5</v>
      </c>
      <c r="HFU11">
        <v>5</v>
      </c>
      <c r="HFV11">
        <v>5</v>
      </c>
      <c r="HFW11">
        <v>5</v>
      </c>
      <c r="HFX11">
        <v>5</v>
      </c>
      <c r="HFY11">
        <v>5</v>
      </c>
      <c r="HFZ11">
        <v>5</v>
      </c>
      <c r="HGA11">
        <v>5</v>
      </c>
      <c r="HGB11">
        <v>5</v>
      </c>
      <c r="HGC11">
        <v>5</v>
      </c>
      <c r="HGD11">
        <v>5</v>
      </c>
      <c r="HGE11">
        <v>5</v>
      </c>
      <c r="HGF11">
        <v>5</v>
      </c>
      <c r="HGG11">
        <v>5</v>
      </c>
      <c r="HGH11">
        <v>5</v>
      </c>
      <c r="HGI11">
        <v>5</v>
      </c>
      <c r="HGJ11">
        <v>5</v>
      </c>
      <c r="HGK11">
        <v>5</v>
      </c>
      <c r="HGL11">
        <v>5</v>
      </c>
      <c r="HGM11">
        <v>5</v>
      </c>
      <c r="HGN11">
        <v>5</v>
      </c>
      <c r="IJZ11">
        <v>6</v>
      </c>
      <c r="IKA11">
        <v>6</v>
      </c>
      <c r="IKB11">
        <v>6</v>
      </c>
      <c r="IKC11">
        <v>6</v>
      </c>
      <c r="IKD11">
        <v>6</v>
      </c>
      <c r="IKE11">
        <v>6</v>
      </c>
      <c r="IKF11">
        <v>6</v>
      </c>
      <c r="IKG11">
        <v>6</v>
      </c>
      <c r="IKH11">
        <v>6</v>
      </c>
      <c r="IKI11">
        <v>6</v>
      </c>
      <c r="IKJ11">
        <v>6</v>
      </c>
      <c r="IKK11">
        <v>6</v>
      </c>
      <c r="IKL11">
        <v>6</v>
      </c>
      <c r="IKM11">
        <v>6</v>
      </c>
      <c r="IKN11">
        <v>6</v>
      </c>
      <c r="IKO11">
        <v>6</v>
      </c>
      <c r="IKP11">
        <v>6</v>
      </c>
      <c r="IKQ11">
        <v>6</v>
      </c>
      <c r="IKR11">
        <v>6</v>
      </c>
      <c r="IKS11">
        <v>6</v>
      </c>
      <c r="IKT11">
        <v>6</v>
      </c>
      <c r="IKU11">
        <v>6</v>
      </c>
      <c r="IKV11">
        <v>6</v>
      </c>
      <c r="IKW11">
        <v>6</v>
      </c>
      <c r="IKX11">
        <v>6</v>
      </c>
      <c r="IKY11">
        <v>6</v>
      </c>
      <c r="IKZ11">
        <v>6</v>
      </c>
      <c r="ILA11">
        <v>6</v>
      </c>
      <c r="ILB11">
        <v>6</v>
      </c>
      <c r="ILC11">
        <v>6</v>
      </c>
      <c r="ILD11">
        <v>6</v>
      </c>
      <c r="ILE11">
        <v>6</v>
      </c>
      <c r="ILF11">
        <v>6</v>
      </c>
      <c r="ILG11">
        <v>6</v>
      </c>
      <c r="ILH11">
        <v>6</v>
      </c>
      <c r="ILI11">
        <v>6</v>
      </c>
      <c r="ILJ11">
        <v>6</v>
      </c>
      <c r="ILK11">
        <v>6</v>
      </c>
      <c r="ILL11">
        <v>6</v>
      </c>
      <c r="JJT11">
        <v>7</v>
      </c>
      <c r="JJU11">
        <v>7</v>
      </c>
      <c r="JJV11">
        <v>7</v>
      </c>
      <c r="JJW11">
        <v>7</v>
      </c>
      <c r="JJX11">
        <v>7</v>
      </c>
      <c r="JJY11">
        <v>7</v>
      </c>
      <c r="JJZ11">
        <v>7</v>
      </c>
      <c r="JKA11">
        <v>7</v>
      </c>
      <c r="JKB11">
        <v>7</v>
      </c>
      <c r="JKC11">
        <v>7</v>
      </c>
      <c r="JKD11">
        <v>7</v>
      </c>
      <c r="JKE11">
        <v>7</v>
      </c>
      <c r="JKF11">
        <v>7</v>
      </c>
      <c r="JKG11">
        <v>7</v>
      </c>
      <c r="JKH11">
        <v>7</v>
      </c>
      <c r="JKI11">
        <v>7</v>
      </c>
      <c r="JKJ11">
        <v>7</v>
      </c>
      <c r="JKK11">
        <v>7</v>
      </c>
      <c r="JKL11">
        <v>7</v>
      </c>
      <c r="JKM11">
        <v>7</v>
      </c>
      <c r="JKN11">
        <v>7</v>
      </c>
      <c r="JKO11">
        <v>7</v>
      </c>
      <c r="JKP11">
        <v>7</v>
      </c>
      <c r="JKQ11">
        <v>7</v>
      </c>
      <c r="JKR11">
        <v>7</v>
      </c>
      <c r="JKS11">
        <v>7</v>
      </c>
      <c r="JKT11">
        <v>7</v>
      </c>
      <c r="JKU11">
        <v>7</v>
      </c>
      <c r="JKV11">
        <v>7</v>
      </c>
      <c r="JKW11">
        <v>7</v>
      </c>
      <c r="JKX11">
        <v>7</v>
      </c>
      <c r="JKY11">
        <v>7</v>
      </c>
      <c r="JKZ11">
        <v>7</v>
      </c>
      <c r="JLA11">
        <v>7</v>
      </c>
      <c r="JLB11">
        <v>7</v>
      </c>
      <c r="JLC11">
        <v>7</v>
      </c>
      <c r="JLD11">
        <v>7</v>
      </c>
      <c r="JLE11">
        <v>7</v>
      </c>
      <c r="JLF11">
        <v>7</v>
      </c>
      <c r="JLG11">
        <v>7</v>
      </c>
      <c r="JLH11">
        <v>7</v>
      </c>
      <c r="JLI11">
        <v>7</v>
      </c>
      <c r="JLJ11">
        <v>7</v>
      </c>
      <c r="JLK11">
        <v>7</v>
      </c>
      <c r="JLL11">
        <v>7</v>
      </c>
      <c r="JLM11">
        <v>7</v>
      </c>
      <c r="JLN11">
        <v>7</v>
      </c>
      <c r="JLO11">
        <v>7</v>
      </c>
      <c r="JLP11">
        <v>7</v>
      </c>
      <c r="JLQ11">
        <v>7</v>
      </c>
      <c r="JLR11">
        <v>7</v>
      </c>
      <c r="JLS11">
        <v>7</v>
      </c>
      <c r="KGU11" s="1">
        <f t="shared" si="0"/>
        <v>113</v>
      </c>
      <c r="KGV11">
        <f t="shared" si="1"/>
        <v>31</v>
      </c>
      <c r="KGW11">
        <f t="shared" si="2"/>
        <v>52</v>
      </c>
      <c r="KGX11">
        <f t="shared" si="3"/>
        <v>32</v>
      </c>
      <c r="KGY11">
        <f t="shared" si="4"/>
        <v>79</v>
      </c>
      <c r="KGZ11">
        <f t="shared" si="5"/>
        <v>39</v>
      </c>
      <c r="KHA11">
        <f t="shared" si="6"/>
        <v>52</v>
      </c>
      <c r="KHB11">
        <f t="shared" si="7"/>
        <v>0</v>
      </c>
      <c r="KHC11">
        <f t="shared" si="8"/>
        <v>0</v>
      </c>
      <c r="KHD11">
        <f t="shared" si="9"/>
        <v>0</v>
      </c>
      <c r="KHE11">
        <f t="shared" si="10"/>
        <v>0</v>
      </c>
      <c r="KHF11">
        <f t="shared" si="11"/>
        <v>0</v>
      </c>
      <c r="KHG11">
        <f t="shared" si="12"/>
        <v>0</v>
      </c>
      <c r="KHH11">
        <f t="shared" si="13"/>
        <v>0</v>
      </c>
      <c r="KHI11">
        <f t="shared" si="14"/>
        <v>0</v>
      </c>
      <c r="KHJ11">
        <f t="shared" si="15"/>
        <v>0</v>
      </c>
      <c r="KHK11">
        <f t="shared" si="16"/>
        <v>0</v>
      </c>
      <c r="KHL11">
        <f t="shared" si="17"/>
        <v>0</v>
      </c>
      <c r="KHM11">
        <f t="shared" si="18"/>
        <v>0</v>
      </c>
      <c r="KHN11">
        <f t="shared" si="19"/>
        <v>0</v>
      </c>
      <c r="KHO11">
        <f t="shared" si="20"/>
        <v>0</v>
      </c>
      <c r="KHP11">
        <f t="shared" si="21"/>
        <v>0</v>
      </c>
      <c r="KHQ11">
        <f t="shared" si="22"/>
        <v>0</v>
      </c>
      <c r="KHR11">
        <f t="shared" si="23"/>
        <v>0</v>
      </c>
      <c r="KHS11">
        <f t="shared" si="24"/>
        <v>0</v>
      </c>
      <c r="KHT11">
        <f t="shared" si="25"/>
        <v>0</v>
      </c>
      <c r="KHU11">
        <f t="shared" si="26"/>
        <v>0</v>
      </c>
      <c r="KHV11">
        <f t="shared" si="27"/>
        <v>0</v>
      </c>
      <c r="KHW11">
        <f t="shared" si="28"/>
        <v>0</v>
      </c>
      <c r="KHX11">
        <f t="shared" si="29"/>
        <v>0</v>
      </c>
      <c r="KHY11">
        <f t="shared" si="30"/>
        <v>0</v>
      </c>
      <c r="KHZ11">
        <f t="shared" si="31"/>
        <v>0</v>
      </c>
      <c r="KIA11">
        <f t="shared" si="32"/>
        <v>0</v>
      </c>
      <c r="KIB11">
        <f t="shared" si="33"/>
        <v>0</v>
      </c>
      <c r="KIC11">
        <f t="shared" si="34"/>
        <v>0</v>
      </c>
      <c r="KID11">
        <f t="shared" si="35"/>
        <v>0</v>
      </c>
      <c r="KIE11">
        <f t="shared" si="36"/>
        <v>0</v>
      </c>
      <c r="KIF11">
        <f t="shared" si="37"/>
        <v>0</v>
      </c>
      <c r="KIG11">
        <f t="shared" si="38"/>
        <v>0</v>
      </c>
      <c r="KIH11">
        <f t="shared" si="39"/>
        <v>0</v>
      </c>
      <c r="KII11">
        <f t="shared" si="40"/>
        <v>0</v>
      </c>
      <c r="KIJ11">
        <f t="shared" si="41"/>
        <v>0</v>
      </c>
      <c r="KIK11">
        <f t="shared" si="42"/>
        <v>0</v>
      </c>
      <c r="KIL11">
        <f t="shared" si="43"/>
        <v>0</v>
      </c>
      <c r="KIM11">
        <f t="shared" si="44"/>
        <v>0</v>
      </c>
      <c r="KIN11">
        <f t="shared" si="45"/>
        <v>0</v>
      </c>
      <c r="KIO11">
        <f t="shared" si="46"/>
        <v>0</v>
      </c>
      <c r="KIP11">
        <f t="shared" si="47"/>
        <v>0</v>
      </c>
      <c r="KIQ11">
        <f t="shared" si="48"/>
        <v>0</v>
      </c>
      <c r="KIR11">
        <f t="shared" si="49"/>
        <v>0</v>
      </c>
      <c r="KIS11">
        <f t="shared" si="50"/>
        <v>0</v>
      </c>
      <c r="KIT11">
        <f t="shared" si="51"/>
        <v>0</v>
      </c>
      <c r="KIU11">
        <f t="shared" si="52"/>
        <v>0</v>
      </c>
      <c r="KIV11">
        <f t="shared" si="53"/>
        <v>0</v>
      </c>
      <c r="KIW11">
        <f t="shared" si="54"/>
        <v>0</v>
      </c>
      <c r="KIX11">
        <f t="shared" si="55"/>
        <v>0</v>
      </c>
      <c r="KIY11">
        <f t="shared" si="56"/>
        <v>0</v>
      </c>
      <c r="KIZ11">
        <f t="shared" si="57"/>
        <v>0</v>
      </c>
      <c r="KJA11">
        <f t="shared" si="58"/>
        <v>0</v>
      </c>
      <c r="KJB11">
        <f t="shared" si="59"/>
        <v>0</v>
      </c>
      <c r="KJC11">
        <f t="shared" si="60"/>
        <v>0</v>
      </c>
      <c r="KJD11">
        <f t="shared" si="61"/>
        <v>0</v>
      </c>
      <c r="KJE11">
        <f t="shared" si="62"/>
        <v>0</v>
      </c>
      <c r="KJF11">
        <f t="shared" si="63"/>
        <v>0</v>
      </c>
      <c r="KJG11">
        <f t="shared" si="64"/>
        <v>0</v>
      </c>
      <c r="KJH11">
        <f t="shared" si="65"/>
        <v>0</v>
      </c>
      <c r="KJI11">
        <f t="shared" si="66"/>
        <v>0</v>
      </c>
      <c r="KJJ11">
        <f t="shared" si="67"/>
        <v>0</v>
      </c>
      <c r="KJK11">
        <f t="shared" si="68"/>
        <v>0</v>
      </c>
      <c r="KJL11">
        <f t="shared" si="69"/>
        <v>0</v>
      </c>
      <c r="KJM11">
        <f t="shared" si="70"/>
        <v>0</v>
      </c>
      <c r="KJN11">
        <f t="shared" si="71"/>
        <v>0</v>
      </c>
      <c r="KJO11">
        <f t="shared" si="72"/>
        <v>0</v>
      </c>
      <c r="KJP11">
        <f t="shared" si="73"/>
        <v>0</v>
      </c>
      <c r="KJQ11">
        <f t="shared" si="74"/>
        <v>0</v>
      </c>
      <c r="KJR11">
        <f t="shared" si="75"/>
        <v>0</v>
      </c>
      <c r="KJS11">
        <f t="shared" si="76"/>
        <v>0</v>
      </c>
      <c r="KJT11">
        <f t="shared" si="77"/>
        <v>0</v>
      </c>
      <c r="KJU11">
        <f t="shared" si="78"/>
        <v>0</v>
      </c>
      <c r="KJV11">
        <f t="shared" si="79"/>
        <v>0</v>
      </c>
      <c r="KJW11">
        <f t="shared" si="80"/>
        <v>0</v>
      </c>
      <c r="KJX11">
        <f t="shared" si="81"/>
        <v>0</v>
      </c>
      <c r="KJY11">
        <f t="shared" si="82"/>
        <v>0</v>
      </c>
      <c r="KJZ11">
        <f t="shared" si="83"/>
        <v>0</v>
      </c>
      <c r="KKA11">
        <f t="shared" si="84"/>
        <v>0</v>
      </c>
      <c r="KKB11">
        <f t="shared" si="85"/>
        <v>0</v>
      </c>
      <c r="KKC11">
        <f t="shared" si="86"/>
        <v>0</v>
      </c>
      <c r="KKD11">
        <f t="shared" si="87"/>
        <v>0</v>
      </c>
      <c r="KKE11">
        <f t="shared" si="88"/>
        <v>0</v>
      </c>
      <c r="KKF11">
        <f t="shared" si="89"/>
        <v>0</v>
      </c>
      <c r="KKG11">
        <f t="shared" si="90"/>
        <v>0</v>
      </c>
      <c r="KKH11">
        <f t="shared" si="91"/>
        <v>0</v>
      </c>
      <c r="KKI11">
        <f t="shared" si="92"/>
        <v>0</v>
      </c>
      <c r="KKJ11">
        <f t="shared" si="93"/>
        <v>0</v>
      </c>
      <c r="KKK11">
        <f t="shared" si="94"/>
        <v>0</v>
      </c>
      <c r="KKL11">
        <f t="shared" si="95"/>
        <v>0</v>
      </c>
      <c r="KKM11">
        <f t="shared" si="96"/>
        <v>0</v>
      </c>
      <c r="KKN11">
        <f t="shared" si="97"/>
        <v>0</v>
      </c>
      <c r="KKO11">
        <f t="shared" si="98"/>
        <v>0</v>
      </c>
      <c r="KKP11">
        <f t="shared" si="99"/>
        <v>0</v>
      </c>
      <c r="KKR11">
        <f t="shared" si="100"/>
        <v>398</v>
      </c>
      <c r="KKT11">
        <f t="shared" si="100"/>
        <v>398</v>
      </c>
      <c r="KKU11">
        <f t="shared" si="101"/>
        <v>15.92</v>
      </c>
      <c r="KKW11" s="1">
        <f t="shared" si="101"/>
        <v>15.92</v>
      </c>
    </row>
    <row r="12" spans="1:7745">
      <c r="A12" t="s">
        <v>7</v>
      </c>
      <c r="B12">
        <v>5</v>
      </c>
      <c r="BDS12">
        <v>1</v>
      </c>
      <c r="BDT12">
        <v>1</v>
      </c>
      <c r="BDU12">
        <v>1</v>
      </c>
      <c r="BDV12">
        <v>1</v>
      </c>
      <c r="BDW12">
        <v>1</v>
      </c>
      <c r="BDX12">
        <v>1</v>
      </c>
      <c r="BDY12">
        <v>1</v>
      </c>
      <c r="BDZ12">
        <v>1</v>
      </c>
      <c r="BEA12">
        <v>1</v>
      </c>
      <c r="BEB12">
        <v>1</v>
      </c>
      <c r="BEC12">
        <v>1</v>
      </c>
      <c r="BED12">
        <v>1</v>
      </c>
      <c r="BEE12">
        <v>1</v>
      </c>
      <c r="BEF12">
        <v>1</v>
      </c>
      <c r="BEG12">
        <v>1</v>
      </c>
      <c r="BEH12">
        <v>1</v>
      </c>
      <c r="BEI12">
        <v>1</v>
      </c>
      <c r="BEJ12">
        <v>1</v>
      </c>
      <c r="BEK12">
        <v>1</v>
      </c>
      <c r="BEL12">
        <v>1</v>
      </c>
      <c r="BEM12">
        <v>1</v>
      </c>
      <c r="BEN12">
        <v>1</v>
      </c>
      <c r="BEO12">
        <v>1</v>
      </c>
      <c r="BEP12">
        <v>1</v>
      </c>
      <c r="BEQ12">
        <v>1</v>
      </c>
      <c r="BER12">
        <v>1</v>
      </c>
      <c r="BES12">
        <v>1</v>
      </c>
      <c r="BET12">
        <v>1</v>
      </c>
      <c r="BEU12">
        <v>1</v>
      </c>
      <c r="BEV12">
        <v>1</v>
      </c>
      <c r="BEW12">
        <v>1</v>
      </c>
      <c r="BEX12">
        <v>1</v>
      </c>
      <c r="BEY12">
        <v>1</v>
      </c>
      <c r="BEZ12">
        <v>1</v>
      </c>
      <c r="BFA12">
        <v>1</v>
      </c>
      <c r="BFB12">
        <v>1</v>
      </c>
      <c r="BFC12">
        <v>1</v>
      </c>
      <c r="BFD12">
        <v>1</v>
      </c>
      <c r="BFE12">
        <v>1</v>
      </c>
      <c r="BFF12">
        <v>1</v>
      </c>
      <c r="BFG12">
        <v>1</v>
      </c>
      <c r="BFH12">
        <v>1</v>
      </c>
      <c r="BFI12">
        <v>1</v>
      </c>
      <c r="BFJ12">
        <v>1</v>
      </c>
      <c r="BFK12">
        <v>1</v>
      </c>
      <c r="BFL12">
        <v>1</v>
      </c>
      <c r="BFM12">
        <v>1</v>
      </c>
      <c r="BFN12">
        <v>1</v>
      </c>
      <c r="BFO12">
        <v>1</v>
      </c>
      <c r="BFP12">
        <v>1</v>
      </c>
      <c r="BFQ12">
        <v>1</v>
      </c>
      <c r="BFR12">
        <v>1</v>
      </c>
      <c r="BFS12">
        <v>1</v>
      </c>
      <c r="BFT12">
        <v>1</v>
      </c>
      <c r="BFU12">
        <v>1</v>
      </c>
      <c r="BFV12">
        <v>1</v>
      </c>
      <c r="BFW12">
        <v>1</v>
      </c>
      <c r="BFX12">
        <v>1</v>
      </c>
      <c r="CCZ12">
        <v>2</v>
      </c>
      <c r="CDA12">
        <v>2</v>
      </c>
      <c r="CDB12">
        <v>2</v>
      </c>
      <c r="CDC12">
        <v>2</v>
      </c>
      <c r="CDD12">
        <v>2</v>
      </c>
      <c r="CDE12">
        <v>2</v>
      </c>
      <c r="CDF12">
        <v>2</v>
      </c>
      <c r="CDG12">
        <v>2</v>
      </c>
      <c r="CDH12">
        <v>2</v>
      </c>
      <c r="CDI12">
        <v>2</v>
      </c>
      <c r="CDJ12">
        <v>2</v>
      </c>
      <c r="CDK12">
        <v>2</v>
      </c>
      <c r="CDL12">
        <v>2</v>
      </c>
      <c r="CDM12">
        <v>2</v>
      </c>
      <c r="CDN12">
        <v>2</v>
      </c>
      <c r="CDO12">
        <v>2</v>
      </c>
      <c r="CDP12">
        <v>2</v>
      </c>
      <c r="CDQ12">
        <v>2</v>
      </c>
      <c r="CDR12">
        <v>2</v>
      </c>
      <c r="CDS12">
        <v>2</v>
      </c>
      <c r="CDT12">
        <v>2</v>
      </c>
      <c r="CDU12">
        <v>2</v>
      </c>
      <c r="CDV12">
        <v>2</v>
      </c>
      <c r="CDW12">
        <v>2</v>
      </c>
      <c r="CDX12">
        <v>2</v>
      </c>
      <c r="CDY12">
        <v>2</v>
      </c>
      <c r="CDZ12">
        <v>2</v>
      </c>
      <c r="CEA12">
        <v>2</v>
      </c>
      <c r="CEB12">
        <v>2</v>
      </c>
      <c r="CEC12">
        <v>2</v>
      </c>
      <c r="CED12">
        <v>2</v>
      </c>
      <c r="CEE12">
        <v>2</v>
      </c>
      <c r="CEF12">
        <v>2</v>
      </c>
      <c r="CEG12">
        <v>2</v>
      </c>
      <c r="CEH12">
        <v>2</v>
      </c>
      <c r="CEI12">
        <v>2</v>
      </c>
      <c r="CEJ12">
        <v>2</v>
      </c>
      <c r="CEK12">
        <v>2</v>
      </c>
      <c r="CEL12">
        <v>2</v>
      </c>
      <c r="CEM12">
        <v>2</v>
      </c>
      <c r="CEN12">
        <v>2</v>
      </c>
      <c r="EGP12">
        <v>3</v>
      </c>
      <c r="EGQ12">
        <v>3</v>
      </c>
      <c r="EGR12">
        <v>3</v>
      </c>
      <c r="EGS12">
        <v>3</v>
      </c>
      <c r="EGT12">
        <v>3</v>
      </c>
      <c r="EGU12">
        <v>3</v>
      </c>
      <c r="EGV12">
        <v>3</v>
      </c>
      <c r="EGW12">
        <v>3</v>
      </c>
      <c r="EGX12">
        <v>3</v>
      </c>
      <c r="EGY12">
        <v>3</v>
      </c>
      <c r="EGZ12">
        <v>3</v>
      </c>
      <c r="EHA12">
        <v>3</v>
      </c>
      <c r="EHB12">
        <v>3</v>
      </c>
      <c r="EHC12">
        <v>3</v>
      </c>
      <c r="EHD12">
        <v>3</v>
      </c>
      <c r="EHE12">
        <v>3</v>
      </c>
      <c r="EHF12">
        <v>3</v>
      </c>
      <c r="EHG12">
        <v>3</v>
      </c>
      <c r="EHH12">
        <v>3</v>
      </c>
      <c r="EHI12">
        <v>3</v>
      </c>
      <c r="EHJ12">
        <v>3</v>
      </c>
      <c r="EHK12">
        <v>3</v>
      </c>
      <c r="EHL12">
        <v>3</v>
      </c>
      <c r="EHM12">
        <v>3</v>
      </c>
      <c r="EHN12">
        <v>3</v>
      </c>
      <c r="EHO12">
        <v>3</v>
      </c>
      <c r="EHP12">
        <v>3</v>
      </c>
      <c r="EHQ12">
        <v>3</v>
      </c>
      <c r="EHR12">
        <v>3</v>
      </c>
      <c r="EHS12">
        <v>3</v>
      </c>
      <c r="EHT12">
        <v>3</v>
      </c>
      <c r="EHU12">
        <v>3</v>
      </c>
      <c r="EHV12">
        <v>3</v>
      </c>
      <c r="IGS12">
        <v>4</v>
      </c>
      <c r="IGT12">
        <v>4</v>
      </c>
      <c r="IGU12">
        <v>4</v>
      </c>
      <c r="IGV12">
        <v>4</v>
      </c>
      <c r="IGW12">
        <v>4</v>
      </c>
      <c r="IGX12">
        <v>4</v>
      </c>
      <c r="IGY12">
        <v>4</v>
      </c>
      <c r="IGZ12">
        <v>4</v>
      </c>
      <c r="IHA12">
        <v>4</v>
      </c>
      <c r="IHB12">
        <v>4</v>
      </c>
      <c r="IHC12">
        <v>4</v>
      </c>
      <c r="IHD12">
        <v>4</v>
      </c>
      <c r="IHE12">
        <v>4</v>
      </c>
      <c r="IHF12">
        <v>4</v>
      </c>
      <c r="IHG12">
        <v>4</v>
      </c>
      <c r="IHH12">
        <v>4</v>
      </c>
      <c r="IHI12">
        <v>4</v>
      </c>
      <c r="IHJ12">
        <v>4</v>
      </c>
      <c r="IHK12">
        <v>4</v>
      </c>
      <c r="IHL12">
        <v>4</v>
      </c>
      <c r="IHM12">
        <v>4</v>
      </c>
      <c r="IHN12">
        <v>4</v>
      </c>
      <c r="IHO12">
        <v>4</v>
      </c>
      <c r="IHP12">
        <v>4</v>
      </c>
      <c r="IHQ12">
        <v>4</v>
      </c>
      <c r="IHR12">
        <v>4</v>
      </c>
      <c r="IHS12">
        <v>4</v>
      </c>
      <c r="IHT12">
        <v>4</v>
      </c>
      <c r="IHU12">
        <v>4</v>
      </c>
      <c r="IHV12">
        <v>4</v>
      </c>
      <c r="IHW12">
        <v>4</v>
      </c>
      <c r="IHX12">
        <v>4</v>
      </c>
      <c r="IHY12">
        <v>4</v>
      </c>
      <c r="IHZ12">
        <v>4</v>
      </c>
      <c r="IIA12">
        <v>4</v>
      </c>
      <c r="IIB12">
        <v>4</v>
      </c>
      <c r="IIC12">
        <v>4</v>
      </c>
      <c r="IID12">
        <v>4</v>
      </c>
      <c r="IIE12">
        <v>4</v>
      </c>
      <c r="IIF12">
        <v>4</v>
      </c>
      <c r="IIG12">
        <v>4</v>
      </c>
      <c r="IIH12">
        <v>4</v>
      </c>
      <c r="ILX12">
        <v>5</v>
      </c>
      <c r="ILY12">
        <v>5</v>
      </c>
      <c r="ILZ12">
        <v>5</v>
      </c>
      <c r="IMA12">
        <v>5</v>
      </c>
      <c r="IMB12">
        <v>5</v>
      </c>
      <c r="IMC12">
        <v>5</v>
      </c>
      <c r="IMD12">
        <v>5</v>
      </c>
      <c r="IME12">
        <v>5</v>
      </c>
      <c r="IMF12">
        <v>5</v>
      </c>
      <c r="IMG12">
        <v>5</v>
      </c>
      <c r="IMH12">
        <v>5</v>
      </c>
      <c r="IMI12">
        <v>5</v>
      </c>
      <c r="IMJ12">
        <v>5</v>
      </c>
      <c r="IMK12">
        <v>5</v>
      </c>
      <c r="IML12">
        <v>5</v>
      </c>
      <c r="IMM12">
        <v>5</v>
      </c>
      <c r="IMN12">
        <v>5</v>
      </c>
      <c r="IMO12">
        <v>5</v>
      </c>
      <c r="IMP12">
        <v>5</v>
      </c>
      <c r="IMQ12">
        <v>5</v>
      </c>
      <c r="IMR12">
        <v>5</v>
      </c>
      <c r="IMS12">
        <v>5</v>
      </c>
      <c r="IMT12">
        <v>5</v>
      </c>
      <c r="IMU12">
        <v>5</v>
      </c>
      <c r="IMV12">
        <v>5</v>
      </c>
      <c r="IMW12">
        <v>5</v>
      </c>
      <c r="IMX12">
        <v>5</v>
      </c>
      <c r="IMY12">
        <v>5</v>
      </c>
      <c r="IMZ12">
        <v>5</v>
      </c>
      <c r="INA12">
        <v>5</v>
      </c>
      <c r="INB12">
        <v>5</v>
      </c>
      <c r="INC12">
        <v>5</v>
      </c>
      <c r="IND12">
        <v>5</v>
      </c>
      <c r="INE12">
        <v>5</v>
      </c>
      <c r="INF12">
        <v>5</v>
      </c>
      <c r="ING12">
        <v>5</v>
      </c>
      <c r="INH12">
        <v>5</v>
      </c>
      <c r="INI12">
        <v>5</v>
      </c>
      <c r="INJ12">
        <v>5</v>
      </c>
      <c r="INK12">
        <v>5</v>
      </c>
      <c r="INL12">
        <v>5</v>
      </c>
      <c r="INM12">
        <v>5</v>
      </c>
      <c r="INN12">
        <v>5</v>
      </c>
      <c r="INO12">
        <v>5</v>
      </c>
      <c r="INP12">
        <v>5</v>
      </c>
      <c r="INQ12">
        <v>5</v>
      </c>
      <c r="INR12">
        <v>5</v>
      </c>
      <c r="INS12">
        <v>5</v>
      </c>
      <c r="INT12">
        <v>5</v>
      </c>
      <c r="KGU12" s="1">
        <f t="shared" si="0"/>
        <v>58</v>
      </c>
      <c r="KGV12">
        <f t="shared" si="1"/>
        <v>41</v>
      </c>
      <c r="KGW12">
        <f t="shared" si="2"/>
        <v>33</v>
      </c>
      <c r="KGX12">
        <f t="shared" si="3"/>
        <v>42</v>
      </c>
      <c r="KGY12">
        <f t="shared" si="4"/>
        <v>49</v>
      </c>
      <c r="KGZ12">
        <f t="shared" si="5"/>
        <v>0</v>
      </c>
      <c r="KHA12">
        <f t="shared" si="6"/>
        <v>0</v>
      </c>
      <c r="KHB12">
        <f t="shared" si="7"/>
        <v>0</v>
      </c>
      <c r="KHC12">
        <f t="shared" si="8"/>
        <v>0</v>
      </c>
      <c r="KHD12">
        <f t="shared" si="9"/>
        <v>0</v>
      </c>
      <c r="KHE12">
        <f t="shared" si="10"/>
        <v>0</v>
      </c>
      <c r="KHF12">
        <f t="shared" si="11"/>
        <v>0</v>
      </c>
      <c r="KHG12">
        <f t="shared" si="12"/>
        <v>0</v>
      </c>
      <c r="KHH12">
        <f t="shared" si="13"/>
        <v>0</v>
      </c>
      <c r="KHI12">
        <f t="shared" si="14"/>
        <v>0</v>
      </c>
      <c r="KHJ12">
        <f t="shared" si="15"/>
        <v>0</v>
      </c>
      <c r="KHK12">
        <f t="shared" si="16"/>
        <v>0</v>
      </c>
      <c r="KHL12">
        <f t="shared" si="17"/>
        <v>0</v>
      </c>
      <c r="KHM12">
        <f t="shared" si="18"/>
        <v>0</v>
      </c>
      <c r="KHN12">
        <f t="shared" si="19"/>
        <v>0</v>
      </c>
      <c r="KHO12">
        <f t="shared" si="20"/>
        <v>0</v>
      </c>
      <c r="KHP12">
        <f t="shared" si="21"/>
        <v>0</v>
      </c>
      <c r="KHQ12">
        <f t="shared" si="22"/>
        <v>0</v>
      </c>
      <c r="KHR12">
        <f t="shared" si="23"/>
        <v>0</v>
      </c>
      <c r="KHS12">
        <f t="shared" si="24"/>
        <v>0</v>
      </c>
      <c r="KHT12">
        <f t="shared" si="25"/>
        <v>0</v>
      </c>
      <c r="KHU12">
        <f t="shared" si="26"/>
        <v>0</v>
      </c>
      <c r="KHV12">
        <f t="shared" si="27"/>
        <v>0</v>
      </c>
      <c r="KHW12">
        <f t="shared" si="28"/>
        <v>0</v>
      </c>
      <c r="KHX12">
        <f t="shared" si="29"/>
        <v>0</v>
      </c>
      <c r="KHY12">
        <f t="shared" si="30"/>
        <v>0</v>
      </c>
      <c r="KHZ12">
        <f t="shared" si="31"/>
        <v>0</v>
      </c>
      <c r="KIA12">
        <f t="shared" si="32"/>
        <v>0</v>
      </c>
      <c r="KIB12">
        <f t="shared" si="33"/>
        <v>0</v>
      </c>
      <c r="KIC12">
        <f t="shared" si="34"/>
        <v>0</v>
      </c>
      <c r="KID12">
        <f t="shared" si="35"/>
        <v>0</v>
      </c>
      <c r="KIE12">
        <f t="shared" si="36"/>
        <v>0</v>
      </c>
      <c r="KIF12">
        <f t="shared" si="37"/>
        <v>0</v>
      </c>
      <c r="KIG12">
        <f t="shared" si="38"/>
        <v>0</v>
      </c>
      <c r="KIH12">
        <f t="shared" si="39"/>
        <v>0</v>
      </c>
      <c r="KII12">
        <f t="shared" si="40"/>
        <v>0</v>
      </c>
      <c r="KIJ12">
        <f t="shared" si="41"/>
        <v>0</v>
      </c>
      <c r="KIK12">
        <f t="shared" si="42"/>
        <v>0</v>
      </c>
      <c r="KIL12">
        <f t="shared" si="43"/>
        <v>0</v>
      </c>
      <c r="KIM12">
        <f t="shared" si="44"/>
        <v>0</v>
      </c>
      <c r="KIN12">
        <f t="shared" si="45"/>
        <v>0</v>
      </c>
      <c r="KIO12">
        <f t="shared" si="46"/>
        <v>0</v>
      </c>
      <c r="KIP12">
        <f t="shared" si="47"/>
        <v>0</v>
      </c>
      <c r="KIQ12">
        <f t="shared" si="48"/>
        <v>0</v>
      </c>
      <c r="KIR12">
        <f t="shared" si="49"/>
        <v>0</v>
      </c>
      <c r="KIS12">
        <f t="shared" si="50"/>
        <v>0</v>
      </c>
      <c r="KIT12">
        <f t="shared" si="51"/>
        <v>0</v>
      </c>
      <c r="KIU12">
        <f t="shared" si="52"/>
        <v>0</v>
      </c>
      <c r="KIV12">
        <f t="shared" si="53"/>
        <v>0</v>
      </c>
      <c r="KIW12">
        <f t="shared" si="54"/>
        <v>0</v>
      </c>
      <c r="KIX12">
        <f t="shared" si="55"/>
        <v>0</v>
      </c>
      <c r="KIY12">
        <f t="shared" si="56"/>
        <v>0</v>
      </c>
      <c r="KIZ12">
        <f t="shared" si="57"/>
        <v>0</v>
      </c>
      <c r="KJA12">
        <f t="shared" si="58"/>
        <v>0</v>
      </c>
      <c r="KJB12">
        <f t="shared" si="59"/>
        <v>0</v>
      </c>
      <c r="KJC12">
        <f t="shared" si="60"/>
        <v>0</v>
      </c>
      <c r="KJD12">
        <f t="shared" si="61"/>
        <v>0</v>
      </c>
      <c r="KJE12">
        <f t="shared" si="62"/>
        <v>0</v>
      </c>
      <c r="KJF12">
        <f t="shared" si="63"/>
        <v>0</v>
      </c>
      <c r="KJG12">
        <f t="shared" si="64"/>
        <v>0</v>
      </c>
      <c r="KJH12">
        <f t="shared" si="65"/>
        <v>0</v>
      </c>
      <c r="KJI12">
        <f t="shared" si="66"/>
        <v>0</v>
      </c>
      <c r="KJJ12">
        <f t="shared" si="67"/>
        <v>0</v>
      </c>
      <c r="KJK12">
        <f t="shared" si="68"/>
        <v>0</v>
      </c>
      <c r="KJL12">
        <f t="shared" si="69"/>
        <v>0</v>
      </c>
      <c r="KJM12">
        <f t="shared" si="70"/>
        <v>0</v>
      </c>
      <c r="KJN12">
        <f t="shared" si="71"/>
        <v>0</v>
      </c>
      <c r="KJO12">
        <f t="shared" si="72"/>
        <v>0</v>
      </c>
      <c r="KJP12">
        <f t="shared" si="73"/>
        <v>0</v>
      </c>
      <c r="KJQ12">
        <f t="shared" si="74"/>
        <v>0</v>
      </c>
      <c r="KJR12">
        <f t="shared" si="75"/>
        <v>0</v>
      </c>
      <c r="KJS12">
        <f t="shared" si="76"/>
        <v>0</v>
      </c>
      <c r="KJT12">
        <f t="shared" si="77"/>
        <v>0</v>
      </c>
      <c r="KJU12">
        <f t="shared" si="78"/>
        <v>0</v>
      </c>
      <c r="KJV12">
        <f t="shared" si="79"/>
        <v>0</v>
      </c>
      <c r="KJW12">
        <f t="shared" si="80"/>
        <v>0</v>
      </c>
      <c r="KJX12">
        <f t="shared" si="81"/>
        <v>0</v>
      </c>
      <c r="KJY12">
        <f t="shared" si="82"/>
        <v>0</v>
      </c>
      <c r="KJZ12">
        <f t="shared" si="83"/>
        <v>0</v>
      </c>
      <c r="KKA12">
        <f t="shared" si="84"/>
        <v>0</v>
      </c>
      <c r="KKB12">
        <f t="shared" si="85"/>
        <v>0</v>
      </c>
      <c r="KKC12">
        <f t="shared" si="86"/>
        <v>0</v>
      </c>
      <c r="KKD12">
        <f t="shared" si="87"/>
        <v>0</v>
      </c>
      <c r="KKE12">
        <f t="shared" si="88"/>
        <v>0</v>
      </c>
      <c r="KKF12">
        <f t="shared" si="89"/>
        <v>0</v>
      </c>
      <c r="KKG12">
        <f t="shared" si="90"/>
        <v>0</v>
      </c>
      <c r="KKH12">
        <f t="shared" si="91"/>
        <v>0</v>
      </c>
      <c r="KKI12">
        <f t="shared" si="92"/>
        <v>0</v>
      </c>
      <c r="KKJ12">
        <f t="shared" si="93"/>
        <v>0</v>
      </c>
      <c r="KKK12">
        <f t="shared" si="94"/>
        <v>0</v>
      </c>
      <c r="KKL12">
        <f t="shared" si="95"/>
        <v>0</v>
      </c>
      <c r="KKM12">
        <f t="shared" si="96"/>
        <v>0</v>
      </c>
      <c r="KKN12">
        <f t="shared" si="97"/>
        <v>0</v>
      </c>
      <c r="KKO12">
        <f t="shared" si="98"/>
        <v>0</v>
      </c>
      <c r="KKP12">
        <f t="shared" si="99"/>
        <v>0</v>
      </c>
      <c r="KKR12">
        <f t="shared" si="100"/>
        <v>223</v>
      </c>
      <c r="KKT12">
        <f t="shared" si="100"/>
        <v>223</v>
      </c>
      <c r="KKU12">
        <f t="shared" si="101"/>
        <v>8.92</v>
      </c>
      <c r="KKW12" s="1">
        <f t="shared" si="101"/>
        <v>8.92</v>
      </c>
    </row>
    <row r="13" spans="1:7745">
      <c r="A13" t="s">
        <v>45</v>
      </c>
      <c r="B13">
        <v>10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TL13">
        <v>2</v>
      </c>
      <c r="TM13">
        <v>2</v>
      </c>
      <c r="TN13">
        <v>2</v>
      </c>
      <c r="TO13">
        <v>2</v>
      </c>
      <c r="TP13">
        <v>2</v>
      </c>
      <c r="TQ13">
        <v>2</v>
      </c>
      <c r="TR13">
        <v>2</v>
      </c>
      <c r="TS13">
        <v>2</v>
      </c>
      <c r="TT13">
        <v>2</v>
      </c>
      <c r="TU13">
        <v>2</v>
      </c>
      <c r="TV13">
        <v>2</v>
      </c>
      <c r="TW13">
        <v>2</v>
      </c>
      <c r="TX13">
        <v>2</v>
      </c>
      <c r="TY13">
        <v>2</v>
      </c>
      <c r="TZ13">
        <v>2</v>
      </c>
      <c r="UA13">
        <v>2</v>
      </c>
      <c r="UB13">
        <v>2</v>
      </c>
      <c r="UC13">
        <v>2</v>
      </c>
      <c r="UD13">
        <v>2</v>
      </c>
      <c r="UE13">
        <v>2</v>
      </c>
      <c r="UF13">
        <v>2</v>
      </c>
      <c r="UG13">
        <v>2</v>
      </c>
      <c r="UH13">
        <v>2</v>
      </c>
      <c r="UI13">
        <v>2</v>
      </c>
      <c r="UJ13">
        <v>2</v>
      </c>
      <c r="UK13">
        <v>2</v>
      </c>
      <c r="UL13">
        <v>2</v>
      </c>
      <c r="UM13">
        <v>2</v>
      </c>
      <c r="UN13">
        <v>2</v>
      </c>
      <c r="UO13">
        <v>2</v>
      </c>
      <c r="UP13">
        <v>2</v>
      </c>
      <c r="UQ13">
        <v>2</v>
      </c>
      <c r="UR13">
        <v>2</v>
      </c>
      <c r="US13">
        <v>2</v>
      </c>
      <c r="UT13">
        <v>2</v>
      </c>
      <c r="UU13">
        <v>2</v>
      </c>
      <c r="UV13">
        <v>2</v>
      </c>
      <c r="UW13">
        <v>2</v>
      </c>
      <c r="UX13">
        <v>2</v>
      </c>
      <c r="UY13">
        <v>2</v>
      </c>
      <c r="UZ13">
        <v>2</v>
      </c>
      <c r="VA13">
        <v>2</v>
      </c>
      <c r="VB13">
        <v>2</v>
      </c>
      <c r="VC13">
        <v>2</v>
      </c>
      <c r="VD13">
        <v>2</v>
      </c>
      <c r="VE13">
        <v>2</v>
      </c>
      <c r="VF13">
        <v>2</v>
      </c>
      <c r="VG13">
        <v>2</v>
      </c>
      <c r="VH13">
        <v>2</v>
      </c>
      <c r="VI13">
        <v>2</v>
      </c>
      <c r="ANO13">
        <v>3</v>
      </c>
      <c r="ANP13">
        <v>3</v>
      </c>
      <c r="ANQ13">
        <v>3</v>
      </c>
      <c r="ANR13">
        <v>3</v>
      </c>
      <c r="ANS13">
        <v>3</v>
      </c>
      <c r="ANT13">
        <v>3</v>
      </c>
      <c r="ANU13">
        <v>3</v>
      </c>
      <c r="ANV13">
        <v>3</v>
      </c>
      <c r="ANW13">
        <v>3</v>
      </c>
      <c r="ANX13">
        <v>3</v>
      </c>
      <c r="ANY13">
        <v>3</v>
      </c>
      <c r="ANZ13">
        <v>3</v>
      </c>
      <c r="AOA13">
        <v>3</v>
      </c>
      <c r="AOB13">
        <v>3</v>
      </c>
      <c r="AOC13">
        <v>3</v>
      </c>
      <c r="AOD13">
        <v>3</v>
      </c>
      <c r="AOE13">
        <v>3</v>
      </c>
      <c r="AOF13">
        <v>3</v>
      </c>
      <c r="AOG13">
        <v>3</v>
      </c>
      <c r="AOH13">
        <v>3</v>
      </c>
      <c r="AOI13">
        <v>3</v>
      </c>
      <c r="AOJ13">
        <v>3</v>
      </c>
      <c r="AOK13">
        <v>3</v>
      </c>
      <c r="AOL13">
        <v>3</v>
      </c>
      <c r="AOM13">
        <v>3</v>
      </c>
      <c r="AON13">
        <v>3</v>
      </c>
      <c r="AOO13">
        <v>3</v>
      </c>
      <c r="AOP13">
        <v>3</v>
      </c>
      <c r="AOQ13">
        <v>3</v>
      </c>
      <c r="AOR13">
        <v>3</v>
      </c>
      <c r="AOS13">
        <v>3</v>
      </c>
      <c r="AOT13">
        <v>3</v>
      </c>
      <c r="AXH13">
        <v>4</v>
      </c>
      <c r="AXI13">
        <v>4</v>
      </c>
      <c r="AXJ13">
        <v>4</v>
      </c>
      <c r="AXK13">
        <v>4</v>
      </c>
      <c r="AXL13">
        <v>4</v>
      </c>
      <c r="AXM13">
        <v>4</v>
      </c>
      <c r="AXN13">
        <v>4</v>
      </c>
      <c r="AXO13">
        <v>4</v>
      </c>
      <c r="AXP13">
        <v>4</v>
      </c>
      <c r="AXQ13">
        <v>4</v>
      </c>
      <c r="AXR13">
        <v>4</v>
      </c>
      <c r="AXS13">
        <v>4</v>
      </c>
      <c r="AXT13">
        <v>4</v>
      </c>
      <c r="AXU13">
        <v>4</v>
      </c>
      <c r="AXV13">
        <v>4</v>
      </c>
      <c r="AXW13">
        <v>4</v>
      </c>
      <c r="AXX13">
        <v>4</v>
      </c>
      <c r="AXY13">
        <v>4</v>
      </c>
      <c r="AXZ13">
        <v>4</v>
      </c>
      <c r="AYA13">
        <v>4</v>
      </c>
      <c r="AYB13">
        <v>4</v>
      </c>
      <c r="AYC13">
        <v>4</v>
      </c>
      <c r="AYD13">
        <v>4</v>
      </c>
      <c r="AYE13">
        <v>4</v>
      </c>
      <c r="AYF13">
        <v>4</v>
      </c>
      <c r="AYG13">
        <v>4</v>
      </c>
      <c r="AYH13">
        <v>4</v>
      </c>
      <c r="AYI13">
        <v>4</v>
      </c>
      <c r="AYJ13">
        <v>4</v>
      </c>
      <c r="AYK13">
        <v>4</v>
      </c>
      <c r="AYL13">
        <v>4</v>
      </c>
      <c r="AYM13">
        <v>4</v>
      </c>
      <c r="AYN13">
        <v>4</v>
      </c>
      <c r="AYO13">
        <v>4</v>
      </c>
      <c r="AYP13">
        <v>4</v>
      </c>
      <c r="AYQ13">
        <v>4</v>
      </c>
      <c r="AYR13">
        <v>4</v>
      </c>
      <c r="AYS13">
        <v>4</v>
      </c>
      <c r="AYT13">
        <v>4</v>
      </c>
      <c r="AYU13">
        <v>4</v>
      </c>
      <c r="AYV13">
        <v>4</v>
      </c>
      <c r="AYW13">
        <v>4</v>
      </c>
      <c r="CAH13">
        <v>5</v>
      </c>
      <c r="CAI13">
        <v>5</v>
      </c>
      <c r="CAJ13">
        <v>5</v>
      </c>
      <c r="CAK13">
        <v>5</v>
      </c>
      <c r="CAL13">
        <v>5</v>
      </c>
      <c r="CAM13">
        <v>5</v>
      </c>
      <c r="CAN13">
        <v>5</v>
      </c>
      <c r="CAO13">
        <v>5</v>
      </c>
      <c r="CAP13">
        <v>5</v>
      </c>
      <c r="CAQ13">
        <v>5</v>
      </c>
      <c r="CAR13">
        <v>5</v>
      </c>
      <c r="CAS13">
        <v>5</v>
      </c>
      <c r="CAT13">
        <v>5</v>
      </c>
      <c r="CAU13">
        <v>5</v>
      </c>
      <c r="CAV13">
        <v>5</v>
      </c>
      <c r="CAW13">
        <v>5</v>
      </c>
      <c r="CAX13">
        <v>5</v>
      </c>
      <c r="CAY13">
        <v>5</v>
      </c>
      <c r="CAZ13">
        <v>5</v>
      </c>
      <c r="CBA13">
        <v>5</v>
      </c>
      <c r="CBB13">
        <v>5</v>
      </c>
      <c r="CBC13">
        <v>5</v>
      </c>
      <c r="CBD13">
        <v>5</v>
      </c>
      <c r="CBE13">
        <v>5</v>
      </c>
      <c r="CBF13">
        <v>5</v>
      </c>
      <c r="CBG13">
        <v>5</v>
      </c>
      <c r="CBH13">
        <v>5</v>
      </c>
      <c r="CBI13">
        <v>5</v>
      </c>
      <c r="CBJ13">
        <v>5</v>
      </c>
      <c r="CBK13">
        <v>5</v>
      </c>
      <c r="CBL13">
        <v>5</v>
      </c>
      <c r="CBM13">
        <v>5</v>
      </c>
      <c r="CBN13">
        <v>5</v>
      </c>
      <c r="CBO13">
        <v>5</v>
      </c>
      <c r="CBP13">
        <v>5</v>
      </c>
      <c r="CBQ13">
        <v>5</v>
      </c>
      <c r="CBR13">
        <v>5</v>
      </c>
      <c r="CBS13">
        <v>5</v>
      </c>
      <c r="CBT13">
        <v>5</v>
      </c>
      <c r="DUK13">
        <v>6</v>
      </c>
      <c r="DUL13">
        <v>6</v>
      </c>
      <c r="DUM13">
        <v>6</v>
      </c>
      <c r="DUN13">
        <v>6</v>
      </c>
      <c r="DUO13">
        <v>6</v>
      </c>
      <c r="DUP13">
        <v>6</v>
      </c>
      <c r="DUQ13">
        <v>6</v>
      </c>
      <c r="DUR13">
        <v>6</v>
      </c>
      <c r="DUS13">
        <v>6</v>
      </c>
      <c r="DUT13">
        <v>6</v>
      </c>
      <c r="DUU13">
        <v>6</v>
      </c>
      <c r="DUV13">
        <v>6</v>
      </c>
      <c r="DUW13">
        <v>6</v>
      </c>
      <c r="DUX13">
        <v>6</v>
      </c>
      <c r="DUY13">
        <v>6</v>
      </c>
      <c r="DUZ13">
        <v>6</v>
      </c>
      <c r="DVA13">
        <v>6</v>
      </c>
      <c r="DVB13">
        <v>6</v>
      </c>
      <c r="DVC13">
        <v>6</v>
      </c>
      <c r="DVD13">
        <v>6</v>
      </c>
      <c r="DVE13">
        <v>6</v>
      </c>
      <c r="DVF13">
        <v>6</v>
      </c>
      <c r="DVG13">
        <v>6</v>
      </c>
      <c r="DVH13">
        <v>6</v>
      </c>
      <c r="DVI13">
        <v>6</v>
      </c>
      <c r="DVJ13">
        <v>6</v>
      </c>
      <c r="DXB13">
        <v>7</v>
      </c>
      <c r="DXC13">
        <v>7</v>
      </c>
      <c r="DXD13">
        <v>7</v>
      </c>
      <c r="DXE13">
        <v>7</v>
      </c>
      <c r="DXF13">
        <v>7</v>
      </c>
      <c r="DXG13">
        <v>7</v>
      </c>
      <c r="DXH13">
        <v>7</v>
      </c>
      <c r="DXI13">
        <v>7</v>
      </c>
      <c r="DXJ13">
        <v>7</v>
      </c>
      <c r="DXK13">
        <v>7</v>
      </c>
      <c r="DXL13">
        <v>7</v>
      </c>
      <c r="DXM13">
        <v>7</v>
      </c>
      <c r="DXN13">
        <v>7</v>
      </c>
      <c r="DXO13">
        <v>7</v>
      </c>
      <c r="DXP13">
        <v>7</v>
      </c>
      <c r="DXQ13">
        <v>7</v>
      </c>
      <c r="DXR13">
        <v>7</v>
      </c>
      <c r="DXS13">
        <v>7</v>
      </c>
      <c r="DXT13">
        <v>7</v>
      </c>
      <c r="DXU13">
        <v>7</v>
      </c>
      <c r="DXV13">
        <v>7</v>
      </c>
      <c r="DXW13">
        <v>7</v>
      </c>
      <c r="DXX13">
        <v>7</v>
      </c>
      <c r="DXY13">
        <v>7</v>
      </c>
      <c r="DXZ13">
        <v>7</v>
      </c>
      <c r="DYA13">
        <v>7</v>
      </c>
      <c r="DYB13">
        <v>7</v>
      </c>
      <c r="DYC13">
        <v>7</v>
      </c>
      <c r="DYD13">
        <v>7</v>
      </c>
      <c r="DYE13">
        <v>7</v>
      </c>
      <c r="DYF13">
        <v>7</v>
      </c>
      <c r="DYG13">
        <v>7</v>
      </c>
      <c r="DYH13">
        <v>7</v>
      </c>
      <c r="DYI13">
        <v>7</v>
      </c>
      <c r="DYJ13">
        <v>7</v>
      </c>
      <c r="DYK13">
        <v>7</v>
      </c>
      <c r="ELY13">
        <v>8</v>
      </c>
      <c r="ELZ13">
        <v>8</v>
      </c>
      <c r="EMA13">
        <v>8</v>
      </c>
      <c r="EMB13">
        <v>8</v>
      </c>
      <c r="EMC13">
        <v>8</v>
      </c>
      <c r="EMD13">
        <v>8</v>
      </c>
      <c r="EME13">
        <v>8</v>
      </c>
      <c r="EMF13">
        <v>8</v>
      </c>
      <c r="EMG13">
        <v>8</v>
      </c>
      <c r="EMH13">
        <v>8</v>
      </c>
      <c r="EMI13">
        <v>8</v>
      </c>
      <c r="EMJ13">
        <v>8</v>
      </c>
      <c r="EMK13">
        <v>8</v>
      </c>
      <c r="EML13">
        <v>8</v>
      </c>
      <c r="EMM13">
        <v>8</v>
      </c>
      <c r="ERU13">
        <v>9</v>
      </c>
      <c r="ERV13">
        <v>9</v>
      </c>
      <c r="ERW13">
        <v>9</v>
      </c>
      <c r="ERX13">
        <v>9</v>
      </c>
      <c r="ERY13">
        <v>9</v>
      </c>
      <c r="ERZ13">
        <v>9</v>
      </c>
      <c r="ESA13">
        <v>9</v>
      </c>
      <c r="ESB13">
        <v>9</v>
      </c>
      <c r="ESC13">
        <v>9</v>
      </c>
      <c r="ESD13">
        <v>9</v>
      </c>
      <c r="ESE13">
        <v>9</v>
      </c>
      <c r="ESF13">
        <v>9</v>
      </c>
      <c r="ESG13">
        <v>9</v>
      </c>
      <c r="ESH13">
        <v>9</v>
      </c>
      <c r="ESI13">
        <v>9</v>
      </c>
      <c r="ESJ13">
        <v>9</v>
      </c>
      <c r="ESK13">
        <v>9</v>
      </c>
      <c r="ESL13">
        <v>9</v>
      </c>
      <c r="ESM13">
        <v>9</v>
      </c>
      <c r="ESN13">
        <v>9</v>
      </c>
      <c r="ESO13">
        <v>9</v>
      </c>
      <c r="ESP13">
        <v>9</v>
      </c>
      <c r="ESQ13">
        <v>9</v>
      </c>
      <c r="ESR13">
        <v>9</v>
      </c>
      <c r="ESS13">
        <v>9</v>
      </c>
      <c r="HSJ13">
        <v>10</v>
      </c>
      <c r="HSK13">
        <v>10</v>
      </c>
      <c r="HSL13">
        <v>10</v>
      </c>
      <c r="HSM13">
        <v>10</v>
      </c>
      <c r="HSN13">
        <v>10</v>
      </c>
      <c r="HSO13">
        <v>10</v>
      </c>
      <c r="HSP13">
        <v>10</v>
      </c>
      <c r="HSQ13">
        <v>10</v>
      </c>
      <c r="HSR13">
        <v>10</v>
      </c>
      <c r="HSS13">
        <v>10</v>
      </c>
      <c r="HST13">
        <v>10</v>
      </c>
      <c r="HSU13">
        <v>10</v>
      </c>
      <c r="HSV13">
        <v>10</v>
      </c>
      <c r="HSW13">
        <v>10</v>
      </c>
      <c r="HSX13">
        <v>10</v>
      </c>
      <c r="HSY13">
        <v>10</v>
      </c>
      <c r="HSZ13">
        <v>10</v>
      </c>
      <c r="HTA13">
        <v>10</v>
      </c>
      <c r="HTB13">
        <v>10</v>
      </c>
      <c r="HTC13">
        <v>10</v>
      </c>
      <c r="HTD13">
        <v>10</v>
      </c>
      <c r="HTE13">
        <v>10</v>
      </c>
      <c r="HTF13">
        <v>10</v>
      </c>
      <c r="HTG13">
        <v>10</v>
      </c>
      <c r="HTH13">
        <v>10</v>
      </c>
      <c r="HTI13">
        <v>10</v>
      </c>
      <c r="HTJ13">
        <v>10</v>
      </c>
      <c r="HTK13">
        <v>10</v>
      </c>
      <c r="HTL13">
        <v>10</v>
      </c>
      <c r="HTM13">
        <v>10</v>
      </c>
      <c r="HTN13">
        <v>10</v>
      </c>
      <c r="HTO13">
        <v>10</v>
      </c>
      <c r="HTP13">
        <v>10</v>
      </c>
      <c r="HTQ13">
        <v>10</v>
      </c>
      <c r="HTR13">
        <v>10</v>
      </c>
      <c r="HTS13">
        <v>10</v>
      </c>
      <c r="HTT13">
        <v>10</v>
      </c>
      <c r="KGU13" s="1">
        <f t="shared" si="0"/>
        <v>77</v>
      </c>
      <c r="KGV13">
        <f t="shared" si="1"/>
        <v>50</v>
      </c>
      <c r="KGW13">
        <f t="shared" si="2"/>
        <v>32</v>
      </c>
      <c r="KGX13">
        <f t="shared" si="3"/>
        <v>42</v>
      </c>
      <c r="KGY13">
        <f t="shared" si="4"/>
        <v>39</v>
      </c>
      <c r="KGZ13">
        <f t="shared" si="5"/>
        <v>26</v>
      </c>
      <c r="KHA13">
        <f t="shared" si="6"/>
        <v>36</v>
      </c>
      <c r="KHB13">
        <f t="shared" si="7"/>
        <v>15</v>
      </c>
      <c r="KHC13">
        <f t="shared" si="8"/>
        <v>25</v>
      </c>
      <c r="KHD13">
        <f t="shared" si="9"/>
        <v>37</v>
      </c>
      <c r="KHE13">
        <f t="shared" si="10"/>
        <v>0</v>
      </c>
      <c r="KHF13">
        <f t="shared" si="11"/>
        <v>0</v>
      </c>
      <c r="KHG13">
        <f t="shared" si="12"/>
        <v>0</v>
      </c>
      <c r="KHH13">
        <f t="shared" si="13"/>
        <v>0</v>
      </c>
      <c r="KHI13">
        <f t="shared" si="14"/>
        <v>0</v>
      </c>
      <c r="KHJ13">
        <f t="shared" si="15"/>
        <v>0</v>
      </c>
      <c r="KHK13">
        <f t="shared" si="16"/>
        <v>0</v>
      </c>
      <c r="KHL13">
        <f t="shared" si="17"/>
        <v>0</v>
      </c>
      <c r="KHM13">
        <f t="shared" si="18"/>
        <v>0</v>
      </c>
      <c r="KHN13">
        <f t="shared" si="19"/>
        <v>0</v>
      </c>
      <c r="KHO13">
        <f t="shared" si="20"/>
        <v>0</v>
      </c>
      <c r="KHP13">
        <f t="shared" si="21"/>
        <v>0</v>
      </c>
      <c r="KHQ13">
        <f t="shared" si="22"/>
        <v>0</v>
      </c>
      <c r="KHR13">
        <f t="shared" si="23"/>
        <v>0</v>
      </c>
      <c r="KHS13">
        <f t="shared" si="24"/>
        <v>0</v>
      </c>
      <c r="KHT13">
        <f t="shared" si="25"/>
        <v>0</v>
      </c>
      <c r="KHU13">
        <f t="shared" si="26"/>
        <v>0</v>
      </c>
      <c r="KHV13">
        <f t="shared" si="27"/>
        <v>0</v>
      </c>
      <c r="KHW13">
        <f t="shared" si="28"/>
        <v>0</v>
      </c>
      <c r="KHX13">
        <f t="shared" si="29"/>
        <v>0</v>
      </c>
      <c r="KHY13">
        <f t="shared" si="30"/>
        <v>0</v>
      </c>
      <c r="KHZ13">
        <f t="shared" si="31"/>
        <v>0</v>
      </c>
      <c r="KIA13">
        <f t="shared" si="32"/>
        <v>0</v>
      </c>
      <c r="KIB13">
        <f t="shared" si="33"/>
        <v>0</v>
      </c>
      <c r="KIC13">
        <f t="shared" si="34"/>
        <v>0</v>
      </c>
      <c r="KID13">
        <f t="shared" si="35"/>
        <v>0</v>
      </c>
      <c r="KIE13">
        <f t="shared" si="36"/>
        <v>0</v>
      </c>
      <c r="KIF13">
        <f t="shared" si="37"/>
        <v>0</v>
      </c>
      <c r="KIG13">
        <f t="shared" si="38"/>
        <v>0</v>
      </c>
      <c r="KIH13">
        <f t="shared" si="39"/>
        <v>0</v>
      </c>
      <c r="KII13">
        <f t="shared" si="40"/>
        <v>0</v>
      </c>
      <c r="KIJ13">
        <f t="shared" si="41"/>
        <v>0</v>
      </c>
      <c r="KIK13">
        <f t="shared" si="42"/>
        <v>0</v>
      </c>
      <c r="KIL13">
        <f t="shared" si="43"/>
        <v>0</v>
      </c>
      <c r="KIM13">
        <f t="shared" si="44"/>
        <v>0</v>
      </c>
      <c r="KIN13">
        <f t="shared" si="45"/>
        <v>0</v>
      </c>
      <c r="KIO13">
        <f t="shared" si="46"/>
        <v>0</v>
      </c>
      <c r="KIP13">
        <f t="shared" si="47"/>
        <v>0</v>
      </c>
      <c r="KIQ13">
        <f t="shared" si="48"/>
        <v>0</v>
      </c>
      <c r="KIR13">
        <f t="shared" si="49"/>
        <v>0</v>
      </c>
      <c r="KIS13">
        <f t="shared" si="50"/>
        <v>0</v>
      </c>
      <c r="KIT13">
        <f t="shared" si="51"/>
        <v>0</v>
      </c>
      <c r="KIU13">
        <f t="shared" si="52"/>
        <v>0</v>
      </c>
      <c r="KIV13">
        <f t="shared" si="53"/>
        <v>0</v>
      </c>
      <c r="KIW13">
        <f t="shared" si="54"/>
        <v>0</v>
      </c>
      <c r="KIX13">
        <f t="shared" si="55"/>
        <v>0</v>
      </c>
      <c r="KIY13">
        <f t="shared" si="56"/>
        <v>0</v>
      </c>
      <c r="KIZ13">
        <f t="shared" si="57"/>
        <v>0</v>
      </c>
      <c r="KJA13">
        <f t="shared" si="58"/>
        <v>0</v>
      </c>
      <c r="KJB13">
        <f t="shared" si="59"/>
        <v>0</v>
      </c>
      <c r="KJC13">
        <f t="shared" si="60"/>
        <v>0</v>
      </c>
      <c r="KJD13">
        <f t="shared" si="61"/>
        <v>0</v>
      </c>
      <c r="KJE13">
        <f t="shared" si="62"/>
        <v>0</v>
      </c>
      <c r="KJF13">
        <f t="shared" si="63"/>
        <v>0</v>
      </c>
      <c r="KJG13">
        <f t="shared" si="64"/>
        <v>0</v>
      </c>
      <c r="KJH13">
        <f t="shared" si="65"/>
        <v>0</v>
      </c>
      <c r="KJI13">
        <f t="shared" si="66"/>
        <v>0</v>
      </c>
      <c r="KJJ13">
        <f t="shared" si="67"/>
        <v>0</v>
      </c>
      <c r="KJK13">
        <f t="shared" si="68"/>
        <v>0</v>
      </c>
      <c r="KJL13">
        <f t="shared" si="69"/>
        <v>0</v>
      </c>
      <c r="KJM13">
        <f t="shared" si="70"/>
        <v>0</v>
      </c>
      <c r="KJN13">
        <f t="shared" si="71"/>
        <v>0</v>
      </c>
      <c r="KJO13">
        <f t="shared" si="72"/>
        <v>0</v>
      </c>
      <c r="KJP13">
        <f t="shared" si="73"/>
        <v>0</v>
      </c>
      <c r="KJQ13">
        <f t="shared" si="74"/>
        <v>0</v>
      </c>
      <c r="KJR13">
        <f t="shared" si="75"/>
        <v>0</v>
      </c>
      <c r="KJS13">
        <f t="shared" si="76"/>
        <v>0</v>
      </c>
      <c r="KJT13">
        <f t="shared" si="77"/>
        <v>0</v>
      </c>
      <c r="KJU13">
        <f t="shared" si="78"/>
        <v>0</v>
      </c>
      <c r="KJV13">
        <f t="shared" si="79"/>
        <v>0</v>
      </c>
      <c r="KJW13">
        <f t="shared" si="80"/>
        <v>0</v>
      </c>
      <c r="KJX13">
        <f t="shared" si="81"/>
        <v>0</v>
      </c>
      <c r="KJY13">
        <f t="shared" si="82"/>
        <v>0</v>
      </c>
      <c r="KJZ13">
        <f t="shared" si="83"/>
        <v>0</v>
      </c>
      <c r="KKA13">
        <f t="shared" si="84"/>
        <v>0</v>
      </c>
      <c r="KKB13">
        <f t="shared" si="85"/>
        <v>0</v>
      </c>
      <c r="KKC13">
        <f t="shared" si="86"/>
        <v>0</v>
      </c>
      <c r="KKD13">
        <f t="shared" si="87"/>
        <v>0</v>
      </c>
      <c r="KKE13">
        <f t="shared" si="88"/>
        <v>0</v>
      </c>
      <c r="KKF13">
        <f t="shared" si="89"/>
        <v>0</v>
      </c>
      <c r="KKG13">
        <f t="shared" si="90"/>
        <v>0</v>
      </c>
      <c r="KKH13">
        <f t="shared" si="91"/>
        <v>0</v>
      </c>
      <c r="KKI13">
        <f t="shared" si="92"/>
        <v>0</v>
      </c>
      <c r="KKJ13">
        <f t="shared" si="93"/>
        <v>0</v>
      </c>
      <c r="KKK13">
        <f t="shared" si="94"/>
        <v>0</v>
      </c>
      <c r="KKL13">
        <f t="shared" si="95"/>
        <v>0</v>
      </c>
      <c r="KKM13">
        <f t="shared" si="96"/>
        <v>0</v>
      </c>
      <c r="KKN13">
        <f t="shared" si="97"/>
        <v>0</v>
      </c>
      <c r="KKO13">
        <f t="shared" si="98"/>
        <v>0</v>
      </c>
      <c r="KKP13">
        <f t="shared" si="99"/>
        <v>0</v>
      </c>
      <c r="KKR13">
        <f t="shared" si="100"/>
        <v>379</v>
      </c>
      <c r="KKT13">
        <f t="shared" si="100"/>
        <v>379</v>
      </c>
      <c r="KKU13">
        <f t="shared" si="101"/>
        <v>15.16</v>
      </c>
      <c r="KKW13" s="1">
        <f t="shared" si="101"/>
        <v>15.16</v>
      </c>
    </row>
    <row r="14" spans="1:7745">
      <c r="A14" t="s">
        <v>8</v>
      </c>
      <c r="B14">
        <v>2</v>
      </c>
      <c r="EOV14">
        <v>1</v>
      </c>
      <c r="EOW14">
        <v>1</v>
      </c>
      <c r="EOX14">
        <v>1</v>
      </c>
      <c r="EOY14">
        <v>1</v>
      </c>
      <c r="EOZ14">
        <v>1</v>
      </c>
      <c r="EPA14">
        <v>1</v>
      </c>
      <c r="EPB14">
        <v>1</v>
      </c>
      <c r="EPC14">
        <v>1</v>
      </c>
      <c r="EPD14">
        <v>1</v>
      </c>
      <c r="EPE14">
        <v>1</v>
      </c>
      <c r="EPF14">
        <v>1</v>
      </c>
      <c r="EPG14">
        <v>1</v>
      </c>
      <c r="EPH14">
        <v>1</v>
      </c>
      <c r="EPI14">
        <v>1</v>
      </c>
      <c r="EPJ14">
        <v>1</v>
      </c>
      <c r="EPK14">
        <v>1</v>
      </c>
      <c r="EPL14">
        <v>1</v>
      </c>
      <c r="EPM14">
        <v>1</v>
      </c>
      <c r="EPN14">
        <v>1</v>
      </c>
      <c r="EPO14">
        <v>1</v>
      </c>
      <c r="EPP14">
        <v>1</v>
      </c>
      <c r="EPQ14">
        <v>1</v>
      </c>
      <c r="EPR14">
        <v>1</v>
      </c>
      <c r="EPS14">
        <v>1</v>
      </c>
      <c r="EPT14">
        <v>1</v>
      </c>
      <c r="IAG14">
        <v>2</v>
      </c>
      <c r="IAH14">
        <v>2</v>
      </c>
      <c r="IAI14">
        <v>2</v>
      </c>
      <c r="IAJ14">
        <v>2</v>
      </c>
      <c r="IAK14">
        <v>2</v>
      </c>
      <c r="IAL14">
        <v>2</v>
      </c>
      <c r="IAM14">
        <v>2</v>
      </c>
      <c r="IAN14">
        <v>2</v>
      </c>
      <c r="IAO14">
        <v>2</v>
      </c>
      <c r="IAP14">
        <v>2</v>
      </c>
      <c r="IAQ14">
        <v>2</v>
      </c>
      <c r="IAR14">
        <v>2</v>
      </c>
      <c r="IAS14">
        <v>2</v>
      </c>
      <c r="IAT14">
        <v>2</v>
      </c>
      <c r="IAU14">
        <v>2</v>
      </c>
      <c r="IAV14">
        <v>2</v>
      </c>
      <c r="IAW14">
        <v>2</v>
      </c>
      <c r="IAX14">
        <v>2</v>
      </c>
      <c r="IAY14">
        <v>2</v>
      </c>
      <c r="IAZ14">
        <v>2</v>
      </c>
      <c r="IBA14">
        <v>2</v>
      </c>
      <c r="IBB14">
        <v>2</v>
      </c>
      <c r="IBC14">
        <v>2</v>
      </c>
      <c r="IBD14">
        <v>2</v>
      </c>
      <c r="IBE14">
        <v>2</v>
      </c>
      <c r="IBF14">
        <v>2</v>
      </c>
      <c r="IBG14">
        <v>2</v>
      </c>
      <c r="IBH14">
        <v>2</v>
      </c>
      <c r="KGU14" s="1">
        <f t="shared" si="0"/>
        <v>25</v>
      </c>
      <c r="KGV14">
        <f t="shared" si="1"/>
        <v>28</v>
      </c>
      <c r="KGW14">
        <f t="shared" si="2"/>
        <v>0</v>
      </c>
      <c r="KGX14">
        <f t="shared" si="3"/>
        <v>0</v>
      </c>
      <c r="KGY14">
        <f t="shared" si="4"/>
        <v>0</v>
      </c>
      <c r="KGZ14">
        <f t="shared" si="5"/>
        <v>0</v>
      </c>
      <c r="KHA14">
        <f t="shared" si="6"/>
        <v>0</v>
      </c>
      <c r="KHB14">
        <f t="shared" si="7"/>
        <v>0</v>
      </c>
      <c r="KHC14">
        <f t="shared" si="8"/>
        <v>0</v>
      </c>
      <c r="KHD14">
        <f t="shared" si="9"/>
        <v>0</v>
      </c>
      <c r="KHE14">
        <f t="shared" si="10"/>
        <v>0</v>
      </c>
      <c r="KHF14">
        <f t="shared" si="11"/>
        <v>0</v>
      </c>
      <c r="KHG14">
        <f t="shared" si="12"/>
        <v>0</v>
      </c>
      <c r="KHH14">
        <f t="shared" si="13"/>
        <v>0</v>
      </c>
      <c r="KHI14">
        <f t="shared" si="14"/>
        <v>0</v>
      </c>
      <c r="KHJ14">
        <f t="shared" si="15"/>
        <v>0</v>
      </c>
      <c r="KHK14">
        <f t="shared" si="16"/>
        <v>0</v>
      </c>
      <c r="KHL14">
        <f t="shared" si="17"/>
        <v>0</v>
      </c>
      <c r="KHM14">
        <f t="shared" si="18"/>
        <v>0</v>
      </c>
      <c r="KHN14">
        <f t="shared" si="19"/>
        <v>0</v>
      </c>
      <c r="KHO14">
        <f t="shared" si="20"/>
        <v>0</v>
      </c>
      <c r="KHP14">
        <f t="shared" si="21"/>
        <v>0</v>
      </c>
      <c r="KHQ14">
        <f t="shared" si="22"/>
        <v>0</v>
      </c>
      <c r="KHR14">
        <f t="shared" si="23"/>
        <v>0</v>
      </c>
      <c r="KHS14">
        <f t="shared" si="24"/>
        <v>0</v>
      </c>
      <c r="KHT14">
        <f t="shared" si="25"/>
        <v>0</v>
      </c>
      <c r="KHU14">
        <f t="shared" si="26"/>
        <v>0</v>
      </c>
      <c r="KHV14">
        <f t="shared" si="27"/>
        <v>0</v>
      </c>
      <c r="KHW14">
        <f t="shared" si="28"/>
        <v>0</v>
      </c>
      <c r="KHX14">
        <f t="shared" si="29"/>
        <v>0</v>
      </c>
      <c r="KHY14">
        <f t="shared" si="30"/>
        <v>0</v>
      </c>
      <c r="KHZ14">
        <f t="shared" si="31"/>
        <v>0</v>
      </c>
      <c r="KIA14">
        <f t="shared" si="32"/>
        <v>0</v>
      </c>
      <c r="KIB14">
        <f t="shared" si="33"/>
        <v>0</v>
      </c>
      <c r="KIC14">
        <f t="shared" si="34"/>
        <v>0</v>
      </c>
      <c r="KID14">
        <f t="shared" si="35"/>
        <v>0</v>
      </c>
      <c r="KIE14">
        <f t="shared" si="36"/>
        <v>0</v>
      </c>
      <c r="KIF14">
        <f t="shared" si="37"/>
        <v>0</v>
      </c>
      <c r="KIG14">
        <f t="shared" si="38"/>
        <v>0</v>
      </c>
      <c r="KIH14">
        <f t="shared" si="39"/>
        <v>0</v>
      </c>
      <c r="KII14">
        <f t="shared" si="40"/>
        <v>0</v>
      </c>
      <c r="KIJ14">
        <f t="shared" si="41"/>
        <v>0</v>
      </c>
      <c r="KIK14">
        <f t="shared" si="42"/>
        <v>0</v>
      </c>
      <c r="KIL14">
        <f t="shared" si="43"/>
        <v>0</v>
      </c>
      <c r="KIM14">
        <f t="shared" si="44"/>
        <v>0</v>
      </c>
      <c r="KIN14">
        <f t="shared" si="45"/>
        <v>0</v>
      </c>
      <c r="KIO14">
        <f t="shared" si="46"/>
        <v>0</v>
      </c>
      <c r="KIP14">
        <f t="shared" si="47"/>
        <v>0</v>
      </c>
      <c r="KIQ14">
        <f t="shared" si="48"/>
        <v>0</v>
      </c>
      <c r="KIR14">
        <f t="shared" si="49"/>
        <v>0</v>
      </c>
      <c r="KIS14">
        <f t="shared" si="50"/>
        <v>0</v>
      </c>
      <c r="KIT14">
        <f t="shared" si="51"/>
        <v>0</v>
      </c>
      <c r="KIU14">
        <f t="shared" si="52"/>
        <v>0</v>
      </c>
      <c r="KIV14">
        <f t="shared" si="53"/>
        <v>0</v>
      </c>
      <c r="KIW14">
        <f t="shared" si="54"/>
        <v>0</v>
      </c>
      <c r="KIX14">
        <f t="shared" si="55"/>
        <v>0</v>
      </c>
      <c r="KIY14">
        <f t="shared" si="56"/>
        <v>0</v>
      </c>
      <c r="KIZ14">
        <f t="shared" si="57"/>
        <v>0</v>
      </c>
      <c r="KJA14">
        <f t="shared" si="58"/>
        <v>0</v>
      </c>
      <c r="KJB14">
        <f t="shared" si="59"/>
        <v>0</v>
      </c>
      <c r="KJC14">
        <f t="shared" si="60"/>
        <v>0</v>
      </c>
      <c r="KJD14">
        <f t="shared" si="61"/>
        <v>0</v>
      </c>
      <c r="KJE14">
        <f t="shared" si="62"/>
        <v>0</v>
      </c>
      <c r="KJF14">
        <f t="shared" si="63"/>
        <v>0</v>
      </c>
      <c r="KJG14">
        <f t="shared" si="64"/>
        <v>0</v>
      </c>
      <c r="KJH14">
        <f t="shared" si="65"/>
        <v>0</v>
      </c>
      <c r="KJI14">
        <f t="shared" si="66"/>
        <v>0</v>
      </c>
      <c r="KJJ14">
        <f t="shared" si="67"/>
        <v>0</v>
      </c>
      <c r="KJK14">
        <f t="shared" si="68"/>
        <v>0</v>
      </c>
      <c r="KJL14">
        <f t="shared" si="69"/>
        <v>0</v>
      </c>
      <c r="KJM14">
        <f t="shared" si="70"/>
        <v>0</v>
      </c>
      <c r="KJN14">
        <f t="shared" si="71"/>
        <v>0</v>
      </c>
      <c r="KJO14">
        <f t="shared" si="72"/>
        <v>0</v>
      </c>
      <c r="KJP14">
        <f t="shared" si="73"/>
        <v>0</v>
      </c>
      <c r="KJQ14">
        <f t="shared" si="74"/>
        <v>0</v>
      </c>
      <c r="KJR14">
        <f t="shared" si="75"/>
        <v>0</v>
      </c>
      <c r="KJS14">
        <f t="shared" si="76"/>
        <v>0</v>
      </c>
      <c r="KJT14">
        <f t="shared" si="77"/>
        <v>0</v>
      </c>
      <c r="KJU14">
        <f t="shared" si="78"/>
        <v>0</v>
      </c>
      <c r="KJV14">
        <f t="shared" si="79"/>
        <v>0</v>
      </c>
      <c r="KJW14">
        <f t="shared" si="80"/>
        <v>0</v>
      </c>
      <c r="KJX14">
        <f t="shared" si="81"/>
        <v>0</v>
      </c>
      <c r="KJY14">
        <f t="shared" si="82"/>
        <v>0</v>
      </c>
      <c r="KJZ14">
        <f t="shared" si="83"/>
        <v>0</v>
      </c>
      <c r="KKA14">
        <f t="shared" si="84"/>
        <v>0</v>
      </c>
      <c r="KKB14">
        <f t="shared" si="85"/>
        <v>0</v>
      </c>
      <c r="KKC14">
        <f t="shared" si="86"/>
        <v>0</v>
      </c>
      <c r="KKD14">
        <f t="shared" si="87"/>
        <v>0</v>
      </c>
      <c r="KKE14">
        <f t="shared" si="88"/>
        <v>0</v>
      </c>
      <c r="KKF14">
        <f t="shared" si="89"/>
        <v>0</v>
      </c>
      <c r="KKG14">
        <f t="shared" si="90"/>
        <v>0</v>
      </c>
      <c r="KKH14">
        <f t="shared" si="91"/>
        <v>0</v>
      </c>
      <c r="KKI14">
        <f t="shared" si="92"/>
        <v>0</v>
      </c>
      <c r="KKJ14">
        <f t="shared" si="93"/>
        <v>0</v>
      </c>
      <c r="KKK14">
        <f t="shared" si="94"/>
        <v>0</v>
      </c>
      <c r="KKL14">
        <f t="shared" si="95"/>
        <v>0</v>
      </c>
      <c r="KKM14">
        <f t="shared" si="96"/>
        <v>0</v>
      </c>
      <c r="KKN14">
        <f t="shared" si="97"/>
        <v>0</v>
      </c>
      <c r="KKO14">
        <f t="shared" si="98"/>
        <v>0</v>
      </c>
      <c r="KKP14">
        <f t="shared" si="99"/>
        <v>0</v>
      </c>
      <c r="KKR14">
        <f t="shared" si="100"/>
        <v>53</v>
      </c>
      <c r="KKT14">
        <f t="shared" si="100"/>
        <v>53</v>
      </c>
      <c r="KKU14">
        <f t="shared" si="101"/>
        <v>2.12</v>
      </c>
      <c r="KKW14">
        <f t="shared" si="101"/>
        <v>2.12</v>
      </c>
    </row>
    <row r="15" spans="1:7745">
      <c r="A15" t="s">
        <v>23</v>
      </c>
      <c r="B15">
        <v>1</v>
      </c>
      <c r="IBV15">
        <v>1</v>
      </c>
      <c r="IBW15">
        <v>1</v>
      </c>
      <c r="IBX15">
        <v>1</v>
      </c>
      <c r="IBY15">
        <v>1</v>
      </c>
      <c r="IBZ15">
        <v>1</v>
      </c>
      <c r="ICA15">
        <v>1</v>
      </c>
      <c r="ICB15">
        <v>1</v>
      </c>
      <c r="ICC15">
        <v>1</v>
      </c>
      <c r="ICD15">
        <v>1</v>
      </c>
      <c r="ICE15">
        <v>1</v>
      </c>
      <c r="ICF15">
        <v>1</v>
      </c>
      <c r="ICG15">
        <v>1</v>
      </c>
      <c r="ICH15">
        <v>1</v>
      </c>
      <c r="ICI15">
        <v>1</v>
      </c>
      <c r="ICJ15">
        <v>1</v>
      </c>
      <c r="ICK15">
        <v>1</v>
      </c>
      <c r="ICL15">
        <v>1</v>
      </c>
      <c r="ICM15">
        <v>1</v>
      </c>
      <c r="ICN15">
        <v>1</v>
      </c>
      <c r="ICO15">
        <v>1</v>
      </c>
      <c r="ICP15">
        <v>1</v>
      </c>
      <c r="ICQ15">
        <v>1</v>
      </c>
      <c r="ICR15">
        <v>1</v>
      </c>
      <c r="ICS15">
        <v>1</v>
      </c>
      <c r="ICT15">
        <v>1</v>
      </c>
      <c r="ICU15">
        <v>1</v>
      </c>
      <c r="ICV15">
        <v>1</v>
      </c>
      <c r="ICW15">
        <v>1</v>
      </c>
      <c r="ICX15">
        <v>1</v>
      </c>
      <c r="ICY15">
        <v>1</v>
      </c>
      <c r="ICZ15">
        <v>1</v>
      </c>
      <c r="IDA15">
        <v>1</v>
      </c>
      <c r="IDB15">
        <v>1</v>
      </c>
      <c r="IDC15">
        <v>1</v>
      </c>
      <c r="IDD15">
        <v>1</v>
      </c>
      <c r="IDE15">
        <v>1</v>
      </c>
      <c r="IDF15">
        <v>1</v>
      </c>
      <c r="IDG15">
        <v>1</v>
      </c>
      <c r="IDH15">
        <v>1</v>
      </c>
      <c r="IDI15">
        <v>1</v>
      </c>
      <c r="IDJ15">
        <v>1</v>
      </c>
      <c r="IDK15">
        <v>1</v>
      </c>
      <c r="IDL15">
        <v>1</v>
      </c>
      <c r="IDM15">
        <v>1</v>
      </c>
      <c r="IDN15">
        <v>1</v>
      </c>
      <c r="IDO15">
        <v>1</v>
      </c>
      <c r="IDP15">
        <v>1</v>
      </c>
      <c r="IDQ15">
        <v>1</v>
      </c>
      <c r="IDR15">
        <v>1</v>
      </c>
      <c r="IDS15">
        <v>1</v>
      </c>
      <c r="IDT15">
        <v>1</v>
      </c>
      <c r="IDU15">
        <v>1</v>
      </c>
      <c r="IDV15">
        <v>1</v>
      </c>
      <c r="IDW15">
        <v>1</v>
      </c>
      <c r="IDX15">
        <v>1</v>
      </c>
      <c r="IDY15">
        <v>1</v>
      </c>
      <c r="IDZ15">
        <v>1</v>
      </c>
      <c r="IEA15">
        <v>1</v>
      </c>
      <c r="IEB15">
        <v>1</v>
      </c>
      <c r="IEC15">
        <v>1</v>
      </c>
      <c r="IED15">
        <v>1</v>
      </c>
      <c r="IEE15">
        <v>1</v>
      </c>
      <c r="IEF15">
        <v>1</v>
      </c>
      <c r="IEG15">
        <v>1</v>
      </c>
      <c r="IEH15">
        <v>1</v>
      </c>
      <c r="IEI15">
        <v>1</v>
      </c>
      <c r="IEJ15">
        <v>1</v>
      </c>
      <c r="IEK15">
        <v>1</v>
      </c>
      <c r="IEL15">
        <v>1</v>
      </c>
      <c r="IEM15">
        <v>1</v>
      </c>
      <c r="IEN15">
        <v>1</v>
      </c>
      <c r="IEO15">
        <v>1</v>
      </c>
      <c r="IEP15">
        <v>1</v>
      </c>
      <c r="IEQ15">
        <v>1</v>
      </c>
      <c r="IER15">
        <v>1</v>
      </c>
      <c r="IES15">
        <v>1</v>
      </c>
      <c r="IET15">
        <v>1</v>
      </c>
      <c r="IEU15">
        <v>1</v>
      </c>
      <c r="IEV15">
        <v>1</v>
      </c>
      <c r="IEW15">
        <v>1</v>
      </c>
      <c r="IEX15">
        <v>1</v>
      </c>
      <c r="IEY15">
        <v>1</v>
      </c>
      <c r="IEZ15">
        <v>1</v>
      </c>
      <c r="IFA15">
        <v>1</v>
      </c>
      <c r="IFB15">
        <v>1</v>
      </c>
      <c r="IFC15">
        <v>1</v>
      </c>
      <c r="IFD15">
        <v>1</v>
      </c>
      <c r="IFE15">
        <v>1</v>
      </c>
      <c r="IFF15">
        <v>1</v>
      </c>
      <c r="IFG15">
        <v>1</v>
      </c>
      <c r="IFH15">
        <v>1</v>
      </c>
      <c r="IFI15">
        <v>1</v>
      </c>
      <c r="IFJ15">
        <v>1</v>
      </c>
      <c r="IFK15">
        <v>1</v>
      </c>
      <c r="IFL15">
        <v>1</v>
      </c>
      <c r="IFM15">
        <v>1</v>
      </c>
      <c r="IFN15">
        <v>1</v>
      </c>
      <c r="IFO15">
        <v>1</v>
      </c>
      <c r="IFP15">
        <v>1</v>
      </c>
      <c r="IFQ15">
        <v>1</v>
      </c>
      <c r="IFR15">
        <v>1</v>
      </c>
      <c r="IFS15">
        <v>1</v>
      </c>
      <c r="IFT15">
        <v>1</v>
      </c>
      <c r="IFU15">
        <v>1</v>
      </c>
      <c r="IFV15">
        <v>1</v>
      </c>
      <c r="IFW15">
        <v>1</v>
      </c>
      <c r="IFX15">
        <v>1</v>
      </c>
      <c r="IFY15">
        <v>1</v>
      </c>
      <c r="IFZ15">
        <v>1</v>
      </c>
      <c r="IGA15">
        <v>1</v>
      </c>
      <c r="IGB15">
        <v>1</v>
      </c>
      <c r="IGC15">
        <v>1</v>
      </c>
      <c r="IGD15">
        <v>1</v>
      </c>
      <c r="IGE15">
        <v>1</v>
      </c>
      <c r="IGF15">
        <v>1</v>
      </c>
      <c r="IGG15">
        <v>1</v>
      </c>
      <c r="IGH15">
        <v>1</v>
      </c>
      <c r="IGI15">
        <v>1</v>
      </c>
      <c r="IGJ15">
        <v>1</v>
      </c>
      <c r="IGK15">
        <v>1</v>
      </c>
      <c r="IGL15">
        <v>1</v>
      </c>
      <c r="IGM15">
        <v>1</v>
      </c>
      <c r="IGN15">
        <v>1</v>
      </c>
      <c r="IGO15">
        <v>1</v>
      </c>
      <c r="IGP15">
        <v>1</v>
      </c>
      <c r="IGQ15">
        <v>1</v>
      </c>
      <c r="IGR15">
        <v>1</v>
      </c>
      <c r="KGU15" s="1">
        <f t="shared" si="0"/>
        <v>127</v>
      </c>
      <c r="KGV15">
        <f t="shared" si="1"/>
        <v>0</v>
      </c>
      <c r="KGW15">
        <f t="shared" si="2"/>
        <v>0</v>
      </c>
      <c r="KGX15">
        <f t="shared" si="3"/>
        <v>0</v>
      </c>
      <c r="KGY15">
        <f t="shared" si="4"/>
        <v>0</v>
      </c>
      <c r="KGZ15">
        <f t="shared" si="5"/>
        <v>0</v>
      </c>
      <c r="KHA15">
        <f t="shared" si="6"/>
        <v>0</v>
      </c>
      <c r="KHB15">
        <f t="shared" si="7"/>
        <v>0</v>
      </c>
      <c r="KHC15">
        <f t="shared" si="8"/>
        <v>0</v>
      </c>
      <c r="KHD15">
        <f t="shared" si="9"/>
        <v>0</v>
      </c>
      <c r="KHE15">
        <f t="shared" si="10"/>
        <v>0</v>
      </c>
      <c r="KHF15">
        <f t="shared" si="11"/>
        <v>0</v>
      </c>
      <c r="KHG15">
        <f t="shared" si="12"/>
        <v>0</v>
      </c>
      <c r="KHH15">
        <f t="shared" si="13"/>
        <v>0</v>
      </c>
      <c r="KHI15">
        <f t="shared" si="14"/>
        <v>0</v>
      </c>
      <c r="KHJ15">
        <f t="shared" si="15"/>
        <v>0</v>
      </c>
      <c r="KHK15">
        <f t="shared" si="16"/>
        <v>0</v>
      </c>
      <c r="KHL15">
        <f t="shared" si="17"/>
        <v>0</v>
      </c>
      <c r="KHM15">
        <f t="shared" si="18"/>
        <v>0</v>
      </c>
      <c r="KHN15">
        <f t="shared" si="19"/>
        <v>0</v>
      </c>
      <c r="KHO15">
        <f t="shared" si="20"/>
        <v>0</v>
      </c>
      <c r="KHP15">
        <f t="shared" si="21"/>
        <v>0</v>
      </c>
      <c r="KHQ15">
        <f t="shared" si="22"/>
        <v>0</v>
      </c>
      <c r="KHR15">
        <f t="shared" si="23"/>
        <v>0</v>
      </c>
      <c r="KHS15">
        <f t="shared" si="24"/>
        <v>0</v>
      </c>
      <c r="KHT15">
        <f t="shared" si="25"/>
        <v>0</v>
      </c>
      <c r="KHU15">
        <f t="shared" si="26"/>
        <v>0</v>
      </c>
      <c r="KHV15">
        <f t="shared" si="27"/>
        <v>0</v>
      </c>
      <c r="KHW15">
        <f t="shared" si="28"/>
        <v>0</v>
      </c>
      <c r="KHX15">
        <f t="shared" si="29"/>
        <v>0</v>
      </c>
      <c r="KHY15">
        <f t="shared" si="30"/>
        <v>0</v>
      </c>
      <c r="KHZ15">
        <f t="shared" si="31"/>
        <v>0</v>
      </c>
      <c r="KIA15">
        <f t="shared" si="32"/>
        <v>0</v>
      </c>
      <c r="KIB15">
        <f t="shared" si="33"/>
        <v>0</v>
      </c>
      <c r="KIC15">
        <f t="shared" si="34"/>
        <v>0</v>
      </c>
      <c r="KID15">
        <f t="shared" si="35"/>
        <v>0</v>
      </c>
      <c r="KIE15">
        <f t="shared" si="36"/>
        <v>0</v>
      </c>
      <c r="KIF15">
        <f t="shared" si="37"/>
        <v>0</v>
      </c>
      <c r="KIG15">
        <f t="shared" si="38"/>
        <v>0</v>
      </c>
      <c r="KIH15">
        <f t="shared" si="39"/>
        <v>0</v>
      </c>
      <c r="KII15">
        <f t="shared" si="40"/>
        <v>0</v>
      </c>
      <c r="KIJ15">
        <f t="shared" si="41"/>
        <v>0</v>
      </c>
      <c r="KIK15">
        <f t="shared" si="42"/>
        <v>0</v>
      </c>
      <c r="KIL15">
        <f t="shared" si="43"/>
        <v>0</v>
      </c>
      <c r="KIM15">
        <f t="shared" si="44"/>
        <v>0</v>
      </c>
      <c r="KIN15">
        <f t="shared" si="45"/>
        <v>0</v>
      </c>
      <c r="KIO15">
        <f t="shared" si="46"/>
        <v>0</v>
      </c>
      <c r="KIP15">
        <f t="shared" si="47"/>
        <v>0</v>
      </c>
      <c r="KIQ15">
        <f t="shared" si="48"/>
        <v>0</v>
      </c>
      <c r="KIR15">
        <f t="shared" si="49"/>
        <v>0</v>
      </c>
      <c r="KIS15">
        <f t="shared" si="50"/>
        <v>0</v>
      </c>
      <c r="KIT15">
        <f t="shared" si="51"/>
        <v>0</v>
      </c>
      <c r="KIU15">
        <f t="shared" si="52"/>
        <v>0</v>
      </c>
      <c r="KIV15">
        <f t="shared" si="53"/>
        <v>0</v>
      </c>
      <c r="KIW15">
        <f t="shared" si="54"/>
        <v>0</v>
      </c>
      <c r="KIX15">
        <f t="shared" si="55"/>
        <v>0</v>
      </c>
      <c r="KIY15">
        <f t="shared" si="56"/>
        <v>0</v>
      </c>
      <c r="KIZ15">
        <f t="shared" si="57"/>
        <v>0</v>
      </c>
      <c r="KJA15">
        <f t="shared" si="58"/>
        <v>0</v>
      </c>
      <c r="KJB15">
        <f t="shared" si="59"/>
        <v>0</v>
      </c>
      <c r="KJC15">
        <f t="shared" si="60"/>
        <v>0</v>
      </c>
      <c r="KJD15">
        <f t="shared" si="61"/>
        <v>0</v>
      </c>
      <c r="KJE15">
        <f t="shared" si="62"/>
        <v>0</v>
      </c>
      <c r="KJF15">
        <f t="shared" si="63"/>
        <v>0</v>
      </c>
      <c r="KJG15">
        <f t="shared" si="64"/>
        <v>0</v>
      </c>
      <c r="KJH15">
        <f t="shared" si="65"/>
        <v>0</v>
      </c>
      <c r="KJI15">
        <f t="shared" si="66"/>
        <v>0</v>
      </c>
      <c r="KJJ15">
        <f t="shared" si="67"/>
        <v>0</v>
      </c>
      <c r="KJK15">
        <f t="shared" si="68"/>
        <v>0</v>
      </c>
      <c r="KJL15">
        <f t="shared" si="69"/>
        <v>0</v>
      </c>
      <c r="KJM15">
        <f t="shared" si="70"/>
        <v>0</v>
      </c>
      <c r="KJN15">
        <f t="shared" si="71"/>
        <v>0</v>
      </c>
      <c r="KJO15">
        <f t="shared" si="72"/>
        <v>0</v>
      </c>
      <c r="KJP15">
        <f t="shared" si="73"/>
        <v>0</v>
      </c>
      <c r="KJQ15">
        <f t="shared" si="74"/>
        <v>0</v>
      </c>
      <c r="KJR15">
        <f t="shared" si="75"/>
        <v>0</v>
      </c>
      <c r="KJS15">
        <f t="shared" si="76"/>
        <v>0</v>
      </c>
      <c r="KJT15">
        <f t="shared" si="77"/>
        <v>0</v>
      </c>
      <c r="KJU15">
        <f t="shared" si="78"/>
        <v>0</v>
      </c>
      <c r="KJV15">
        <f t="shared" si="79"/>
        <v>0</v>
      </c>
      <c r="KJW15">
        <f t="shared" si="80"/>
        <v>0</v>
      </c>
      <c r="KJX15">
        <f t="shared" si="81"/>
        <v>0</v>
      </c>
      <c r="KJY15">
        <f t="shared" si="82"/>
        <v>0</v>
      </c>
      <c r="KJZ15">
        <f t="shared" si="83"/>
        <v>0</v>
      </c>
      <c r="KKA15">
        <f t="shared" si="84"/>
        <v>0</v>
      </c>
      <c r="KKB15">
        <f t="shared" si="85"/>
        <v>0</v>
      </c>
      <c r="KKC15">
        <f t="shared" si="86"/>
        <v>0</v>
      </c>
      <c r="KKD15">
        <f t="shared" si="87"/>
        <v>0</v>
      </c>
      <c r="KKE15">
        <f t="shared" si="88"/>
        <v>0</v>
      </c>
      <c r="KKF15">
        <f t="shared" si="89"/>
        <v>0</v>
      </c>
      <c r="KKG15">
        <f t="shared" si="90"/>
        <v>0</v>
      </c>
      <c r="KKH15">
        <f t="shared" si="91"/>
        <v>0</v>
      </c>
      <c r="KKI15">
        <f t="shared" si="92"/>
        <v>0</v>
      </c>
      <c r="KKJ15">
        <f t="shared" si="93"/>
        <v>0</v>
      </c>
      <c r="KKK15">
        <f t="shared" si="94"/>
        <v>0</v>
      </c>
      <c r="KKL15">
        <f t="shared" si="95"/>
        <v>0</v>
      </c>
      <c r="KKM15">
        <f t="shared" si="96"/>
        <v>0</v>
      </c>
      <c r="KKN15">
        <f t="shared" si="97"/>
        <v>0</v>
      </c>
      <c r="KKO15">
        <f t="shared" si="98"/>
        <v>0</v>
      </c>
      <c r="KKP15">
        <f t="shared" si="99"/>
        <v>0</v>
      </c>
      <c r="KKR15">
        <f t="shared" si="100"/>
        <v>127</v>
      </c>
      <c r="KKT15">
        <f t="shared" si="100"/>
        <v>127</v>
      </c>
      <c r="KKU15">
        <f t="shared" si="101"/>
        <v>5.08</v>
      </c>
      <c r="KKW15">
        <f t="shared" si="101"/>
        <v>5.08</v>
      </c>
    </row>
    <row r="16" spans="1:7745">
      <c r="A16" t="s">
        <v>7657</v>
      </c>
      <c r="B16">
        <v>1</v>
      </c>
      <c r="EOV16">
        <v>1</v>
      </c>
      <c r="EOW16">
        <v>1</v>
      </c>
      <c r="EOX16">
        <v>1</v>
      </c>
      <c r="EOY16">
        <v>1</v>
      </c>
      <c r="EOZ16">
        <v>1</v>
      </c>
      <c r="EPA16">
        <v>1</v>
      </c>
      <c r="EPB16">
        <v>1</v>
      </c>
      <c r="EPC16">
        <v>1</v>
      </c>
      <c r="EPD16">
        <v>1</v>
      </c>
      <c r="EPE16">
        <v>1</v>
      </c>
      <c r="EPF16">
        <v>1</v>
      </c>
      <c r="EPG16">
        <v>1</v>
      </c>
      <c r="EPH16">
        <v>1</v>
      </c>
      <c r="EPI16">
        <v>1</v>
      </c>
      <c r="EPJ16">
        <v>1</v>
      </c>
      <c r="EPK16">
        <v>1</v>
      </c>
      <c r="EPL16">
        <v>1</v>
      </c>
      <c r="EPM16">
        <v>1</v>
      </c>
      <c r="EPN16">
        <v>1</v>
      </c>
      <c r="EPO16">
        <v>1</v>
      </c>
      <c r="EPP16">
        <v>1</v>
      </c>
      <c r="EPQ16">
        <v>1</v>
      </c>
      <c r="EPR16">
        <v>1</v>
      </c>
      <c r="EPS16">
        <v>1</v>
      </c>
      <c r="EPT16">
        <v>1</v>
      </c>
      <c r="KGU16" s="1">
        <f t="shared" si="0"/>
        <v>25</v>
      </c>
      <c r="KGV16">
        <f t="shared" si="1"/>
        <v>0</v>
      </c>
      <c r="KGW16">
        <f t="shared" si="2"/>
        <v>0</v>
      </c>
      <c r="KGX16">
        <f t="shared" si="3"/>
        <v>0</v>
      </c>
      <c r="KGY16">
        <f t="shared" si="4"/>
        <v>0</v>
      </c>
      <c r="KGZ16">
        <f t="shared" si="5"/>
        <v>0</v>
      </c>
      <c r="KHA16">
        <f t="shared" si="6"/>
        <v>0</v>
      </c>
      <c r="KHB16">
        <f t="shared" si="7"/>
        <v>0</v>
      </c>
      <c r="KHC16">
        <f t="shared" si="8"/>
        <v>0</v>
      </c>
      <c r="KHD16">
        <f t="shared" si="9"/>
        <v>0</v>
      </c>
      <c r="KHE16">
        <f t="shared" si="10"/>
        <v>0</v>
      </c>
      <c r="KHF16">
        <f t="shared" si="11"/>
        <v>0</v>
      </c>
      <c r="KHG16">
        <f t="shared" si="12"/>
        <v>0</v>
      </c>
      <c r="KHH16">
        <f t="shared" si="13"/>
        <v>0</v>
      </c>
      <c r="KHI16">
        <f t="shared" si="14"/>
        <v>0</v>
      </c>
      <c r="KHJ16">
        <f t="shared" si="15"/>
        <v>0</v>
      </c>
      <c r="KHK16">
        <f t="shared" si="16"/>
        <v>0</v>
      </c>
      <c r="KHL16">
        <f t="shared" si="17"/>
        <v>0</v>
      </c>
      <c r="KHM16">
        <f t="shared" si="18"/>
        <v>0</v>
      </c>
      <c r="KHN16">
        <f t="shared" si="19"/>
        <v>0</v>
      </c>
      <c r="KHO16">
        <f t="shared" si="20"/>
        <v>0</v>
      </c>
      <c r="KHP16">
        <f t="shared" si="21"/>
        <v>0</v>
      </c>
      <c r="KHQ16">
        <f t="shared" si="22"/>
        <v>0</v>
      </c>
      <c r="KHR16">
        <f t="shared" si="23"/>
        <v>0</v>
      </c>
      <c r="KHS16">
        <f t="shared" si="24"/>
        <v>0</v>
      </c>
      <c r="KHT16">
        <f t="shared" si="25"/>
        <v>0</v>
      </c>
      <c r="KHU16">
        <f t="shared" si="26"/>
        <v>0</v>
      </c>
      <c r="KHV16">
        <f t="shared" si="27"/>
        <v>0</v>
      </c>
      <c r="KHW16">
        <f t="shared" si="28"/>
        <v>0</v>
      </c>
      <c r="KHX16">
        <f t="shared" si="29"/>
        <v>0</v>
      </c>
      <c r="KHY16">
        <f t="shared" si="30"/>
        <v>0</v>
      </c>
      <c r="KHZ16">
        <f t="shared" si="31"/>
        <v>0</v>
      </c>
      <c r="KIA16">
        <f t="shared" si="32"/>
        <v>0</v>
      </c>
      <c r="KIB16">
        <f t="shared" si="33"/>
        <v>0</v>
      </c>
      <c r="KIC16">
        <f t="shared" si="34"/>
        <v>0</v>
      </c>
      <c r="KID16">
        <f t="shared" si="35"/>
        <v>0</v>
      </c>
      <c r="KIE16">
        <f t="shared" si="36"/>
        <v>0</v>
      </c>
      <c r="KIF16">
        <f t="shared" si="37"/>
        <v>0</v>
      </c>
      <c r="KIG16">
        <f t="shared" si="38"/>
        <v>0</v>
      </c>
      <c r="KIH16">
        <f t="shared" si="39"/>
        <v>0</v>
      </c>
      <c r="KII16">
        <f t="shared" si="40"/>
        <v>0</v>
      </c>
      <c r="KIJ16">
        <f t="shared" si="41"/>
        <v>0</v>
      </c>
      <c r="KIK16">
        <f t="shared" si="42"/>
        <v>0</v>
      </c>
      <c r="KIL16">
        <f t="shared" si="43"/>
        <v>0</v>
      </c>
      <c r="KIM16">
        <f t="shared" si="44"/>
        <v>0</v>
      </c>
      <c r="KIN16">
        <f t="shared" si="45"/>
        <v>0</v>
      </c>
      <c r="KIO16">
        <f t="shared" si="46"/>
        <v>0</v>
      </c>
      <c r="KIP16">
        <f t="shared" si="47"/>
        <v>0</v>
      </c>
      <c r="KIQ16">
        <f t="shared" si="48"/>
        <v>0</v>
      </c>
      <c r="KIR16">
        <f t="shared" si="49"/>
        <v>0</v>
      </c>
      <c r="KIS16">
        <f t="shared" si="50"/>
        <v>0</v>
      </c>
      <c r="KIT16">
        <f t="shared" si="51"/>
        <v>0</v>
      </c>
      <c r="KIU16">
        <f t="shared" si="52"/>
        <v>0</v>
      </c>
      <c r="KIV16">
        <f t="shared" si="53"/>
        <v>0</v>
      </c>
      <c r="KIW16">
        <f t="shared" si="54"/>
        <v>0</v>
      </c>
      <c r="KIX16">
        <f t="shared" si="55"/>
        <v>0</v>
      </c>
      <c r="KIY16">
        <f t="shared" si="56"/>
        <v>0</v>
      </c>
      <c r="KIZ16">
        <f t="shared" si="57"/>
        <v>0</v>
      </c>
      <c r="KJA16">
        <f t="shared" si="58"/>
        <v>0</v>
      </c>
      <c r="KJB16">
        <f t="shared" si="59"/>
        <v>0</v>
      </c>
      <c r="KJC16">
        <f t="shared" si="60"/>
        <v>0</v>
      </c>
      <c r="KJD16">
        <f t="shared" si="61"/>
        <v>0</v>
      </c>
      <c r="KJE16">
        <f t="shared" si="62"/>
        <v>0</v>
      </c>
      <c r="KJF16">
        <f t="shared" si="63"/>
        <v>0</v>
      </c>
      <c r="KJG16">
        <f t="shared" si="64"/>
        <v>0</v>
      </c>
      <c r="KJH16">
        <f t="shared" si="65"/>
        <v>0</v>
      </c>
      <c r="KJI16">
        <f t="shared" si="66"/>
        <v>0</v>
      </c>
      <c r="KJJ16">
        <f t="shared" si="67"/>
        <v>0</v>
      </c>
      <c r="KJK16">
        <f t="shared" si="68"/>
        <v>0</v>
      </c>
      <c r="KJL16">
        <f t="shared" si="69"/>
        <v>0</v>
      </c>
      <c r="KJM16">
        <f t="shared" si="70"/>
        <v>0</v>
      </c>
      <c r="KJN16">
        <f t="shared" si="71"/>
        <v>0</v>
      </c>
      <c r="KJO16">
        <f t="shared" si="72"/>
        <v>0</v>
      </c>
      <c r="KJP16">
        <f t="shared" si="73"/>
        <v>0</v>
      </c>
      <c r="KJQ16">
        <f t="shared" si="74"/>
        <v>0</v>
      </c>
      <c r="KJR16">
        <f t="shared" si="75"/>
        <v>0</v>
      </c>
      <c r="KJS16">
        <f t="shared" si="76"/>
        <v>0</v>
      </c>
      <c r="KJT16">
        <f t="shared" si="77"/>
        <v>0</v>
      </c>
      <c r="KJU16">
        <f t="shared" si="78"/>
        <v>0</v>
      </c>
      <c r="KJV16">
        <f t="shared" si="79"/>
        <v>0</v>
      </c>
      <c r="KJW16">
        <f t="shared" si="80"/>
        <v>0</v>
      </c>
      <c r="KJX16">
        <f t="shared" si="81"/>
        <v>0</v>
      </c>
      <c r="KJY16">
        <f t="shared" si="82"/>
        <v>0</v>
      </c>
      <c r="KJZ16">
        <f t="shared" si="83"/>
        <v>0</v>
      </c>
      <c r="KKA16">
        <f t="shared" si="84"/>
        <v>0</v>
      </c>
      <c r="KKB16">
        <f t="shared" si="85"/>
        <v>0</v>
      </c>
      <c r="KKC16">
        <f t="shared" si="86"/>
        <v>0</v>
      </c>
      <c r="KKD16">
        <f t="shared" si="87"/>
        <v>0</v>
      </c>
      <c r="KKE16">
        <f t="shared" si="88"/>
        <v>0</v>
      </c>
      <c r="KKF16">
        <f t="shared" si="89"/>
        <v>0</v>
      </c>
      <c r="KKG16">
        <f t="shared" si="90"/>
        <v>0</v>
      </c>
      <c r="KKH16">
        <f t="shared" si="91"/>
        <v>0</v>
      </c>
      <c r="KKI16">
        <f t="shared" si="92"/>
        <v>0</v>
      </c>
      <c r="KKJ16">
        <f t="shared" si="93"/>
        <v>0</v>
      </c>
      <c r="KKK16">
        <f t="shared" si="94"/>
        <v>0</v>
      </c>
      <c r="KKL16">
        <f t="shared" si="95"/>
        <v>0</v>
      </c>
      <c r="KKM16">
        <f t="shared" si="96"/>
        <v>0</v>
      </c>
      <c r="KKN16">
        <f t="shared" si="97"/>
        <v>0</v>
      </c>
      <c r="KKO16">
        <f t="shared" si="98"/>
        <v>0</v>
      </c>
      <c r="KKP16">
        <f t="shared" si="99"/>
        <v>0</v>
      </c>
      <c r="KKR16">
        <f t="shared" si="100"/>
        <v>25</v>
      </c>
      <c r="KKT16">
        <f t="shared" si="100"/>
        <v>25</v>
      </c>
      <c r="KKU16">
        <f t="shared" si="101"/>
        <v>1</v>
      </c>
      <c r="KKW16">
        <f t="shared" si="101"/>
        <v>1</v>
      </c>
    </row>
    <row r="17" spans="1:2 2912:2928 5063:5104 5121:6144 7417:7745">
      <c r="A17" t="s">
        <v>7658</v>
      </c>
      <c r="B17">
        <v>1</v>
      </c>
      <c r="IAG17">
        <v>1</v>
      </c>
      <c r="IAH17">
        <v>1</v>
      </c>
      <c r="IAI17">
        <v>1</v>
      </c>
      <c r="IAJ17">
        <v>1</v>
      </c>
      <c r="IAK17">
        <v>1</v>
      </c>
      <c r="IAL17">
        <v>1</v>
      </c>
      <c r="IAM17">
        <v>1</v>
      </c>
      <c r="IAN17">
        <v>1</v>
      </c>
      <c r="IAO17">
        <v>1</v>
      </c>
      <c r="IAP17">
        <v>1</v>
      </c>
      <c r="IAQ17">
        <v>1</v>
      </c>
      <c r="IAR17">
        <v>1</v>
      </c>
      <c r="IAS17">
        <v>1</v>
      </c>
      <c r="IAT17">
        <v>1</v>
      </c>
      <c r="IAU17">
        <v>1</v>
      </c>
      <c r="IAV17">
        <v>1</v>
      </c>
      <c r="IAW17">
        <v>1</v>
      </c>
      <c r="IAX17">
        <v>1</v>
      </c>
      <c r="IAY17">
        <v>1</v>
      </c>
      <c r="IAZ17">
        <v>1</v>
      </c>
      <c r="IBA17">
        <v>1</v>
      </c>
      <c r="IBB17">
        <v>1</v>
      </c>
      <c r="IBC17">
        <v>1</v>
      </c>
      <c r="IBD17">
        <v>1</v>
      </c>
      <c r="IBE17">
        <v>1</v>
      </c>
      <c r="IBF17">
        <v>1</v>
      </c>
      <c r="IBG17">
        <v>1</v>
      </c>
      <c r="IBH17">
        <v>1</v>
      </c>
      <c r="KGU17" s="1">
        <f t="shared" si="0"/>
        <v>28</v>
      </c>
      <c r="KGV17">
        <f t="shared" si="1"/>
        <v>0</v>
      </c>
      <c r="KGW17">
        <f t="shared" si="2"/>
        <v>0</v>
      </c>
      <c r="KGX17">
        <f t="shared" si="3"/>
        <v>0</v>
      </c>
      <c r="KGY17">
        <f t="shared" si="4"/>
        <v>0</v>
      </c>
      <c r="KGZ17">
        <f t="shared" si="5"/>
        <v>0</v>
      </c>
      <c r="KHA17">
        <f t="shared" si="6"/>
        <v>0</v>
      </c>
      <c r="KHB17">
        <f t="shared" si="7"/>
        <v>0</v>
      </c>
      <c r="KHC17">
        <f t="shared" si="8"/>
        <v>0</v>
      </c>
      <c r="KHD17">
        <f t="shared" si="9"/>
        <v>0</v>
      </c>
      <c r="KHE17">
        <f t="shared" si="10"/>
        <v>0</v>
      </c>
      <c r="KHF17">
        <f t="shared" si="11"/>
        <v>0</v>
      </c>
      <c r="KHG17">
        <f t="shared" si="12"/>
        <v>0</v>
      </c>
      <c r="KHH17">
        <f t="shared" si="13"/>
        <v>0</v>
      </c>
      <c r="KHI17">
        <f t="shared" si="14"/>
        <v>0</v>
      </c>
      <c r="KHJ17">
        <f t="shared" si="15"/>
        <v>0</v>
      </c>
      <c r="KHK17">
        <f t="shared" si="16"/>
        <v>0</v>
      </c>
      <c r="KHL17">
        <f t="shared" si="17"/>
        <v>0</v>
      </c>
      <c r="KHM17">
        <f t="shared" si="18"/>
        <v>0</v>
      </c>
      <c r="KHN17">
        <f t="shared" si="19"/>
        <v>0</v>
      </c>
      <c r="KHO17">
        <f t="shared" si="20"/>
        <v>0</v>
      </c>
      <c r="KHP17">
        <f t="shared" si="21"/>
        <v>0</v>
      </c>
      <c r="KHQ17">
        <f t="shared" si="22"/>
        <v>0</v>
      </c>
      <c r="KHR17">
        <f t="shared" si="23"/>
        <v>0</v>
      </c>
      <c r="KHS17">
        <f t="shared" si="24"/>
        <v>0</v>
      </c>
      <c r="KHT17">
        <f t="shared" si="25"/>
        <v>0</v>
      </c>
      <c r="KHU17">
        <f t="shared" si="26"/>
        <v>0</v>
      </c>
      <c r="KHV17">
        <f t="shared" si="27"/>
        <v>0</v>
      </c>
      <c r="KHW17">
        <f t="shared" si="28"/>
        <v>0</v>
      </c>
      <c r="KHX17">
        <f t="shared" si="29"/>
        <v>0</v>
      </c>
      <c r="KHY17">
        <f t="shared" si="30"/>
        <v>0</v>
      </c>
      <c r="KHZ17">
        <f t="shared" si="31"/>
        <v>0</v>
      </c>
      <c r="KIA17">
        <f t="shared" si="32"/>
        <v>0</v>
      </c>
      <c r="KIB17">
        <f t="shared" si="33"/>
        <v>0</v>
      </c>
      <c r="KIC17">
        <f t="shared" si="34"/>
        <v>0</v>
      </c>
      <c r="KID17">
        <f t="shared" si="35"/>
        <v>0</v>
      </c>
      <c r="KIE17">
        <f t="shared" si="36"/>
        <v>0</v>
      </c>
      <c r="KIF17">
        <f t="shared" si="37"/>
        <v>0</v>
      </c>
      <c r="KIG17">
        <f t="shared" si="38"/>
        <v>0</v>
      </c>
      <c r="KIH17">
        <f t="shared" si="39"/>
        <v>0</v>
      </c>
      <c r="KII17">
        <f t="shared" si="40"/>
        <v>0</v>
      </c>
      <c r="KIJ17">
        <f t="shared" si="41"/>
        <v>0</v>
      </c>
      <c r="KIK17">
        <f t="shared" si="42"/>
        <v>0</v>
      </c>
      <c r="KIL17">
        <f t="shared" si="43"/>
        <v>0</v>
      </c>
      <c r="KIM17">
        <f t="shared" si="44"/>
        <v>0</v>
      </c>
      <c r="KIN17">
        <f t="shared" si="45"/>
        <v>0</v>
      </c>
      <c r="KIO17">
        <f t="shared" si="46"/>
        <v>0</v>
      </c>
      <c r="KIP17">
        <f t="shared" si="47"/>
        <v>0</v>
      </c>
      <c r="KIQ17">
        <f t="shared" si="48"/>
        <v>0</v>
      </c>
      <c r="KIR17">
        <f t="shared" si="49"/>
        <v>0</v>
      </c>
      <c r="KIS17">
        <f t="shared" si="50"/>
        <v>0</v>
      </c>
      <c r="KIT17">
        <f t="shared" si="51"/>
        <v>0</v>
      </c>
      <c r="KIU17">
        <f t="shared" si="52"/>
        <v>0</v>
      </c>
      <c r="KIV17">
        <f t="shared" si="53"/>
        <v>0</v>
      </c>
      <c r="KIW17">
        <f t="shared" si="54"/>
        <v>0</v>
      </c>
      <c r="KIX17">
        <f t="shared" si="55"/>
        <v>0</v>
      </c>
      <c r="KIY17">
        <f t="shared" si="56"/>
        <v>0</v>
      </c>
      <c r="KIZ17">
        <f t="shared" si="57"/>
        <v>0</v>
      </c>
      <c r="KJA17">
        <f t="shared" si="58"/>
        <v>0</v>
      </c>
      <c r="KJB17">
        <f t="shared" si="59"/>
        <v>0</v>
      </c>
      <c r="KJC17">
        <f t="shared" si="60"/>
        <v>0</v>
      </c>
      <c r="KJD17">
        <f t="shared" si="61"/>
        <v>0</v>
      </c>
      <c r="KJE17">
        <f t="shared" si="62"/>
        <v>0</v>
      </c>
      <c r="KJF17">
        <f t="shared" si="63"/>
        <v>0</v>
      </c>
      <c r="KJG17">
        <f t="shared" si="64"/>
        <v>0</v>
      </c>
      <c r="KJH17">
        <f t="shared" si="65"/>
        <v>0</v>
      </c>
      <c r="KJI17">
        <f t="shared" si="66"/>
        <v>0</v>
      </c>
      <c r="KJJ17">
        <f t="shared" si="67"/>
        <v>0</v>
      </c>
      <c r="KJK17">
        <f t="shared" si="68"/>
        <v>0</v>
      </c>
      <c r="KJL17">
        <f t="shared" si="69"/>
        <v>0</v>
      </c>
      <c r="KJM17">
        <f t="shared" si="70"/>
        <v>0</v>
      </c>
      <c r="KJN17">
        <f t="shared" si="71"/>
        <v>0</v>
      </c>
      <c r="KJO17">
        <f t="shared" si="72"/>
        <v>0</v>
      </c>
      <c r="KJP17">
        <f t="shared" si="73"/>
        <v>0</v>
      </c>
      <c r="KJQ17">
        <f t="shared" si="74"/>
        <v>0</v>
      </c>
      <c r="KJR17">
        <f t="shared" si="75"/>
        <v>0</v>
      </c>
      <c r="KJS17">
        <f t="shared" si="76"/>
        <v>0</v>
      </c>
      <c r="KJT17">
        <f t="shared" si="77"/>
        <v>0</v>
      </c>
      <c r="KJU17">
        <f t="shared" si="78"/>
        <v>0</v>
      </c>
      <c r="KJV17">
        <f t="shared" si="79"/>
        <v>0</v>
      </c>
      <c r="KJW17">
        <f t="shared" si="80"/>
        <v>0</v>
      </c>
      <c r="KJX17">
        <f t="shared" si="81"/>
        <v>0</v>
      </c>
      <c r="KJY17">
        <f t="shared" si="82"/>
        <v>0</v>
      </c>
      <c r="KJZ17">
        <f t="shared" si="83"/>
        <v>0</v>
      </c>
      <c r="KKA17">
        <f t="shared" si="84"/>
        <v>0</v>
      </c>
      <c r="KKB17">
        <f t="shared" si="85"/>
        <v>0</v>
      </c>
      <c r="KKC17">
        <f t="shared" si="86"/>
        <v>0</v>
      </c>
      <c r="KKD17">
        <f t="shared" si="87"/>
        <v>0</v>
      </c>
      <c r="KKE17">
        <f t="shared" si="88"/>
        <v>0</v>
      </c>
      <c r="KKF17">
        <f t="shared" si="89"/>
        <v>0</v>
      </c>
      <c r="KKG17">
        <f t="shared" si="90"/>
        <v>0</v>
      </c>
      <c r="KKH17">
        <f t="shared" si="91"/>
        <v>0</v>
      </c>
      <c r="KKI17">
        <f t="shared" si="92"/>
        <v>0</v>
      </c>
      <c r="KKJ17">
        <f t="shared" si="93"/>
        <v>0</v>
      </c>
      <c r="KKK17">
        <f t="shared" si="94"/>
        <v>0</v>
      </c>
      <c r="KKL17">
        <f t="shared" si="95"/>
        <v>0</v>
      </c>
      <c r="KKM17">
        <f t="shared" si="96"/>
        <v>0</v>
      </c>
      <c r="KKN17">
        <f t="shared" si="97"/>
        <v>0</v>
      </c>
      <c r="KKO17">
        <f t="shared" si="98"/>
        <v>0</v>
      </c>
      <c r="KKP17">
        <f t="shared" si="99"/>
        <v>0</v>
      </c>
      <c r="KKR17">
        <f t="shared" si="100"/>
        <v>28</v>
      </c>
      <c r="KKT17">
        <f t="shared" si="100"/>
        <v>28</v>
      </c>
      <c r="KKU17">
        <f t="shared" si="101"/>
        <v>1.1200000000000001</v>
      </c>
      <c r="KKW17">
        <f t="shared" si="101"/>
        <v>1.1200000000000001</v>
      </c>
    </row>
    <row r="18" spans="1:2 2912:2928 5063:5104 5121:6144 7417:7745">
      <c r="A18" t="s">
        <v>7632</v>
      </c>
      <c r="B18">
        <v>0</v>
      </c>
      <c r="KGU18" s="1">
        <f t="shared" si="0"/>
        <v>0</v>
      </c>
      <c r="KGV18">
        <f t="shared" si="1"/>
        <v>0</v>
      </c>
      <c r="KGW18">
        <f t="shared" si="2"/>
        <v>0</v>
      </c>
      <c r="KGX18">
        <f t="shared" si="3"/>
        <v>0</v>
      </c>
      <c r="KGY18">
        <f t="shared" si="4"/>
        <v>0</v>
      </c>
      <c r="KGZ18">
        <f t="shared" si="5"/>
        <v>0</v>
      </c>
      <c r="KHA18">
        <f t="shared" si="6"/>
        <v>0</v>
      </c>
      <c r="KHB18">
        <f t="shared" si="7"/>
        <v>0</v>
      </c>
      <c r="KHC18">
        <f t="shared" si="8"/>
        <v>0</v>
      </c>
      <c r="KHD18">
        <f t="shared" si="9"/>
        <v>0</v>
      </c>
      <c r="KHE18">
        <f t="shared" si="10"/>
        <v>0</v>
      </c>
      <c r="KHF18">
        <f t="shared" si="11"/>
        <v>0</v>
      </c>
      <c r="KHG18">
        <f t="shared" si="12"/>
        <v>0</v>
      </c>
      <c r="KHH18">
        <f t="shared" si="13"/>
        <v>0</v>
      </c>
      <c r="KHI18">
        <f t="shared" si="14"/>
        <v>0</v>
      </c>
      <c r="KHJ18">
        <f t="shared" si="15"/>
        <v>0</v>
      </c>
      <c r="KHK18">
        <f t="shared" si="16"/>
        <v>0</v>
      </c>
      <c r="KHL18">
        <f t="shared" si="17"/>
        <v>0</v>
      </c>
      <c r="KHM18">
        <f t="shared" si="18"/>
        <v>0</v>
      </c>
      <c r="KHN18">
        <f t="shared" si="19"/>
        <v>0</v>
      </c>
      <c r="KHO18">
        <f t="shared" si="20"/>
        <v>0</v>
      </c>
      <c r="KHP18">
        <f t="shared" si="21"/>
        <v>0</v>
      </c>
      <c r="KHQ18">
        <f t="shared" si="22"/>
        <v>0</v>
      </c>
      <c r="KHR18">
        <f t="shared" si="23"/>
        <v>0</v>
      </c>
      <c r="KHS18">
        <f t="shared" si="24"/>
        <v>0</v>
      </c>
      <c r="KHT18">
        <f t="shared" si="25"/>
        <v>0</v>
      </c>
      <c r="KHU18">
        <f t="shared" si="26"/>
        <v>0</v>
      </c>
      <c r="KHV18">
        <f t="shared" si="27"/>
        <v>0</v>
      </c>
      <c r="KHW18">
        <f t="shared" si="28"/>
        <v>0</v>
      </c>
      <c r="KHX18">
        <f t="shared" si="29"/>
        <v>0</v>
      </c>
      <c r="KHY18">
        <f t="shared" si="30"/>
        <v>0</v>
      </c>
      <c r="KHZ18">
        <f t="shared" si="31"/>
        <v>0</v>
      </c>
      <c r="KIA18">
        <f t="shared" si="32"/>
        <v>0</v>
      </c>
      <c r="KIB18">
        <f t="shared" si="33"/>
        <v>0</v>
      </c>
      <c r="KIC18">
        <f t="shared" si="34"/>
        <v>0</v>
      </c>
      <c r="KID18">
        <f t="shared" si="35"/>
        <v>0</v>
      </c>
      <c r="KIE18">
        <f t="shared" si="36"/>
        <v>0</v>
      </c>
      <c r="KIF18">
        <f t="shared" si="37"/>
        <v>0</v>
      </c>
      <c r="KIG18">
        <f t="shared" si="38"/>
        <v>0</v>
      </c>
      <c r="KIH18">
        <f t="shared" si="39"/>
        <v>0</v>
      </c>
      <c r="KII18">
        <f t="shared" si="40"/>
        <v>0</v>
      </c>
      <c r="KIJ18">
        <f t="shared" si="41"/>
        <v>0</v>
      </c>
      <c r="KIK18">
        <f t="shared" si="42"/>
        <v>0</v>
      </c>
      <c r="KIL18">
        <f t="shared" si="43"/>
        <v>0</v>
      </c>
      <c r="KIM18">
        <f t="shared" si="44"/>
        <v>0</v>
      </c>
      <c r="KIN18">
        <f t="shared" si="45"/>
        <v>0</v>
      </c>
      <c r="KIO18">
        <f t="shared" si="46"/>
        <v>0</v>
      </c>
      <c r="KIP18">
        <f t="shared" si="47"/>
        <v>0</v>
      </c>
      <c r="KIQ18">
        <f t="shared" si="48"/>
        <v>0</v>
      </c>
      <c r="KIR18">
        <f t="shared" si="49"/>
        <v>0</v>
      </c>
      <c r="KIS18">
        <f t="shared" si="50"/>
        <v>0</v>
      </c>
      <c r="KIT18">
        <f t="shared" si="51"/>
        <v>0</v>
      </c>
      <c r="KIU18">
        <f t="shared" si="52"/>
        <v>0</v>
      </c>
      <c r="KIV18">
        <f t="shared" si="53"/>
        <v>0</v>
      </c>
      <c r="KIW18">
        <f t="shared" si="54"/>
        <v>0</v>
      </c>
      <c r="KIX18">
        <f t="shared" si="55"/>
        <v>0</v>
      </c>
      <c r="KIY18">
        <f t="shared" si="56"/>
        <v>0</v>
      </c>
      <c r="KIZ18">
        <f t="shared" si="57"/>
        <v>0</v>
      </c>
      <c r="KJA18">
        <f t="shared" si="58"/>
        <v>0</v>
      </c>
      <c r="KJB18">
        <f t="shared" si="59"/>
        <v>0</v>
      </c>
      <c r="KJC18">
        <f t="shared" si="60"/>
        <v>0</v>
      </c>
      <c r="KJD18">
        <f t="shared" si="61"/>
        <v>0</v>
      </c>
      <c r="KJE18">
        <f t="shared" si="62"/>
        <v>0</v>
      </c>
      <c r="KJF18">
        <f t="shared" si="63"/>
        <v>0</v>
      </c>
      <c r="KJG18">
        <f t="shared" si="64"/>
        <v>0</v>
      </c>
      <c r="KJH18">
        <f t="shared" si="65"/>
        <v>0</v>
      </c>
      <c r="KJI18">
        <f t="shared" si="66"/>
        <v>0</v>
      </c>
      <c r="KJJ18">
        <f t="shared" si="67"/>
        <v>0</v>
      </c>
      <c r="KJK18">
        <f t="shared" si="68"/>
        <v>0</v>
      </c>
      <c r="KJL18">
        <f t="shared" si="69"/>
        <v>0</v>
      </c>
      <c r="KJM18">
        <f t="shared" si="70"/>
        <v>0</v>
      </c>
      <c r="KJN18">
        <f t="shared" si="71"/>
        <v>0</v>
      </c>
      <c r="KJO18">
        <f t="shared" si="72"/>
        <v>0</v>
      </c>
      <c r="KJP18">
        <f t="shared" si="73"/>
        <v>0</v>
      </c>
      <c r="KJQ18">
        <f t="shared" si="74"/>
        <v>0</v>
      </c>
      <c r="KJR18">
        <f t="shared" si="75"/>
        <v>0</v>
      </c>
      <c r="KJS18">
        <f t="shared" si="76"/>
        <v>0</v>
      </c>
      <c r="KJT18">
        <f t="shared" si="77"/>
        <v>0</v>
      </c>
      <c r="KJU18">
        <f t="shared" si="78"/>
        <v>0</v>
      </c>
      <c r="KJV18">
        <f t="shared" si="79"/>
        <v>0</v>
      </c>
      <c r="KJW18">
        <f t="shared" si="80"/>
        <v>0</v>
      </c>
      <c r="KJX18">
        <f t="shared" si="81"/>
        <v>0</v>
      </c>
      <c r="KJY18">
        <f t="shared" si="82"/>
        <v>0</v>
      </c>
      <c r="KJZ18">
        <f t="shared" si="83"/>
        <v>0</v>
      </c>
      <c r="KKA18">
        <f t="shared" si="84"/>
        <v>0</v>
      </c>
      <c r="KKB18">
        <f t="shared" si="85"/>
        <v>0</v>
      </c>
      <c r="KKC18">
        <f t="shared" si="86"/>
        <v>0</v>
      </c>
      <c r="KKD18">
        <f t="shared" si="87"/>
        <v>0</v>
      </c>
      <c r="KKE18">
        <f t="shared" si="88"/>
        <v>0</v>
      </c>
      <c r="KKF18">
        <f t="shared" si="89"/>
        <v>0</v>
      </c>
      <c r="KKG18">
        <f t="shared" si="90"/>
        <v>0</v>
      </c>
      <c r="KKH18">
        <f t="shared" si="91"/>
        <v>0</v>
      </c>
      <c r="KKI18">
        <f t="shared" si="92"/>
        <v>0</v>
      </c>
      <c r="KKJ18">
        <f t="shared" si="93"/>
        <v>0</v>
      </c>
      <c r="KKK18">
        <f t="shared" si="94"/>
        <v>0</v>
      </c>
      <c r="KKL18">
        <f t="shared" si="95"/>
        <v>0</v>
      </c>
      <c r="KKM18">
        <f t="shared" si="96"/>
        <v>0</v>
      </c>
      <c r="KKN18">
        <f t="shared" si="97"/>
        <v>0</v>
      </c>
      <c r="KKO18">
        <f t="shared" si="98"/>
        <v>0</v>
      </c>
      <c r="KKP18">
        <f t="shared" si="99"/>
        <v>0</v>
      </c>
      <c r="KKR18">
        <f t="shared" si="100"/>
        <v>0</v>
      </c>
      <c r="KKT18">
        <f t="shared" si="100"/>
        <v>0</v>
      </c>
      <c r="KKU18">
        <f t="shared" si="101"/>
        <v>0</v>
      </c>
      <c r="KKW18">
        <f t="shared" si="101"/>
        <v>0</v>
      </c>
    </row>
    <row r="19" spans="1:2 2912:2928 5063:5104 5121:6144 7417:7745">
      <c r="A19" t="s">
        <v>24</v>
      </c>
      <c r="B19">
        <v>0</v>
      </c>
      <c r="KGU19" s="1">
        <f t="shared" si="0"/>
        <v>0</v>
      </c>
      <c r="KGV19">
        <f t="shared" si="1"/>
        <v>0</v>
      </c>
      <c r="KGW19">
        <f t="shared" si="2"/>
        <v>0</v>
      </c>
      <c r="KGX19">
        <f t="shared" si="3"/>
        <v>0</v>
      </c>
      <c r="KGY19">
        <f t="shared" si="4"/>
        <v>0</v>
      </c>
      <c r="KGZ19">
        <f t="shared" si="5"/>
        <v>0</v>
      </c>
      <c r="KHA19">
        <f t="shared" si="6"/>
        <v>0</v>
      </c>
      <c r="KHB19">
        <f t="shared" si="7"/>
        <v>0</v>
      </c>
      <c r="KHC19">
        <f t="shared" si="8"/>
        <v>0</v>
      </c>
      <c r="KHD19">
        <f t="shared" si="9"/>
        <v>0</v>
      </c>
      <c r="KHE19">
        <f t="shared" si="10"/>
        <v>0</v>
      </c>
      <c r="KHF19">
        <f t="shared" si="11"/>
        <v>0</v>
      </c>
      <c r="KHG19">
        <f t="shared" si="12"/>
        <v>0</v>
      </c>
      <c r="KHH19">
        <f t="shared" si="13"/>
        <v>0</v>
      </c>
      <c r="KHI19">
        <f t="shared" si="14"/>
        <v>0</v>
      </c>
      <c r="KHJ19">
        <f t="shared" si="15"/>
        <v>0</v>
      </c>
      <c r="KHK19">
        <f t="shared" si="16"/>
        <v>0</v>
      </c>
      <c r="KHL19">
        <f t="shared" si="17"/>
        <v>0</v>
      </c>
      <c r="KHM19">
        <f t="shared" si="18"/>
        <v>0</v>
      </c>
      <c r="KHN19">
        <f t="shared" si="19"/>
        <v>0</v>
      </c>
      <c r="KHO19">
        <f t="shared" si="20"/>
        <v>0</v>
      </c>
      <c r="KHP19">
        <f t="shared" si="21"/>
        <v>0</v>
      </c>
      <c r="KHQ19">
        <f t="shared" si="22"/>
        <v>0</v>
      </c>
      <c r="KHR19">
        <f t="shared" si="23"/>
        <v>0</v>
      </c>
      <c r="KHS19">
        <f t="shared" si="24"/>
        <v>0</v>
      </c>
      <c r="KHT19">
        <f t="shared" si="25"/>
        <v>0</v>
      </c>
      <c r="KHU19">
        <f t="shared" si="26"/>
        <v>0</v>
      </c>
      <c r="KHV19">
        <f t="shared" si="27"/>
        <v>0</v>
      </c>
      <c r="KHW19">
        <f t="shared" si="28"/>
        <v>0</v>
      </c>
      <c r="KHX19">
        <f t="shared" si="29"/>
        <v>0</v>
      </c>
      <c r="KHY19">
        <f t="shared" si="30"/>
        <v>0</v>
      </c>
      <c r="KHZ19">
        <f t="shared" si="31"/>
        <v>0</v>
      </c>
      <c r="KIA19">
        <f t="shared" si="32"/>
        <v>0</v>
      </c>
      <c r="KIB19">
        <f t="shared" si="33"/>
        <v>0</v>
      </c>
      <c r="KIC19">
        <f t="shared" si="34"/>
        <v>0</v>
      </c>
      <c r="KID19">
        <f t="shared" si="35"/>
        <v>0</v>
      </c>
      <c r="KIE19">
        <f t="shared" si="36"/>
        <v>0</v>
      </c>
      <c r="KIF19">
        <f t="shared" si="37"/>
        <v>0</v>
      </c>
      <c r="KIG19">
        <f t="shared" si="38"/>
        <v>0</v>
      </c>
      <c r="KIH19">
        <f t="shared" si="39"/>
        <v>0</v>
      </c>
      <c r="KII19">
        <f t="shared" si="40"/>
        <v>0</v>
      </c>
      <c r="KIJ19">
        <f t="shared" si="41"/>
        <v>0</v>
      </c>
      <c r="KIK19">
        <f t="shared" si="42"/>
        <v>0</v>
      </c>
      <c r="KIL19">
        <f t="shared" si="43"/>
        <v>0</v>
      </c>
      <c r="KIM19">
        <f t="shared" si="44"/>
        <v>0</v>
      </c>
      <c r="KIN19">
        <f t="shared" si="45"/>
        <v>0</v>
      </c>
      <c r="KIO19">
        <f t="shared" si="46"/>
        <v>0</v>
      </c>
      <c r="KIP19">
        <f t="shared" si="47"/>
        <v>0</v>
      </c>
      <c r="KIQ19">
        <f t="shared" si="48"/>
        <v>0</v>
      </c>
      <c r="KIR19">
        <f t="shared" si="49"/>
        <v>0</v>
      </c>
      <c r="KIS19">
        <f t="shared" si="50"/>
        <v>0</v>
      </c>
      <c r="KIT19">
        <f t="shared" si="51"/>
        <v>0</v>
      </c>
      <c r="KIU19">
        <f t="shared" si="52"/>
        <v>0</v>
      </c>
      <c r="KIV19">
        <f t="shared" si="53"/>
        <v>0</v>
      </c>
      <c r="KIW19">
        <f t="shared" si="54"/>
        <v>0</v>
      </c>
      <c r="KIX19">
        <f t="shared" si="55"/>
        <v>0</v>
      </c>
      <c r="KIY19">
        <f t="shared" si="56"/>
        <v>0</v>
      </c>
      <c r="KIZ19">
        <f t="shared" si="57"/>
        <v>0</v>
      </c>
      <c r="KJA19">
        <f t="shared" si="58"/>
        <v>0</v>
      </c>
      <c r="KJB19">
        <f t="shared" si="59"/>
        <v>0</v>
      </c>
      <c r="KJC19">
        <f t="shared" si="60"/>
        <v>0</v>
      </c>
      <c r="KJD19">
        <f t="shared" si="61"/>
        <v>0</v>
      </c>
      <c r="KJE19">
        <f t="shared" si="62"/>
        <v>0</v>
      </c>
      <c r="KJF19">
        <f t="shared" si="63"/>
        <v>0</v>
      </c>
      <c r="KJG19">
        <f t="shared" si="64"/>
        <v>0</v>
      </c>
      <c r="KJH19">
        <f t="shared" si="65"/>
        <v>0</v>
      </c>
      <c r="KJI19">
        <f t="shared" si="66"/>
        <v>0</v>
      </c>
      <c r="KJJ19">
        <f t="shared" si="67"/>
        <v>0</v>
      </c>
      <c r="KJK19">
        <f t="shared" si="68"/>
        <v>0</v>
      </c>
      <c r="KJL19">
        <f t="shared" si="69"/>
        <v>0</v>
      </c>
      <c r="KJM19">
        <f t="shared" si="70"/>
        <v>0</v>
      </c>
      <c r="KJN19">
        <f t="shared" si="71"/>
        <v>0</v>
      </c>
      <c r="KJO19">
        <f t="shared" si="72"/>
        <v>0</v>
      </c>
      <c r="KJP19">
        <f t="shared" si="73"/>
        <v>0</v>
      </c>
      <c r="KJQ19">
        <f t="shared" si="74"/>
        <v>0</v>
      </c>
      <c r="KJR19">
        <f t="shared" si="75"/>
        <v>0</v>
      </c>
      <c r="KJS19">
        <f t="shared" si="76"/>
        <v>0</v>
      </c>
      <c r="KJT19">
        <f t="shared" si="77"/>
        <v>0</v>
      </c>
      <c r="KJU19">
        <f t="shared" si="78"/>
        <v>0</v>
      </c>
      <c r="KJV19">
        <f t="shared" si="79"/>
        <v>0</v>
      </c>
      <c r="KJW19">
        <f t="shared" si="80"/>
        <v>0</v>
      </c>
      <c r="KJX19">
        <f t="shared" si="81"/>
        <v>0</v>
      </c>
      <c r="KJY19">
        <f t="shared" si="82"/>
        <v>0</v>
      </c>
      <c r="KJZ19">
        <f t="shared" si="83"/>
        <v>0</v>
      </c>
      <c r="KKA19">
        <f t="shared" si="84"/>
        <v>0</v>
      </c>
      <c r="KKB19">
        <f t="shared" si="85"/>
        <v>0</v>
      </c>
      <c r="KKC19">
        <f t="shared" si="86"/>
        <v>0</v>
      </c>
      <c r="KKD19">
        <f t="shared" si="87"/>
        <v>0</v>
      </c>
      <c r="KKE19">
        <f t="shared" si="88"/>
        <v>0</v>
      </c>
      <c r="KKF19">
        <f t="shared" si="89"/>
        <v>0</v>
      </c>
      <c r="KKG19">
        <f t="shared" si="90"/>
        <v>0</v>
      </c>
      <c r="KKH19">
        <f t="shared" si="91"/>
        <v>0</v>
      </c>
      <c r="KKI19">
        <f t="shared" si="92"/>
        <v>0</v>
      </c>
      <c r="KKJ19">
        <f t="shared" si="93"/>
        <v>0</v>
      </c>
      <c r="KKK19">
        <f t="shared" si="94"/>
        <v>0</v>
      </c>
      <c r="KKL19">
        <f t="shared" si="95"/>
        <v>0</v>
      </c>
      <c r="KKM19">
        <f t="shared" si="96"/>
        <v>0</v>
      </c>
      <c r="KKN19">
        <f t="shared" si="97"/>
        <v>0</v>
      </c>
      <c r="KKO19">
        <f t="shared" si="98"/>
        <v>0</v>
      </c>
      <c r="KKP19">
        <f t="shared" si="99"/>
        <v>0</v>
      </c>
      <c r="KKR19">
        <f t="shared" si="100"/>
        <v>0</v>
      </c>
      <c r="KKT19">
        <f t="shared" si="100"/>
        <v>0</v>
      </c>
      <c r="KKU19">
        <f t="shared" si="101"/>
        <v>0</v>
      </c>
      <c r="KKW19">
        <f t="shared" si="101"/>
        <v>0</v>
      </c>
    </row>
    <row r="20" spans="1:2 2912:2928 5063:5104 5121:6144 7417:7745">
      <c r="A20" t="s">
        <v>7659</v>
      </c>
      <c r="B20">
        <v>0</v>
      </c>
      <c r="KGU20" s="1">
        <f t="shared" si="0"/>
        <v>0</v>
      </c>
      <c r="KGV20">
        <f t="shared" si="1"/>
        <v>0</v>
      </c>
      <c r="KGW20">
        <f t="shared" si="2"/>
        <v>0</v>
      </c>
      <c r="KGX20">
        <f t="shared" si="3"/>
        <v>0</v>
      </c>
      <c r="KGY20">
        <f t="shared" si="4"/>
        <v>0</v>
      </c>
      <c r="KGZ20">
        <f t="shared" si="5"/>
        <v>0</v>
      </c>
      <c r="KHA20">
        <f t="shared" si="6"/>
        <v>0</v>
      </c>
      <c r="KHB20">
        <f t="shared" si="7"/>
        <v>0</v>
      </c>
      <c r="KHC20">
        <f t="shared" si="8"/>
        <v>0</v>
      </c>
      <c r="KHD20">
        <f t="shared" si="9"/>
        <v>0</v>
      </c>
      <c r="KHE20">
        <f t="shared" si="10"/>
        <v>0</v>
      </c>
      <c r="KHF20">
        <f t="shared" si="11"/>
        <v>0</v>
      </c>
      <c r="KHG20">
        <f t="shared" si="12"/>
        <v>0</v>
      </c>
      <c r="KHH20">
        <f t="shared" si="13"/>
        <v>0</v>
      </c>
      <c r="KHI20">
        <f t="shared" si="14"/>
        <v>0</v>
      </c>
      <c r="KHJ20">
        <f t="shared" si="15"/>
        <v>0</v>
      </c>
      <c r="KHK20">
        <f t="shared" si="16"/>
        <v>0</v>
      </c>
      <c r="KHL20">
        <f t="shared" si="17"/>
        <v>0</v>
      </c>
      <c r="KHM20">
        <f t="shared" si="18"/>
        <v>0</v>
      </c>
      <c r="KHN20">
        <f t="shared" si="19"/>
        <v>0</v>
      </c>
      <c r="KHO20">
        <f t="shared" si="20"/>
        <v>0</v>
      </c>
      <c r="KHP20">
        <f t="shared" si="21"/>
        <v>0</v>
      </c>
      <c r="KHQ20">
        <f t="shared" si="22"/>
        <v>0</v>
      </c>
      <c r="KHR20">
        <f t="shared" si="23"/>
        <v>0</v>
      </c>
      <c r="KHS20">
        <f t="shared" si="24"/>
        <v>0</v>
      </c>
      <c r="KHT20">
        <f t="shared" si="25"/>
        <v>0</v>
      </c>
      <c r="KHU20">
        <f t="shared" si="26"/>
        <v>0</v>
      </c>
      <c r="KHV20">
        <f t="shared" si="27"/>
        <v>0</v>
      </c>
      <c r="KHW20">
        <f t="shared" si="28"/>
        <v>0</v>
      </c>
      <c r="KHX20">
        <f t="shared" si="29"/>
        <v>0</v>
      </c>
      <c r="KHY20">
        <f t="shared" si="30"/>
        <v>0</v>
      </c>
      <c r="KHZ20">
        <f t="shared" si="31"/>
        <v>0</v>
      </c>
      <c r="KIA20">
        <f t="shared" si="32"/>
        <v>0</v>
      </c>
      <c r="KIB20">
        <f t="shared" si="33"/>
        <v>0</v>
      </c>
      <c r="KIC20">
        <f t="shared" si="34"/>
        <v>0</v>
      </c>
      <c r="KID20">
        <f t="shared" si="35"/>
        <v>0</v>
      </c>
      <c r="KIE20">
        <f t="shared" si="36"/>
        <v>0</v>
      </c>
      <c r="KIF20">
        <f t="shared" si="37"/>
        <v>0</v>
      </c>
      <c r="KIG20">
        <f t="shared" si="38"/>
        <v>0</v>
      </c>
      <c r="KIH20">
        <f t="shared" si="39"/>
        <v>0</v>
      </c>
      <c r="KII20">
        <f t="shared" si="40"/>
        <v>0</v>
      </c>
      <c r="KIJ20">
        <f t="shared" si="41"/>
        <v>0</v>
      </c>
      <c r="KIK20">
        <f t="shared" si="42"/>
        <v>0</v>
      </c>
      <c r="KIL20">
        <f t="shared" si="43"/>
        <v>0</v>
      </c>
      <c r="KIM20">
        <f t="shared" si="44"/>
        <v>0</v>
      </c>
      <c r="KIN20">
        <f t="shared" si="45"/>
        <v>0</v>
      </c>
      <c r="KIO20">
        <f t="shared" si="46"/>
        <v>0</v>
      </c>
      <c r="KIP20">
        <f t="shared" si="47"/>
        <v>0</v>
      </c>
      <c r="KIQ20">
        <f t="shared" si="48"/>
        <v>0</v>
      </c>
      <c r="KIR20">
        <f t="shared" si="49"/>
        <v>0</v>
      </c>
      <c r="KIS20">
        <f t="shared" si="50"/>
        <v>0</v>
      </c>
      <c r="KIT20">
        <f t="shared" si="51"/>
        <v>0</v>
      </c>
      <c r="KIU20">
        <f t="shared" si="52"/>
        <v>0</v>
      </c>
      <c r="KIV20">
        <f t="shared" si="53"/>
        <v>0</v>
      </c>
      <c r="KIW20">
        <f t="shared" si="54"/>
        <v>0</v>
      </c>
      <c r="KIX20">
        <f t="shared" si="55"/>
        <v>0</v>
      </c>
      <c r="KIY20">
        <f t="shared" si="56"/>
        <v>0</v>
      </c>
      <c r="KIZ20">
        <f t="shared" si="57"/>
        <v>0</v>
      </c>
      <c r="KJA20">
        <f t="shared" si="58"/>
        <v>0</v>
      </c>
      <c r="KJB20">
        <f t="shared" si="59"/>
        <v>0</v>
      </c>
      <c r="KJC20">
        <f t="shared" si="60"/>
        <v>0</v>
      </c>
      <c r="KJD20">
        <f t="shared" si="61"/>
        <v>0</v>
      </c>
      <c r="KJE20">
        <f t="shared" si="62"/>
        <v>0</v>
      </c>
      <c r="KJF20">
        <f t="shared" si="63"/>
        <v>0</v>
      </c>
      <c r="KJG20">
        <f t="shared" si="64"/>
        <v>0</v>
      </c>
      <c r="KJH20">
        <f t="shared" si="65"/>
        <v>0</v>
      </c>
      <c r="KJI20">
        <f t="shared" si="66"/>
        <v>0</v>
      </c>
      <c r="KJJ20">
        <f t="shared" si="67"/>
        <v>0</v>
      </c>
      <c r="KJK20">
        <f t="shared" si="68"/>
        <v>0</v>
      </c>
      <c r="KJL20">
        <f t="shared" si="69"/>
        <v>0</v>
      </c>
      <c r="KJM20">
        <f t="shared" si="70"/>
        <v>0</v>
      </c>
      <c r="KJN20">
        <f t="shared" si="71"/>
        <v>0</v>
      </c>
      <c r="KJO20">
        <f t="shared" si="72"/>
        <v>0</v>
      </c>
      <c r="KJP20">
        <f t="shared" si="73"/>
        <v>0</v>
      </c>
      <c r="KJQ20">
        <f t="shared" si="74"/>
        <v>0</v>
      </c>
      <c r="KJR20">
        <f t="shared" si="75"/>
        <v>0</v>
      </c>
      <c r="KJS20">
        <f t="shared" si="76"/>
        <v>0</v>
      </c>
      <c r="KJT20">
        <f t="shared" si="77"/>
        <v>0</v>
      </c>
      <c r="KJU20">
        <f t="shared" si="78"/>
        <v>0</v>
      </c>
      <c r="KJV20">
        <f t="shared" si="79"/>
        <v>0</v>
      </c>
      <c r="KJW20">
        <f t="shared" si="80"/>
        <v>0</v>
      </c>
      <c r="KJX20">
        <f t="shared" si="81"/>
        <v>0</v>
      </c>
      <c r="KJY20">
        <f t="shared" si="82"/>
        <v>0</v>
      </c>
      <c r="KJZ20">
        <f t="shared" si="83"/>
        <v>0</v>
      </c>
      <c r="KKA20">
        <f t="shared" si="84"/>
        <v>0</v>
      </c>
      <c r="KKB20">
        <f t="shared" si="85"/>
        <v>0</v>
      </c>
      <c r="KKC20">
        <f t="shared" si="86"/>
        <v>0</v>
      </c>
      <c r="KKD20">
        <f t="shared" si="87"/>
        <v>0</v>
      </c>
      <c r="KKE20">
        <f t="shared" si="88"/>
        <v>0</v>
      </c>
      <c r="KKF20">
        <f t="shared" si="89"/>
        <v>0</v>
      </c>
      <c r="KKG20">
        <f t="shared" si="90"/>
        <v>0</v>
      </c>
      <c r="KKH20">
        <f t="shared" si="91"/>
        <v>0</v>
      </c>
      <c r="KKI20">
        <f t="shared" si="92"/>
        <v>0</v>
      </c>
      <c r="KKJ20">
        <f t="shared" si="93"/>
        <v>0</v>
      </c>
      <c r="KKK20">
        <f t="shared" si="94"/>
        <v>0</v>
      </c>
      <c r="KKL20">
        <f t="shared" si="95"/>
        <v>0</v>
      </c>
      <c r="KKM20">
        <f t="shared" si="96"/>
        <v>0</v>
      </c>
      <c r="KKN20">
        <f t="shared" si="97"/>
        <v>0</v>
      </c>
      <c r="KKO20">
        <f t="shared" si="98"/>
        <v>0</v>
      </c>
      <c r="KKP20">
        <f t="shared" si="99"/>
        <v>0</v>
      </c>
      <c r="KKR20">
        <f t="shared" si="100"/>
        <v>0</v>
      </c>
      <c r="KKT20">
        <f t="shared" si="100"/>
        <v>0</v>
      </c>
      <c r="KKU20">
        <f t="shared" si="101"/>
        <v>0</v>
      </c>
      <c r="KKW20">
        <f t="shared" si="101"/>
        <v>0</v>
      </c>
    </row>
    <row r="21" spans="1:2 2912:2928 5063:5104 5121:6144 7417:7745">
      <c r="A21" t="s">
        <v>7660</v>
      </c>
      <c r="B21">
        <v>0</v>
      </c>
      <c r="KGU21" s="1">
        <f t="shared" si="0"/>
        <v>0</v>
      </c>
      <c r="KGV21">
        <f t="shared" si="1"/>
        <v>0</v>
      </c>
      <c r="KGW21">
        <f t="shared" si="2"/>
        <v>0</v>
      </c>
      <c r="KGX21">
        <f t="shared" si="3"/>
        <v>0</v>
      </c>
      <c r="KGY21">
        <f t="shared" si="4"/>
        <v>0</v>
      </c>
      <c r="KGZ21">
        <f t="shared" si="5"/>
        <v>0</v>
      </c>
      <c r="KHA21">
        <f t="shared" si="6"/>
        <v>0</v>
      </c>
      <c r="KHB21">
        <f t="shared" si="7"/>
        <v>0</v>
      </c>
      <c r="KHC21">
        <f t="shared" si="8"/>
        <v>0</v>
      </c>
      <c r="KHD21">
        <f t="shared" si="9"/>
        <v>0</v>
      </c>
      <c r="KHE21">
        <f t="shared" si="10"/>
        <v>0</v>
      </c>
      <c r="KHF21">
        <f t="shared" si="11"/>
        <v>0</v>
      </c>
      <c r="KHG21">
        <f t="shared" si="12"/>
        <v>0</v>
      </c>
      <c r="KHH21">
        <f t="shared" si="13"/>
        <v>0</v>
      </c>
      <c r="KHI21">
        <f t="shared" si="14"/>
        <v>0</v>
      </c>
      <c r="KHJ21">
        <f t="shared" si="15"/>
        <v>0</v>
      </c>
      <c r="KHK21">
        <f t="shared" si="16"/>
        <v>0</v>
      </c>
      <c r="KHL21">
        <f t="shared" si="17"/>
        <v>0</v>
      </c>
      <c r="KHM21">
        <f t="shared" si="18"/>
        <v>0</v>
      </c>
      <c r="KHN21">
        <f t="shared" si="19"/>
        <v>0</v>
      </c>
      <c r="KHO21">
        <f t="shared" si="20"/>
        <v>0</v>
      </c>
      <c r="KHP21">
        <f t="shared" si="21"/>
        <v>0</v>
      </c>
      <c r="KHQ21">
        <f t="shared" si="22"/>
        <v>0</v>
      </c>
      <c r="KHR21">
        <f t="shared" si="23"/>
        <v>0</v>
      </c>
      <c r="KHS21">
        <f t="shared" si="24"/>
        <v>0</v>
      </c>
      <c r="KHT21">
        <f t="shared" si="25"/>
        <v>0</v>
      </c>
      <c r="KHU21">
        <f t="shared" si="26"/>
        <v>0</v>
      </c>
      <c r="KHV21">
        <f t="shared" si="27"/>
        <v>0</v>
      </c>
      <c r="KHW21">
        <f t="shared" si="28"/>
        <v>0</v>
      </c>
      <c r="KHX21">
        <f t="shared" si="29"/>
        <v>0</v>
      </c>
      <c r="KHY21">
        <f t="shared" si="30"/>
        <v>0</v>
      </c>
      <c r="KHZ21">
        <f t="shared" si="31"/>
        <v>0</v>
      </c>
      <c r="KIA21">
        <f t="shared" si="32"/>
        <v>0</v>
      </c>
      <c r="KIB21">
        <f t="shared" si="33"/>
        <v>0</v>
      </c>
      <c r="KIC21">
        <f t="shared" si="34"/>
        <v>0</v>
      </c>
      <c r="KID21">
        <f t="shared" si="35"/>
        <v>0</v>
      </c>
      <c r="KIE21">
        <f t="shared" si="36"/>
        <v>0</v>
      </c>
      <c r="KIF21">
        <f t="shared" si="37"/>
        <v>0</v>
      </c>
      <c r="KIG21">
        <f t="shared" si="38"/>
        <v>0</v>
      </c>
      <c r="KIH21">
        <f t="shared" si="39"/>
        <v>0</v>
      </c>
      <c r="KII21">
        <f t="shared" si="40"/>
        <v>0</v>
      </c>
      <c r="KIJ21">
        <f t="shared" si="41"/>
        <v>0</v>
      </c>
      <c r="KIK21">
        <f t="shared" si="42"/>
        <v>0</v>
      </c>
      <c r="KIL21">
        <f t="shared" si="43"/>
        <v>0</v>
      </c>
      <c r="KIM21">
        <f t="shared" si="44"/>
        <v>0</v>
      </c>
      <c r="KIN21">
        <f t="shared" si="45"/>
        <v>0</v>
      </c>
      <c r="KIO21">
        <f t="shared" si="46"/>
        <v>0</v>
      </c>
      <c r="KIP21">
        <f t="shared" si="47"/>
        <v>0</v>
      </c>
      <c r="KIQ21">
        <f t="shared" si="48"/>
        <v>0</v>
      </c>
      <c r="KIR21">
        <f t="shared" si="49"/>
        <v>0</v>
      </c>
      <c r="KIS21">
        <f t="shared" si="50"/>
        <v>0</v>
      </c>
      <c r="KIT21">
        <f t="shared" si="51"/>
        <v>0</v>
      </c>
      <c r="KIU21">
        <f t="shared" si="52"/>
        <v>0</v>
      </c>
      <c r="KIV21">
        <f t="shared" si="53"/>
        <v>0</v>
      </c>
      <c r="KIW21">
        <f t="shared" si="54"/>
        <v>0</v>
      </c>
      <c r="KIX21">
        <f t="shared" si="55"/>
        <v>0</v>
      </c>
      <c r="KIY21">
        <f t="shared" si="56"/>
        <v>0</v>
      </c>
      <c r="KIZ21">
        <f t="shared" si="57"/>
        <v>0</v>
      </c>
      <c r="KJA21">
        <f t="shared" si="58"/>
        <v>0</v>
      </c>
      <c r="KJB21">
        <f t="shared" si="59"/>
        <v>0</v>
      </c>
      <c r="KJC21">
        <f t="shared" si="60"/>
        <v>0</v>
      </c>
      <c r="KJD21">
        <f t="shared" si="61"/>
        <v>0</v>
      </c>
      <c r="KJE21">
        <f t="shared" si="62"/>
        <v>0</v>
      </c>
      <c r="KJF21">
        <f t="shared" si="63"/>
        <v>0</v>
      </c>
      <c r="KJG21">
        <f t="shared" si="64"/>
        <v>0</v>
      </c>
      <c r="KJH21">
        <f t="shared" si="65"/>
        <v>0</v>
      </c>
      <c r="KJI21">
        <f t="shared" si="66"/>
        <v>0</v>
      </c>
      <c r="KJJ21">
        <f t="shared" si="67"/>
        <v>0</v>
      </c>
      <c r="KJK21">
        <f t="shared" si="68"/>
        <v>0</v>
      </c>
      <c r="KJL21">
        <f t="shared" si="69"/>
        <v>0</v>
      </c>
      <c r="KJM21">
        <f t="shared" si="70"/>
        <v>0</v>
      </c>
      <c r="KJN21">
        <f t="shared" si="71"/>
        <v>0</v>
      </c>
      <c r="KJO21">
        <f t="shared" si="72"/>
        <v>0</v>
      </c>
      <c r="KJP21">
        <f t="shared" si="73"/>
        <v>0</v>
      </c>
      <c r="KJQ21">
        <f t="shared" si="74"/>
        <v>0</v>
      </c>
      <c r="KJR21">
        <f t="shared" si="75"/>
        <v>0</v>
      </c>
      <c r="KJS21">
        <f t="shared" si="76"/>
        <v>0</v>
      </c>
      <c r="KJT21">
        <f t="shared" si="77"/>
        <v>0</v>
      </c>
      <c r="KJU21">
        <f t="shared" si="78"/>
        <v>0</v>
      </c>
      <c r="KJV21">
        <f t="shared" si="79"/>
        <v>0</v>
      </c>
      <c r="KJW21">
        <f t="shared" si="80"/>
        <v>0</v>
      </c>
      <c r="KJX21">
        <f t="shared" si="81"/>
        <v>0</v>
      </c>
      <c r="KJY21">
        <f t="shared" si="82"/>
        <v>0</v>
      </c>
      <c r="KJZ21">
        <f t="shared" si="83"/>
        <v>0</v>
      </c>
      <c r="KKA21">
        <f t="shared" si="84"/>
        <v>0</v>
      </c>
      <c r="KKB21">
        <f t="shared" si="85"/>
        <v>0</v>
      </c>
      <c r="KKC21">
        <f t="shared" si="86"/>
        <v>0</v>
      </c>
      <c r="KKD21">
        <f t="shared" si="87"/>
        <v>0</v>
      </c>
      <c r="KKE21">
        <f t="shared" si="88"/>
        <v>0</v>
      </c>
      <c r="KKF21">
        <f t="shared" si="89"/>
        <v>0</v>
      </c>
      <c r="KKG21">
        <f t="shared" si="90"/>
        <v>0</v>
      </c>
      <c r="KKH21">
        <f t="shared" si="91"/>
        <v>0</v>
      </c>
      <c r="KKI21">
        <f t="shared" si="92"/>
        <v>0</v>
      </c>
      <c r="KKJ21">
        <f t="shared" si="93"/>
        <v>0</v>
      </c>
      <c r="KKK21">
        <f t="shared" si="94"/>
        <v>0</v>
      </c>
      <c r="KKL21">
        <f t="shared" si="95"/>
        <v>0</v>
      </c>
      <c r="KKM21">
        <f t="shared" si="96"/>
        <v>0</v>
      </c>
      <c r="KKN21">
        <f t="shared" si="97"/>
        <v>0</v>
      </c>
      <c r="KKO21">
        <f t="shared" si="98"/>
        <v>0</v>
      </c>
      <c r="KKP21">
        <f t="shared" si="99"/>
        <v>0</v>
      </c>
      <c r="KKR21">
        <f t="shared" si="100"/>
        <v>0</v>
      </c>
      <c r="KKT21">
        <f t="shared" si="100"/>
        <v>0</v>
      </c>
      <c r="KKU21">
        <f t="shared" si="101"/>
        <v>0</v>
      </c>
      <c r="KKW21">
        <f t="shared" si="101"/>
        <v>0</v>
      </c>
    </row>
    <row r="22" spans="1:2 2912:2928 5063:5104 5121:6144 7417:7745">
      <c r="A22" t="s">
        <v>9</v>
      </c>
      <c r="B22">
        <v>2</v>
      </c>
      <c r="DGZ22">
        <v>1</v>
      </c>
      <c r="DHA22">
        <v>1</v>
      </c>
      <c r="DHB22">
        <v>1</v>
      </c>
      <c r="DHC22">
        <v>1</v>
      </c>
      <c r="DHD22">
        <v>1</v>
      </c>
      <c r="DHE22">
        <v>1</v>
      </c>
      <c r="DHF22">
        <v>1</v>
      </c>
      <c r="DHG22">
        <v>1</v>
      </c>
      <c r="DHH22">
        <v>1</v>
      </c>
      <c r="DHI22">
        <v>1</v>
      </c>
      <c r="DHJ22">
        <v>1</v>
      </c>
      <c r="DHK22">
        <v>1</v>
      </c>
      <c r="DHL22">
        <v>1</v>
      </c>
      <c r="DHM22">
        <v>1</v>
      </c>
      <c r="DHN22">
        <v>1</v>
      </c>
      <c r="DHO22">
        <v>1</v>
      </c>
      <c r="DHP22">
        <v>1</v>
      </c>
      <c r="JYG22">
        <v>2</v>
      </c>
      <c r="JYH22">
        <v>2</v>
      </c>
      <c r="JYI22">
        <v>2</v>
      </c>
      <c r="JYJ22">
        <v>2</v>
      </c>
      <c r="JYK22">
        <v>2</v>
      </c>
      <c r="JYL22">
        <v>2</v>
      </c>
      <c r="JYM22">
        <v>2</v>
      </c>
      <c r="JYN22">
        <v>2</v>
      </c>
      <c r="JYO22">
        <v>2</v>
      </c>
      <c r="JYP22">
        <v>2</v>
      </c>
      <c r="JYQ22">
        <v>2</v>
      </c>
      <c r="JYR22">
        <v>2</v>
      </c>
      <c r="JYS22">
        <v>2</v>
      </c>
      <c r="JYT22">
        <v>2</v>
      </c>
      <c r="JYU22">
        <v>2</v>
      </c>
      <c r="JYV22">
        <v>2</v>
      </c>
      <c r="JYW22">
        <v>2</v>
      </c>
      <c r="JYX22">
        <v>2</v>
      </c>
      <c r="JYY22">
        <v>2</v>
      </c>
      <c r="JYZ22">
        <v>2</v>
      </c>
      <c r="JZA22">
        <v>2</v>
      </c>
      <c r="JZB22">
        <v>2</v>
      </c>
      <c r="JZC22">
        <v>2</v>
      </c>
      <c r="JZD22">
        <v>2</v>
      </c>
      <c r="JZE22">
        <v>2</v>
      </c>
      <c r="JZF22">
        <v>2</v>
      </c>
      <c r="JZG22">
        <v>2</v>
      </c>
      <c r="JZH22">
        <v>2</v>
      </c>
      <c r="JZI22">
        <v>2</v>
      </c>
      <c r="JZJ22">
        <v>2</v>
      </c>
      <c r="JZK22">
        <v>2</v>
      </c>
      <c r="JZL22">
        <v>2</v>
      </c>
      <c r="JZM22">
        <v>2</v>
      </c>
      <c r="JZN22">
        <v>2</v>
      </c>
      <c r="JZO22">
        <v>2</v>
      </c>
      <c r="JZP22">
        <v>2</v>
      </c>
      <c r="JZQ22">
        <v>2</v>
      </c>
      <c r="JZR22">
        <v>2</v>
      </c>
      <c r="JZS22">
        <v>2</v>
      </c>
      <c r="JZT22">
        <v>2</v>
      </c>
      <c r="JZU22">
        <v>2</v>
      </c>
      <c r="JZV22">
        <v>2</v>
      </c>
      <c r="JZW22">
        <v>2</v>
      </c>
      <c r="JZX22">
        <v>2</v>
      </c>
      <c r="JZY22">
        <v>2</v>
      </c>
      <c r="JZZ22">
        <v>2</v>
      </c>
      <c r="KAA22">
        <v>2</v>
      </c>
      <c r="KAB22">
        <v>2</v>
      </c>
      <c r="KAC22">
        <v>2</v>
      </c>
      <c r="KAD22">
        <v>2</v>
      </c>
      <c r="KAE22">
        <v>2</v>
      </c>
      <c r="KAF22">
        <v>2</v>
      </c>
      <c r="KAG22">
        <v>2</v>
      </c>
      <c r="KAH22">
        <v>2</v>
      </c>
      <c r="KAI22">
        <v>2</v>
      </c>
      <c r="KAJ22">
        <v>2</v>
      </c>
      <c r="KAK22">
        <v>2</v>
      </c>
      <c r="KAL22">
        <v>2</v>
      </c>
      <c r="KAM22">
        <v>2</v>
      </c>
      <c r="KAN22">
        <v>2</v>
      </c>
      <c r="KAO22">
        <v>2</v>
      </c>
      <c r="KAP22">
        <v>2</v>
      </c>
      <c r="KAQ22">
        <v>2</v>
      </c>
      <c r="KAR22">
        <v>2</v>
      </c>
      <c r="KAS22">
        <v>2</v>
      </c>
      <c r="KAT22">
        <v>2</v>
      </c>
      <c r="KAU22">
        <v>2</v>
      </c>
      <c r="KAV22">
        <v>2</v>
      </c>
      <c r="KAW22">
        <v>2</v>
      </c>
      <c r="KAX22">
        <v>2</v>
      </c>
      <c r="KAY22">
        <v>2</v>
      </c>
      <c r="KAZ22">
        <v>2</v>
      </c>
      <c r="KBA22">
        <v>2</v>
      </c>
      <c r="KBB22">
        <v>2</v>
      </c>
      <c r="KBC22">
        <v>2</v>
      </c>
      <c r="KBD22">
        <v>2</v>
      </c>
      <c r="KBE22">
        <v>2</v>
      </c>
      <c r="KBF22">
        <v>2</v>
      </c>
      <c r="KBG22">
        <v>2</v>
      </c>
      <c r="KBH22">
        <v>2</v>
      </c>
      <c r="KBI22">
        <v>2</v>
      </c>
      <c r="KBJ22">
        <v>2</v>
      </c>
      <c r="KBK22">
        <v>2</v>
      </c>
      <c r="KBL22">
        <v>2</v>
      </c>
      <c r="KBM22">
        <v>2</v>
      </c>
      <c r="KBN22">
        <v>2</v>
      </c>
      <c r="KBO22">
        <v>2</v>
      </c>
      <c r="KBP22">
        <v>2</v>
      </c>
      <c r="KBQ22">
        <v>2</v>
      </c>
      <c r="KBR22">
        <v>2</v>
      </c>
      <c r="KBS22">
        <v>2</v>
      </c>
      <c r="KBT22">
        <v>2</v>
      </c>
      <c r="KBU22">
        <v>2</v>
      </c>
      <c r="KBV22">
        <v>2</v>
      </c>
      <c r="KBW22">
        <v>2</v>
      </c>
      <c r="KBX22">
        <v>2</v>
      </c>
      <c r="KBY22">
        <v>2</v>
      </c>
      <c r="KBZ22">
        <v>2</v>
      </c>
      <c r="KCA22">
        <v>2</v>
      </c>
      <c r="KCB22">
        <v>2</v>
      </c>
      <c r="KCC22">
        <v>2</v>
      </c>
      <c r="KCD22">
        <v>2</v>
      </c>
      <c r="KCE22">
        <v>2</v>
      </c>
      <c r="KCF22">
        <v>2</v>
      </c>
      <c r="KGU22" s="1">
        <f t="shared" si="0"/>
        <v>17</v>
      </c>
      <c r="KGV22">
        <f t="shared" si="1"/>
        <v>104</v>
      </c>
      <c r="KGW22">
        <f t="shared" si="2"/>
        <v>0</v>
      </c>
      <c r="KGX22">
        <f t="shared" si="3"/>
        <v>0</v>
      </c>
      <c r="KGY22">
        <f t="shared" si="4"/>
        <v>0</v>
      </c>
      <c r="KGZ22">
        <f t="shared" si="5"/>
        <v>0</v>
      </c>
      <c r="KHA22">
        <f t="shared" si="6"/>
        <v>0</v>
      </c>
      <c r="KHB22">
        <f t="shared" si="7"/>
        <v>0</v>
      </c>
      <c r="KHC22">
        <f t="shared" si="8"/>
        <v>0</v>
      </c>
      <c r="KHD22">
        <f t="shared" si="9"/>
        <v>0</v>
      </c>
      <c r="KHE22">
        <f t="shared" si="10"/>
        <v>0</v>
      </c>
      <c r="KHF22">
        <f t="shared" si="11"/>
        <v>0</v>
      </c>
      <c r="KHG22">
        <f t="shared" si="12"/>
        <v>0</v>
      </c>
      <c r="KHH22">
        <f t="shared" si="13"/>
        <v>0</v>
      </c>
      <c r="KHI22">
        <f t="shared" si="14"/>
        <v>0</v>
      </c>
      <c r="KHJ22">
        <f t="shared" si="15"/>
        <v>0</v>
      </c>
      <c r="KHK22">
        <f t="shared" si="16"/>
        <v>0</v>
      </c>
      <c r="KHL22">
        <f t="shared" si="17"/>
        <v>0</v>
      </c>
      <c r="KHM22">
        <f t="shared" si="18"/>
        <v>0</v>
      </c>
      <c r="KHN22">
        <f t="shared" si="19"/>
        <v>0</v>
      </c>
      <c r="KHO22">
        <f t="shared" si="20"/>
        <v>0</v>
      </c>
      <c r="KHP22">
        <f t="shared" si="21"/>
        <v>0</v>
      </c>
      <c r="KHQ22">
        <f t="shared" si="22"/>
        <v>0</v>
      </c>
      <c r="KHR22">
        <f t="shared" si="23"/>
        <v>0</v>
      </c>
      <c r="KHS22">
        <f t="shared" si="24"/>
        <v>0</v>
      </c>
      <c r="KHT22">
        <f t="shared" si="25"/>
        <v>0</v>
      </c>
      <c r="KHU22">
        <f t="shared" si="26"/>
        <v>0</v>
      </c>
      <c r="KHV22">
        <f t="shared" si="27"/>
        <v>0</v>
      </c>
      <c r="KHW22">
        <f t="shared" si="28"/>
        <v>0</v>
      </c>
      <c r="KHX22">
        <f t="shared" si="29"/>
        <v>0</v>
      </c>
      <c r="KHY22">
        <f t="shared" si="30"/>
        <v>0</v>
      </c>
      <c r="KHZ22">
        <f t="shared" si="31"/>
        <v>0</v>
      </c>
      <c r="KIA22">
        <f t="shared" si="32"/>
        <v>0</v>
      </c>
      <c r="KIB22">
        <f t="shared" si="33"/>
        <v>0</v>
      </c>
      <c r="KIC22">
        <f t="shared" si="34"/>
        <v>0</v>
      </c>
      <c r="KID22">
        <f t="shared" si="35"/>
        <v>0</v>
      </c>
      <c r="KIE22">
        <f t="shared" si="36"/>
        <v>0</v>
      </c>
      <c r="KIF22">
        <f t="shared" si="37"/>
        <v>0</v>
      </c>
      <c r="KIG22">
        <f t="shared" si="38"/>
        <v>0</v>
      </c>
      <c r="KIH22">
        <f t="shared" si="39"/>
        <v>0</v>
      </c>
      <c r="KII22">
        <f t="shared" si="40"/>
        <v>0</v>
      </c>
      <c r="KIJ22">
        <f t="shared" si="41"/>
        <v>0</v>
      </c>
      <c r="KIK22">
        <f t="shared" si="42"/>
        <v>0</v>
      </c>
      <c r="KIL22">
        <f t="shared" si="43"/>
        <v>0</v>
      </c>
      <c r="KIM22">
        <f t="shared" si="44"/>
        <v>0</v>
      </c>
      <c r="KIN22">
        <f t="shared" si="45"/>
        <v>0</v>
      </c>
      <c r="KIO22">
        <f t="shared" si="46"/>
        <v>0</v>
      </c>
      <c r="KIP22">
        <f t="shared" si="47"/>
        <v>0</v>
      </c>
      <c r="KIQ22">
        <f t="shared" si="48"/>
        <v>0</v>
      </c>
      <c r="KIR22">
        <f t="shared" si="49"/>
        <v>0</v>
      </c>
      <c r="KIS22">
        <f t="shared" si="50"/>
        <v>0</v>
      </c>
      <c r="KIT22">
        <f t="shared" si="51"/>
        <v>0</v>
      </c>
      <c r="KIU22">
        <f t="shared" si="52"/>
        <v>0</v>
      </c>
      <c r="KIV22">
        <f t="shared" si="53"/>
        <v>0</v>
      </c>
      <c r="KIW22">
        <f t="shared" si="54"/>
        <v>0</v>
      </c>
      <c r="KIX22">
        <f t="shared" si="55"/>
        <v>0</v>
      </c>
      <c r="KIY22">
        <f t="shared" si="56"/>
        <v>0</v>
      </c>
      <c r="KIZ22">
        <f t="shared" si="57"/>
        <v>0</v>
      </c>
      <c r="KJA22">
        <f t="shared" si="58"/>
        <v>0</v>
      </c>
      <c r="KJB22">
        <f t="shared" si="59"/>
        <v>0</v>
      </c>
      <c r="KJC22">
        <f t="shared" si="60"/>
        <v>0</v>
      </c>
      <c r="KJD22">
        <f t="shared" si="61"/>
        <v>0</v>
      </c>
      <c r="KJE22">
        <f t="shared" si="62"/>
        <v>0</v>
      </c>
      <c r="KJF22">
        <f t="shared" si="63"/>
        <v>0</v>
      </c>
      <c r="KJG22">
        <f t="shared" si="64"/>
        <v>0</v>
      </c>
      <c r="KJH22">
        <f t="shared" si="65"/>
        <v>0</v>
      </c>
      <c r="KJI22">
        <f t="shared" si="66"/>
        <v>0</v>
      </c>
      <c r="KJJ22">
        <f t="shared" si="67"/>
        <v>0</v>
      </c>
      <c r="KJK22">
        <f t="shared" si="68"/>
        <v>0</v>
      </c>
      <c r="KJL22">
        <f t="shared" si="69"/>
        <v>0</v>
      </c>
      <c r="KJM22">
        <f t="shared" si="70"/>
        <v>0</v>
      </c>
      <c r="KJN22">
        <f t="shared" si="71"/>
        <v>0</v>
      </c>
      <c r="KJO22">
        <f t="shared" si="72"/>
        <v>0</v>
      </c>
      <c r="KJP22">
        <f t="shared" si="73"/>
        <v>0</v>
      </c>
      <c r="KJQ22">
        <f t="shared" si="74"/>
        <v>0</v>
      </c>
      <c r="KJR22">
        <f t="shared" si="75"/>
        <v>0</v>
      </c>
      <c r="KJS22">
        <f t="shared" si="76"/>
        <v>0</v>
      </c>
      <c r="KJT22">
        <f t="shared" si="77"/>
        <v>0</v>
      </c>
      <c r="KJU22">
        <f t="shared" si="78"/>
        <v>0</v>
      </c>
      <c r="KJV22">
        <f t="shared" si="79"/>
        <v>0</v>
      </c>
      <c r="KJW22">
        <f t="shared" si="80"/>
        <v>0</v>
      </c>
      <c r="KJX22">
        <f t="shared" si="81"/>
        <v>0</v>
      </c>
      <c r="KJY22">
        <f t="shared" si="82"/>
        <v>0</v>
      </c>
      <c r="KJZ22">
        <f t="shared" si="83"/>
        <v>0</v>
      </c>
      <c r="KKA22">
        <f t="shared" si="84"/>
        <v>0</v>
      </c>
      <c r="KKB22">
        <f t="shared" si="85"/>
        <v>0</v>
      </c>
      <c r="KKC22">
        <f t="shared" si="86"/>
        <v>0</v>
      </c>
      <c r="KKD22">
        <f t="shared" si="87"/>
        <v>0</v>
      </c>
      <c r="KKE22">
        <f t="shared" si="88"/>
        <v>0</v>
      </c>
      <c r="KKF22">
        <f t="shared" si="89"/>
        <v>0</v>
      </c>
      <c r="KKG22">
        <f t="shared" si="90"/>
        <v>0</v>
      </c>
      <c r="KKH22">
        <f t="shared" si="91"/>
        <v>0</v>
      </c>
      <c r="KKI22">
        <f t="shared" si="92"/>
        <v>0</v>
      </c>
      <c r="KKJ22">
        <f t="shared" si="93"/>
        <v>0</v>
      </c>
      <c r="KKK22">
        <f t="shared" si="94"/>
        <v>0</v>
      </c>
      <c r="KKL22">
        <f t="shared" si="95"/>
        <v>0</v>
      </c>
      <c r="KKM22">
        <f t="shared" si="96"/>
        <v>0</v>
      </c>
      <c r="KKN22">
        <f t="shared" si="97"/>
        <v>0</v>
      </c>
      <c r="KKO22">
        <f t="shared" si="98"/>
        <v>0</v>
      </c>
      <c r="KKP22">
        <f t="shared" si="99"/>
        <v>0</v>
      </c>
      <c r="KKR22">
        <f t="shared" si="100"/>
        <v>121</v>
      </c>
      <c r="KKT22">
        <f t="shared" si="100"/>
        <v>121</v>
      </c>
      <c r="KKU22">
        <f t="shared" si="101"/>
        <v>4.84</v>
      </c>
      <c r="KKW22">
        <f t="shared" si="101"/>
        <v>4.84</v>
      </c>
    </row>
    <row r="23" spans="1:2 2912:2928 5063:5104 5121:6144 7417:7745">
      <c r="A23" t="s">
        <v>25</v>
      </c>
      <c r="B23">
        <v>1</v>
      </c>
      <c r="KCG23">
        <v>1</v>
      </c>
      <c r="KCH23">
        <v>1</v>
      </c>
      <c r="KCI23">
        <v>1</v>
      </c>
      <c r="KCJ23">
        <v>1</v>
      </c>
      <c r="KCK23">
        <v>1</v>
      </c>
      <c r="KCL23">
        <v>1</v>
      </c>
      <c r="KCM23">
        <v>1</v>
      </c>
      <c r="KCN23">
        <v>1</v>
      </c>
      <c r="KCO23">
        <v>1</v>
      </c>
      <c r="KCP23">
        <v>1</v>
      </c>
      <c r="KCQ23">
        <v>1</v>
      </c>
      <c r="KCR23">
        <v>1</v>
      </c>
      <c r="KCS23">
        <v>1</v>
      </c>
      <c r="KCT23">
        <v>1</v>
      </c>
      <c r="KCU23">
        <v>1</v>
      </c>
      <c r="KCV23">
        <v>1</v>
      </c>
      <c r="KCW23">
        <v>1</v>
      </c>
      <c r="KCX23">
        <v>1</v>
      </c>
      <c r="KCY23">
        <v>1</v>
      </c>
      <c r="KCZ23">
        <v>1</v>
      </c>
      <c r="KDA23">
        <v>1</v>
      </c>
      <c r="KDB23">
        <v>1</v>
      </c>
      <c r="KDC23">
        <v>1</v>
      </c>
      <c r="KDD23">
        <v>1</v>
      </c>
      <c r="KDE23">
        <v>1</v>
      </c>
      <c r="KDF23">
        <v>1</v>
      </c>
      <c r="KDG23">
        <v>1</v>
      </c>
      <c r="KDH23">
        <v>1</v>
      </c>
      <c r="KDI23">
        <v>1</v>
      </c>
      <c r="KDJ23">
        <v>1</v>
      </c>
      <c r="KDK23">
        <v>1</v>
      </c>
      <c r="KDL23">
        <v>1</v>
      </c>
      <c r="KDM23">
        <v>1</v>
      </c>
      <c r="KDN23">
        <v>1</v>
      </c>
      <c r="KDO23">
        <v>1</v>
      </c>
      <c r="KDP23">
        <v>1</v>
      </c>
      <c r="KDQ23">
        <v>1</v>
      </c>
      <c r="KDR23">
        <v>1</v>
      </c>
      <c r="KDS23">
        <v>1</v>
      </c>
      <c r="KDT23">
        <v>1</v>
      </c>
      <c r="KDU23">
        <v>1</v>
      </c>
      <c r="KDV23">
        <v>1</v>
      </c>
      <c r="KDW23">
        <v>1</v>
      </c>
      <c r="KDX23">
        <v>1</v>
      </c>
      <c r="KDY23">
        <v>1</v>
      </c>
      <c r="KDZ23">
        <v>1</v>
      </c>
      <c r="KEA23">
        <v>1</v>
      </c>
      <c r="KEB23">
        <v>1</v>
      </c>
      <c r="KEC23">
        <v>1</v>
      </c>
      <c r="KED23">
        <v>1</v>
      </c>
      <c r="KEE23">
        <v>1</v>
      </c>
      <c r="KEF23">
        <v>1</v>
      </c>
      <c r="KEG23">
        <v>1</v>
      </c>
      <c r="KEH23">
        <v>1</v>
      </c>
      <c r="KEI23">
        <v>1</v>
      </c>
      <c r="KEJ23">
        <v>1</v>
      </c>
      <c r="KEK23">
        <v>1</v>
      </c>
      <c r="KEL23">
        <v>1</v>
      </c>
      <c r="KEM23">
        <v>1</v>
      </c>
      <c r="KGU23" s="1">
        <f t="shared" si="0"/>
        <v>59</v>
      </c>
      <c r="KGV23">
        <f t="shared" si="1"/>
        <v>0</v>
      </c>
      <c r="KGW23">
        <f t="shared" si="2"/>
        <v>0</v>
      </c>
      <c r="KGX23">
        <f t="shared" si="3"/>
        <v>0</v>
      </c>
      <c r="KGY23">
        <f t="shared" si="4"/>
        <v>0</v>
      </c>
      <c r="KGZ23">
        <f t="shared" si="5"/>
        <v>0</v>
      </c>
      <c r="KHA23">
        <f t="shared" si="6"/>
        <v>0</v>
      </c>
      <c r="KHB23">
        <f t="shared" si="7"/>
        <v>0</v>
      </c>
      <c r="KHC23">
        <f t="shared" si="8"/>
        <v>0</v>
      </c>
      <c r="KHD23">
        <f t="shared" si="9"/>
        <v>0</v>
      </c>
      <c r="KHE23">
        <f t="shared" si="10"/>
        <v>0</v>
      </c>
      <c r="KHF23">
        <f t="shared" si="11"/>
        <v>0</v>
      </c>
      <c r="KHG23">
        <f t="shared" si="12"/>
        <v>0</v>
      </c>
      <c r="KHH23">
        <f t="shared" si="13"/>
        <v>0</v>
      </c>
      <c r="KHI23">
        <f t="shared" si="14"/>
        <v>0</v>
      </c>
      <c r="KHJ23">
        <f t="shared" si="15"/>
        <v>0</v>
      </c>
      <c r="KHK23">
        <f t="shared" si="16"/>
        <v>0</v>
      </c>
      <c r="KHL23">
        <f t="shared" si="17"/>
        <v>0</v>
      </c>
      <c r="KHM23">
        <f t="shared" si="18"/>
        <v>0</v>
      </c>
      <c r="KHN23">
        <f t="shared" si="19"/>
        <v>0</v>
      </c>
      <c r="KHO23">
        <f t="shared" si="20"/>
        <v>0</v>
      </c>
      <c r="KHP23">
        <f t="shared" si="21"/>
        <v>0</v>
      </c>
      <c r="KHQ23">
        <f t="shared" si="22"/>
        <v>0</v>
      </c>
      <c r="KHR23">
        <f t="shared" si="23"/>
        <v>0</v>
      </c>
      <c r="KHS23">
        <f t="shared" si="24"/>
        <v>0</v>
      </c>
      <c r="KHT23">
        <f t="shared" si="25"/>
        <v>0</v>
      </c>
      <c r="KHU23">
        <f t="shared" si="26"/>
        <v>0</v>
      </c>
      <c r="KHV23">
        <f t="shared" si="27"/>
        <v>0</v>
      </c>
      <c r="KHW23">
        <f t="shared" si="28"/>
        <v>0</v>
      </c>
      <c r="KHX23">
        <f t="shared" si="29"/>
        <v>0</v>
      </c>
      <c r="KHY23">
        <f t="shared" si="30"/>
        <v>0</v>
      </c>
      <c r="KHZ23">
        <f t="shared" si="31"/>
        <v>0</v>
      </c>
      <c r="KIA23">
        <f t="shared" si="32"/>
        <v>0</v>
      </c>
      <c r="KIB23">
        <f t="shared" si="33"/>
        <v>0</v>
      </c>
      <c r="KIC23">
        <f t="shared" si="34"/>
        <v>0</v>
      </c>
      <c r="KID23">
        <f t="shared" si="35"/>
        <v>0</v>
      </c>
      <c r="KIE23">
        <f t="shared" si="36"/>
        <v>0</v>
      </c>
      <c r="KIF23">
        <f t="shared" si="37"/>
        <v>0</v>
      </c>
      <c r="KIG23">
        <f t="shared" si="38"/>
        <v>0</v>
      </c>
      <c r="KIH23">
        <f t="shared" si="39"/>
        <v>0</v>
      </c>
      <c r="KII23">
        <f t="shared" si="40"/>
        <v>0</v>
      </c>
      <c r="KIJ23">
        <f t="shared" si="41"/>
        <v>0</v>
      </c>
      <c r="KIK23">
        <f t="shared" si="42"/>
        <v>0</v>
      </c>
      <c r="KIL23">
        <f t="shared" si="43"/>
        <v>0</v>
      </c>
      <c r="KIM23">
        <f t="shared" si="44"/>
        <v>0</v>
      </c>
      <c r="KIN23">
        <f t="shared" si="45"/>
        <v>0</v>
      </c>
      <c r="KIO23">
        <f t="shared" si="46"/>
        <v>0</v>
      </c>
      <c r="KIP23">
        <f t="shared" si="47"/>
        <v>0</v>
      </c>
      <c r="KIQ23">
        <f t="shared" si="48"/>
        <v>0</v>
      </c>
      <c r="KIR23">
        <f t="shared" si="49"/>
        <v>0</v>
      </c>
      <c r="KIS23">
        <f t="shared" si="50"/>
        <v>0</v>
      </c>
      <c r="KIT23">
        <f t="shared" si="51"/>
        <v>0</v>
      </c>
      <c r="KIU23">
        <f t="shared" si="52"/>
        <v>0</v>
      </c>
      <c r="KIV23">
        <f t="shared" si="53"/>
        <v>0</v>
      </c>
      <c r="KIW23">
        <f t="shared" si="54"/>
        <v>0</v>
      </c>
      <c r="KIX23">
        <f t="shared" si="55"/>
        <v>0</v>
      </c>
      <c r="KIY23">
        <f t="shared" si="56"/>
        <v>0</v>
      </c>
      <c r="KIZ23">
        <f t="shared" si="57"/>
        <v>0</v>
      </c>
      <c r="KJA23">
        <f t="shared" si="58"/>
        <v>0</v>
      </c>
      <c r="KJB23">
        <f t="shared" si="59"/>
        <v>0</v>
      </c>
      <c r="KJC23">
        <f t="shared" si="60"/>
        <v>0</v>
      </c>
      <c r="KJD23">
        <f t="shared" si="61"/>
        <v>0</v>
      </c>
      <c r="KJE23">
        <f t="shared" si="62"/>
        <v>0</v>
      </c>
      <c r="KJF23">
        <f t="shared" si="63"/>
        <v>0</v>
      </c>
      <c r="KJG23">
        <f t="shared" si="64"/>
        <v>0</v>
      </c>
      <c r="KJH23">
        <f t="shared" si="65"/>
        <v>0</v>
      </c>
      <c r="KJI23">
        <f t="shared" si="66"/>
        <v>0</v>
      </c>
      <c r="KJJ23">
        <f t="shared" si="67"/>
        <v>0</v>
      </c>
      <c r="KJK23">
        <f t="shared" si="68"/>
        <v>0</v>
      </c>
      <c r="KJL23">
        <f t="shared" si="69"/>
        <v>0</v>
      </c>
      <c r="KJM23">
        <f t="shared" si="70"/>
        <v>0</v>
      </c>
      <c r="KJN23">
        <f t="shared" si="71"/>
        <v>0</v>
      </c>
      <c r="KJO23">
        <f t="shared" si="72"/>
        <v>0</v>
      </c>
      <c r="KJP23">
        <f t="shared" si="73"/>
        <v>0</v>
      </c>
      <c r="KJQ23">
        <f t="shared" si="74"/>
        <v>0</v>
      </c>
      <c r="KJR23">
        <f t="shared" si="75"/>
        <v>0</v>
      </c>
      <c r="KJS23">
        <f t="shared" si="76"/>
        <v>0</v>
      </c>
      <c r="KJT23">
        <f t="shared" si="77"/>
        <v>0</v>
      </c>
      <c r="KJU23">
        <f t="shared" si="78"/>
        <v>0</v>
      </c>
      <c r="KJV23">
        <f t="shared" si="79"/>
        <v>0</v>
      </c>
      <c r="KJW23">
        <f t="shared" si="80"/>
        <v>0</v>
      </c>
      <c r="KJX23">
        <f t="shared" si="81"/>
        <v>0</v>
      </c>
      <c r="KJY23">
        <f t="shared" si="82"/>
        <v>0</v>
      </c>
      <c r="KJZ23">
        <f t="shared" si="83"/>
        <v>0</v>
      </c>
      <c r="KKA23">
        <f t="shared" si="84"/>
        <v>0</v>
      </c>
      <c r="KKB23">
        <f t="shared" si="85"/>
        <v>0</v>
      </c>
      <c r="KKC23">
        <f t="shared" si="86"/>
        <v>0</v>
      </c>
      <c r="KKD23">
        <f t="shared" si="87"/>
        <v>0</v>
      </c>
      <c r="KKE23">
        <f t="shared" si="88"/>
        <v>0</v>
      </c>
      <c r="KKF23">
        <f t="shared" si="89"/>
        <v>0</v>
      </c>
      <c r="KKG23">
        <f t="shared" si="90"/>
        <v>0</v>
      </c>
      <c r="KKH23">
        <f t="shared" si="91"/>
        <v>0</v>
      </c>
      <c r="KKI23">
        <f t="shared" si="92"/>
        <v>0</v>
      </c>
      <c r="KKJ23">
        <f t="shared" si="93"/>
        <v>0</v>
      </c>
      <c r="KKK23">
        <f t="shared" si="94"/>
        <v>0</v>
      </c>
      <c r="KKL23">
        <f t="shared" si="95"/>
        <v>0</v>
      </c>
      <c r="KKM23">
        <f t="shared" si="96"/>
        <v>0</v>
      </c>
      <c r="KKN23">
        <f t="shared" si="97"/>
        <v>0</v>
      </c>
      <c r="KKO23">
        <f t="shared" si="98"/>
        <v>0</v>
      </c>
      <c r="KKP23">
        <f t="shared" si="99"/>
        <v>0</v>
      </c>
      <c r="KKR23">
        <f t="shared" si="100"/>
        <v>59</v>
      </c>
      <c r="KKT23">
        <f t="shared" si="100"/>
        <v>59</v>
      </c>
      <c r="KKU23">
        <f t="shared" si="101"/>
        <v>2.36</v>
      </c>
      <c r="KKW23">
        <f t="shared" si="101"/>
        <v>2.36</v>
      </c>
    </row>
    <row r="24" spans="1:2 2912:2928 5063:5104 5121:6144 7417:7745">
      <c r="A24" t="s">
        <v>7661</v>
      </c>
      <c r="B24">
        <v>1</v>
      </c>
      <c r="DGZ24">
        <v>1</v>
      </c>
      <c r="DHA24">
        <v>1</v>
      </c>
      <c r="DHB24">
        <v>1</v>
      </c>
      <c r="DHC24">
        <v>1</v>
      </c>
      <c r="DHD24">
        <v>1</v>
      </c>
      <c r="DHE24">
        <v>1</v>
      </c>
      <c r="DHF24">
        <v>1</v>
      </c>
      <c r="DHG24">
        <v>1</v>
      </c>
      <c r="DHH24">
        <v>1</v>
      </c>
      <c r="DHI24">
        <v>1</v>
      </c>
      <c r="DHJ24">
        <v>1</v>
      </c>
      <c r="DHK24">
        <v>1</v>
      </c>
      <c r="DHL24">
        <v>1</v>
      </c>
      <c r="DHM24">
        <v>1</v>
      </c>
      <c r="DHN24">
        <v>1</v>
      </c>
      <c r="DHO24">
        <v>1</v>
      </c>
      <c r="DHP24">
        <v>1</v>
      </c>
      <c r="KGU24" s="1">
        <f t="shared" si="0"/>
        <v>17</v>
      </c>
      <c r="KGV24">
        <f t="shared" si="1"/>
        <v>0</v>
      </c>
      <c r="KGW24">
        <f t="shared" si="2"/>
        <v>0</v>
      </c>
      <c r="KGX24">
        <f t="shared" si="3"/>
        <v>0</v>
      </c>
      <c r="KGY24">
        <f t="shared" si="4"/>
        <v>0</v>
      </c>
      <c r="KGZ24">
        <f t="shared" si="5"/>
        <v>0</v>
      </c>
      <c r="KHA24">
        <f t="shared" si="6"/>
        <v>0</v>
      </c>
      <c r="KHB24">
        <f t="shared" si="7"/>
        <v>0</v>
      </c>
      <c r="KHC24">
        <f t="shared" si="8"/>
        <v>0</v>
      </c>
      <c r="KHD24">
        <f t="shared" si="9"/>
        <v>0</v>
      </c>
      <c r="KHE24">
        <f t="shared" si="10"/>
        <v>0</v>
      </c>
      <c r="KHF24">
        <f t="shared" si="11"/>
        <v>0</v>
      </c>
      <c r="KHG24">
        <f t="shared" si="12"/>
        <v>0</v>
      </c>
      <c r="KHH24">
        <f t="shared" si="13"/>
        <v>0</v>
      </c>
      <c r="KHI24">
        <f t="shared" si="14"/>
        <v>0</v>
      </c>
      <c r="KHJ24">
        <f t="shared" si="15"/>
        <v>0</v>
      </c>
      <c r="KHK24">
        <f t="shared" si="16"/>
        <v>0</v>
      </c>
      <c r="KHL24">
        <f t="shared" si="17"/>
        <v>0</v>
      </c>
      <c r="KHM24">
        <f t="shared" si="18"/>
        <v>0</v>
      </c>
      <c r="KHN24">
        <f t="shared" si="19"/>
        <v>0</v>
      </c>
      <c r="KHO24">
        <f t="shared" si="20"/>
        <v>0</v>
      </c>
      <c r="KHP24">
        <f t="shared" si="21"/>
        <v>0</v>
      </c>
      <c r="KHQ24">
        <f t="shared" si="22"/>
        <v>0</v>
      </c>
      <c r="KHR24">
        <f t="shared" si="23"/>
        <v>0</v>
      </c>
      <c r="KHS24">
        <f t="shared" si="24"/>
        <v>0</v>
      </c>
      <c r="KHT24">
        <f t="shared" si="25"/>
        <v>0</v>
      </c>
      <c r="KHU24">
        <f t="shared" si="26"/>
        <v>0</v>
      </c>
      <c r="KHV24">
        <f t="shared" si="27"/>
        <v>0</v>
      </c>
      <c r="KHW24">
        <f t="shared" si="28"/>
        <v>0</v>
      </c>
      <c r="KHX24">
        <f t="shared" si="29"/>
        <v>0</v>
      </c>
      <c r="KHY24">
        <f t="shared" si="30"/>
        <v>0</v>
      </c>
      <c r="KHZ24">
        <f t="shared" si="31"/>
        <v>0</v>
      </c>
      <c r="KIA24">
        <f t="shared" si="32"/>
        <v>0</v>
      </c>
      <c r="KIB24">
        <f t="shared" si="33"/>
        <v>0</v>
      </c>
      <c r="KIC24">
        <f t="shared" si="34"/>
        <v>0</v>
      </c>
      <c r="KID24">
        <f t="shared" si="35"/>
        <v>0</v>
      </c>
      <c r="KIE24">
        <f t="shared" si="36"/>
        <v>0</v>
      </c>
      <c r="KIF24">
        <f t="shared" si="37"/>
        <v>0</v>
      </c>
      <c r="KIG24">
        <f t="shared" si="38"/>
        <v>0</v>
      </c>
      <c r="KIH24">
        <f t="shared" si="39"/>
        <v>0</v>
      </c>
      <c r="KII24">
        <f t="shared" si="40"/>
        <v>0</v>
      </c>
      <c r="KIJ24">
        <f t="shared" si="41"/>
        <v>0</v>
      </c>
      <c r="KIK24">
        <f t="shared" si="42"/>
        <v>0</v>
      </c>
      <c r="KIL24">
        <f t="shared" si="43"/>
        <v>0</v>
      </c>
      <c r="KIM24">
        <f t="shared" si="44"/>
        <v>0</v>
      </c>
      <c r="KIN24">
        <f t="shared" si="45"/>
        <v>0</v>
      </c>
      <c r="KIO24">
        <f t="shared" si="46"/>
        <v>0</v>
      </c>
      <c r="KIP24">
        <f t="shared" si="47"/>
        <v>0</v>
      </c>
      <c r="KIQ24">
        <f t="shared" si="48"/>
        <v>0</v>
      </c>
      <c r="KIR24">
        <f t="shared" si="49"/>
        <v>0</v>
      </c>
      <c r="KIS24">
        <f t="shared" si="50"/>
        <v>0</v>
      </c>
      <c r="KIT24">
        <f t="shared" si="51"/>
        <v>0</v>
      </c>
      <c r="KIU24">
        <f t="shared" si="52"/>
        <v>0</v>
      </c>
      <c r="KIV24">
        <f t="shared" si="53"/>
        <v>0</v>
      </c>
      <c r="KIW24">
        <f t="shared" si="54"/>
        <v>0</v>
      </c>
      <c r="KIX24">
        <f t="shared" si="55"/>
        <v>0</v>
      </c>
      <c r="KIY24">
        <f t="shared" si="56"/>
        <v>0</v>
      </c>
      <c r="KIZ24">
        <f t="shared" si="57"/>
        <v>0</v>
      </c>
      <c r="KJA24">
        <f t="shared" si="58"/>
        <v>0</v>
      </c>
      <c r="KJB24">
        <f t="shared" si="59"/>
        <v>0</v>
      </c>
      <c r="KJC24">
        <f t="shared" si="60"/>
        <v>0</v>
      </c>
      <c r="KJD24">
        <f t="shared" si="61"/>
        <v>0</v>
      </c>
      <c r="KJE24">
        <f t="shared" si="62"/>
        <v>0</v>
      </c>
      <c r="KJF24">
        <f t="shared" si="63"/>
        <v>0</v>
      </c>
      <c r="KJG24">
        <f t="shared" si="64"/>
        <v>0</v>
      </c>
      <c r="KJH24">
        <f t="shared" si="65"/>
        <v>0</v>
      </c>
      <c r="KJI24">
        <f t="shared" si="66"/>
        <v>0</v>
      </c>
      <c r="KJJ24">
        <f t="shared" si="67"/>
        <v>0</v>
      </c>
      <c r="KJK24">
        <f t="shared" si="68"/>
        <v>0</v>
      </c>
      <c r="KJL24">
        <f t="shared" si="69"/>
        <v>0</v>
      </c>
      <c r="KJM24">
        <f t="shared" si="70"/>
        <v>0</v>
      </c>
      <c r="KJN24">
        <f t="shared" si="71"/>
        <v>0</v>
      </c>
      <c r="KJO24">
        <f t="shared" si="72"/>
        <v>0</v>
      </c>
      <c r="KJP24">
        <f t="shared" si="73"/>
        <v>0</v>
      </c>
      <c r="KJQ24">
        <f t="shared" si="74"/>
        <v>0</v>
      </c>
      <c r="KJR24">
        <f t="shared" si="75"/>
        <v>0</v>
      </c>
      <c r="KJS24">
        <f t="shared" si="76"/>
        <v>0</v>
      </c>
      <c r="KJT24">
        <f t="shared" si="77"/>
        <v>0</v>
      </c>
      <c r="KJU24">
        <f t="shared" si="78"/>
        <v>0</v>
      </c>
      <c r="KJV24">
        <f t="shared" si="79"/>
        <v>0</v>
      </c>
      <c r="KJW24">
        <f t="shared" si="80"/>
        <v>0</v>
      </c>
      <c r="KJX24">
        <f t="shared" si="81"/>
        <v>0</v>
      </c>
      <c r="KJY24">
        <f t="shared" si="82"/>
        <v>0</v>
      </c>
      <c r="KJZ24">
        <f t="shared" si="83"/>
        <v>0</v>
      </c>
      <c r="KKA24">
        <f t="shared" si="84"/>
        <v>0</v>
      </c>
      <c r="KKB24">
        <f t="shared" si="85"/>
        <v>0</v>
      </c>
      <c r="KKC24">
        <f t="shared" si="86"/>
        <v>0</v>
      </c>
      <c r="KKD24">
        <f t="shared" si="87"/>
        <v>0</v>
      </c>
      <c r="KKE24">
        <f t="shared" si="88"/>
        <v>0</v>
      </c>
      <c r="KKF24">
        <f t="shared" si="89"/>
        <v>0</v>
      </c>
      <c r="KKG24">
        <f t="shared" si="90"/>
        <v>0</v>
      </c>
      <c r="KKH24">
        <f t="shared" si="91"/>
        <v>0</v>
      </c>
      <c r="KKI24">
        <f t="shared" si="92"/>
        <v>0</v>
      </c>
      <c r="KKJ24">
        <f t="shared" si="93"/>
        <v>0</v>
      </c>
      <c r="KKK24">
        <f t="shared" si="94"/>
        <v>0</v>
      </c>
      <c r="KKL24">
        <f t="shared" si="95"/>
        <v>0</v>
      </c>
      <c r="KKM24">
        <f t="shared" si="96"/>
        <v>0</v>
      </c>
      <c r="KKN24">
        <f t="shared" si="97"/>
        <v>0</v>
      </c>
      <c r="KKO24">
        <f t="shared" si="98"/>
        <v>0</v>
      </c>
      <c r="KKP24">
        <f t="shared" si="99"/>
        <v>0</v>
      </c>
      <c r="KKR24">
        <f t="shared" si="100"/>
        <v>17</v>
      </c>
      <c r="KKT24">
        <f t="shared" si="100"/>
        <v>17</v>
      </c>
      <c r="KKU24">
        <f t="shared" si="101"/>
        <v>0.68</v>
      </c>
      <c r="KKW24">
        <f t="shared" si="101"/>
        <v>0.68</v>
      </c>
    </row>
    <row r="25" spans="1:2 2912:2928 5063:5104 5121:6144 7417:7745">
      <c r="A25" t="s">
        <v>7662</v>
      </c>
      <c r="B25">
        <v>1</v>
      </c>
      <c r="JYG25">
        <v>1</v>
      </c>
      <c r="JYH25">
        <v>1</v>
      </c>
      <c r="JYI25">
        <v>1</v>
      </c>
      <c r="JYJ25">
        <v>1</v>
      </c>
      <c r="JYK25">
        <v>1</v>
      </c>
      <c r="JYL25">
        <v>1</v>
      </c>
      <c r="JYM25">
        <v>1</v>
      </c>
      <c r="JYN25">
        <v>1</v>
      </c>
      <c r="JYO25">
        <v>1</v>
      </c>
      <c r="JYP25">
        <v>1</v>
      </c>
      <c r="JYQ25">
        <v>1</v>
      </c>
      <c r="JYR25">
        <v>1</v>
      </c>
      <c r="JYS25">
        <v>1</v>
      </c>
      <c r="JYT25">
        <v>1</v>
      </c>
      <c r="JYU25">
        <v>1</v>
      </c>
      <c r="JYV25">
        <v>1</v>
      </c>
      <c r="JYW25">
        <v>1</v>
      </c>
      <c r="JYX25">
        <v>1</v>
      </c>
      <c r="JYY25">
        <v>1</v>
      </c>
      <c r="JYZ25">
        <v>1</v>
      </c>
      <c r="JZA25">
        <v>1</v>
      </c>
      <c r="JZB25">
        <v>1</v>
      </c>
      <c r="JZC25">
        <v>1</v>
      </c>
      <c r="JZD25">
        <v>1</v>
      </c>
      <c r="JZE25">
        <v>1</v>
      </c>
      <c r="JZF25">
        <v>1</v>
      </c>
      <c r="JZG25">
        <v>1</v>
      </c>
      <c r="JZH25">
        <v>1</v>
      </c>
      <c r="JZI25">
        <v>1</v>
      </c>
      <c r="JZJ25">
        <v>1</v>
      </c>
      <c r="JZK25">
        <v>1</v>
      </c>
      <c r="JZL25">
        <v>1</v>
      </c>
      <c r="JZM25">
        <v>1</v>
      </c>
      <c r="JZN25">
        <v>1</v>
      </c>
      <c r="JZO25">
        <v>1</v>
      </c>
      <c r="JZP25">
        <v>1</v>
      </c>
      <c r="JZQ25">
        <v>1</v>
      </c>
      <c r="JZR25">
        <v>1</v>
      </c>
      <c r="JZS25">
        <v>1</v>
      </c>
      <c r="JZT25">
        <v>1</v>
      </c>
      <c r="JZU25">
        <v>1</v>
      </c>
      <c r="JZV25">
        <v>1</v>
      </c>
      <c r="JZW25">
        <v>1</v>
      </c>
      <c r="JZX25">
        <v>1</v>
      </c>
      <c r="JZY25">
        <v>1</v>
      </c>
      <c r="JZZ25">
        <v>1</v>
      </c>
      <c r="KAA25">
        <v>1</v>
      </c>
      <c r="KAB25">
        <v>1</v>
      </c>
      <c r="KAC25">
        <v>1</v>
      </c>
      <c r="KAD25">
        <v>1</v>
      </c>
      <c r="KAE25">
        <v>1</v>
      </c>
      <c r="KAF25">
        <v>1</v>
      </c>
      <c r="KAG25">
        <v>1</v>
      </c>
      <c r="KAH25">
        <v>1</v>
      </c>
      <c r="KAI25">
        <v>1</v>
      </c>
      <c r="KAJ25">
        <v>1</v>
      </c>
      <c r="KAK25">
        <v>1</v>
      </c>
      <c r="KAL25">
        <v>1</v>
      </c>
      <c r="KAM25">
        <v>1</v>
      </c>
      <c r="KAN25">
        <v>1</v>
      </c>
      <c r="KAO25">
        <v>1</v>
      </c>
      <c r="KAP25">
        <v>1</v>
      </c>
      <c r="KAQ25">
        <v>1</v>
      </c>
      <c r="KAR25">
        <v>1</v>
      </c>
      <c r="KAS25">
        <v>1</v>
      </c>
      <c r="KAT25">
        <v>1</v>
      </c>
      <c r="KAU25">
        <v>1</v>
      </c>
      <c r="KAV25">
        <v>1</v>
      </c>
      <c r="KAW25">
        <v>1</v>
      </c>
      <c r="KAX25">
        <v>1</v>
      </c>
      <c r="KAY25">
        <v>1</v>
      </c>
      <c r="KAZ25">
        <v>1</v>
      </c>
      <c r="KBA25">
        <v>1</v>
      </c>
      <c r="KBB25">
        <v>1</v>
      </c>
      <c r="KBC25">
        <v>1</v>
      </c>
      <c r="KBD25">
        <v>1</v>
      </c>
      <c r="KBE25">
        <v>1</v>
      </c>
      <c r="KBF25">
        <v>1</v>
      </c>
      <c r="KBG25">
        <v>1</v>
      </c>
      <c r="KBH25">
        <v>1</v>
      </c>
      <c r="KBI25">
        <v>1</v>
      </c>
      <c r="KBJ25">
        <v>1</v>
      </c>
      <c r="KBK25">
        <v>1</v>
      </c>
      <c r="KBL25">
        <v>1</v>
      </c>
      <c r="KBM25">
        <v>1</v>
      </c>
      <c r="KBN25">
        <v>1</v>
      </c>
      <c r="KBO25">
        <v>1</v>
      </c>
      <c r="KBP25">
        <v>1</v>
      </c>
      <c r="KBQ25">
        <v>1</v>
      </c>
      <c r="KBR25">
        <v>1</v>
      </c>
      <c r="KBS25">
        <v>1</v>
      </c>
      <c r="KBT25">
        <v>1</v>
      </c>
      <c r="KBU25">
        <v>1</v>
      </c>
      <c r="KBV25">
        <v>1</v>
      </c>
      <c r="KBW25">
        <v>1</v>
      </c>
      <c r="KBX25">
        <v>1</v>
      </c>
      <c r="KBY25">
        <v>1</v>
      </c>
      <c r="KBZ25">
        <v>1</v>
      </c>
      <c r="KCA25">
        <v>1</v>
      </c>
      <c r="KCB25">
        <v>1</v>
      </c>
      <c r="KCC25">
        <v>1</v>
      </c>
      <c r="KCD25">
        <v>1</v>
      </c>
      <c r="KCE25">
        <v>1</v>
      </c>
      <c r="KCF25">
        <v>1</v>
      </c>
      <c r="KGU25" s="1">
        <f t="shared" si="0"/>
        <v>104</v>
      </c>
      <c r="KGV25">
        <f t="shared" si="1"/>
        <v>0</v>
      </c>
      <c r="KGW25">
        <f t="shared" si="2"/>
        <v>0</v>
      </c>
      <c r="KGX25">
        <f t="shared" si="3"/>
        <v>0</v>
      </c>
      <c r="KGY25">
        <f t="shared" si="4"/>
        <v>0</v>
      </c>
      <c r="KGZ25">
        <f t="shared" si="5"/>
        <v>0</v>
      </c>
      <c r="KHA25">
        <f t="shared" si="6"/>
        <v>0</v>
      </c>
      <c r="KHB25">
        <f t="shared" si="7"/>
        <v>0</v>
      </c>
      <c r="KHC25">
        <f t="shared" si="8"/>
        <v>0</v>
      </c>
      <c r="KHD25">
        <f t="shared" si="9"/>
        <v>0</v>
      </c>
      <c r="KHE25">
        <f t="shared" si="10"/>
        <v>0</v>
      </c>
      <c r="KHF25">
        <f t="shared" si="11"/>
        <v>0</v>
      </c>
      <c r="KHG25">
        <f t="shared" si="12"/>
        <v>0</v>
      </c>
      <c r="KHH25">
        <f t="shared" si="13"/>
        <v>0</v>
      </c>
      <c r="KHI25">
        <f t="shared" si="14"/>
        <v>0</v>
      </c>
      <c r="KHJ25">
        <f t="shared" si="15"/>
        <v>0</v>
      </c>
      <c r="KHK25">
        <f t="shared" si="16"/>
        <v>0</v>
      </c>
      <c r="KHL25">
        <f t="shared" si="17"/>
        <v>0</v>
      </c>
      <c r="KHM25">
        <f t="shared" si="18"/>
        <v>0</v>
      </c>
      <c r="KHN25">
        <f t="shared" si="19"/>
        <v>0</v>
      </c>
      <c r="KHO25">
        <f t="shared" si="20"/>
        <v>0</v>
      </c>
      <c r="KHP25">
        <f t="shared" si="21"/>
        <v>0</v>
      </c>
      <c r="KHQ25">
        <f t="shared" si="22"/>
        <v>0</v>
      </c>
      <c r="KHR25">
        <f t="shared" si="23"/>
        <v>0</v>
      </c>
      <c r="KHS25">
        <f t="shared" si="24"/>
        <v>0</v>
      </c>
      <c r="KHT25">
        <f t="shared" si="25"/>
        <v>0</v>
      </c>
      <c r="KHU25">
        <f t="shared" si="26"/>
        <v>0</v>
      </c>
      <c r="KHV25">
        <f t="shared" si="27"/>
        <v>0</v>
      </c>
      <c r="KHW25">
        <f t="shared" si="28"/>
        <v>0</v>
      </c>
      <c r="KHX25">
        <f t="shared" si="29"/>
        <v>0</v>
      </c>
      <c r="KHY25">
        <f t="shared" si="30"/>
        <v>0</v>
      </c>
      <c r="KHZ25">
        <f t="shared" si="31"/>
        <v>0</v>
      </c>
      <c r="KIA25">
        <f t="shared" si="32"/>
        <v>0</v>
      </c>
      <c r="KIB25">
        <f t="shared" si="33"/>
        <v>0</v>
      </c>
      <c r="KIC25">
        <f t="shared" si="34"/>
        <v>0</v>
      </c>
      <c r="KID25">
        <f t="shared" si="35"/>
        <v>0</v>
      </c>
      <c r="KIE25">
        <f t="shared" si="36"/>
        <v>0</v>
      </c>
      <c r="KIF25">
        <f t="shared" si="37"/>
        <v>0</v>
      </c>
      <c r="KIG25">
        <f t="shared" si="38"/>
        <v>0</v>
      </c>
      <c r="KIH25">
        <f t="shared" si="39"/>
        <v>0</v>
      </c>
      <c r="KII25">
        <f t="shared" si="40"/>
        <v>0</v>
      </c>
      <c r="KIJ25">
        <f t="shared" si="41"/>
        <v>0</v>
      </c>
      <c r="KIK25">
        <f t="shared" si="42"/>
        <v>0</v>
      </c>
      <c r="KIL25">
        <f t="shared" si="43"/>
        <v>0</v>
      </c>
      <c r="KIM25">
        <f t="shared" si="44"/>
        <v>0</v>
      </c>
      <c r="KIN25">
        <f t="shared" si="45"/>
        <v>0</v>
      </c>
      <c r="KIO25">
        <f t="shared" si="46"/>
        <v>0</v>
      </c>
      <c r="KIP25">
        <f t="shared" si="47"/>
        <v>0</v>
      </c>
      <c r="KIQ25">
        <f t="shared" si="48"/>
        <v>0</v>
      </c>
      <c r="KIR25">
        <f t="shared" si="49"/>
        <v>0</v>
      </c>
      <c r="KIS25">
        <f t="shared" si="50"/>
        <v>0</v>
      </c>
      <c r="KIT25">
        <f t="shared" si="51"/>
        <v>0</v>
      </c>
      <c r="KIU25">
        <f t="shared" si="52"/>
        <v>0</v>
      </c>
      <c r="KIV25">
        <f t="shared" si="53"/>
        <v>0</v>
      </c>
      <c r="KIW25">
        <f t="shared" si="54"/>
        <v>0</v>
      </c>
      <c r="KIX25">
        <f t="shared" si="55"/>
        <v>0</v>
      </c>
      <c r="KIY25">
        <f t="shared" si="56"/>
        <v>0</v>
      </c>
      <c r="KIZ25">
        <f t="shared" si="57"/>
        <v>0</v>
      </c>
      <c r="KJA25">
        <f t="shared" si="58"/>
        <v>0</v>
      </c>
      <c r="KJB25">
        <f t="shared" si="59"/>
        <v>0</v>
      </c>
      <c r="KJC25">
        <f t="shared" si="60"/>
        <v>0</v>
      </c>
      <c r="KJD25">
        <f t="shared" si="61"/>
        <v>0</v>
      </c>
      <c r="KJE25">
        <f t="shared" si="62"/>
        <v>0</v>
      </c>
      <c r="KJF25">
        <f t="shared" si="63"/>
        <v>0</v>
      </c>
      <c r="KJG25">
        <f t="shared" si="64"/>
        <v>0</v>
      </c>
      <c r="KJH25">
        <f t="shared" si="65"/>
        <v>0</v>
      </c>
      <c r="KJI25">
        <f t="shared" si="66"/>
        <v>0</v>
      </c>
      <c r="KJJ25">
        <f t="shared" si="67"/>
        <v>0</v>
      </c>
      <c r="KJK25">
        <f t="shared" si="68"/>
        <v>0</v>
      </c>
      <c r="KJL25">
        <f t="shared" si="69"/>
        <v>0</v>
      </c>
      <c r="KJM25">
        <f t="shared" si="70"/>
        <v>0</v>
      </c>
      <c r="KJN25">
        <f t="shared" si="71"/>
        <v>0</v>
      </c>
      <c r="KJO25">
        <f t="shared" si="72"/>
        <v>0</v>
      </c>
      <c r="KJP25">
        <f t="shared" si="73"/>
        <v>0</v>
      </c>
      <c r="KJQ25">
        <f t="shared" si="74"/>
        <v>0</v>
      </c>
      <c r="KJR25">
        <f t="shared" si="75"/>
        <v>0</v>
      </c>
      <c r="KJS25">
        <f t="shared" si="76"/>
        <v>0</v>
      </c>
      <c r="KJT25">
        <f t="shared" si="77"/>
        <v>0</v>
      </c>
      <c r="KJU25">
        <f t="shared" si="78"/>
        <v>0</v>
      </c>
      <c r="KJV25">
        <f t="shared" si="79"/>
        <v>0</v>
      </c>
      <c r="KJW25">
        <f t="shared" si="80"/>
        <v>0</v>
      </c>
      <c r="KJX25">
        <f t="shared" si="81"/>
        <v>0</v>
      </c>
      <c r="KJY25">
        <f t="shared" si="82"/>
        <v>0</v>
      </c>
      <c r="KJZ25">
        <f t="shared" si="83"/>
        <v>0</v>
      </c>
      <c r="KKA25">
        <f t="shared" si="84"/>
        <v>0</v>
      </c>
      <c r="KKB25">
        <f t="shared" si="85"/>
        <v>0</v>
      </c>
      <c r="KKC25">
        <f t="shared" si="86"/>
        <v>0</v>
      </c>
      <c r="KKD25">
        <f t="shared" si="87"/>
        <v>0</v>
      </c>
      <c r="KKE25">
        <f t="shared" si="88"/>
        <v>0</v>
      </c>
      <c r="KKF25">
        <f t="shared" si="89"/>
        <v>0</v>
      </c>
      <c r="KKG25">
        <f t="shared" si="90"/>
        <v>0</v>
      </c>
      <c r="KKH25">
        <f t="shared" si="91"/>
        <v>0</v>
      </c>
      <c r="KKI25">
        <f t="shared" si="92"/>
        <v>0</v>
      </c>
      <c r="KKJ25">
        <f t="shared" si="93"/>
        <v>0</v>
      </c>
      <c r="KKK25">
        <f t="shared" si="94"/>
        <v>0</v>
      </c>
      <c r="KKL25">
        <f t="shared" si="95"/>
        <v>0</v>
      </c>
      <c r="KKM25">
        <f t="shared" si="96"/>
        <v>0</v>
      </c>
      <c r="KKN25">
        <f t="shared" si="97"/>
        <v>0</v>
      </c>
      <c r="KKO25">
        <f t="shared" si="98"/>
        <v>0</v>
      </c>
      <c r="KKP25">
        <f t="shared" si="99"/>
        <v>0</v>
      </c>
      <c r="KKR25">
        <f t="shared" si="100"/>
        <v>104</v>
      </c>
      <c r="KKT25">
        <f t="shared" si="100"/>
        <v>104</v>
      </c>
      <c r="KKU25">
        <f t="shared" si="101"/>
        <v>4.16</v>
      </c>
      <c r="KKW25">
        <f t="shared" si="101"/>
        <v>4.16</v>
      </c>
    </row>
    <row r="26" spans="1:2 2912:2928 5063:5104 5121:6144 7417:7745">
      <c r="A26" t="s">
        <v>10</v>
      </c>
      <c r="B26">
        <v>2</v>
      </c>
      <c r="GVQ26">
        <v>1</v>
      </c>
      <c r="GVR26">
        <v>1</v>
      </c>
      <c r="GVS26">
        <v>1</v>
      </c>
      <c r="GVT26">
        <v>1</v>
      </c>
      <c r="GVU26">
        <v>1</v>
      </c>
      <c r="GVV26">
        <v>1</v>
      </c>
      <c r="GVW26">
        <v>1</v>
      </c>
      <c r="GVX26">
        <v>1</v>
      </c>
      <c r="GVY26">
        <v>1</v>
      </c>
      <c r="GVZ26">
        <v>1</v>
      </c>
      <c r="GWA26">
        <v>1</v>
      </c>
      <c r="GWB26">
        <v>1</v>
      </c>
      <c r="GWC26">
        <v>1</v>
      </c>
      <c r="GWD26">
        <v>1</v>
      </c>
      <c r="GWE26">
        <v>1</v>
      </c>
      <c r="GWF26">
        <v>1</v>
      </c>
      <c r="GWG26">
        <v>1</v>
      </c>
      <c r="GWH26">
        <v>1</v>
      </c>
      <c r="GWI26">
        <v>1</v>
      </c>
      <c r="HXI26">
        <v>2</v>
      </c>
      <c r="HXJ26">
        <v>2</v>
      </c>
      <c r="HXK26">
        <v>2</v>
      </c>
      <c r="HXL26">
        <v>2</v>
      </c>
      <c r="HXM26">
        <v>2</v>
      </c>
      <c r="HXN26">
        <v>2</v>
      </c>
      <c r="HXO26">
        <v>2</v>
      </c>
      <c r="HXP26">
        <v>2</v>
      </c>
      <c r="HXQ26">
        <v>2</v>
      </c>
      <c r="HXR26">
        <v>2</v>
      </c>
      <c r="HXS26">
        <v>2</v>
      </c>
      <c r="HXT26">
        <v>2</v>
      </c>
      <c r="HXU26">
        <v>2</v>
      </c>
      <c r="HXV26">
        <v>2</v>
      </c>
      <c r="HXW26">
        <v>2</v>
      </c>
      <c r="HXX26">
        <v>2</v>
      </c>
      <c r="HXY26">
        <v>2</v>
      </c>
      <c r="HXZ26">
        <v>2</v>
      </c>
      <c r="HYA26">
        <v>2</v>
      </c>
      <c r="HYB26">
        <v>2</v>
      </c>
      <c r="HYC26">
        <v>2</v>
      </c>
      <c r="HYD26">
        <v>2</v>
      </c>
      <c r="HYE26">
        <v>2</v>
      </c>
      <c r="HYF26">
        <v>2</v>
      </c>
      <c r="HYG26">
        <v>2</v>
      </c>
      <c r="KGU26" s="1">
        <f t="shared" si="0"/>
        <v>19</v>
      </c>
      <c r="KGV26">
        <f t="shared" si="1"/>
        <v>25</v>
      </c>
      <c r="KGW26">
        <f t="shared" si="2"/>
        <v>0</v>
      </c>
      <c r="KGX26">
        <f t="shared" si="3"/>
        <v>0</v>
      </c>
      <c r="KGY26">
        <f t="shared" si="4"/>
        <v>0</v>
      </c>
      <c r="KGZ26">
        <f t="shared" si="5"/>
        <v>0</v>
      </c>
      <c r="KHA26">
        <f t="shared" si="6"/>
        <v>0</v>
      </c>
      <c r="KHB26">
        <f t="shared" si="7"/>
        <v>0</v>
      </c>
      <c r="KHC26">
        <f t="shared" si="8"/>
        <v>0</v>
      </c>
      <c r="KHD26">
        <f t="shared" si="9"/>
        <v>0</v>
      </c>
      <c r="KHE26">
        <f t="shared" si="10"/>
        <v>0</v>
      </c>
      <c r="KHF26">
        <f t="shared" si="11"/>
        <v>0</v>
      </c>
      <c r="KHG26">
        <f t="shared" si="12"/>
        <v>0</v>
      </c>
      <c r="KHH26">
        <f t="shared" si="13"/>
        <v>0</v>
      </c>
      <c r="KHI26">
        <f t="shared" si="14"/>
        <v>0</v>
      </c>
      <c r="KHJ26">
        <f t="shared" si="15"/>
        <v>0</v>
      </c>
      <c r="KHK26">
        <f t="shared" si="16"/>
        <v>0</v>
      </c>
      <c r="KHL26">
        <f t="shared" si="17"/>
        <v>0</v>
      </c>
      <c r="KHM26">
        <f t="shared" si="18"/>
        <v>0</v>
      </c>
      <c r="KHN26">
        <f t="shared" si="19"/>
        <v>0</v>
      </c>
      <c r="KHO26">
        <f t="shared" si="20"/>
        <v>0</v>
      </c>
      <c r="KHP26">
        <f t="shared" si="21"/>
        <v>0</v>
      </c>
      <c r="KHQ26">
        <f t="shared" si="22"/>
        <v>0</v>
      </c>
      <c r="KHR26">
        <f t="shared" si="23"/>
        <v>0</v>
      </c>
      <c r="KHS26">
        <f t="shared" si="24"/>
        <v>0</v>
      </c>
      <c r="KHT26">
        <f t="shared" si="25"/>
        <v>0</v>
      </c>
      <c r="KHU26">
        <f t="shared" si="26"/>
        <v>0</v>
      </c>
      <c r="KHV26">
        <f t="shared" si="27"/>
        <v>0</v>
      </c>
      <c r="KHW26">
        <f t="shared" si="28"/>
        <v>0</v>
      </c>
      <c r="KHX26">
        <f t="shared" si="29"/>
        <v>0</v>
      </c>
      <c r="KHY26">
        <f t="shared" si="30"/>
        <v>0</v>
      </c>
      <c r="KHZ26">
        <f t="shared" si="31"/>
        <v>0</v>
      </c>
      <c r="KIA26">
        <f t="shared" si="32"/>
        <v>0</v>
      </c>
      <c r="KIB26">
        <f t="shared" si="33"/>
        <v>0</v>
      </c>
      <c r="KIC26">
        <f t="shared" si="34"/>
        <v>0</v>
      </c>
      <c r="KID26">
        <f t="shared" si="35"/>
        <v>0</v>
      </c>
      <c r="KIE26">
        <f t="shared" si="36"/>
        <v>0</v>
      </c>
      <c r="KIF26">
        <f t="shared" si="37"/>
        <v>0</v>
      </c>
      <c r="KIG26">
        <f t="shared" si="38"/>
        <v>0</v>
      </c>
      <c r="KIH26">
        <f t="shared" si="39"/>
        <v>0</v>
      </c>
      <c r="KII26">
        <f t="shared" si="40"/>
        <v>0</v>
      </c>
      <c r="KIJ26">
        <f t="shared" si="41"/>
        <v>0</v>
      </c>
      <c r="KIK26">
        <f t="shared" si="42"/>
        <v>0</v>
      </c>
      <c r="KIL26">
        <f t="shared" si="43"/>
        <v>0</v>
      </c>
      <c r="KIM26">
        <f t="shared" si="44"/>
        <v>0</v>
      </c>
      <c r="KIN26">
        <f t="shared" si="45"/>
        <v>0</v>
      </c>
      <c r="KIO26">
        <f t="shared" si="46"/>
        <v>0</v>
      </c>
      <c r="KIP26">
        <f t="shared" si="47"/>
        <v>0</v>
      </c>
      <c r="KIQ26">
        <f t="shared" si="48"/>
        <v>0</v>
      </c>
      <c r="KIR26">
        <f t="shared" si="49"/>
        <v>0</v>
      </c>
      <c r="KIS26">
        <f t="shared" si="50"/>
        <v>0</v>
      </c>
      <c r="KIT26">
        <f t="shared" si="51"/>
        <v>0</v>
      </c>
      <c r="KIU26">
        <f t="shared" si="52"/>
        <v>0</v>
      </c>
      <c r="KIV26">
        <f t="shared" si="53"/>
        <v>0</v>
      </c>
      <c r="KIW26">
        <f t="shared" si="54"/>
        <v>0</v>
      </c>
      <c r="KIX26">
        <f t="shared" si="55"/>
        <v>0</v>
      </c>
      <c r="KIY26">
        <f t="shared" si="56"/>
        <v>0</v>
      </c>
      <c r="KIZ26">
        <f t="shared" si="57"/>
        <v>0</v>
      </c>
      <c r="KJA26">
        <f t="shared" si="58"/>
        <v>0</v>
      </c>
      <c r="KJB26">
        <f t="shared" si="59"/>
        <v>0</v>
      </c>
      <c r="KJC26">
        <f t="shared" si="60"/>
        <v>0</v>
      </c>
      <c r="KJD26">
        <f t="shared" si="61"/>
        <v>0</v>
      </c>
      <c r="KJE26">
        <f t="shared" si="62"/>
        <v>0</v>
      </c>
      <c r="KJF26">
        <f t="shared" si="63"/>
        <v>0</v>
      </c>
      <c r="KJG26">
        <f t="shared" si="64"/>
        <v>0</v>
      </c>
      <c r="KJH26">
        <f t="shared" si="65"/>
        <v>0</v>
      </c>
      <c r="KJI26">
        <f t="shared" si="66"/>
        <v>0</v>
      </c>
      <c r="KJJ26">
        <f t="shared" si="67"/>
        <v>0</v>
      </c>
      <c r="KJK26">
        <f t="shared" si="68"/>
        <v>0</v>
      </c>
      <c r="KJL26">
        <f t="shared" si="69"/>
        <v>0</v>
      </c>
      <c r="KJM26">
        <f t="shared" si="70"/>
        <v>0</v>
      </c>
      <c r="KJN26">
        <f t="shared" si="71"/>
        <v>0</v>
      </c>
      <c r="KJO26">
        <f t="shared" si="72"/>
        <v>0</v>
      </c>
      <c r="KJP26">
        <f t="shared" si="73"/>
        <v>0</v>
      </c>
      <c r="KJQ26">
        <f t="shared" si="74"/>
        <v>0</v>
      </c>
      <c r="KJR26">
        <f t="shared" si="75"/>
        <v>0</v>
      </c>
      <c r="KJS26">
        <f t="shared" si="76"/>
        <v>0</v>
      </c>
      <c r="KJT26">
        <f t="shared" si="77"/>
        <v>0</v>
      </c>
      <c r="KJU26">
        <f t="shared" si="78"/>
        <v>0</v>
      </c>
      <c r="KJV26">
        <f t="shared" si="79"/>
        <v>0</v>
      </c>
      <c r="KJW26">
        <f t="shared" si="80"/>
        <v>0</v>
      </c>
      <c r="KJX26">
        <f t="shared" si="81"/>
        <v>0</v>
      </c>
      <c r="KJY26">
        <f t="shared" si="82"/>
        <v>0</v>
      </c>
      <c r="KJZ26">
        <f t="shared" si="83"/>
        <v>0</v>
      </c>
      <c r="KKA26">
        <f t="shared" si="84"/>
        <v>0</v>
      </c>
      <c r="KKB26">
        <f t="shared" si="85"/>
        <v>0</v>
      </c>
      <c r="KKC26">
        <f t="shared" si="86"/>
        <v>0</v>
      </c>
      <c r="KKD26">
        <f t="shared" si="87"/>
        <v>0</v>
      </c>
      <c r="KKE26">
        <f t="shared" si="88"/>
        <v>0</v>
      </c>
      <c r="KKF26">
        <f t="shared" si="89"/>
        <v>0</v>
      </c>
      <c r="KKG26">
        <f t="shared" si="90"/>
        <v>0</v>
      </c>
      <c r="KKH26">
        <f t="shared" si="91"/>
        <v>0</v>
      </c>
      <c r="KKI26">
        <f t="shared" si="92"/>
        <v>0</v>
      </c>
      <c r="KKJ26">
        <f t="shared" si="93"/>
        <v>0</v>
      </c>
      <c r="KKK26">
        <f t="shared" si="94"/>
        <v>0</v>
      </c>
      <c r="KKL26">
        <f t="shared" si="95"/>
        <v>0</v>
      </c>
      <c r="KKM26">
        <f t="shared" si="96"/>
        <v>0</v>
      </c>
      <c r="KKN26">
        <f t="shared" si="97"/>
        <v>0</v>
      </c>
      <c r="KKO26">
        <f t="shared" si="98"/>
        <v>0</v>
      </c>
      <c r="KKP26">
        <f t="shared" si="99"/>
        <v>0</v>
      </c>
      <c r="KKR26">
        <f t="shared" si="100"/>
        <v>44</v>
      </c>
      <c r="KKT26">
        <f t="shared" si="100"/>
        <v>44</v>
      </c>
      <c r="KKU26">
        <f t="shared" si="101"/>
        <v>1.76</v>
      </c>
      <c r="KKW26">
        <f t="shared" si="101"/>
        <v>1.76</v>
      </c>
    </row>
    <row r="27" spans="1:2 2912:2928 5063:5104 5121:6144 7417:7745">
      <c r="A27" t="s">
        <v>26</v>
      </c>
      <c r="B27">
        <v>1</v>
      </c>
      <c r="GXQ27">
        <v>1</v>
      </c>
      <c r="GXR27">
        <v>1</v>
      </c>
      <c r="GXS27">
        <v>1</v>
      </c>
      <c r="GXT27">
        <v>1</v>
      </c>
      <c r="GXU27">
        <v>1</v>
      </c>
      <c r="GXV27">
        <v>1</v>
      </c>
      <c r="GXW27">
        <v>1</v>
      </c>
      <c r="GXX27">
        <v>1</v>
      </c>
      <c r="GXY27">
        <v>1</v>
      </c>
      <c r="GXZ27">
        <v>1</v>
      </c>
      <c r="GYA27">
        <v>1</v>
      </c>
      <c r="GYB27">
        <v>1</v>
      </c>
      <c r="GYC27">
        <v>1</v>
      </c>
      <c r="GYD27">
        <v>1</v>
      </c>
      <c r="GYE27">
        <v>1</v>
      </c>
      <c r="GYF27">
        <v>1</v>
      </c>
      <c r="GYG27">
        <v>1</v>
      </c>
      <c r="GYH27">
        <v>1</v>
      </c>
      <c r="GYI27">
        <v>1</v>
      </c>
      <c r="GYJ27">
        <v>1</v>
      </c>
      <c r="GYK27">
        <v>1</v>
      </c>
      <c r="GYL27">
        <v>1</v>
      </c>
      <c r="GYM27">
        <v>1</v>
      </c>
      <c r="GYN27">
        <v>1</v>
      </c>
      <c r="GYO27">
        <v>1</v>
      </c>
      <c r="GYP27">
        <v>1</v>
      </c>
      <c r="GYQ27">
        <v>1</v>
      </c>
      <c r="GYR27">
        <v>1</v>
      </c>
      <c r="GYS27">
        <v>1</v>
      </c>
      <c r="GYT27">
        <v>1</v>
      </c>
      <c r="GYU27">
        <v>1</v>
      </c>
      <c r="GYV27">
        <v>1</v>
      </c>
      <c r="GYW27">
        <v>1</v>
      </c>
      <c r="GYX27">
        <v>1</v>
      </c>
      <c r="GYY27">
        <v>1</v>
      </c>
      <c r="GYZ27">
        <v>1</v>
      </c>
      <c r="GZA27">
        <v>1</v>
      </c>
      <c r="GZB27">
        <v>1</v>
      </c>
      <c r="GZC27">
        <v>1</v>
      </c>
      <c r="GZD27">
        <v>1</v>
      </c>
      <c r="GZE27">
        <v>1</v>
      </c>
      <c r="GZF27">
        <v>1</v>
      </c>
      <c r="GZG27">
        <v>1</v>
      </c>
      <c r="GZH27">
        <v>1</v>
      </c>
      <c r="GZI27">
        <v>1</v>
      </c>
      <c r="GZJ27">
        <v>1</v>
      </c>
      <c r="GZK27">
        <v>1</v>
      </c>
      <c r="GZL27">
        <v>1</v>
      </c>
      <c r="GZM27">
        <v>1</v>
      </c>
      <c r="GZN27">
        <v>1</v>
      </c>
      <c r="GZO27">
        <v>1</v>
      </c>
      <c r="GZP27">
        <v>1</v>
      </c>
      <c r="GZQ27">
        <v>1</v>
      </c>
      <c r="GZR27">
        <v>1</v>
      </c>
      <c r="GZS27">
        <v>1</v>
      </c>
      <c r="GZT27">
        <v>1</v>
      </c>
      <c r="GZU27">
        <v>1</v>
      </c>
      <c r="GZV27">
        <v>1</v>
      </c>
      <c r="GZW27">
        <v>1</v>
      </c>
      <c r="GZX27">
        <v>1</v>
      </c>
      <c r="GZY27">
        <v>1</v>
      </c>
      <c r="GZZ27">
        <v>1</v>
      </c>
      <c r="HAA27">
        <v>1</v>
      </c>
      <c r="HAB27">
        <v>1</v>
      </c>
      <c r="HAC27">
        <v>1</v>
      </c>
      <c r="HAD27">
        <v>1</v>
      </c>
      <c r="HAE27">
        <v>1</v>
      </c>
      <c r="HAF27">
        <v>1</v>
      </c>
      <c r="HAG27">
        <v>1</v>
      </c>
      <c r="HAH27">
        <v>1</v>
      </c>
      <c r="HAI27">
        <v>1</v>
      </c>
      <c r="HAJ27">
        <v>1</v>
      </c>
      <c r="HAK27">
        <v>1</v>
      </c>
      <c r="HAL27">
        <v>1</v>
      </c>
      <c r="HAM27">
        <v>1</v>
      </c>
      <c r="HAN27">
        <v>1</v>
      </c>
      <c r="HAO27">
        <v>1</v>
      </c>
      <c r="HAP27">
        <v>1</v>
      </c>
      <c r="HAQ27">
        <v>1</v>
      </c>
      <c r="HAR27">
        <v>1</v>
      </c>
      <c r="HAS27">
        <v>1</v>
      </c>
      <c r="HAT27">
        <v>1</v>
      </c>
      <c r="HAU27">
        <v>1</v>
      </c>
      <c r="HAV27">
        <v>1</v>
      </c>
      <c r="HAW27">
        <v>1</v>
      </c>
      <c r="HAX27">
        <v>1</v>
      </c>
      <c r="HAY27">
        <v>1</v>
      </c>
      <c r="HAZ27">
        <v>1</v>
      </c>
      <c r="HBA27">
        <v>1</v>
      </c>
      <c r="HBB27">
        <v>1</v>
      </c>
      <c r="HBC27">
        <v>1</v>
      </c>
      <c r="HBD27">
        <v>1</v>
      </c>
      <c r="HBE27">
        <v>1</v>
      </c>
      <c r="HBF27">
        <v>1</v>
      </c>
      <c r="HBG27">
        <v>1</v>
      </c>
      <c r="HBH27">
        <v>1</v>
      </c>
      <c r="HBI27">
        <v>1</v>
      </c>
      <c r="HBJ27">
        <v>1</v>
      </c>
      <c r="HBK27">
        <v>1</v>
      </c>
      <c r="HBL27">
        <v>1</v>
      </c>
      <c r="HBM27">
        <v>1</v>
      </c>
      <c r="HBN27">
        <v>1</v>
      </c>
      <c r="HBO27">
        <v>1</v>
      </c>
      <c r="HBP27">
        <v>1</v>
      </c>
      <c r="HBQ27">
        <v>1</v>
      </c>
      <c r="HBR27">
        <v>1</v>
      </c>
      <c r="HBS27">
        <v>1</v>
      </c>
      <c r="HBT27">
        <v>1</v>
      </c>
      <c r="HBU27">
        <v>1</v>
      </c>
      <c r="HBV27">
        <v>1</v>
      </c>
      <c r="HBW27">
        <v>1</v>
      </c>
      <c r="HBX27">
        <v>1</v>
      </c>
      <c r="HBY27">
        <v>1</v>
      </c>
      <c r="HBZ27">
        <v>1</v>
      </c>
      <c r="HCA27">
        <v>1</v>
      </c>
      <c r="HCB27">
        <v>1</v>
      </c>
      <c r="HCC27">
        <v>1</v>
      </c>
      <c r="HCD27">
        <v>1</v>
      </c>
      <c r="HCE27">
        <v>1</v>
      </c>
      <c r="HCF27">
        <v>1</v>
      </c>
      <c r="HCG27">
        <v>1</v>
      </c>
      <c r="HCH27">
        <v>1</v>
      </c>
      <c r="HCI27">
        <v>1</v>
      </c>
      <c r="HCJ27">
        <v>1</v>
      </c>
      <c r="HCK27">
        <v>1</v>
      </c>
      <c r="HCL27">
        <v>1</v>
      </c>
      <c r="HCM27">
        <v>1</v>
      </c>
      <c r="HCN27">
        <v>1</v>
      </c>
      <c r="HCO27">
        <v>1</v>
      </c>
      <c r="HCP27">
        <v>1</v>
      </c>
      <c r="HCQ27">
        <v>1</v>
      </c>
      <c r="HCR27">
        <v>1</v>
      </c>
      <c r="HCS27">
        <v>1</v>
      </c>
      <c r="HCT27">
        <v>1</v>
      </c>
      <c r="HCU27">
        <v>1</v>
      </c>
      <c r="HCV27">
        <v>1</v>
      </c>
      <c r="HCW27">
        <v>1</v>
      </c>
      <c r="HCX27">
        <v>1</v>
      </c>
      <c r="HCY27">
        <v>1</v>
      </c>
      <c r="HCZ27">
        <v>1</v>
      </c>
      <c r="HDA27">
        <v>1</v>
      </c>
      <c r="HDB27">
        <v>1</v>
      </c>
      <c r="HDC27">
        <v>1</v>
      </c>
      <c r="HDD27">
        <v>1</v>
      </c>
      <c r="HDE27">
        <v>1</v>
      </c>
      <c r="HDF27">
        <v>1</v>
      </c>
      <c r="HDG27">
        <v>1</v>
      </c>
      <c r="HDH27">
        <v>1</v>
      </c>
      <c r="HDI27">
        <v>1</v>
      </c>
      <c r="HDJ27">
        <v>1</v>
      </c>
      <c r="HDK27">
        <v>1</v>
      </c>
      <c r="HDL27">
        <v>1</v>
      </c>
      <c r="HDM27">
        <v>1</v>
      </c>
      <c r="KGU27" s="1">
        <f t="shared" si="0"/>
        <v>153</v>
      </c>
      <c r="KGV27">
        <f t="shared" si="1"/>
        <v>0</v>
      </c>
      <c r="KGW27">
        <f t="shared" si="2"/>
        <v>0</v>
      </c>
      <c r="KGX27">
        <f t="shared" si="3"/>
        <v>0</v>
      </c>
      <c r="KGY27">
        <f t="shared" si="4"/>
        <v>0</v>
      </c>
      <c r="KGZ27">
        <f t="shared" si="5"/>
        <v>0</v>
      </c>
      <c r="KHA27">
        <f t="shared" si="6"/>
        <v>0</v>
      </c>
      <c r="KHB27">
        <f t="shared" si="7"/>
        <v>0</v>
      </c>
      <c r="KHC27">
        <f t="shared" si="8"/>
        <v>0</v>
      </c>
      <c r="KHD27">
        <f t="shared" si="9"/>
        <v>0</v>
      </c>
      <c r="KHE27">
        <f t="shared" si="10"/>
        <v>0</v>
      </c>
      <c r="KHF27">
        <f t="shared" si="11"/>
        <v>0</v>
      </c>
      <c r="KHG27">
        <f t="shared" si="12"/>
        <v>0</v>
      </c>
      <c r="KHH27">
        <f t="shared" si="13"/>
        <v>0</v>
      </c>
      <c r="KHI27">
        <f t="shared" si="14"/>
        <v>0</v>
      </c>
      <c r="KHJ27">
        <f t="shared" si="15"/>
        <v>0</v>
      </c>
      <c r="KHK27">
        <f t="shared" si="16"/>
        <v>0</v>
      </c>
      <c r="KHL27">
        <f t="shared" si="17"/>
        <v>0</v>
      </c>
      <c r="KHM27">
        <f t="shared" si="18"/>
        <v>0</v>
      </c>
      <c r="KHN27">
        <f t="shared" si="19"/>
        <v>0</v>
      </c>
      <c r="KHO27">
        <f t="shared" si="20"/>
        <v>0</v>
      </c>
      <c r="KHP27">
        <f t="shared" si="21"/>
        <v>0</v>
      </c>
      <c r="KHQ27">
        <f t="shared" si="22"/>
        <v>0</v>
      </c>
      <c r="KHR27">
        <f t="shared" si="23"/>
        <v>0</v>
      </c>
      <c r="KHS27">
        <f t="shared" si="24"/>
        <v>0</v>
      </c>
      <c r="KHT27">
        <f t="shared" si="25"/>
        <v>0</v>
      </c>
      <c r="KHU27">
        <f t="shared" si="26"/>
        <v>0</v>
      </c>
      <c r="KHV27">
        <f t="shared" si="27"/>
        <v>0</v>
      </c>
      <c r="KHW27">
        <f t="shared" si="28"/>
        <v>0</v>
      </c>
      <c r="KHX27">
        <f t="shared" si="29"/>
        <v>0</v>
      </c>
      <c r="KHY27">
        <f t="shared" si="30"/>
        <v>0</v>
      </c>
      <c r="KHZ27">
        <f t="shared" si="31"/>
        <v>0</v>
      </c>
      <c r="KIA27">
        <f t="shared" si="32"/>
        <v>0</v>
      </c>
      <c r="KIB27">
        <f t="shared" si="33"/>
        <v>0</v>
      </c>
      <c r="KIC27">
        <f t="shared" si="34"/>
        <v>0</v>
      </c>
      <c r="KID27">
        <f t="shared" si="35"/>
        <v>0</v>
      </c>
      <c r="KIE27">
        <f t="shared" si="36"/>
        <v>0</v>
      </c>
      <c r="KIF27">
        <f t="shared" si="37"/>
        <v>0</v>
      </c>
      <c r="KIG27">
        <f t="shared" si="38"/>
        <v>0</v>
      </c>
      <c r="KIH27">
        <f t="shared" si="39"/>
        <v>0</v>
      </c>
      <c r="KII27">
        <f t="shared" si="40"/>
        <v>0</v>
      </c>
      <c r="KIJ27">
        <f t="shared" si="41"/>
        <v>0</v>
      </c>
      <c r="KIK27">
        <f t="shared" si="42"/>
        <v>0</v>
      </c>
      <c r="KIL27">
        <f t="shared" si="43"/>
        <v>0</v>
      </c>
      <c r="KIM27">
        <f t="shared" si="44"/>
        <v>0</v>
      </c>
      <c r="KIN27">
        <f t="shared" si="45"/>
        <v>0</v>
      </c>
      <c r="KIO27">
        <f t="shared" si="46"/>
        <v>0</v>
      </c>
      <c r="KIP27">
        <f t="shared" si="47"/>
        <v>0</v>
      </c>
      <c r="KIQ27">
        <f t="shared" si="48"/>
        <v>0</v>
      </c>
      <c r="KIR27">
        <f t="shared" si="49"/>
        <v>0</v>
      </c>
      <c r="KIS27">
        <f t="shared" si="50"/>
        <v>0</v>
      </c>
      <c r="KIT27">
        <f t="shared" si="51"/>
        <v>0</v>
      </c>
      <c r="KIU27">
        <f t="shared" si="52"/>
        <v>0</v>
      </c>
      <c r="KIV27">
        <f t="shared" si="53"/>
        <v>0</v>
      </c>
      <c r="KIW27">
        <f t="shared" si="54"/>
        <v>0</v>
      </c>
      <c r="KIX27">
        <f t="shared" si="55"/>
        <v>0</v>
      </c>
      <c r="KIY27">
        <f t="shared" si="56"/>
        <v>0</v>
      </c>
      <c r="KIZ27">
        <f t="shared" si="57"/>
        <v>0</v>
      </c>
      <c r="KJA27">
        <f t="shared" si="58"/>
        <v>0</v>
      </c>
      <c r="KJB27">
        <f t="shared" si="59"/>
        <v>0</v>
      </c>
      <c r="KJC27">
        <f t="shared" si="60"/>
        <v>0</v>
      </c>
      <c r="KJD27">
        <f t="shared" si="61"/>
        <v>0</v>
      </c>
      <c r="KJE27">
        <f t="shared" si="62"/>
        <v>0</v>
      </c>
      <c r="KJF27">
        <f t="shared" si="63"/>
        <v>0</v>
      </c>
      <c r="KJG27">
        <f t="shared" si="64"/>
        <v>0</v>
      </c>
      <c r="KJH27">
        <f t="shared" si="65"/>
        <v>0</v>
      </c>
      <c r="KJI27">
        <f t="shared" si="66"/>
        <v>0</v>
      </c>
      <c r="KJJ27">
        <f t="shared" si="67"/>
        <v>0</v>
      </c>
      <c r="KJK27">
        <f t="shared" si="68"/>
        <v>0</v>
      </c>
      <c r="KJL27">
        <f t="shared" si="69"/>
        <v>0</v>
      </c>
      <c r="KJM27">
        <f t="shared" si="70"/>
        <v>0</v>
      </c>
      <c r="KJN27">
        <f t="shared" si="71"/>
        <v>0</v>
      </c>
      <c r="KJO27">
        <f t="shared" si="72"/>
        <v>0</v>
      </c>
      <c r="KJP27">
        <f t="shared" si="73"/>
        <v>0</v>
      </c>
      <c r="KJQ27">
        <f t="shared" si="74"/>
        <v>0</v>
      </c>
      <c r="KJR27">
        <f t="shared" si="75"/>
        <v>0</v>
      </c>
      <c r="KJS27">
        <f t="shared" si="76"/>
        <v>0</v>
      </c>
      <c r="KJT27">
        <f t="shared" si="77"/>
        <v>0</v>
      </c>
      <c r="KJU27">
        <f t="shared" si="78"/>
        <v>0</v>
      </c>
      <c r="KJV27">
        <f t="shared" si="79"/>
        <v>0</v>
      </c>
      <c r="KJW27">
        <f t="shared" si="80"/>
        <v>0</v>
      </c>
      <c r="KJX27">
        <f t="shared" si="81"/>
        <v>0</v>
      </c>
      <c r="KJY27">
        <f t="shared" si="82"/>
        <v>0</v>
      </c>
      <c r="KJZ27">
        <f t="shared" si="83"/>
        <v>0</v>
      </c>
      <c r="KKA27">
        <f t="shared" si="84"/>
        <v>0</v>
      </c>
      <c r="KKB27">
        <f t="shared" si="85"/>
        <v>0</v>
      </c>
      <c r="KKC27">
        <f t="shared" si="86"/>
        <v>0</v>
      </c>
      <c r="KKD27">
        <f t="shared" si="87"/>
        <v>0</v>
      </c>
      <c r="KKE27">
        <f t="shared" si="88"/>
        <v>0</v>
      </c>
      <c r="KKF27">
        <f t="shared" si="89"/>
        <v>0</v>
      </c>
      <c r="KKG27">
        <f t="shared" si="90"/>
        <v>0</v>
      </c>
      <c r="KKH27">
        <f t="shared" si="91"/>
        <v>0</v>
      </c>
      <c r="KKI27">
        <f t="shared" si="92"/>
        <v>0</v>
      </c>
      <c r="KKJ27">
        <f t="shared" si="93"/>
        <v>0</v>
      </c>
      <c r="KKK27">
        <f t="shared" si="94"/>
        <v>0</v>
      </c>
      <c r="KKL27">
        <f t="shared" si="95"/>
        <v>0</v>
      </c>
      <c r="KKM27">
        <f t="shared" si="96"/>
        <v>0</v>
      </c>
      <c r="KKN27">
        <f t="shared" si="97"/>
        <v>0</v>
      </c>
      <c r="KKO27">
        <f t="shared" si="98"/>
        <v>0</v>
      </c>
      <c r="KKP27">
        <f t="shared" si="99"/>
        <v>0</v>
      </c>
      <c r="KKR27">
        <f t="shared" si="100"/>
        <v>153</v>
      </c>
      <c r="KKT27">
        <f t="shared" si="100"/>
        <v>153</v>
      </c>
      <c r="KKU27">
        <f t="shared" si="101"/>
        <v>6.12</v>
      </c>
      <c r="KKW27">
        <f t="shared" si="101"/>
        <v>6.12</v>
      </c>
    </row>
    <row r="28" spans="1:2 2912:2928 5063:5104 5121:6144 7417:7745">
      <c r="A28" t="s">
        <v>7663</v>
      </c>
      <c r="B28">
        <v>1</v>
      </c>
      <c r="GVQ28">
        <v>1</v>
      </c>
      <c r="GVR28">
        <v>1</v>
      </c>
      <c r="GVS28">
        <v>1</v>
      </c>
      <c r="GVT28">
        <v>1</v>
      </c>
      <c r="GVU28">
        <v>1</v>
      </c>
      <c r="GVV28">
        <v>1</v>
      </c>
      <c r="GVW28">
        <v>1</v>
      </c>
      <c r="GVX28">
        <v>1</v>
      </c>
      <c r="GVY28">
        <v>1</v>
      </c>
      <c r="GVZ28">
        <v>1</v>
      </c>
      <c r="GWA28">
        <v>1</v>
      </c>
      <c r="GWB28">
        <v>1</v>
      </c>
      <c r="GWC28">
        <v>1</v>
      </c>
      <c r="GWD28">
        <v>1</v>
      </c>
      <c r="GWE28">
        <v>1</v>
      </c>
      <c r="GWF28">
        <v>1</v>
      </c>
      <c r="GWG28">
        <v>1</v>
      </c>
      <c r="GWH28">
        <v>1</v>
      </c>
      <c r="GWI28">
        <v>1</v>
      </c>
      <c r="KGU28" s="1">
        <f t="shared" si="0"/>
        <v>19</v>
      </c>
      <c r="KGV28">
        <f t="shared" si="1"/>
        <v>0</v>
      </c>
      <c r="KGW28">
        <f t="shared" si="2"/>
        <v>0</v>
      </c>
      <c r="KGX28">
        <f t="shared" si="3"/>
        <v>0</v>
      </c>
      <c r="KGY28">
        <f t="shared" si="4"/>
        <v>0</v>
      </c>
      <c r="KGZ28">
        <f t="shared" si="5"/>
        <v>0</v>
      </c>
      <c r="KHA28">
        <f t="shared" si="6"/>
        <v>0</v>
      </c>
      <c r="KHB28">
        <f t="shared" si="7"/>
        <v>0</v>
      </c>
      <c r="KHC28">
        <f t="shared" si="8"/>
        <v>0</v>
      </c>
      <c r="KHD28">
        <f t="shared" si="9"/>
        <v>0</v>
      </c>
      <c r="KHE28">
        <f t="shared" si="10"/>
        <v>0</v>
      </c>
      <c r="KHF28">
        <f t="shared" si="11"/>
        <v>0</v>
      </c>
      <c r="KHG28">
        <f t="shared" si="12"/>
        <v>0</v>
      </c>
      <c r="KHH28">
        <f t="shared" si="13"/>
        <v>0</v>
      </c>
      <c r="KHI28">
        <f t="shared" si="14"/>
        <v>0</v>
      </c>
      <c r="KHJ28">
        <f t="shared" si="15"/>
        <v>0</v>
      </c>
      <c r="KHK28">
        <f t="shared" si="16"/>
        <v>0</v>
      </c>
      <c r="KHL28">
        <f t="shared" si="17"/>
        <v>0</v>
      </c>
      <c r="KHM28">
        <f t="shared" si="18"/>
        <v>0</v>
      </c>
      <c r="KHN28">
        <f t="shared" si="19"/>
        <v>0</v>
      </c>
      <c r="KHO28">
        <f t="shared" si="20"/>
        <v>0</v>
      </c>
      <c r="KHP28">
        <f t="shared" si="21"/>
        <v>0</v>
      </c>
      <c r="KHQ28">
        <f t="shared" si="22"/>
        <v>0</v>
      </c>
      <c r="KHR28">
        <f t="shared" si="23"/>
        <v>0</v>
      </c>
      <c r="KHS28">
        <f t="shared" si="24"/>
        <v>0</v>
      </c>
      <c r="KHT28">
        <f t="shared" si="25"/>
        <v>0</v>
      </c>
      <c r="KHU28">
        <f t="shared" si="26"/>
        <v>0</v>
      </c>
      <c r="KHV28">
        <f t="shared" si="27"/>
        <v>0</v>
      </c>
      <c r="KHW28">
        <f t="shared" si="28"/>
        <v>0</v>
      </c>
      <c r="KHX28">
        <f t="shared" si="29"/>
        <v>0</v>
      </c>
      <c r="KHY28">
        <f t="shared" si="30"/>
        <v>0</v>
      </c>
      <c r="KHZ28">
        <f t="shared" si="31"/>
        <v>0</v>
      </c>
      <c r="KIA28">
        <f t="shared" si="32"/>
        <v>0</v>
      </c>
      <c r="KIB28">
        <f t="shared" si="33"/>
        <v>0</v>
      </c>
      <c r="KIC28">
        <f t="shared" si="34"/>
        <v>0</v>
      </c>
      <c r="KID28">
        <f t="shared" si="35"/>
        <v>0</v>
      </c>
      <c r="KIE28">
        <f t="shared" si="36"/>
        <v>0</v>
      </c>
      <c r="KIF28">
        <f t="shared" si="37"/>
        <v>0</v>
      </c>
      <c r="KIG28">
        <f t="shared" si="38"/>
        <v>0</v>
      </c>
      <c r="KIH28">
        <f t="shared" si="39"/>
        <v>0</v>
      </c>
      <c r="KII28">
        <f t="shared" si="40"/>
        <v>0</v>
      </c>
      <c r="KIJ28">
        <f t="shared" si="41"/>
        <v>0</v>
      </c>
      <c r="KIK28">
        <f t="shared" si="42"/>
        <v>0</v>
      </c>
      <c r="KIL28">
        <f t="shared" si="43"/>
        <v>0</v>
      </c>
      <c r="KIM28">
        <f t="shared" si="44"/>
        <v>0</v>
      </c>
      <c r="KIN28">
        <f t="shared" si="45"/>
        <v>0</v>
      </c>
      <c r="KIO28">
        <f t="shared" si="46"/>
        <v>0</v>
      </c>
      <c r="KIP28">
        <f t="shared" si="47"/>
        <v>0</v>
      </c>
      <c r="KIQ28">
        <f t="shared" si="48"/>
        <v>0</v>
      </c>
      <c r="KIR28">
        <f t="shared" si="49"/>
        <v>0</v>
      </c>
      <c r="KIS28">
        <f t="shared" si="50"/>
        <v>0</v>
      </c>
      <c r="KIT28">
        <f t="shared" si="51"/>
        <v>0</v>
      </c>
      <c r="KIU28">
        <f t="shared" si="52"/>
        <v>0</v>
      </c>
      <c r="KIV28">
        <f t="shared" si="53"/>
        <v>0</v>
      </c>
      <c r="KIW28">
        <f t="shared" si="54"/>
        <v>0</v>
      </c>
      <c r="KIX28">
        <f t="shared" si="55"/>
        <v>0</v>
      </c>
      <c r="KIY28">
        <f t="shared" si="56"/>
        <v>0</v>
      </c>
      <c r="KIZ28">
        <f t="shared" si="57"/>
        <v>0</v>
      </c>
      <c r="KJA28">
        <f t="shared" si="58"/>
        <v>0</v>
      </c>
      <c r="KJB28">
        <f t="shared" si="59"/>
        <v>0</v>
      </c>
      <c r="KJC28">
        <f t="shared" si="60"/>
        <v>0</v>
      </c>
      <c r="KJD28">
        <f t="shared" si="61"/>
        <v>0</v>
      </c>
      <c r="KJE28">
        <f t="shared" si="62"/>
        <v>0</v>
      </c>
      <c r="KJF28">
        <f t="shared" si="63"/>
        <v>0</v>
      </c>
      <c r="KJG28">
        <f t="shared" si="64"/>
        <v>0</v>
      </c>
      <c r="KJH28">
        <f t="shared" si="65"/>
        <v>0</v>
      </c>
      <c r="KJI28">
        <f t="shared" si="66"/>
        <v>0</v>
      </c>
      <c r="KJJ28">
        <f t="shared" si="67"/>
        <v>0</v>
      </c>
      <c r="KJK28">
        <f t="shared" si="68"/>
        <v>0</v>
      </c>
      <c r="KJL28">
        <f t="shared" si="69"/>
        <v>0</v>
      </c>
      <c r="KJM28">
        <f t="shared" si="70"/>
        <v>0</v>
      </c>
      <c r="KJN28">
        <f t="shared" si="71"/>
        <v>0</v>
      </c>
      <c r="KJO28">
        <f t="shared" si="72"/>
        <v>0</v>
      </c>
      <c r="KJP28">
        <f t="shared" si="73"/>
        <v>0</v>
      </c>
      <c r="KJQ28">
        <f t="shared" si="74"/>
        <v>0</v>
      </c>
      <c r="KJR28">
        <f t="shared" si="75"/>
        <v>0</v>
      </c>
      <c r="KJS28">
        <f t="shared" si="76"/>
        <v>0</v>
      </c>
      <c r="KJT28">
        <f t="shared" si="77"/>
        <v>0</v>
      </c>
      <c r="KJU28">
        <f t="shared" si="78"/>
        <v>0</v>
      </c>
      <c r="KJV28">
        <f t="shared" si="79"/>
        <v>0</v>
      </c>
      <c r="KJW28">
        <f t="shared" si="80"/>
        <v>0</v>
      </c>
      <c r="KJX28">
        <f t="shared" si="81"/>
        <v>0</v>
      </c>
      <c r="KJY28">
        <f t="shared" si="82"/>
        <v>0</v>
      </c>
      <c r="KJZ28">
        <f t="shared" si="83"/>
        <v>0</v>
      </c>
      <c r="KKA28">
        <f t="shared" si="84"/>
        <v>0</v>
      </c>
      <c r="KKB28">
        <f t="shared" si="85"/>
        <v>0</v>
      </c>
      <c r="KKC28">
        <f t="shared" si="86"/>
        <v>0</v>
      </c>
      <c r="KKD28">
        <f t="shared" si="87"/>
        <v>0</v>
      </c>
      <c r="KKE28">
        <f t="shared" si="88"/>
        <v>0</v>
      </c>
      <c r="KKF28">
        <f t="shared" si="89"/>
        <v>0</v>
      </c>
      <c r="KKG28">
        <f t="shared" si="90"/>
        <v>0</v>
      </c>
      <c r="KKH28">
        <f t="shared" si="91"/>
        <v>0</v>
      </c>
      <c r="KKI28">
        <f t="shared" si="92"/>
        <v>0</v>
      </c>
      <c r="KKJ28">
        <f t="shared" si="93"/>
        <v>0</v>
      </c>
      <c r="KKK28">
        <f t="shared" si="94"/>
        <v>0</v>
      </c>
      <c r="KKL28">
        <f t="shared" si="95"/>
        <v>0</v>
      </c>
      <c r="KKM28">
        <f t="shared" si="96"/>
        <v>0</v>
      </c>
      <c r="KKN28">
        <f t="shared" si="97"/>
        <v>0</v>
      </c>
      <c r="KKO28">
        <f t="shared" si="98"/>
        <v>0</v>
      </c>
      <c r="KKP28">
        <f t="shared" si="99"/>
        <v>0</v>
      </c>
      <c r="KKR28">
        <f t="shared" si="100"/>
        <v>19</v>
      </c>
      <c r="KKT28">
        <f t="shared" si="100"/>
        <v>19</v>
      </c>
      <c r="KKU28">
        <f t="shared" si="101"/>
        <v>0.76</v>
      </c>
      <c r="KKW28">
        <f t="shared" si="101"/>
        <v>0.76</v>
      </c>
    </row>
    <row r="29" spans="1:2 2912:2928 5063:5104 5121:6144 7417:7745">
      <c r="A29" t="s">
        <v>7664</v>
      </c>
      <c r="B29">
        <v>1</v>
      </c>
      <c r="HXI29">
        <v>1</v>
      </c>
      <c r="HXJ29">
        <v>1</v>
      </c>
      <c r="HXK29">
        <v>1</v>
      </c>
      <c r="HXL29">
        <v>1</v>
      </c>
      <c r="HXM29">
        <v>1</v>
      </c>
      <c r="HXN29">
        <v>1</v>
      </c>
      <c r="HXO29">
        <v>1</v>
      </c>
      <c r="HXP29">
        <v>1</v>
      </c>
      <c r="HXQ29">
        <v>1</v>
      </c>
      <c r="HXR29">
        <v>1</v>
      </c>
      <c r="HXS29">
        <v>1</v>
      </c>
      <c r="HXT29">
        <v>1</v>
      </c>
      <c r="HXU29">
        <v>1</v>
      </c>
      <c r="HXV29">
        <v>1</v>
      </c>
      <c r="HXW29">
        <v>1</v>
      </c>
      <c r="HXX29">
        <v>1</v>
      </c>
      <c r="HXY29">
        <v>1</v>
      </c>
      <c r="HXZ29">
        <v>1</v>
      </c>
      <c r="HYA29">
        <v>1</v>
      </c>
      <c r="HYB29">
        <v>1</v>
      </c>
      <c r="HYC29">
        <v>1</v>
      </c>
      <c r="HYD29">
        <v>1</v>
      </c>
      <c r="HYE29">
        <v>1</v>
      </c>
      <c r="HYF29">
        <v>1</v>
      </c>
      <c r="HYG29">
        <v>1</v>
      </c>
      <c r="KGU29" s="1">
        <f t="shared" si="0"/>
        <v>25</v>
      </c>
      <c r="KGV29">
        <f t="shared" si="1"/>
        <v>0</v>
      </c>
      <c r="KGW29">
        <f t="shared" si="2"/>
        <v>0</v>
      </c>
      <c r="KGX29">
        <f t="shared" si="3"/>
        <v>0</v>
      </c>
      <c r="KGY29">
        <f t="shared" si="4"/>
        <v>0</v>
      </c>
      <c r="KGZ29">
        <f t="shared" si="5"/>
        <v>0</v>
      </c>
      <c r="KHA29">
        <f t="shared" si="6"/>
        <v>0</v>
      </c>
      <c r="KHB29">
        <f t="shared" si="7"/>
        <v>0</v>
      </c>
      <c r="KHC29">
        <f t="shared" si="8"/>
        <v>0</v>
      </c>
      <c r="KHD29">
        <f t="shared" si="9"/>
        <v>0</v>
      </c>
      <c r="KHE29">
        <f t="shared" si="10"/>
        <v>0</v>
      </c>
      <c r="KHF29">
        <f t="shared" si="11"/>
        <v>0</v>
      </c>
      <c r="KHG29">
        <f t="shared" si="12"/>
        <v>0</v>
      </c>
      <c r="KHH29">
        <f t="shared" si="13"/>
        <v>0</v>
      </c>
      <c r="KHI29">
        <f t="shared" si="14"/>
        <v>0</v>
      </c>
      <c r="KHJ29">
        <f t="shared" si="15"/>
        <v>0</v>
      </c>
      <c r="KHK29">
        <f t="shared" si="16"/>
        <v>0</v>
      </c>
      <c r="KHL29">
        <f t="shared" si="17"/>
        <v>0</v>
      </c>
      <c r="KHM29">
        <f t="shared" si="18"/>
        <v>0</v>
      </c>
      <c r="KHN29">
        <f t="shared" si="19"/>
        <v>0</v>
      </c>
      <c r="KHO29">
        <f t="shared" si="20"/>
        <v>0</v>
      </c>
      <c r="KHP29">
        <f t="shared" si="21"/>
        <v>0</v>
      </c>
      <c r="KHQ29">
        <f t="shared" si="22"/>
        <v>0</v>
      </c>
      <c r="KHR29">
        <f t="shared" si="23"/>
        <v>0</v>
      </c>
      <c r="KHS29">
        <f t="shared" si="24"/>
        <v>0</v>
      </c>
      <c r="KHT29">
        <f t="shared" si="25"/>
        <v>0</v>
      </c>
      <c r="KHU29">
        <f t="shared" si="26"/>
        <v>0</v>
      </c>
      <c r="KHV29">
        <f t="shared" si="27"/>
        <v>0</v>
      </c>
      <c r="KHW29">
        <f t="shared" si="28"/>
        <v>0</v>
      </c>
      <c r="KHX29">
        <f t="shared" si="29"/>
        <v>0</v>
      </c>
      <c r="KHY29">
        <f t="shared" si="30"/>
        <v>0</v>
      </c>
      <c r="KHZ29">
        <f t="shared" si="31"/>
        <v>0</v>
      </c>
      <c r="KIA29">
        <f t="shared" si="32"/>
        <v>0</v>
      </c>
      <c r="KIB29">
        <f t="shared" si="33"/>
        <v>0</v>
      </c>
      <c r="KIC29">
        <f t="shared" si="34"/>
        <v>0</v>
      </c>
      <c r="KID29">
        <f t="shared" si="35"/>
        <v>0</v>
      </c>
      <c r="KIE29">
        <f t="shared" si="36"/>
        <v>0</v>
      </c>
      <c r="KIF29">
        <f t="shared" si="37"/>
        <v>0</v>
      </c>
      <c r="KIG29">
        <f t="shared" si="38"/>
        <v>0</v>
      </c>
      <c r="KIH29">
        <f t="shared" si="39"/>
        <v>0</v>
      </c>
      <c r="KII29">
        <f t="shared" si="40"/>
        <v>0</v>
      </c>
      <c r="KIJ29">
        <f t="shared" si="41"/>
        <v>0</v>
      </c>
      <c r="KIK29">
        <f t="shared" si="42"/>
        <v>0</v>
      </c>
      <c r="KIL29">
        <f t="shared" si="43"/>
        <v>0</v>
      </c>
      <c r="KIM29">
        <f t="shared" si="44"/>
        <v>0</v>
      </c>
      <c r="KIN29">
        <f t="shared" si="45"/>
        <v>0</v>
      </c>
      <c r="KIO29">
        <f t="shared" si="46"/>
        <v>0</v>
      </c>
      <c r="KIP29">
        <f t="shared" si="47"/>
        <v>0</v>
      </c>
      <c r="KIQ29">
        <f t="shared" si="48"/>
        <v>0</v>
      </c>
      <c r="KIR29">
        <f t="shared" si="49"/>
        <v>0</v>
      </c>
      <c r="KIS29">
        <f t="shared" si="50"/>
        <v>0</v>
      </c>
      <c r="KIT29">
        <f t="shared" si="51"/>
        <v>0</v>
      </c>
      <c r="KIU29">
        <f t="shared" si="52"/>
        <v>0</v>
      </c>
      <c r="KIV29">
        <f t="shared" si="53"/>
        <v>0</v>
      </c>
      <c r="KIW29">
        <f t="shared" si="54"/>
        <v>0</v>
      </c>
      <c r="KIX29">
        <f t="shared" si="55"/>
        <v>0</v>
      </c>
      <c r="KIY29">
        <f t="shared" si="56"/>
        <v>0</v>
      </c>
      <c r="KIZ29">
        <f t="shared" si="57"/>
        <v>0</v>
      </c>
      <c r="KJA29">
        <f t="shared" si="58"/>
        <v>0</v>
      </c>
      <c r="KJB29">
        <f t="shared" si="59"/>
        <v>0</v>
      </c>
      <c r="KJC29">
        <f t="shared" si="60"/>
        <v>0</v>
      </c>
      <c r="KJD29">
        <f t="shared" si="61"/>
        <v>0</v>
      </c>
      <c r="KJE29">
        <f t="shared" si="62"/>
        <v>0</v>
      </c>
      <c r="KJF29">
        <f t="shared" si="63"/>
        <v>0</v>
      </c>
      <c r="KJG29">
        <f t="shared" si="64"/>
        <v>0</v>
      </c>
      <c r="KJH29">
        <f t="shared" si="65"/>
        <v>0</v>
      </c>
      <c r="KJI29">
        <f t="shared" si="66"/>
        <v>0</v>
      </c>
      <c r="KJJ29">
        <f t="shared" si="67"/>
        <v>0</v>
      </c>
      <c r="KJK29">
        <f t="shared" si="68"/>
        <v>0</v>
      </c>
      <c r="KJL29">
        <f t="shared" si="69"/>
        <v>0</v>
      </c>
      <c r="KJM29">
        <f t="shared" si="70"/>
        <v>0</v>
      </c>
      <c r="KJN29">
        <f t="shared" si="71"/>
        <v>0</v>
      </c>
      <c r="KJO29">
        <f t="shared" si="72"/>
        <v>0</v>
      </c>
      <c r="KJP29">
        <f t="shared" si="73"/>
        <v>0</v>
      </c>
      <c r="KJQ29">
        <f t="shared" si="74"/>
        <v>0</v>
      </c>
      <c r="KJR29">
        <f t="shared" si="75"/>
        <v>0</v>
      </c>
      <c r="KJS29">
        <f t="shared" si="76"/>
        <v>0</v>
      </c>
      <c r="KJT29">
        <f t="shared" si="77"/>
        <v>0</v>
      </c>
      <c r="KJU29">
        <f t="shared" si="78"/>
        <v>0</v>
      </c>
      <c r="KJV29">
        <f t="shared" si="79"/>
        <v>0</v>
      </c>
      <c r="KJW29">
        <f t="shared" si="80"/>
        <v>0</v>
      </c>
      <c r="KJX29">
        <f t="shared" si="81"/>
        <v>0</v>
      </c>
      <c r="KJY29">
        <f t="shared" si="82"/>
        <v>0</v>
      </c>
      <c r="KJZ29">
        <f t="shared" si="83"/>
        <v>0</v>
      </c>
      <c r="KKA29">
        <f t="shared" si="84"/>
        <v>0</v>
      </c>
      <c r="KKB29">
        <f t="shared" si="85"/>
        <v>0</v>
      </c>
      <c r="KKC29">
        <f t="shared" si="86"/>
        <v>0</v>
      </c>
      <c r="KKD29">
        <f t="shared" si="87"/>
        <v>0</v>
      </c>
      <c r="KKE29">
        <f t="shared" si="88"/>
        <v>0</v>
      </c>
      <c r="KKF29">
        <f t="shared" si="89"/>
        <v>0</v>
      </c>
      <c r="KKG29">
        <f t="shared" si="90"/>
        <v>0</v>
      </c>
      <c r="KKH29">
        <f t="shared" si="91"/>
        <v>0</v>
      </c>
      <c r="KKI29">
        <f t="shared" si="92"/>
        <v>0</v>
      </c>
      <c r="KKJ29">
        <f t="shared" si="93"/>
        <v>0</v>
      </c>
      <c r="KKK29">
        <f t="shared" si="94"/>
        <v>0</v>
      </c>
      <c r="KKL29">
        <f t="shared" si="95"/>
        <v>0</v>
      </c>
      <c r="KKM29">
        <f t="shared" si="96"/>
        <v>0</v>
      </c>
      <c r="KKN29">
        <f t="shared" si="97"/>
        <v>0</v>
      </c>
      <c r="KKO29">
        <f t="shared" si="98"/>
        <v>0</v>
      </c>
      <c r="KKP29">
        <f t="shared" si="99"/>
        <v>0</v>
      </c>
      <c r="KKR29">
        <f t="shared" si="100"/>
        <v>25</v>
      </c>
      <c r="KKT29">
        <f t="shared" si="100"/>
        <v>25</v>
      </c>
      <c r="KKU29">
        <f t="shared" si="101"/>
        <v>1</v>
      </c>
      <c r="KKW29">
        <f t="shared" si="101"/>
        <v>1</v>
      </c>
    </row>
    <row r="30" spans="1:2 2912:2928 5063:5104 5121:6144 7417:7745">
      <c r="A30" t="s">
        <v>11</v>
      </c>
      <c r="B30">
        <v>2</v>
      </c>
      <c r="GLS30">
        <v>1</v>
      </c>
      <c r="GLT30">
        <v>1</v>
      </c>
      <c r="GLU30">
        <v>1</v>
      </c>
      <c r="GLV30">
        <v>1</v>
      </c>
      <c r="GLW30">
        <v>1</v>
      </c>
      <c r="GLX30">
        <v>1</v>
      </c>
      <c r="GLY30">
        <v>1</v>
      </c>
      <c r="GLZ30">
        <v>1</v>
      </c>
      <c r="GMA30">
        <v>1</v>
      </c>
      <c r="GMB30">
        <v>1</v>
      </c>
      <c r="GMC30">
        <v>1</v>
      </c>
      <c r="GMD30">
        <v>1</v>
      </c>
      <c r="GME30">
        <v>1</v>
      </c>
      <c r="GMF30">
        <v>1</v>
      </c>
      <c r="GMG30">
        <v>1</v>
      </c>
      <c r="GMH30">
        <v>1</v>
      </c>
      <c r="GMI30">
        <v>1</v>
      </c>
      <c r="GMJ30">
        <v>1</v>
      </c>
      <c r="GMK30">
        <v>1</v>
      </c>
      <c r="GML30">
        <v>1</v>
      </c>
      <c r="GMM30">
        <v>1</v>
      </c>
      <c r="GMN30">
        <v>1</v>
      </c>
      <c r="GMO30">
        <v>1</v>
      </c>
      <c r="GMP30">
        <v>1</v>
      </c>
      <c r="GMQ30">
        <v>1</v>
      </c>
      <c r="GMR30">
        <v>1</v>
      </c>
      <c r="GMS30">
        <v>1</v>
      </c>
      <c r="GMT30">
        <v>1</v>
      </c>
      <c r="GMU30">
        <v>1</v>
      </c>
      <c r="GMV30">
        <v>1</v>
      </c>
      <c r="GMW30">
        <v>1</v>
      </c>
      <c r="GMX30">
        <v>1</v>
      </c>
      <c r="GMY30">
        <v>1</v>
      </c>
      <c r="GMZ30">
        <v>1</v>
      </c>
      <c r="GNA30">
        <v>1</v>
      </c>
      <c r="GNB30">
        <v>1</v>
      </c>
      <c r="GNC30">
        <v>1</v>
      </c>
      <c r="GND30">
        <v>1</v>
      </c>
      <c r="GNE30">
        <v>1</v>
      </c>
      <c r="GNF30">
        <v>1</v>
      </c>
      <c r="GNG30">
        <v>1</v>
      </c>
      <c r="GNH30">
        <v>1</v>
      </c>
      <c r="HUM30">
        <v>2</v>
      </c>
      <c r="HUN30">
        <v>2</v>
      </c>
      <c r="HUO30">
        <v>2</v>
      </c>
      <c r="HUP30">
        <v>2</v>
      </c>
      <c r="HUQ30">
        <v>2</v>
      </c>
      <c r="HUR30">
        <v>2</v>
      </c>
      <c r="HUS30">
        <v>2</v>
      </c>
      <c r="HUT30">
        <v>2</v>
      </c>
      <c r="HUU30">
        <v>2</v>
      </c>
      <c r="HUV30">
        <v>2</v>
      </c>
      <c r="HUW30">
        <v>2</v>
      </c>
      <c r="HUX30">
        <v>2</v>
      </c>
      <c r="HUY30">
        <v>2</v>
      </c>
      <c r="HUZ30">
        <v>2</v>
      </c>
      <c r="HVA30">
        <v>2</v>
      </c>
      <c r="HVB30">
        <v>2</v>
      </c>
      <c r="HVC30">
        <v>2</v>
      </c>
      <c r="HVD30">
        <v>2</v>
      </c>
      <c r="HVE30">
        <v>2</v>
      </c>
      <c r="HVF30">
        <v>2</v>
      </c>
      <c r="HVG30">
        <v>2</v>
      </c>
      <c r="HVH30">
        <v>2</v>
      </c>
      <c r="HVI30">
        <v>2</v>
      </c>
      <c r="HVJ30">
        <v>2</v>
      </c>
      <c r="HVK30">
        <v>2</v>
      </c>
      <c r="HVL30">
        <v>2</v>
      </c>
      <c r="HVM30">
        <v>2</v>
      </c>
      <c r="HVN30">
        <v>2</v>
      </c>
      <c r="HVO30">
        <v>2</v>
      </c>
      <c r="HVP30">
        <v>2</v>
      </c>
      <c r="HVQ30">
        <v>2</v>
      </c>
      <c r="HVR30">
        <v>2</v>
      </c>
      <c r="HVS30">
        <v>2</v>
      </c>
      <c r="HVT30">
        <v>2</v>
      </c>
      <c r="HVU30">
        <v>2</v>
      </c>
      <c r="HVV30">
        <v>2</v>
      </c>
      <c r="HVW30">
        <v>2</v>
      </c>
      <c r="HVX30">
        <v>2</v>
      </c>
      <c r="HVY30">
        <v>2</v>
      </c>
      <c r="HVZ30">
        <v>2</v>
      </c>
      <c r="HWA30">
        <v>2</v>
      </c>
      <c r="HWB30">
        <v>2</v>
      </c>
      <c r="HWC30">
        <v>2</v>
      </c>
      <c r="HWD30">
        <v>2</v>
      </c>
      <c r="HWE30">
        <v>2</v>
      </c>
      <c r="HWF30">
        <v>2</v>
      </c>
      <c r="HWG30">
        <v>2</v>
      </c>
      <c r="KGU30" s="1">
        <f t="shared" si="0"/>
        <v>42</v>
      </c>
      <c r="KGV30">
        <f t="shared" si="1"/>
        <v>47</v>
      </c>
      <c r="KGW30">
        <f t="shared" si="2"/>
        <v>0</v>
      </c>
      <c r="KGX30">
        <f t="shared" si="3"/>
        <v>0</v>
      </c>
      <c r="KGY30">
        <f t="shared" si="4"/>
        <v>0</v>
      </c>
      <c r="KGZ30">
        <f t="shared" si="5"/>
        <v>0</v>
      </c>
      <c r="KHA30">
        <f t="shared" si="6"/>
        <v>0</v>
      </c>
      <c r="KHB30">
        <f t="shared" si="7"/>
        <v>0</v>
      </c>
      <c r="KHC30">
        <f t="shared" si="8"/>
        <v>0</v>
      </c>
      <c r="KHD30">
        <f t="shared" si="9"/>
        <v>0</v>
      </c>
      <c r="KHE30">
        <f t="shared" si="10"/>
        <v>0</v>
      </c>
      <c r="KHF30">
        <f t="shared" si="11"/>
        <v>0</v>
      </c>
      <c r="KHG30">
        <f t="shared" si="12"/>
        <v>0</v>
      </c>
      <c r="KHH30">
        <f t="shared" si="13"/>
        <v>0</v>
      </c>
      <c r="KHI30">
        <f t="shared" si="14"/>
        <v>0</v>
      </c>
      <c r="KHJ30">
        <f t="shared" si="15"/>
        <v>0</v>
      </c>
      <c r="KHK30">
        <f t="shared" si="16"/>
        <v>0</v>
      </c>
      <c r="KHL30">
        <f t="shared" si="17"/>
        <v>0</v>
      </c>
      <c r="KHM30">
        <f t="shared" si="18"/>
        <v>0</v>
      </c>
      <c r="KHN30">
        <f t="shared" si="19"/>
        <v>0</v>
      </c>
      <c r="KHO30">
        <f t="shared" si="20"/>
        <v>0</v>
      </c>
      <c r="KHP30">
        <f t="shared" si="21"/>
        <v>0</v>
      </c>
      <c r="KHQ30">
        <f t="shared" si="22"/>
        <v>0</v>
      </c>
      <c r="KHR30">
        <f t="shared" si="23"/>
        <v>0</v>
      </c>
      <c r="KHS30">
        <f t="shared" si="24"/>
        <v>0</v>
      </c>
      <c r="KHT30">
        <f t="shared" si="25"/>
        <v>0</v>
      </c>
      <c r="KHU30">
        <f t="shared" si="26"/>
        <v>0</v>
      </c>
      <c r="KHV30">
        <f t="shared" si="27"/>
        <v>0</v>
      </c>
      <c r="KHW30">
        <f t="shared" si="28"/>
        <v>0</v>
      </c>
      <c r="KHX30">
        <f t="shared" si="29"/>
        <v>0</v>
      </c>
      <c r="KHY30">
        <f t="shared" si="30"/>
        <v>0</v>
      </c>
      <c r="KHZ30">
        <f t="shared" si="31"/>
        <v>0</v>
      </c>
      <c r="KIA30">
        <f t="shared" si="32"/>
        <v>0</v>
      </c>
      <c r="KIB30">
        <f t="shared" si="33"/>
        <v>0</v>
      </c>
      <c r="KIC30">
        <f t="shared" si="34"/>
        <v>0</v>
      </c>
      <c r="KID30">
        <f t="shared" si="35"/>
        <v>0</v>
      </c>
      <c r="KIE30">
        <f t="shared" si="36"/>
        <v>0</v>
      </c>
      <c r="KIF30">
        <f t="shared" si="37"/>
        <v>0</v>
      </c>
      <c r="KIG30">
        <f t="shared" si="38"/>
        <v>0</v>
      </c>
      <c r="KIH30">
        <f t="shared" si="39"/>
        <v>0</v>
      </c>
      <c r="KII30">
        <f t="shared" si="40"/>
        <v>0</v>
      </c>
      <c r="KIJ30">
        <f t="shared" si="41"/>
        <v>0</v>
      </c>
      <c r="KIK30">
        <f t="shared" si="42"/>
        <v>0</v>
      </c>
      <c r="KIL30">
        <f t="shared" si="43"/>
        <v>0</v>
      </c>
      <c r="KIM30">
        <f t="shared" si="44"/>
        <v>0</v>
      </c>
      <c r="KIN30">
        <f t="shared" si="45"/>
        <v>0</v>
      </c>
      <c r="KIO30">
        <f t="shared" si="46"/>
        <v>0</v>
      </c>
      <c r="KIP30">
        <f t="shared" si="47"/>
        <v>0</v>
      </c>
      <c r="KIQ30">
        <f t="shared" si="48"/>
        <v>0</v>
      </c>
      <c r="KIR30">
        <f t="shared" si="49"/>
        <v>0</v>
      </c>
      <c r="KIS30">
        <f t="shared" si="50"/>
        <v>0</v>
      </c>
      <c r="KIT30">
        <f t="shared" si="51"/>
        <v>0</v>
      </c>
      <c r="KIU30">
        <f t="shared" si="52"/>
        <v>0</v>
      </c>
      <c r="KIV30">
        <f t="shared" si="53"/>
        <v>0</v>
      </c>
      <c r="KIW30">
        <f t="shared" si="54"/>
        <v>0</v>
      </c>
      <c r="KIX30">
        <f t="shared" si="55"/>
        <v>0</v>
      </c>
      <c r="KIY30">
        <f t="shared" si="56"/>
        <v>0</v>
      </c>
      <c r="KIZ30">
        <f t="shared" si="57"/>
        <v>0</v>
      </c>
      <c r="KJA30">
        <f t="shared" si="58"/>
        <v>0</v>
      </c>
      <c r="KJB30">
        <f t="shared" si="59"/>
        <v>0</v>
      </c>
      <c r="KJC30">
        <f t="shared" si="60"/>
        <v>0</v>
      </c>
      <c r="KJD30">
        <f t="shared" si="61"/>
        <v>0</v>
      </c>
      <c r="KJE30">
        <f t="shared" si="62"/>
        <v>0</v>
      </c>
      <c r="KJF30">
        <f t="shared" si="63"/>
        <v>0</v>
      </c>
      <c r="KJG30">
        <f t="shared" si="64"/>
        <v>0</v>
      </c>
      <c r="KJH30">
        <f t="shared" si="65"/>
        <v>0</v>
      </c>
      <c r="KJI30">
        <f t="shared" si="66"/>
        <v>0</v>
      </c>
      <c r="KJJ30">
        <f t="shared" si="67"/>
        <v>0</v>
      </c>
      <c r="KJK30">
        <f t="shared" si="68"/>
        <v>0</v>
      </c>
      <c r="KJL30">
        <f t="shared" si="69"/>
        <v>0</v>
      </c>
      <c r="KJM30">
        <f t="shared" si="70"/>
        <v>0</v>
      </c>
      <c r="KJN30">
        <f t="shared" si="71"/>
        <v>0</v>
      </c>
      <c r="KJO30">
        <f t="shared" si="72"/>
        <v>0</v>
      </c>
      <c r="KJP30">
        <f t="shared" si="73"/>
        <v>0</v>
      </c>
      <c r="KJQ30">
        <f t="shared" si="74"/>
        <v>0</v>
      </c>
      <c r="KJR30">
        <f t="shared" si="75"/>
        <v>0</v>
      </c>
      <c r="KJS30">
        <f t="shared" si="76"/>
        <v>0</v>
      </c>
      <c r="KJT30">
        <f t="shared" si="77"/>
        <v>0</v>
      </c>
      <c r="KJU30">
        <f t="shared" si="78"/>
        <v>0</v>
      </c>
      <c r="KJV30">
        <f t="shared" si="79"/>
        <v>0</v>
      </c>
      <c r="KJW30">
        <f t="shared" si="80"/>
        <v>0</v>
      </c>
      <c r="KJX30">
        <f t="shared" si="81"/>
        <v>0</v>
      </c>
      <c r="KJY30">
        <f t="shared" si="82"/>
        <v>0</v>
      </c>
      <c r="KJZ30">
        <f t="shared" si="83"/>
        <v>0</v>
      </c>
      <c r="KKA30">
        <f t="shared" si="84"/>
        <v>0</v>
      </c>
      <c r="KKB30">
        <f t="shared" si="85"/>
        <v>0</v>
      </c>
      <c r="KKC30">
        <f t="shared" si="86"/>
        <v>0</v>
      </c>
      <c r="KKD30">
        <f t="shared" si="87"/>
        <v>0</v>
      </c>
      <c r="KKE30">
        <f t="shared" si="88"/>
        <v>0</v>
      </c>
      <c r="KKF30">
        <f t="shared" si="89"/>
        <v>0</v>
      </c>
      <c r="KKG30">
        <f t="shared" si="90"/>
        <v>0</v>
      </c>
      <c r="KKH30">
        <f t="shared" si="91"/>
        <v>0</v>
      </c>
      <c r="KKI30">
        <f t="shared" si="92"/>
        <v>0</v>
      </c>
      <c r="KKJ30">
        <f t="shared" si="93"/>
        <v>0</v>
      </c>
      <c r="KKK30">
        <f t="shared" si="94"/>
        <v>0</v>
      </c>
      <c r="KKL30">
        <f t="shared" si="95"/>
        <v>0</v>
      </c>
      <c r="KKM30">
        <f t="shared" si="96"/>
        <v>0</v>
      </c>
      <c r="KKN30">
        <f t="shared" si="97"/>
        <v>0</v>
      </c>
      <c r="KKO30">
        <f t="shared" si="98"/>
        <v>0</v>
      </c>
      <c r="KKP30">
        <f t="shared" si="99"/>
        <v>0</v>
      </c>
      <c r="KKR30">
        <f t="shared" si="100"/>
        <v>89</v>
      </c>
      <c r="KKT30">
        <f t="shared" si="100"/>
        <v>89</v>
      </c>
      <c r="KKU30">
        <f t="shared" si="101"/>
        <v>3.56</v>
      </c>
      <c r="KKW30">
        <f t="shared" si="101"/>
        <v>3.56</v>
      </c>
    </row>
    <row r="31" spans="1:2 2912:2928 5063:5104 5121:6144 7417:7745">
      <c r="A31" t="s">
        <v>27</v>
      </c>
      <c r="B31">
        <v>1</v>
      </c>
      <c r="GNY31">
        <v>1</v>
      </c>
      <c r="GNZ31">
        <v>1</v>
      </c>
      <c r="GOA31">
        <v>1</v>
      </c>
      <c r="GOB31">
        <v>1</v>
      </c>
      <c r="GOC31">
        <v>1</v>
      </c>
      <c r="GOD31">
        <v>1</v>
      </c>
      <c r="GOE31">
        <v>1</v>
      </c>
      <c r="GOF31">
        <v>1</v>
      </c>
      <c r="GOG31">
        <v>1</v>
      </c>
      <c r="GOH31">
        <v>1</v>
      </c>
      <c r="GOI31">
        <v>1</v>
      </c>
      <c r="GOJ31">
        <v>1</v>
      </c>
      <c r="GOK31">
        <v>1</v>
      </c>
      <c r="GOL31">
        <v>1</v>
      </c>
      <c r="GOM31">
        <v>1</v>
      </c>
      <c r="GON31">
        <v>1</v>
      </c>
      <c r="GOO31">
        <v>1</v>
      </c>
      <c r="GOP31">
        <v>1</v>
      </c>
      <c r="GOQ31">
        <v>1</v>
      </c>
      <c r="GOR31">
        <v>1</v>
      </c>
      <c r="GOS31">
        <v>1</v>
      </c>
      <c r="GOT31">
        <v>1</v>
      </c>
      <c r="GOU31">
        <v>1</v>
      </c>
      <c r="GOV31">
        <v>1</v>
      </c>
      <c r="GOW31">
        <v>1</v>
      </c>
      <c r="GOX31">
        <v>1</v>
      </c>
      <c r="GOY31">
        <v>1</v>
      </c>
      <c r="GOZ31">
        <v>1</v>
      </c>
      <c r="GPA31">
        <v>1</v>
      </c>
      <c r="GPB31">
        <v>1</v>
      </c>
      <c r="GPC31">
        <v>1</v>
      </c>
      <c r="GPD31">
        <v>1</v>
      </c>
      <c r="GPE31">
        <v>1</v>
      </c>
      <c r="GPF31">
        <v>1</v>
      </c>
      <c r="GPG31">
        <v>1</v>
      </c>
      <c r="GPH31">
        <v>1</v>
      </c>
      <c r="GPI31">
        <v>1</v>
      </c>
      <c r="GPJ31">
        <v>1</v>
      </c>
      <c r="GPK31">
        <v>1</v>
      </c>
      <c r="GPL31">
        <v>1</v>
      </c>
      <c r="GPM31">
        <v>1</v>
      </c>
      <c r="GPN31">
        <v>1</v>
      </c>
      <c r="GPO31">
        <v>1</v>
      </c>
      <c r="GPP31">
        <v>1</v>
      </c>
      <c r="GPQ31">
        <v>1</v>
      </c>
      <c r="GPR31">
        <v>1</v>
      </c>
      <c r="GPS31">
        <v>1</v>
      </c>
      <c r="GPT31">
        <v>1</v>
      </c>
      <c r="GPU31">
        <v>1</v>
      </c>
      <c r="GPV31">
        <v>1</v>
      </c>
      <c r="GPW31">
        <v>1</v>
      </c>
      <c r="GPX31">
        <v>1</v>
      </c>
      <c r="GPY31">
        <v>1</v>
      </c>
      <c r="GPZ31">
        <v>1</v>
      </c>
      <c r="GQA31">
        <v>1</v>
      </c>
      <c r="GQB31">
        <v>1</v>
      </c>
      <c r="GQC31">
        <v>1</v>
      </c>
      <c r="GQD31">
        <v>1</v>
      </c>
      <c r="GQE31">
        <v>1</v>
      </c>
      <c r="GQF31">
        <v>1</v>
      </c>
      <c r="GQG31">
        <v>1</v>
      </c>
      <c r="GQH31">
        <v>1</v>
      </c>
      <c r="GQI31">
        <v>1</v>
      </c>
      <c r="GQJ31">
        <v>1</v>
      </c>
      <c r="GQK31">
        <v>1</v>
      </c>
      <c r="GQL31">
        <v>1</v>
      </c>
      <c r="GQM31">
        <v>1</v>
      </c>
      <c r="GQN31">
        <v>1</v>
      </c>
      <c r="GQO31">
        <v>1</v>
      </c>
      <c r="GQP31">
        <v>1</v>
      </c>
      <c r="GQQ31">
        <v>1</v>
      </c>
      <c r="GQR31">
        <v>1</v>
      </c>
      <c r="GQS31">
        <v>1</v>
      </c>
      <c r="GQT31">
        <v>1</v>
      </c>
      <c r="GQU31">
        <v>1</v>
      </c>
      <c r="GQV31">
        <v>1</v>
      </c>
      <c r="GQW31">
        <v>1</v>
      </c>
      <c r="GQX31">
        <v>1</v>
      </c>
      <c r="GQY31">
        <v>1</v>
      </c>
      <c r="GQZ31">
        <v>1</v>
      </c>
      <c r="GRA31">
        <v>1</v>
      </c>
      <c r="GRB31">
        <v>1</v>
      </c>
      <c r="GRC31">
        <v>1</v>
      </c>
      <c r="GRD31">
        <v>1</v>
      </c>
      <c r="GRE31">
        <v>1</v>
      </c>
      <c r="GRF31">
        <v>1</v>
      </c>
      <c r="GRG31">
        <v>1</v>
      </c>
      <c r="GRH31">
        <v>1</v>
      </c>
      <c r="GRI31">
        <v>1</v>
      </c>
      <c r="GRJ31">
        <v>1</v>
      </c>
      <c r="GRK31">
        <v>1</v>
      </c>
      <c r="GRL31">
        <v>1</v>
      </c>
      <c r="GRM31">
        <v>1</v>
      </c>
      <c r="GRN31">
        <v>1</v>
      </c>
      <c r="GRO31">
        <v>1</v>
      </c>
      <c r="GRP31">
        <v>1</v>
      </c>
      <c r="GRQ31">
        <v>1</v>
      </c>
      <c r="GRR31">
        <v>1</v>
      </c>
      <c r="GRS31">
        <v>1</v>
      </c>
      <c r="GRT31">
        <v>1</v>
      </c>
      <c r="GRU31">
        <v>1</v>
      </c>
      <c r="GRV31">
        <v>1</v>
      </c>
      <c r="GRW31">
        <v>1</v>
      </c>
      <c r="GRX31">
        <v>1</v>
      </c>
      <c r="GRY31">
        <v>1</v>
      </c>
      <c r="GRZ31">
        <v>1</v>
      </c>
      <c r="GSA31">
        <v>1</v>
      </c>
      <c r="GSB31">
        <v>1</v>
      </c>
      <c r="GSC31">
        <v>1</v>
      </c>
      <c r="GSD31">
        <v>1</v>
      </c>
      <c r="GSE31">
        <v>1</v>
      </c>
      <c r="GSF31">
        <v>1</v>
      </c>
      <c r="GSG31">
        <v>1</v>
      </c>
      <c r="GSH31">
        <v>1</v>
      </c>
      <c r="GSI31">
        <v>1</v>
      </c>
      <c r="GSJ31">
        <v>1</v>
      </c>
      <c r="GSK31">
        <v>1</v>
      </c>
      <c r="GSL31">
        <v>1</v>
      </c>
      <c r="GSM31">
        <v>1</v>
      </c>
      <c r="GSN31">
        <v>1</v>
      </c>
      <c r="GSO31">
        <v>1</v>
      </c>
      <c r="GSP31">
        <v>1</v>
      </c>
      <c r="GSQ31">
        <v>1</v>
      </c>
      <c r="GSR31">
        <v>1</v>
      </c>
      <c r="GSS31">
        <v>1</v>
      </c>
      <c r="GST31">
        <v>1</v>
      </c>
      <c r="GSU31">
        <v>1</v>
      </c>
      <c r="GSV31">
        <v>1</v>
      </c>
      <c r="GSW31">
        <v>1</v>
      </c>
      <c r="GSX31">
        <v>1</v>
      </c>
      <c r="GSY31">
        <v>1</v>
      </c>
      <c r="GSZ31">
        <v>1</v>
      </c>
      <c r="GTA31">
        <v>1</v>
      </c>
      <c r="GTB31">
        <v>1</v>
      </c>
      <c r="GTC31">
        <v>1</v>
      </c>
      <c r="GTD31">
        <v>1</v>
      </c>
      <c r="GTE31">
        <v>1</v>
      </c>
      <c r="GTF31">
        <v>1</v>
      </c>
      <c r="GTG31">
        <v>1</v>
      </c>
      <c r="GTH31">
        <v>1</v>
      </c>
      <c r="GTI31">
        <v>1</v>
      </c>
      <c r="GTJ31">
        <v>1</v>
      </c>
      <c r="GTK31">
        <v>1</v>
      </c>
      <c r="GTL31">
        <v>1</v>
      </c>
      <c r="GTM31">
        <v>1</v>
      </c>
      <c r="GTN31">
        <v>1</v>
      </c>
      <c r="GTO31">
        <v>1</v>
      </c>
      <c r="GTP31">
        <v>1</v>
      </c>
      <c r="GTQ31">
        <v>1</v>
      </c>
      <c r="GTR31">
        <v>1</v>
      </c>
      <c r="GTS31">
        <v>1</v>
      </c>
      <c r="GTT31">
        <v>1</v>
      </c>
      <c r="GTU31">
        <v>1</v>
      </c>
      <c r="GTV31">
        <v>1</v>
      </c>
      <c r="GTW31">
        <v>1</v>
      </c>
      <c r="GTX31">
        <v>1</v>
      </c>
      <c r="GTY31">
        <v>1</v>
      </c>
      <c r="GTZ31">
        <v>1</v>
      </c>
      <c r="GUA31">
        <v>1</v>
      </c>
      <c r="GUB31">
        <v>1</v>
      </c>
      <c r="GUC31">
        <v>1</v>
      </c>
      <c r="GUD31">
        <v>1</v>
      </c>
      <c r="GUE31">
        <v>1</v>
      </c>
      <c r="GUF31">
        <v>1</v>
      </c>
      <c r="GUG31">
        <v>1</v>
      </c>
      <c r="GUH31">
        <v>1</v>
      </c>
      <c r="GUI31">
        <v>1</v>
      </c>
      <c r="GUJ31">
        <v>1</v>
      </c>
      <c r="KGU31" s="1">
        <f t="shared" si="0"/>
        <v>168</v>
      </c>
      <c r="KGV31">
        <f t="shared" si="1"/>
        <v>0</v>
      </c>
      <c r="KGW31">
        <f t="shared" si="2"/>
        <v>0</v>
      </c>
      <c r="KGX31">
        <f t="shared" si="3"/>
        <v>0</v>
      </c>
      <c r="KGY31">
        <f t="shared" si="4"/>
        <v>0</v>
      </c>
      <c r="KGZ31">
        <f t="shared" si="5"/>
        <v>0</v>
      </c>
      <c r="KHA31">
        <f t="shared" si="6"/>
        <v>0</v>
      </c>
      <c r="KHB31">
        <f t="shared" si="7"/>
        <v>0</v>
      </c>
      <c r="KHC31">
        <f t="shared" si="8"/>
        <v>0</v>
      </c>
      <c r="KHD31">
        <f t="shared" si="9"/>
        <v>0</v>
      </c>
      <c r="KHE31">
        <f t="shared" si="10"/>
        <v>0</v>
      </c>
      <c r="KHF31">
        <f t="shared" si="11"/>
        <v>0</v>
      </c>
      <c r="KHG31">
        <f t="shared" si="12"/>
        <v>0</v>
      </c>
      <c r="KHH31">
        <f t="shared" si="13"/>
        <v>0</v>
      </c>
      <c r="KHI31">
        <f t="shared" si="14"/>
        <v>0</v>
      </c>
      <c r="KHJ31">
        <f t="shared" si="15"/>
        <v>0</v>
      </c>
      <c r="KHK31">
        <f t="shared" si="16"/>
        <v>0</v>
      </c>
      <c r="KHL31">
        <f t="shared" si="17"/>
        <v>0</v>
      </c>
      <c r="KHM31">
        <f t="shared" si="18"/>
        <v>0</v>
      </c>
      <c r="KHN31">
        <f t="shared" si="19"/>
        <v>0</v>
      </c>
      <c r="KHO31">
        <f t="shared" si="20"/>
        <v>0</v>
      </c>
      <c r="KHP31">
        <f t="shared" si="21"/>
        <v>0</v>
      </c>
      <c r="KHQ31">
        <f t="shared" si="22"/>
        <v>0</v>
      </c>
      <c r="KHR31">
        <f t="shared" si="23"/>
        <v>0</v>
      </c>
      <c r="KHS31">
        <f t="shared" si="24"/>
        <v>0</v>
      </c>
      <c r="KHT31">
        <f t="shared" si="25"/>
        <v>0</v>
      </c>
      <c r="KHU31">
        <f t="shared" si="26"/>
        <v>0</v>
      </c>
      <c r="KHV31">
        <f t="shared" si="27"/>
        <v>0</v>
      </c>
      <c r="KHW31">
        <f t="shared" si="28"/>
        <v>0</v>
      </c>
      <c r="KHX31">
        <f t="shared" si="29"/>
        <v>0</v>
      </c>
      <c r="KHY31">
        <f t="shared" si="30"/>
        <v>0</v>
      </c>
      <c r="KHZ31">
        <f t="shared" si="31"/>
        <v>0</v>
      </c>
      <c r="KIA31">
        <f t="shared" si="32"/>
        <v>0</v>
      </c>
      <c r="KIB31">
        <f t="shared" si="33"/>
        <v>0</v>
      </c>
      <c r="KIC31">
        <f t="shared" si="34"/>
        <v>0</v>
      </c>
      <c r="KID31">
        <f t="shared" si="35"/>
        <v>0</v>
      </c>
      <c r="KIE31">
        <f t="shared" si="36"/>
        <v>0</v>
      </c>
      <c r="KIF31">
        <f t="shared" si="37"/>
        <v>0</v>
      </c>
      <c r="KIG31">
        <f t="shared" si="38"/>
        <v>0</v>
      </c>
      <c r="KIH31">
        <f t="shared" si="39"/>
        <v>0</v>
      </c>
      <c r="KII31">
        <f t="shared" si="40"/>
        <v>0</v>
      </c>
      <c r="KIJ31">
        <f t="shared" si="41"/>
        <v>0</v>
      </c>
      <c r="KIK31">
        <f t="shared" si="42"/>
        <v>0</v>
      </c>
      <c r="KIL31">
        <f t="shared" si="43"/>
        <v>0</v>
      </c>
      <c r="KIM31">
        <f t="shared" si="44"/>
        <v>0</v>
      </c>
      <c r="KIN31">
        <f t="shared" si="45"/>
        <v>0</v>
      </c>
      <c r="KIO31">
        <f t="shared" si="46"/>
        <v>0</v>
      </c>
      <c r="KIP31">
        <f t="shared" si="47"/>
        <v>0</v>
      </c>
      <c r="KIQ31">
        <f t="shared" si="48"/>
        <v>0</v>
      </c>
      <c r="KIR31">
        <f t="shared" si="49"/>
        <v>0</v>
      </c>
      <c r="KIS31">
        <f t="shared" si="50"/>
        <v>0</v>
      </c>
      <c r="KIT31">
        <f t="shared" si="51"/>
        <v>0</v>
      </c>
      <c r="KIU31">
        <f t="shared" si="52"/>
        <v>0</v>
      </c>
      <c r="KIV31">
        <f t="shared" si="53"/>
        <v>0</v>
      </c>
      <c r="KIW31">
        <f t="shared" si="54"/>
        <v>0</v>
      </c>
      <c r="KIX31">
        <f t="shared" si="55"/>
        <v>0</v>
      </c>
      <c r="KIY31">
        <f t="shared" si="56"/>
        <v>0</v>
      </c>
      <c r="KIZ31">
        <f t="shared" si="57"/>
        <v>0</v>
      </c>
      <c r="KJA31">
        <f t="shared" si="58"/>
        <v>0</v>
      </c>
      <c r="KJB31">
        <f t="shared" si="59"/>
        <v>0</v>
      </c>
      <c r="KJC31">
        <f t="shared" si="60"/>
        <v>0</v>
      </c>
      <c r="KJD31">
        <f t="shared" si="61"/>
        <v>0</v>
      </c>
      <c r="KJE31">
        <f t="shared" si="62"/>
        <v>0</v>
      </c>
      <c r="KJF31">
        <f t="shared" si="63"/>
        <v>0</v>
      </c>
      <c r="KJG31">
        <f t="shared" si="64"/>
        <v>0</v>
      </c>
      <c r="KJH31">
        <f t="shared" si="65"/>
        <v>0</v>
      </c>
      <c r="KJI31">
        <f t="shared" si="66"/>
        <v>0</v>
      </c>
      <c r="KJJ31">
        <f t="shared" si="67"/>
        <v>0</v>
      </c>
      <c r="KJK31">
        <f t="shared" si="68"/>
        <v>0</v>
      </c>
      <c r="KJL31">
        <f t="shared" si="69"/>
        <v>0</v>
      </c>
      <c r="KJM31">
        <f t="shared" si="70"/>
        <v>0</v>
      </c>
      <c r="KJN31">
        <f t="shared" si="71"/>
        <v>0</v>
      </c>
      <c r="KJO31">
        <f t="shared" si="72"/>
        <v>0</v>
      </c>
      <c r="KJP31">
        <f t="shared" si="73"/>
        <v>0</v>
      </c>
      <c r="KJQ31">
        <f t="shared" si="74"/>
        <v>0</v>
      </c>
      <c r="KJR31">
        <f t="shared" si="75"/>
        <v>0</v>
      </c>
      <c r="KJS31">
        <f t="shared" si="76"/>
        <v>0</v>
      </c>
      <c r="KJT31">
        <f t="shared" si="77"/>
        <v>0</v>
      </c>
      <c r="KJU31">
        <f t="shared" si="78"/>
        <v>0</v>
      </c>
      <c r="KJV31">
        <f t="shared" si="79"/>
        <v>0</v>
      </c>
      <c r="KJW31">
        <f t="shared" si="80"/>
        <v>0</v>
      </c>
      <c r="KJX31">
        <f t="shared" si="81"/>
        <v>0</v>
      </c>
      <c r="KJY31">
        <f t="shared" si="82"/>
        <v>0</v>
      </c>
      <c r="KJZ31">
        <f t="shared" si="83"/>
        <v>0</v>
      </c>
      <c r="KKA31">
        <f t="shared" si="84"/>
        <v>0</v>
      </c>
      <c r="KKB31">
        <f t="shared" si="85"/>
        <v>0</v>
      </c>
      <c r="KKC31">
        <f t="shared" si="86"/>
        <v>0</v>
      </c>
      <c r="KKD31">
        <f t="shared" si="87"/>
        <v>0</v>
      </c>
      <c r="KKE31">
        <f t="shared" si="88"/>
        <v>0</v>
      </c>
      <c r="KKF31">
        <f t="shared" si="89"/>
        <v>0</v>
      </c>
      <c r="KKG31">
        <f t="shared" si="90"/>
        <v>0</v>
      </c>
      <c r="KKH31">
        <f t="shared" si="91"/>
        <v>0</v>
      </c>
      <c r="KKI31">
        <f t="shared" si="92"/>
        <v>0</v>
      </c>
      <c r="KKJ31">
        <f t="shared" si="93"/>
        <v>0</v>
      </c>
      <c r="KKK31">
        <f t="shared" si="94"/>
        <v>0</v>
      </c>
      <c r="KKL31">
        <f t="shared" si="95"/>
        <v>0</v>
      </c>
      <c r="KKM31">
        <f t="shared" si="96"/>
        <v>0</v>
      </c>
      <c r="KKN31">
        <f t="shared" si="97"/>
        <v>0</v>
      </c>
      <c r="KKO31">
        <f t="shared" si="98"/>
        <v>0</v>
      </c>
      <c r="KKP31">
        <f t="shared" si="99"/>
        <v>0</v>
      </c>
      <c r="KKR31">
        <f t="shared" si="100"/>
        <v>168</v>
      </c>
      <c r="KKT31">
        <f t="shared" si="100"/>
        <v>168</v>
      </c>
      <c r="KKU31">
        <f t="shared" si="101"/>
        <v>6.72</v>
      </c>
      <c r="KKW31">
        <f t="shared" si="101"/>
        <v>6.72</v>
      </c>
    </row>
    <row r="32" spans="1:2 2912:2928 5063:5104 5121:6144 7417:7745">
      <c r="A32" t="s">
        <v>7665</v>
      </c>
      <c r="B32">
        <v>1</v>
      </c>
      <c r="GLS32">
        <v>1</v>
      </c>
      <c r="GLT32">
        <v>1</v>
      </c>
      <c r="GLU32">
        <v>1</v>
      </c>
      <c r="GLV32">
        <v>1</v>
      </c>
      <c r="GLW32">
        <v>1</v>
      </c>
      <c r="GLX32">
        <v>1</v>
      </c>
      <c r="GLY32">
        <v>1</v>
      </c>
      <c r="GLZ32">
        <v>1</v>
      </c>
      <c r="GMA32">
        <v>1</v>
      </c>
      <c r="GMB32">
        <v>1</v>
      </c>
      <c r="GMC32">
        <v>1</v>
      </c>
      <c r="GMD32">
        <v>1</v>
      </c>
      <c r="GME32">
        <v>1</v>
      </c>
      <c r="GMF32">
        <v>1</v>
      </c>
      <c r="GMG32">
        <v>1</v>
      </c>
      <c r="GMH32">
        <v>1</v>
      </c>
      <c r="GMI32">
        <v>1</v>
      </c>
      <c r="GMJ32">
        <v>1</v>
      </c>
      <c r="GMK32">
        <v>1</v>
      </c>
      <c r="GML32">
        <v>1</v>
      </c>
      <c r="GMM32">
        <v>1</v>
      </c>
      <c r="GMN32">
        <v>1</v>
      </c>
      <c r="GMO32">
        <v>1</v>
      </c>
      <c r="GMP32">
        <v>1</v>
      </c>
      <c r="GMQ32">
        <v>1</v>
      </c>
      <c r="GMR32">
        <v>1</v>
      </c>
      <c r="GMS32">
        <v>1</v>
      </c>
      <c r="GMT32">
        <v>1</v>
      </c>
      <c r="GMU32">
        <v>1</v>
      </c>
      <c r="GMV32">
        <v>1</v>
      </c>
      <c r="GMW32">
        <v>1</v>
      </c>
      <c r="GMX32">
        <v>1</v>
      </c>
      <c r="GMY32">
        <v>1</v>
      </c>
      <c r="GMZ32">
        <v>1</v>
      </c>
      <c r="GNA32">
        <v>1</v>
      </c>
      <c r="GNB32">
        <v>1</v>
      </c>
      <c r="GNC32">
        <v>1</v>
      </c>
      <c r="GND32">
        <v>1</v>
      </c>
      <c r="GNE32">
        <v>1</v>
      </c>
      <c r="GNF32">
        <v>1</v>
      </c>
      <c r="GNG32">
        <v>1</v>
      </c>
      <c r="GNH32">
        <v>1</v>
      </c>
      <c r="KGU32" s="1">
        <f t="shared" si="0"/>
        <v>42</v>
      </c>
      <c r="KGV32">
        <f t="shared" si="1"/>
        <v>0</v>
      </c>
      <c r="KGW32">
        <f t="shared" si="2"/>
        <v>0</v>
      </c>
      <c r="KGX32">
        <f t="shared" si="3"/>
        <v>0</v>
      </c>
      <c r="KGY32">
        <f t="shared" si="4"/>
        <v>0</v>
      </c>
      <c r="KGZ32">
        <f t="shared" si="5"/>
        <v>0</v>
      </c>
      <c r="KHA32">
        <f t="shared" si="6"/>
        <v>0</v>
      </c>
      <c r="KHB32">
        <f t="shared" si="7"/>
        <v>0</v>
      </c>
      <c r="KHC32">
        <f t="shared" si="8"/>
        <v>0</v>
      </c>
      <c r="KHD32">
        <f t="shared" si="9"/>
        <v>0</v>
      </c>
      <c r="KHE32">
        <f t="shared" si="10"/>
        <v>0</v>
      </c>
      <c r="KHF32">
        <f t="shared" si="11"/>
        <v>0</v>
      </c>
      <c r="KHG32">
        <f t="shared" si="12"/>
        <v>0</v>
      </c>
      <c r="KHH32">
        <f t="shared" si="13"/>
        <v>0</v>
      </c>
      <c r="KHI32">
        <f t="shared" si="14"/>
        <v>0</v>
      </c>
      <c r="KHJ32">
        <f t="shared" si="15"/>
        <v>0</v>
      </c>
      <c r="KHK32">
        <f t="shared" si="16"/>
        <v>0</v>
      </c>
      <c r="KHL32">
        <f t="shared" si="17"/>
        <v>0</v>
      </c>
      <c r="KHM32">
        <f t="shared" si="18"/>
        <v>0</v>
      </c>
      <c r="KHN32">
        <f t="shared" si="19"/>
        <v>0</v>
      </c>
      <c r="KHO32">
        <f t="shared" si="20"/>
        <v>0</v>
      </c>
      <c r="KHP32">
        <f t="shared" si="21"/>
        <v>0</v>
      </c>
      <c r="KHQ32">
        <f t="shared" si="22"/>
        <v>0</v>
      </c>
      <c r="KHR32">
        <f t="shared" si="23"/>
        <v>0</v>
      </c>
      <c r="KHS32">
        <f t="shared" si="24"/>
        <v>0</v>
      </c>
      <c r="KHT32">
        <f t="shared" si="25"/>
        <v>0</v>
      </c>
      <c r="KHU32">
        <f t="shared" si="26"/>
        <v>0</v>
      </c>
      <c r="KHV32">
        <f t="shared" si="27"/>
        <v>0</v>
      </c>
      <c r="KHW32">
        <f t="shared" si="28"/>
        <v>0</v>
      </c>
      <c r="KHX32">
        <f t="shared" si="29"/>
        <v>0</v>
      </c>
      <c r="KHY32">
        <f t="shared" si="30"/>
        <v>0</v>
      </c>
      <c r="KHZ32">
        <f t="shared" si="31"/>
        <v>0</v>
      </c>
      <c r="KIA32">
        <f t="shared" si="32"/>
        <v>0</v>
      </c>
      <c r="KIB32">
        <f t="shared" si="33"/>
        <v>0</v>
      </c>
      <c r="KIC32">
        <f t="shared" si="34"/>
        <v>0</v>
      </c>
      <c r="KID32">
        <f t="shared" si="35"/>
        <v>0</v>
      </c>
      <c r="KIE32">
        <f t="shared" si="36"/>
        <v>0</v>
      </c>
      <c r="KIF32">
        <f t="shared" si="37"/>
        <v>0</v>
      </c>
      <c r="KIG32">
        <f t="shared" si="38"/>
        <v>0</v>
      </c>
      <c r="KIH32">
        <f t="shared" si="39"/>
        <v>0</v>
      </c>
      <c r="KII32">
        <f t="shared" si="40"/>
        <v>0</v>
      </c>
      <c r="KIJ32">
        <f t="shared" si="41"/>
        <v>0</v>
      </c>
      <c r="KIK32">
        <f t="shared" si="42"/>
        <v>0</v>
      </c>
      <c r="KIL32">
        <f t="shared" si="43"/>
        <v>0</v>
      </c>
      <c r="KIM32">
        <f t="shared" si="44"/>
        <v>0</v>
      </c>
      <c r="KIN32">
        <f t="shared" si="45"/>
        <v>0</v>
      </c>
      <c r="KIO32">
        <f t="shared" si="46"/>
        <v>0</v>
      </c>
      <c r="KIP32">
        <f t="shared" si="47"/>
        <v>0</v>
      </c>
      <c r="KIQ32">
        <f t="shared" si="48"/>
        <v>0</v>
      </c>
      <c r="KIR32">
        <f t="shared" si="49"/>
        <v>0</v>
      </c>
      <c r="KIS32">
        <f t="shared" si="50"/>
        <v>0</v>
      </c>
      <c r="KIT32">
        <f t="shared" si="51"/>
        <v>0</v>
      </c>
      <c r="KIU32">
        <f t="shared" si="52"/>
        <v>0</v>
      </c>
      <c r="KIV32">
        <f t="shared" si="53"/>
        <v>0</v>
      </c>
      <c r="KIW32">
        <f t="shared" si="54"/>
        <v>0</v>
      </c>
      <c r="KIX32">
        <f t="shared" si="55"/>
        <v>0</v>
      </c>
      <c r="KIY32">
        <f t="shared" si="56"/>
        <v>0</v>
      </c>
      <c r="KIZ32">
        <f t="shared" si="57"/>
        <v>0</v>
      </c>
      <c r="KJA32">
        <f t="shared" si="58"/>
        <v>0</v>
      </c>
      <c r="KJB32">
        <f t="shared" si="59"/>
        <v>0</v>
      </c>
      <c r="KJC32">
        <f t="shared" si="60"/>
        <v>0</v>
      </c>
      <c r="KJD32">
        <f t="shared" si="61"/>
        <v>0</v>
      </c>
      <c r="KJE32">
        <f t="shared" si="62"/>
        <v>0</v>
      </c>
      <c r="KJF32">
        <f t="shared" si="63"/>
        <v>0</v>
      </c>
      <c r="KJG32">
        <f t="shared" si="64"/>
        <v>0</v>
      </c>
      <c r="KJH32">
        <f t="shared" si="65"/>
        <v>0</v>
      </c>
      <c r="KJI32">
        <f t="shared" si="66"/>
        <v>0</v>
      </c>
      <c r="KJJ32">
        <f t="shared" si="67"/>
        <v>0</v>
      </c>
      <c r="KJK32">
        <f t="shared" si="68"/>
        <v>0</v>
      </c>
      <c r="KJL32">
        <f t="shared" si="69"/>
        <v>0</v>
      </c>
      <c r="KJM32">
        <f t="shared" si="70"/>
        <v>0</v>
      </c>
      <c r="KJN32">
        <f t="shared" si="71"/>
        <v>0</v>
      </c>
      <c r="KJO32">
        <f t="shared" si="72"/>
        <v>0</v>
      </c>
      <c r="KJP32">
        <f t="shared" si="73"/>
        <v>0</v>
      </c>
      <c r="KJQ32">
        <f t="shared" si="74"/>
        <v>0</v>
      </c>
      <c r="KJR32">
        <f t="shared" si="75"/>
        <v>0</v>
      </c>
      <c r="KJS32">
        <f t="shared" si="76"/>
        <v>0</v>
      </c>
      <c r="KJT32">
        <f t="shared" si="77"/>
        <v>0</v>
      </c>
      <c r="KJU32">
        <f t="shared" si="78"/>
        <v>0</v>
      </c>
      <c r="KJV32">
        <f t="shared" si="79"/>
        <v>0</v>
      </c>
      <c r="KJW32">
        <f t="shared" si="80"/>
        <v>0</v>
      </c>
      <c r="KJX32">
        <f t="shared" si="81"/>
        <v>0</v>
      </c>
      <c r="KJY32">
        <f t="shared" si="82"/>
        <v>0</v>
      </c>
      <c r="KJZ32">
        <f t="shared" si="83"/>
        <v>0</v>
      </c>
      <c r="KKA32">
        <f t="shared" si="84"/>
        <v>0</v>
      </c>
      <c r="KKB32">
        <f t="shared" si="85"/>
        <v>0</v>
      </c>
      <c r="KKC32">
        <f t="shared" si="86"/>
        <v>0</v>
      </c>
      <c r="KKD32">
        <f t="shared" si="87"/>
        <v>0</v>
      </c>
      <c r="KKE32">
        <f t="shared" si="88"/>
        <v>0</v>
      </c>
      <c r="KKF32">
        <f t="shared" si="89"/>
        <v>0</v>
      </c>
      <c r="KKG32">
        <f t="shared" si="90"/>
        <v>0</v>
      </c>
      <c r="KKH32">
        <f t="shared" si="91"/>
        <v>0</v>
      </c>
      <c r="KKI32">
        <f t="shared" si="92"/>
        <v>0</v>
      </c>
      <c r="KKJ32">
        <f t="shared" si="93"/>
        <v>0</v>
      </c>
      <c r="KKK32">
        <f t="shared" si="94"/>
        <v>0</v>
      </c>
      <c r="KKL32">
        <f t="shared" si="95"/>
        <v>0</v>
      </c>
      <c r="KKM32">
        <f t="shared" si="96"/>
        <v>0</v>
      </c>
      <c r="KKN32">
        <f t="shared" si="97"/>
        <v>0</v>
      </c>
      <c r="KKO32">
        <f t="shared" si="98"/>
        <v>0</v>
      </c>
      <c r="KKP32">
        <f t="shared" si="99"/>
        <v>0</v>
      </c>
      <c r="KKR32">
        <f t="shared" si="100"/>
        <v>42</v>
      </c>
      <c r="KKT32">
        <f t="shared" si="100"/>
        <v>42</v>
      </c>
      <c r="KKU32">
        <f t="shared" si="101"/>
        <v>1.68</v>
      </c>
      <c r="KKW32">
        <f t="shared" si="101"/>
        <v>1.68</v>
      </c>
    </row>
    <row r="33" spans="1:2 2601:2638 4867:5062 5967:6013 7182:7745">
      <c r="A33" t="s">
        <v>7666</v>
      </c>
      <c r="B33">
        <v>1</v>
      </c>
      <c r="HUM33">
        <v>1</v>
      </c>
      <c r="HUN33">
        <v>1</v>
      </c>
      <c r="HUO33">
        <v>1</v>
      </c>
      <c r="HUP33">
        <v>1</v>
      </c>
      <c r="HUQ33">
        <v>1</v>
      </c>
      <c r="HUR33">
        <v>1</v>
      </c>
      <c r="HUS33">
        <v>1</v>
      </c>
      <c r="HUT33">
        <v>1</v>
      </c>
      <c r="HUU33">
        <v>1</v>
      </c>
      <c r="HUV33">
        <v>1</v>
      </c>
      <c r="HUW33">
        <v>1</v>
      </c>
      <c r="HUX33">
        <v>1</v>
      </c>
      <c r="HUY33">
        <v>1</v>
      </c>
      <c r="HUZ33">
        <v>1</v>
      </c>
      <c r="HVA33">
        <v>1</v>
      </c>
      <c r="HVB33">
        <v>1</v>
      </c>
      <c r="HVC33">
        <v>1</v>
      </c>
      <c r="HVD33">
        <v>1</v>
      </c>
      <c r="HVE33">
        <v>1</v>
      </c>
      <c r="HVF33">
        <v>1</v>
      </c>
      <c r="HVG33">
        <v>1</v>
      </c>
      <c r="HVH33">
        <v>1</v>
      </c>
      <c r="HVI33">
        <v>1</v>
      </c>
      <c r="HVJ33">
        <v>1</v>
      </c>
      <c r="HVK33">
        <v>1</v>
      </c>
      <c r="HVL33">
        <v>1</v>
      </c>
      <c r="HVM33">
        <v>1</v>
      </c>
      <c r="HVN33">
        <v>1</v>
      </c>
      <c r="HVO33">
        <v>1</v>
      </c>
      <c r="HVP33">
        <v>1</v>
      </c>
      <c r="HVQ33">
        <v>1</v>
      </c>
      <c r="HVR33">
        <v>1</v>
      </c>
      <c r="HVS33">
        <v>1</v>
      </c>
      <c r="HVT33">
        <v>1</v>
      </c>
      <c r="HVU33">
        <v>1</v>
      </c>
      <c r="HVV33">
        <v>1</v>
      </c>
      <c r="HVW33">
        <v>1</v>
      </c>
      <c r="HVX33">
        <v>1</v>
      </c>
      <c r="HVY33">
        <v>1</v>
      </c>
      <c r="HVZ33">
        <v>1</v>
      </c>
      <c r="HWA33">
        <v>1</v>
      </c>
      <c r="HWB33">
        <v>1</v>
      </c>
      <c r="HWC33">
        <v>1</v>
      </c>
      <c r="HWD33">
        <v>1</v>
      </c>
      <c r="HWE33">
        <v>1</v>
      </c>
      <c r="HWF33">
        <v>1</v>
      </c>
      <c r="HWG33">
        <v>1</v>
      </c>
      <c r="KGU33" s="1">
        <f t="shared" si="0"/>
        <v>47</v>
      </c>
      <c r="KGV33">
        <f t="shared" si="1"/>
        <v>0</v>
      </c>
      <c r="KGW33">
        <f t="shared" si="2"/>
        <v>0</v>
      </c>
      <c r="KGX33">
        <f t="shared" si="3"/>
        <v>0</v>
      </c>
      <c r="KGY33">
        <f t="shared" si="4"/>
        <v>0</v>
      </c>
      <c r="KGZ33">
        <f t="shared" si="5"/>
        <v>0</v>
      </c>
      <c r="KHA33">
        <f t="shared" si="6"/>
        <v>0</v>
      </c>
      <c r="KHB33">
        <f t="shared" si="7"/>
        <v>0</v>
      </c>
      <c r="KHC33">
        <f t="shared" si="8"/>
        <v>0</v>
      </c>
      <c r="KHD33">
        <f t="shared" si="9"/>
        <v>0</v>
      </c>
      <c r="KHE33">
        <f t="shared" si="10"/>
        <v>0</v>
      </c>
      <c r="KHF33">
        <f t="shared" si="11"/>
        <v>0</v>
      </c>
      <c r="KHG33">
        <f t="shared" si="12"/>
        <v>0</v>
      </c>
      <c r="KHH33">
        <f t="shared" si="13"/>
        <v>0</v>
      </c>
      <c r="KHI33">
        <f t="shared" si="14"/>
        <v>0</v>
      </c>
      <c r="KHJ33">
        <f t="shared" si="15"/>
        <v>0</v>
      </c>
      <c r="KHK33">
        <f t="shared" si="16"/>
        <v>0</v>
      </c>
      <c r="KHL33">
        <f t="shared" si="17"/>
        <v>0</v>
      </c>
      <c r="KHM33">
        <f t="shared" si="18"/>
        <v>0</v>
      </c>
      <c r="KHN33">
        <f t="shared" si="19"/>
        <v>0</v>
      </c>
      <c r="KHO33">
        <f t="shared" si="20"/>
        <v>0</v>
      </c>
      <c r="KHP33">
        <f t="shared" si="21"/>
        <v>0</v>
      </c>
      <c r="KHQ33">
        <f t="shared" si="22"/>
        <v>0</v>
      </c>
      <c r="KHR33">
        <f t="shared" si="23"/>
        <v>0</v>
      </c>
      <c r="KHS33">
        <f t="shared" si="24"/>
        <v>0</v>
      </c>
      <c r="KHT33">
        <f t="shared" si="25"/>
        <v>0</v>
      </c>
      <c r="KHU33">
        <f t="shared" si="26"/>
        <v>0</v>
      </c>
      <c r="KHV33">
        <f t="shared" si="27"/>
        <v>0</v>
      </c>
      <c r="KHW33">
        <f t="shared" si="28"/>
        <v>0</v>
      </c>
      <c r="KHX33">
        <f t="shared" si="29"/>
        <v>0</v>
      </c>
      <c r="KHY33">
        <f t="shared" si="30"/>
        <v>0</v>
      </c>
      <c r="KHZ33">
        <f t="shared" si="31"/>
        <v>0</v>
      </c>
      <c r="KIA33">
        <f t="shared" si="32"/>
        <v>0</v>
      </c>
      <c r="KIB33">
        <f t="shared" si="33"/>
        <v>0</v>
      </c>
      <c r="KIC33">
        <f t="shared" si="34"/>
        <v>0</v>
      </c>
      <c r="KID33">
        <f t="shared" si="35"/>
        <v>0</v>
      </c>
      <c r="KIE33">
        <f t="shared" si="36"/>
        <v>0</v>
      </c>
      <c r="KIF33">
        <f t="shared" si="37"/>
        <v>0</v>
      </c>
      <c r="KIG33">
        <f t="shared" si="38"/>
        <v>0</v>
      </c>
      <c r="KIH33">
        <f t="shared" si="39"/>
        <v>0</v>
      </c>
      <c r="KII33">
        <f t="shared" si="40"/>
        <v>0</v>
      </c>
      <c r="KIJ33">
        <f t="shared" si="41"/>
        <v>0</v>
      </c>
      <c r="KIK33">
        <f t="shared" si="42"/>
        <v>0</v>
      </c>
      <c r="KIL33">
        <f t="shared" si="43"/>
        <v>0</v>
      </c>
      <c r="KIM33">
        <f t="shared" si="44"/>
        <v>0</v>
      </c>
      <c r="KIN33">
        <f t="shared" si="45"/>
        <v>0</v>
      </c>
      <c r="KIO33">
        <f t="shared" si="46"/>
        <v>0</v>
      </c>
      <c r="KIP33">
        <f t="shared" si="47"/>
        <v>0</v>
      </c>
      <c r="KIQ33">
        <f t="shared" si="48"/>
        <v>0</v>
      </c>
      <c r="KIR33">
        <f t="shared" si="49"/>
        <v>0</v>
      </c>
      <c r="KIS33">
        <f t="shared" si="50"/>
        <v>0</v>
      </c>
      <c r="KIT33">
        <f t="shared" si="51"/>
        <v>0</v>
      </c>
      <c r="KIU33">
        <f t="shared" si="52"/>
        <v>0</v>
      </c>
      <c r="KIV33">
        <f t="shared" si="53"/>
        <v>0</v>
      </c>
      <c r="KIW33">
        <f t="shared" si="54"/>
        <v>0</v>
      </c>
      <c r="KIX33">
        <f t="shared" si="55"/>
        <v>0</v>
      </c>
      <c r="KIY33">
        <f t="shared" si="56"/>
        <v>0</v>
      </c>
      <c r="KIZ33">
        <f t="shared" si="57"/>
        <v>0</v>
      </c>
      <c r="KJA33">
        <f t="shared" si="58"/>
        <v>0</v>
      </c>
      <c r="KJB33">
        <f t="shared" si="59"/>
        <v>0</v>
      </c>
      <c r="KJC33">
        <f t="shared" si="60"/>
        <v>0</v>
      </c>
      <c r="KJD33">
        <f t="shared" si="61"/>
        <v>0</v>
      </c>
      <c r="KJE33">
        <f t="shared" si="62"/>
        <v>0</v>
      </c>
      <c r="KJF33">
        <f t="shared" si="63"/>
        <v>0</v>
      </c>
      <c r="KJG33">
        <f t="shared" si="64"/>
        <v>0</v>
      </c>
      <c r="KJH33">
        <f t="shared" si="65"/>
        <v>0</v>
      </c>
      <c r="KJI33">
        <f t="shared" si="66"/>
        <v>0</v>
      </c>
      <c r="KJJ33">
        <f t="shared" si="67"/>
        <v>0</v>
      </c>
      <c r="KJK33">
        <f t="shared" si="68"/>
        <v>0</v>
      </c>
      <c r="KJL33">
        <f t="shared" si="69"/>
        <v>0</v>
      </c>
      <c r="KJM33">
        <f t="shared" si="70"/>
        <v>0</v>
      </c>
      <c r="KJN33">
        <f t="shared" si="71"/>
        <v>0</v>
      </c>
      <c r="KJO33">
        <f t="shared" si="72"/>
        <v>0</v>
      </c>
      <c r="KJP33">
        <f t="shared" si="73"/>
        <v>0</v>
      </c>
      <c r="KJQ33">
        <f t="shared" si="74"/>
        <v>0</v>
      </c>
      <c r="KJR33">
        <f t="shared" si="75"/>
        <v>0</v>
      </c>
      <c r="KJS33">
        <f t="shared" si="76"/>
        <v>0</v>
      </c>
      <c r="KJT33">
        <f t="shared" si="77"/>
        <v>0</v>
      </c>
      <c r="KJU33">
        <f t="shared" si="78"/>
        <v>0</v>
      </c>
      <c r="KJV33">
        <f t="shared" si="79"/>
        <v>0</v>
      </c>
      <c r="KJW33">
        <f t="shared" si="80"/>
        <v>0</v>
      </c>
      <c r="KJX33">
        <f t="shared" si="81"/>
        <v>0</v>
      </c>
      <c r="KJY33">
        <f t="shared" si="82"/>
        <v>0</v>
      </c>
      <c r="KJZ33">
        <f t="shared" si="83"/>
        <v>0</v>
      </c>
      <c r="KKA33">
        <f t="shared" si="84"/>
        <v>0</v>
      </c>
      <c r="KKB33">
        <f t="shared" si="85"/>
        <v>0</v>
      </c>
      <c r="KKC33">
        <f t="shared" si="86"/>
        <v>0</v>
      </c>
      <c r="KKD33">
        <f t="shared" si="87"/>
        <v>0</v>
      </c>
      <c r="KKE33">
        <f t="shared" si="88"/>
        <v>0</v>
      </c>
      <c r="KKF33">
        <f t="shared" si="89"/>
        <v>0</v>
      </c>
      <c r="KKG33">
        <f t="shared" si="90"/>
        <v>0</v>
      </c>
      <c r="KKH33">
        <f t="shared" si="91"/>
        <v>0</v>
      </c>
      <c r="KKI33">
        <f t="shared" si="92"/>
        <v>0</v>
      </c>
      <c r="KKJ33">
        <f t="shared" si="93"/>
        <v>0</v>
      </c>
      <c r="KKK33">
        <f t="shared" si="94"/>
        <v>0</v>
      </c>
      <c r="KKL33">
        <f t="shared" si="95"/>
        <v>0</v>
      </c>
      <c r="KKM33">
        <f t="shared" si="96"/>
        <v>0</v>
      </c>
      <c r="KKN33">
        <f t="shared" si="97"/>
        <v>0</v>
      </c>
      <c r="KKO33">
        <f t="shared" si="98"/>
        <v>0</v>
      </c>
      <c r="KKP33">
        <f t="shared" si="99"/>
        <v>0</v>
      </c>
      <c r="KKR33">
        <f t="shared" si="100"/>
        <v>47</v>
      </c>
      <c r="KKT33">
        <f t="shared" si="100"/>
        <v>47</v>
      </c>
      <c r="KKU33">
        <f t="shared" si="101"/>
        <v>1.88</v>
      </c>
      <c r="KKW33">
        <f t="shared" si="101"/>
        <v>1.88</v>
      </c>
    </row>
    <row r="34" spans="1:2 2601:2638 4867:5062 5967:6013 7182:7745">
      <c r="A34" t="s">
        <v>12</v>
      </c>
      <c r="B34">
        <v>2</v>
      </c>
      <c r="GEE34">
        <v>1</v>
      </c>
      <c r="GEF34">
        <v>1</v>
      </c>
      <c r="GEG34">
        <v>1</v>
      </c>
      <c r="GEH34">
        <v>1</v>
      </c>
      <c r="GEI34">
        <v>1</v>
      </c>
      <c r="GEJ34">
        <v>1</v>
      </c>
      <c r="GEK34">
        <v>1</v>
      </c>
      <c r="GEL34">
        <v>1</v>
      </c>
      <c r="GEM34">
        <v>1</v>
      </c>
      <c r="GEN34">
        <v>1</v>
      </c>
      <c r="GEO34">
        <v>1</v>
      </c>
      <c r="GEP34">
        <v>1</v>
      </c>
      <c r="GEQ34">
        <v>1</v>
      </c>
      <c r="GER34">
        <v>1</v>
      </c>
      <c r="GES34">
        <v>1</v>
      </c>
      <c r="GET34">
        <v>1</v>
      </c>
      <c r="GEU34">
        <v>1</v>
      </c>
      <c r="JWC34">
        <v>2</v>
      </c>
      <c r="JWD34">
        <v>2</v>
      </c>
      <c r="JWE34">
        <v>2</v>
      </c>
      <c r="JWF34">
        <v>2</v>
      </c>
      <c r="JWG34">
        <v>2</v>
      </c>
      <c r="JWH34">
        <v>2</v>
      </c>
      <c r="JWI34">
        <v>2</v>
      </c>
      <c r="KGU34" s="1">
        <f t="shared" si="0"/>
        <v>17</v>
      </c>
      <c r="KGV34">
        <f t="shared" si="1"/>
        <v>7</v>
      </c>
      <c r="KGW34">
        <f t="shared" si="2"/>
        <v>0</v>
      </c>
      <c r="KGX34">
        <f t="shared" si="3"/>
        <v>0</v>
      </c>
      <c r="KGY34">
        <f t="shared" si="4"/>
        <v>0</v>
      </c>
      <c r="KGZ34">
        <f t="shared" si="5"/>
        <v>0</v>
      </c>
      <c r="KHA34">
        <f t="shared" si="6"/>
        <v>0</v>
      </c>
      <c r="KHB34">
        <f t="shared" si="7"/>
        <v>0</v>
      </c>
      <c r="KHC34">
        <f t="shared" si="8"/>
        <v>0</v>
      </c>
      <c r="KHD34">
        <f t="shared" si="9"/>
        <v>0</v>
      </c>
      <c r="KHE34">
        <f t="shared" si="10"/>
        <v>0</v>
      </c>
      <c r="KHF34">
        <f t="shared" si="11"/>
        <v>0</v>
      </c>
      <c r="KHG34">
        <f t="shared" si="12"/>
        <v>0</v>
      </c>
      <c r="KHH34">
        <f t="shared" si="13"/>
        <v>0</v>
      </c>
      <c r="KHI34">
        <f t="shared" si="14"/>
        <v>0</v>
      </c>
      <c r="KHJ34">
        <f t="shared" si="15"/>
        <v>0</v>
      </c>
      <c r="KHK34">
        <f t="shared" si="16"/>
        <v>0</v>
      </c>
      <c r="KHL34">
        <f t="shared" si="17"/>
        <v>0</v>
      </c>
      <c r="KHM34">
        <f t="shared" si="18"/>
        <v>0</v>
      </c>
      <c r="KHN34">
        <f t="shared" si="19"/>
        <v>0</v>
      </c>
      <c r="KHO34">
        <f t="shared" si="20"/>
        <v>0</v>
      </c>
      <c r="KHP34">
        <f t="shared" si="21"/>
        <v>0</v>
      </c>
      <c r="KHQ34">
        <f t="shared" si="22"/>
        <v>0</v>
      </c>
      <c r="KHR34">
        <f t="shared" si="23"/>
        <v>0</v>
      </c>
      <c r="KHS34">
        <f t="shared" si="24"/>
        <v>0</v>
      </c>
      <c r="KHT34">
        <f t="shared" si="25"/>
        <v>0</v>
      </c>
      <c r="KHU34">
        <f t="shared" si="26"/>
        <v>0</v>
      </c>
      <c r="KHV34">
        <f t="shared" si="27"/>
        <v>0</v>
      </c>
      <c r="KHW34">
        <f t="shared" si="28"/>
        <v>0</v>
      </c>
      <c r="KHX34">
        <f t="shared" si="29"/>
        <v>0</v>
      </c>
      <c r="KHY34">
        <f t="shared" si="30"/>
        <v>0</v>
      </c>
      <c r="KHZ34">
        <f t="shared" si="31"/>
        <v>0</v>
      </c>
      <c r="KIA34">
        <f t="shared" si="32"/>
        <v>0</v>
      </c>
      <c r="KIB34">
        <f t="shared" si="33"/>
        <v>0</v>
      </c>
      <c r="KIC34">
        <f t="shared" si="34"/>
        <v>0</v>
      </c>
      <c r="KID34">
        <f t="shared" si="35"/>
        <v>0</v>
      </c>
      <c r="KIE34">
        <f t="shared" si="36"/>
        <v>0</v>
      </c>
      <c r="KIF34">
        <f t="shared" si="37"/>
        <v>0</v>
      </c>
      <c r="KIG34">
        <f t="shared" si="38"/>
        <v>0</v>
      </c>
      <c r="KIH34">
        <f t="shared" si="39"/>
        <v>0</v>
      </c>
      <c r="KII34">
        <f t="shared" si="40"/>
        <v>0</v>
      </c>
      <c r="KIJ34">
        <f t="shared" si="41"/>
        <v>0</v>
      </c>
      <c r="KIK34">
        <f t="shared" si="42"/>
        <v>0</v>
      </c>
      <c r="KIL34">
        <f t="shared" si="43"/>
        <v>0</v>
      </c>
      <c r="KIM34">
        <f t="shared" si="44"/>
        <v>0</v>
      </c>
      <c r="KIN34">
        <f t="shared" si="45"/>
        <v>0</v>
      </c>
      <c r="KIO34">
        <f t="shared" si="46"/>
        <v>0</v>
      </c>
      <c r="KIP34">
        <f t="shared" si="47"/>
        <v>0</v>
      </c>
      <c r="KIQ34">
        <f t="shared" si="48"/>
        <v>0</v>
      </c>
      <c r="KIR34">
        <f t="shared" si="49"/>
        <v>0</v>
      </c>
      <c r="KIS34">
        <f t="shared" si="50"/>
        <v>0</v>
      </c>
      <c r="KIT34">
        <f t="shared" si="51"/>
        <v>0</v>
      </c>
      <c r="KIU34">
        <f t="shared" si="52"/>
        <v>0</v>
      </c>
      <c r="KIV34">
        <f t="shared" si="53"/>
        <v>0</v>
      </c>
      <c r="KIW34">
        <f t="shared" si="54"/>
        <v>0</v>
      </c>
      <c r="KIX34">
        <f t="shared" si="55"/>
        <v>0</v>
      </c>
      <c r="KIY34">
        <f t="shared" si="56"/>
        <v>0</v>
      </c>
      <c r="KIZ34">
        <f t="shared" si="57"/>
        <v>0</v>
      </c>
      <c r="KJA34">
        <f t="shared" si="58"/>
        <v>0</v>
      </c>
      <c r="KJB34">
        <f t="shared" si="59"/>
        <v>0</v>
      </c>
      <c r="KJC34">
        <f t="shared" si="60"/>
        <v>0</v>
      </c>
      <c r="KJD34">
        <f t="shared" si="61"/>
        <v>0</v>
      </c>
      <c r="KJE34">
        <f t="shared" si="62"/>
        <v>0</v>
      </c>
      <c r="KJF34">
        <f t="shared" si="63"/>
        <v>0</v>
      </c>
      <c r="KJG34">
        <f t="shared" si="64"/>
        <v>0</v>
      </c>
      <c r="KJH34">
        <f t="shared" si="65"/>
        <v>0</v>
      </c>
      <c r="KJI34">
        <f t="shared" si="66"/>
        <v>0</v>
      </c>
      <c r="KJJ34">
        <f t="shared" si="67"/>
        <v>0</v>
      </c>
      <c r="KJK34">
        <f t="shared" si="68"/>
        <v>0</v>
      </c>
      <c r="KJL34">
        <f t="shared" si="69"/>
        <v>0</v>
      </c>
      <c r="KJM34">
        <f t="shared" si="70"/>
        <v>0</v>
      </c>
      <c r="KJN34">
        <f t="shared" si="71"/>
        <v>0</v>
      </c>
      <c r="KJO34">
        <f t="shared" si="72"/>
        <v>0</v>
      </c>
      <c r="KJP34">
        <f t="shared" si="73"/>
        <v>0</v>
      </c>
      <c r="KJQ34">
        <f t="shared" si="74"/>
        <v>0</v>
      </c>
      <c r="KJR34">
        <f t="shared" si="75"/>
        <v>0</v>
      </c>
      <c r="KJS34">
        <f t="shared" si="76"/>
        <v>0</v>
      </c>
      <c r="KJT34">
        <f t="shared" si="77"/>
        <v>0</v>
      </c>
      <c r="KJU34">
        <f t="shared" si="78"/>
        <v>0</v>
      </c>
      <c r="KJV34">
        <f t="shared" si="79"/>
        <v>0</v>
      </c>
      <c r="KJW34">
        <f t="shared" si="80"/>
        <v>0</v>
      </c>
      <c r="KJX34">
        <f t="shared" si="81"/>
        <v>0</v>
      </c>
      <c r="KJY34">
        <f t="shared" si="82"/>
        <v>0</v>
      </c>
      <c r="KJZ34">
        <f t="shared" si="83"/>
        <v>0</v>
      </c>
      <c r="KKA34">
        <f t="shared" si="84"/>
        <v>0</v>
      </c>
      <c r="KKB34">
        <f t="shared" si="85"/>
        <v>0</v>
      </c>
      <c r="KKC34">
        <f t="shared" si="86"/>
        <v>0</v>
      </c>
      <c r="KKD34">
        <f t="shared" si="87"/>
        <v>0</v>
      </c>
      <c r="KKE34">
        <f t="shared" si="88"/>
        <v>0</v>
      </c>
      <c r="KKF34">
        <f t="shared" si="89"/>
        <v>0</v>
      </c>
      <c r="KKG34">
        <f t="shared" si="90"/>
        <v>0</v>
      </c>
      <c r="KKH34">
        <f t="shared" si="91"/>
        <v>0</v>
      </c>
      <c r="KKI34">
        <f t="shared" si="92"/>
        <v>0</v>
      </c>
      <c r="KKJ34">
        <f t="shared" si="93"/>
        <v>0</v>
      </c>
      <c r="KKK34">
        <f t="shared" si="94"/>
        <v>0</v>
      </c>
      <c r="KKL34">
        <f t="shared" si="95"/>
        <v>0</v>
      </c>
      <c r="KKM34">
        <f t="shared" si="96"/>
        <v>0</v>
      </c>
      <c r="KKN34">
        <f t="shared" si="97"/>
        <v>0</v>
      </c>
      <c r="KKO34">
        <f t="shared" si="98"/>
        <v>0</v>
      </c>
      <c r="KKP34">
        <f t="shared" si="99"/>
        <v>0</v>
      </c>
      <c r="KKR34">
        <f t="shared" si="100"/>
        <v>24</v>
      </c>
      <c r="KKT34">
        <f t="shared" si="100"/>
        <v>24</v>
      </c>
      <c r="KKU34">
        <f t="shared" si="101"/>
        <v>0.96</v>
      </c>
      <c r="KKW34">
        <f t="shared" si="101"/>
        <v>0.96</v>
      </c>
    </row>
    <row r="35" spans="1:2 2601:2638 4867:5062 5967:6013 7182:7745">
      <c r="A35" t="s">
        <v>28</v>
      </c>
      <c r="B35">
        <v>1</v>
      </c>
      <c r="GEV35">
        <v>1</v>
      </c>
      <c r="GEW35">
        <v>1</v>
      </c>
      <c r="GEX35">
        <v>1</v>
      </c>
      <c r="GEY35">
        <v>1</v>
      </c>
      <c r="GEZ35">
        <v>1</v>
      </c>
      <c r="GFA35">
        <v>1</v>
      </c>
      <c r="GFB35">
        <v>1</v>
      </c>
      <c r="GFC35">
        <v>1</v>
      </c>
      <c r="GFD35">
        <v>1</v>
      </c>
      <c r="GFE35">
        <v>1</v>
      </c>
      <c r="GFF35">
        <v>1</v>
      </c>
      <c r="GFG35">
        <v>1</v>
      </c>
      <c r="GFH35">
        <v>1</v>
      </c>
      <c r="GFI35">
        <v>1</v>
      </c>
      <c r="GFJ35">
        <v>1</v>
      </c>
      <c r="GFK35">
        <v>1</v>
      </c>
      <c r="GFL35">
        <v>1</v>
      </c>
      <c r="GFM35">
        <v>1</v>
      </c>
      <c r="GFN35">
        <v>1</v>
      </c>
      <c r="GFO35">
        <v>1</v>
      </c>
      <c r="GFP35">
        <v>1</v>
      </c>
      <c r="GFQ35">
        <v>1</v>
      </c>
      <c r="GFR35">
        <v>1</v>
      </c>
      <c r="GFS35">
        <v>1</v>
      </c>
      <c r="GFT35">
        <v>1</v>
      </c>
      <c r="GFU35">
        <v>1</v>
      </c>
      <c r="GFV35">
        <v>1</v>
      </c>
      <c r="GFW35">
        <v>1</v>
      </c>
      <c r="GFX35">
        <v>1</v>
      </c>
      <c r="GFY35">
        <v>1</v>
      </c>
      <c r="GFZ35">
        <v>1</v>
      </c>
      <c r="GGA35">
        <v>1</v>
      </c>
      <c r="GGB35">
        <v>1</v>
      </c>
      <c r="GGC35">
        <v>1</v>
      </c>
      <c r="GGD35">
        <v>1</v>
      </c>
      <c r="GGE35">
        <v>1</v>
      </c>
      <c r="GGF35">
        <v>1</v>
      </c>
      <c r="GGG35">
        <v>1</v>
      </c>
      <c r="GGH35">
        <v>1</v>
      </c>
      <c r="GGI35">
        <v>1</v>
      </c>
      <c r="GGJ35">
        <v>1</v>
      </c>
      <c r="GGK35">
        <v>1</v>
      </c>
      <c r="GGL35">
        <v>1</v>
      </c>
      <c r="GGM35">
        <v>1</v>
      </c>
      <c r="GGN35">
        <v>1</v>
      </c>
      <c r="GGO35">
        <v>1</v>
      </c>
      <c r="GGP35">
        <v>1</v>
      </c>
      <c r="GGQ35">
        <v>1</v>
      </c>
      <c r="GGR35">
        <v>1</v>
      </c>
      <c r="GGS35">
        <v>1</v>
      </c>
      <c r="GGT35">
        <v>1</v>
      </c>
      <c r="GGU35">
        <v>1</v>
      </c>
      <c r="GGV35">
        <v>1</v>
      </c>
      <c r="GGW35">
        <v>1</v>
      </c>
      <c r="GGX35">
        <v>1</v>
      </c>
      <c r="GGY35">
        <v>1</v>
      </c>
      <c r="GGZ35">
        <v>1</v>
      </c>
      <c r="GHA35">
        <v>1</v>
      </c>
      <c r="GHB35">
        <v>1</v>
      </c>
      <c r="GHC35">
        <v>1</v>
      </c>
      <c r="GHD35">
        <v>1</v>
      </c>
      <c r="GHE35">
        <v>1</v>
      </c>
      <c r="GHF35">
        <v>1</v>
      </c>
      <c r="GHG35">
        <v>1</v>
      </c>
      <c r="GHH35">
        <v>1</v>
      </c>
      <c r="GHI35">
        <v>1</v>
      </c>
      <c r="GHJ35">
        <v>1</v>
      </c>
      <c r="GHK35">
        <v>1</v>
      </c>
      <c r="GHL35">
        <v>1</v>
      </c>
      <c r="GHM35">
        <v>1</v>
      </c>
      <c r="GHN35">
        <v>1</v>
      </c>
      <c r="GHO35">
        <v>1</v>
      </c>
      <c r="GHP35">
        <v>1</v>
      </c>
      <c r="GHQ35">
        <v>1</v>
      </c>
      <c r="GHR35">
        <v>1</v>
      </c>
      <c r="GHS35">
        <v>1</v>
      </c>
      <c r="GHT35">
        <v>1</v>
      </c>
      <c r="GHU35">
        <v>1</v>
      </c>
      <c r="GHV35">
        <v>1</v>
      </c>
      <c r="GHW35">
        <v>1</v>
      </c>
      <c r="GHX35">
        <v>1</v>
      </c>
      <c r="GHY35">
        <v>1</v>
      </c>
      <c r="GHZ35">
        <v>1</v>
      </c>
      <c r="GIA35">
        <v>1</v>
      </c>
      <c r="GIB35">
        <v>1</v>
      </c>
      <c r="GIC35">
        <v>1</v>
      </c>
      <c r="GID35">
        <v>1</v>
      </c>
      <c r="GIE35">
        <v>1</v>
      </c>
      <c r="GIF35">
        <v>1</v>
      </c>
      <c r="GIG35">
        <v>1</v>
      </c>
      <c r="GIH35">
        <v>1</v>
      </c>
      <c r="GII35">
        <v>1</v>
      </c>
      <c r="GIJ35">
        <v>1</v>
      </c>
      <c r="GIK35">
        <v>1</v>
      </c>
      <c r="GIL35">
        <v>1</v>
      </c>
      <c r="GIM35">
        <v>1</v>
      </c>
      <c r="GIN35">
        <v>1</v>
      </c>
      <c r="GIO35">
        <v>1</v>
      </c>
      <c r="GIP35">
        <v>1</v>
      </c>
      <c r="GIQ35">
        <v>1</v>
      </c>
      <c r="GIR35">
        <v>1</v>
      </c>
      <c r="GIS35">
        <v>1</v>
      </c>
      <c r="GIT35">
        <v>1</v>
      </c>
      <c r="GIU35">
        <v>1</v>
      </c>
      <c r="GIV35">
        <v>1</v>
      </c>
      <c r="GIW35">
        <v>1</v>
      </c>
      <c r="GIX35">
        <v>1</v>
      </c>
      <c r="GIY35">
        <v>1</v>
      </c>
      <c r="GIZ35">
        <v>1</v>
      </c>
      <c r="GJA35">
        <v>1</v>
      </c>
      <c r="GJB35">
        <v>1</v>
      </c>
      <c r="GJC35">
        <v>1</v>
      </c>
      <c r="GJD35">
        <v>1</v>
      </c>
      <c r="GJE35">
        <v>1</v>
      </c>
      <c r="GJF35">
        <v>1</v>
      </c>
      <c r="GJG35">
        <v>1</v>
      </c>
      <c r="GJH35">
        <v>1</v>
      </c>
      <c r="GJI35">
        <v>1</v>
      </c>
      <c r="GJJ35">
        <v>1</v>
      </c>
      <c r="GJK35">
        <v>1</v>
      </c>
      <c r="GJL35">
        <v>1</v>
      </c>
      <c r="GJM35">
        <v>1</v>
      </c>
      <c r="GJN35">
        <v>1</v>
      </c>
      <c r="GJO35">
        <v>1</v>
      </c>
      <c r="GJP35">
        <v>1</v>
      </c>
      <c r="GJQ35">
        <v>1</v>
      </c>
      <c r="GJR35">
        <v>1</v>
      </c>
      <c r="GJS35">
        <v>1</v>
      </c>
      <c r="GJT35">
        <v>1</v>
      </c>
      <c r="GJU35">
        <v>1</v>
      </c>
      <c r="GJV35">
        <v>1</v>
      </c>
      <c r="GJW35">
        <v>1</v>
      </c>
      <c r="GJX35">
        <v>1</v>
      </c>
      <c r="GJY35">
        <v>1</v>
      </c>
      <c r="GJZ35">
        <v>1</v>
      </c>
      <c r="GKA35">
        <v>1</v>
      </c>
      <c r="GKB35">
        <v>1</v>
      </c>
      <c r="GKC35">
        <v>1</v>
      </c>
      <c r="GKD35">
        <v>1</v>
      </c>
      <c r="GKE35">
        <v>1</v>
      </c>
      <c r="GKF35">
        <v>1</v>
      </c>
      <c r="GKG35">
        <v>1</v>
      </c>
      <c r="GKH35">
        <v>1</v>
      </c>
      <c r="GKI35">
        <v>1</v>
      </c>
      <c r="GKJ35">
        <v>1</v>
      </c>
      <c r="GKK35">
        <v>1</v>
      </c>
      <c r="GKL35">
        <v>1</v>
      </c>
      <c r="GKM35">
        <v>1</v>
      </c>
      <c r="GKN35">
        <v>1</v>
      </c>
      <c r="GKO35">
        <v>1</v>
      </c>
      <c r="GKP35">
        <v>1</v>
      </c>
      <c r="GKQ35">
        <v>1</v>
      </c>
      <c r="GKR35">
        <v>1</v>
      </c>
      <c r="GKS35">
        <v>1</v>
      </c>
      <c r="GKT35">
        <v>1</v>
      </c>
      <c r="GKU35">
        <v>1</v>
      </c>
      <c r="GKV35">
        <v>1</v>
      </c>
      <c r="GKW35">
        <v>1</v>
      </c>
      <c r="GKX35">
        <v>1</v>
      </c>
      <c r="GKY35">
        <v>1</v>
      </c>
      <c r="GKZ35">
        <v>1</v>
      </c>
      <c r="GLA35">
        <v>1</v>
      </c>
      <c r="GLB35">
        <v>1</v>
      </c>
      <c r="GLC35">
        <v>1</v>
      </c>
      <c r="GLD35">
        <v>1</v>
      </c>
      <c r="GLE35">
        <v>1</v>
      </c>
      <c r="GLF35">
        <v>1</v>
      </c>
      <c r="GLG35">
        <v>1</v>
      </c>
      <c r="GLH35">
        <v>1</v>
      </c>
      <c r="GLI35">
        <v>1</v>
      </c>
      <c r="GLJ35">
        <v>1</v>
      </c>
      <c r="GLK35">
        <v>1</v>
      </c>
      <c r="GLL35">
        <v>1</v>
      </c>
      <c r="GLM35">
        <v>1</v>
      </c>
      <c r="GLN35">
        <v>1</v>
      </c>
      <c r="GLO35">
        <v>1</v>
      </c>
      <c r="GLP35">
        <v>1</v>
      </c>
      <c r="GLQ35">
        <v>1</v>
      </c>
      <c r="GLR35">
        <v>1</v>
      </c>
      <c r="KGU35" s="1">
        <f t="shared" si="0"/>
        <v>179</v>
      </c>
      <c r="KGV35">
        <f t="shared" si="1"/>
        <v>0</v>
      </c>
      <c r="KGW35">
        <f t="shared" si="2"/>
        <v>0</v>
      </c>
      <c r="KGX35">
        <f t="shared" si="3"/>
        <v>0</v>
      </c>
      <c r="KGY35">
        <f t="shared" si="4"/>
        <v>0</v>
      </c>
      <c r="KGZ35">
        <f t="shared" si="5"/>
        <v>0</v>
      </c>
      <c r="KHA35">
        <f t="shared" si="6"/>
        <v>0</v>
      </c>
      <c r="KHB35">
        <f t="shared" si="7"/>
        <v>0</v>
      </c>
      <c r="KHC35">
        <f t="shared" si="8"/>
        <v>0</v>
      </c>
      <c r="KHD35">
        <f t="shared" si="9"/>
        <v>0</v>
      </c>
      <c r="KHE35">
        <f t="shared" si="10"/>
        <v>0</v>
      </c>
      <c r="KHF35">
        <f t="shared" si="11"/>
        <v>0</v>
      </c>
      <c r="KHG35">
        <f t="shared" si="12"/>
        <v>0</v>
      </c>
      <c r="KHH35">
        <f t="shared" si="13"/>
        <v>0</v>
      </c>
      <c r="KHI35">
        <f t="shared" si="14"/>
        <v>0</v>
      </c>
      <c r="KHJ35">
        <f t="shared" si="15"/>
        <v>0</v>
      </c>
      <c r="KHK35">
        <f t="shared" si="16"/>
        <v>0</v>
      </c>
      <c r="KHL35">
        <f t="shared" si="17"/>
        <v>0</v>
      </c>
      <c r="KHM35">
        <f t="shared" si="18"/>
        <v>0</v>
      </c>
      <c r="KHN35">
        <f t="shared" si="19"/>
        <v>0</v>
      </c>
      <c r="KHO35">
        <f t="shared" si="20"/>
        <v>0</v>
      </c>
      <c r="KHP35">
        <f t="shared" si="21"/>
        <v>0</v>
      </c>
      <c r="KHQ35">
        <f t="shared" si="22"/>
        <v>0</v>
      </c>
      <c r="KHR35">
        <f t="shared" si="23"/>
        <v>0</v>
      </c>
      <c r="KHS35">
        <f t="shared" si="24"/>
        <v>0</v>
      </c>
      <c r="KHT35">
        <f t="shared" si="25"/>
        <v>0</v>
      </c>
      <c r="KHU35">
        <f t="shared" si="26"/>
        <v>0</v>
      </c>
      <c r="KHV35">
        <f t="shared" si="27"/>
        <v>0</v>
      </c>
      <c r="KHW35">
        <f t="shared" si="28"/>
        <v>0</v>
      </c>
      <c r="KHX35">
        <f t="shared" si="29"/>
        <v>0</v>
      </c>
      <c r="KHY35">
        <f t="shared" si="30"/>
        <v>0</v>
      </c>
      <c r="KHZ35">
        <f t="shared" si="31"/>
        <v>0</v>
      </c>
      <c r="KIA35">
        <f t="shared" si="32"/>
        <v>0</v>
      </c>
      <c r="KIB35">
        <f t="shared" si="33"/>
        <v>0</v>
      </c>
      <c r="KIC35">
        <f t="shared" si="34"/>
        <v>0</v>
      </c>
      <c r="KID35">
        <f t="shared" si="35"/>
        <v>0</v>
      </c>
      <c r="KIE35">
        <f t="shared" si="36"/>
        <v>0</v>
      </c>
      <c r="KIF35">
        <f t="shared" si="37"/>
        <v>0</v>
      </c>
      <c r="KIG35">
        <f t="shared" si="38"/>
        <v>0</v>
      </c>
      <c r="KIH35">
        <f t="shared" si="39"/>
        <v>0</v>
      </c>
      <c r="KII35">
        <f t="shared" si="40"/>
        <v>0</v>
      </c>
      <c r="KIJ35">
        <f t="shared" si="41"/>
        <v>0</v>
      </c>
      <c r="KIK35">
        <f t="shared" si="42"/>
        <v>0</v>
      </c>
      <c r="KIL35">
        <f t="shared" si="43"/>
        <v>0</v>
      </c>
      <c r="KIM35">
        <f t="shared" si="44"/>
        <v>0</v>
      </c>
      <c r="KIN35">
        <f t="shared" si="45"/>
        <v>0</v>
      </c>
      <c r="KIO35">
        <f t="shared" si="46"/>
        <v>0</v>
      </c>
      <c r="KIP35">
        <f t="shared" si="47"/>
        <v>0</v>
      </c>
      <c r="KIQ35">
        <f t="shared" si="48"/>
        <v>0</v>
      </c>
      <c r="KIR35">
        <f t="shared" si="49"/>
        <v>0</v>
      </c>
      <c r="KIS35">
        <f t="shared" si="50"/>
        <v>0</v>
      </c>
      <c r="KIT35">
        <f t="shared" si="51"/>
        <v>0</v>
      </c>
      <c r="KIU35">
        <f t="shared" si="52"/>
        <v>0</v>
      </c>
      <c r="KIV35">
        <f t="shared" si="53"/>
        <v>0</v>
      </c>
      <c r="KIW35">
        <f t="shared" si="54"/>
        <v>0</v>
      </c>
      <c r="KIX35">
        <f t="shared" si="55"/>
        <v>0</v>
      </c>
      <c r="KIY35">
        <f t="shared" si="56"/>
        <v>0</v>
      </c>
      <c r="KIZ35">
        <f t="shared" si="57"/>
        <v>0</v>
      </c>
      <c r="KJA35">
        <f t="shared" si="58"/>
        <v>0</v>
      </c>
      <c r="KJB35">
        <f t="shared" si="59"/>
        <v>0</v>
      </c>
      <c r="KJC35">
        <f t="shared" si="60"/>
        <v>0</v>
      </c>
      <c r="KJD35">
        <f t="shared" si="61"/>
        <v>0</v>
      </c>
      <c r="KJE35">
        <f t="shared" si="62"/>
        <v>0</v>
      </c>
      <c r="KJF35">
        <f t="shared" si="63"/>
        <v>0</v>
      </c>
      <c r="KJG35">
        <f t="shared" si="64"/>
        <v>0</v>
      </c>
      <c r="KJH35">
        <f t="shared" si="65"/>
        <v>0</v>
      </c>
      <c r="KJI35">
        <f t="shared" si="66"/>
        <v>0</v>
      </c>
      <c r="KJJ35">
        <f t="shared" si="67"/>
        <v>0</v>
      </c>
      <c r="KJK35">
        <f t="shared" si="68"/>
        <v>0</v>
      </c>
      <c r="KJL35">
        <f t="shared" si="69"/>
        <v>0</v>
      </c>
      <c r="KJM35">
        <f t="shared" si="70"/>
        <v>0</v>
      </c>
      <c r="KJN35">
        <f t="shared" si="71"/>
        <v>0</v>
      </c>
      <c r="KJO35">
        <f t="shared" si="72"/>
        <v>0</v>
      </c>
      <c r="KJP35">
        <f t="shared" si="73"/>
        <v>0</v>
      </c>
      <c r="KJQ35">
        <f t="shared" si="74"/>
        <v>0</v>
      </c>
      <c r="KJR35">
        <f t="shared" si="75"/>
        <v>0</v>
      </c>
      <c r="KJS35">
        <f t="shared" si="76"/>
        <v>0</v>
      </c>
      <c r="KJT35">
        <f t="shared" si="77"/>
        <v>0</v>
      </c>
      <c r="KJU35">
        <f t="shared" si="78"/>
        <v>0</v>
      </c>
      <c r="KJV35">
        <f t="shared" si="79"/>
        <v>0</v>
      </c>
      <c r="KJW35">
        <f t="shared" si="80"/>
        <v>0</v>
      </c>
      <c r="KJX35">
        <f t="shared" si="81"/>
        <v>0</v>
      </c>
      <c r="KJY35">
        <f t="shared" si="82"/>
        <v>0</v>
      </c>
      <c r="KJZ35">
        <f t="shared" si="83"/>
        <v>0</v>
      </c>
      <c r="KKA35">
        <f t="shared" si="84"/>
        <v>0</v>
      </c>
      <c r="KKB35">
        <f t="shared" si="85"/>
        <v>0</v>
      </c>
      <c r="KKC35">
        <f t="shared" si="86"/>
        <v>0</v>
      </c>
      <c r="KKD35">
        <f t="shared" si="87"/>
        <v>0</v>
      </c>
      <c r="KKE35">
        <f t="shared" si="88"/>
        <v>0</v>
      </c>
      <c r="KKF35">
        <f t="shared" si="89"/>
        <v>0</v>
      </c>
      <c r="KKG35">
        <f t="shared" si="90"/>
        <v>0</v>
      </c>
      <c r="KKH35">
        <f t="shared" si="91"/>
        <v>0</v>
      </c>
      <c r="KKI35">
        <f t="shared" si="92"/>
        <v>0</v>
      </c>
      <c r="KKJ35">
        <f t="shared" si="93"/>
        <v>0</v>
      </c>
      <c r="KKK35">
        <f t="shared" si="94"/>
        <v>0</v>
      </c>
      <c r="KKL35">
        <f t="shared" si="95"/>
        <v>0</v>
      </c>
      <c r="KKM35">
        <f t="shared" si="96"/>
        <v>0</v>
      </c>
      <c r="KKN35">
        <f t="shared" si="97"/>
        <v>0</v>
      </c>
      <c r="KKO35">
        <f t="shared" si="98"/>
        <v>0</v>
      </c>
      <c r="KKP35">
        <f t="shared" si="99"/>
        <v>0</v>
      </c>
      <c r="KKR35">
        <f t="shared" si="100"/>
        <v>179</v>
      </c>
      <c r="KKT35">
        <f t="shared" si="100"/>
        <v>179</v>
      </c>
      <c r="KKU35">
        <f t="shared" si="101"/>
        <v>7.16</v>
      </c>
      <c r="KKW35">
        <f t="shared" si="101"/>
        <v>7.16</v>
      </c>
    </row>
    <row r="36" spans="1:2 2601:2638 4867:5062 5967:6013 7182:7745">
      <c r="A36" t="s">
        <v>7667</v>
      </c>
      <c r="B36">
        <v>1</v>
      </c>
      <c r="KGU36" s="1">
        <f t="shared" si="0"/>
        <v>0</v>
      </c>
      <c r="KGV36">
        <f t="shared" si="1"/>
        <v>0</v>
      </c>
      <c r="KGW36">
        <f t="shared" si="2"/>
        <v>0</v>
      </c>
      <c r="KGX36">
        <f t="shared" si="3"/>
        <v>0</v>
      </c>
      <c r="KGY36">
        <f t="shared" si="4"/>
        <v>0</v>
      </c>
      <c r="KGZ36">
        <f t="shared" si="5"/>
        <v>0</v>
      </c>
      <c r="KHA36">
        <f t="shared" si="6"/>
        <v>0</v>
      </c>
      <c r="KHB36">
        <f t="shared" si="7"/>
        <v>0</v>
      </c>
      <c r="KHC36">
        <f t="shared" si="8"/>
        <v>0</v>
      </c>
      <c r="KHD36">
        <f t="shared" si="9"/>
        <v>0</v>
      </c>
      <c r="KHE36">
        <f t="shared" si="10"/>
        <v>0</v>
      </c>
      <c r="KHF36">
        <f t="shared" si="11"/>
        <v>0</v>
      </c>
      <c r="KHG36">
        <f t="shared" si="12"/>
        <v>0</v>
      </c>
      <c r="KHH36">
        <f t="shared" si="13"/>
        <v>0</v>
      </c>
      <c r="KHI36">
        <f t="shared" si="14"/>
        <v>0</v>
      </c>
      <c r="KHJ36">
        <f t="shared" si="15"/>
        <v>0</v>
      </c>
      <c r="KHK36">
        <f t="shared" si="16"/>
        <v>0</v>
      </c>
      <c r="KHL36">
        <f t="shared" si="17"/>
        <v>0</v>
      </c>
      <c r="KHM36">
        <f t="shared" si="18"/>
        <v>0</v>
      </c>
      <c r="KHN36">
        <f t="shared" si="19"/>
        <v>0</v>
      </c>
      <c r="KHO36">
        <f t="shared" si="20"/>
        <v>0</v>
      </c>
      <c r="KHP36">
        <f t="shared" si="21"/>
        <v>0</v>
      </c>
      <c r="KHQ36">
        <f t="shared" si="22"/>
        <v>0</v>
      </c>
      <c r="KHR36">
        <f t="shared" si="23"/>
        <v>0</v>
      </c>
      <c r="KHS36">
        <f t="shared" si="24"/>
        <v>0</v>
      </c>
      <c r="KHT36">
        <f t="shared" si="25"/>
        <v>0</v>
      </c>
      <c r="KHU36">
        <f t="shared" si="26"/>
        <v>0</v>
      </c>
      <c r="KHV36">
        <f t="shared" si="27"/>
        <v>0</v>
      </c>
      <c r="KHW36">
        <f t="shared" si="28"/>
        <v>0</v>
      </c>
      <c r="KHX36">
        <f t="shared" si="29"/>
        <v>0</v>
      </c>
      <c r="KHY36">
        <f t="shared" si="30"/>
        <v>0</v>
      </c>
      <c r="KHZ36">
        <f t="shared" si="31"/>
        <v>0</v>
      </c>
      <c r="KIA36">
        <f t="shared" si="32"/>
        <v>0</v>
      </c>
      <c r="KIB36">
        <f t="shared" si="33"/>
        <v>0</v>
      </c>
      <c r="KIC36">
        <f t="shared" si="34"/>
        <v>0</v>
      </c>
      <c r="KID36">
        <f t="shared" si="35"/>
        <v>0</v>
      </c>
      <c r="KIE36">
        <f t="shared" si="36"/>
        <v>0</v>
      </c>
      <c r="KIF36">
        <f t="shared" si="37"/>
        <v>0</v>
      </c>
      <c r="KIG36">
        <f t="shared" si="38"/>
        <v>0</v>
      </c>
      <c r="KIH36">
        <f t="shared" si="39"/>
        <v>0</v>
      </c>
      <c r="KII36">
        <f t="shared" si="40"/>
        <v>0</v>
      </c>
      <c r="KIJ36">
        <f t="shared" si="41"/>
        <v>0</v>
      </c>
      <c r="KIK36">
        <f t="shared" si="42"/>
        <v>0</v>
      </c>
      <c r="KIL36">
        <f t="shared" si="43"/>
        <v>0</v>
      </c>
      <c r="KIM36">
        <f t="shared" si="44"/>
        <v>0</v>
      </c>
      <c r="KIN36">
        <f t="shared" si="45"/>
        <v>0</v>
      </c>
      <c r="KIO36">
        <f t="shared" si="46"/>
        <v>0</v>
      </c>
      <c r="KIP36">
        <f t="shared" si="47"/>
        <v>0</v>
      </c>
      <c r="KIQ36">
        <f t="shared" si="48"/>
        <v>0</v>
      </c>
      <c r="KIR36">
        <f t="shared" si="49"/>
        <v>0</v>
      </c>
      <c r="KIS36">
        <f t="shared" si="50"/>
        <v>0</v>
      </c>
      <c r="KIT36">
        <f t="shared" si="51"/>
        <v>0</v>
      </c>
      <c r="KIU36">
        <f t="shared" si="52"/>
        <v>0</v>
      </c>
      <c r="KIV36">
        <f t="shared" si="53"/>
        <v>0</v>
      </c>
      <c r="KIW36">
        <f t="shared" si="54"/>
        <v>0</v>
      </c>
      <c r="KIX36">
        <f t="shared" si="55"/>
        <v>0</v>
      </c>
      <c r="KIY36">
        <f t="shared" si="56"/>
        <v>0</v>
      </c>
      <c r="KIZ36">
        <f t="shared" si="57"/>
        <v>0</v>
      </c>
      <c r="KJA36">
        <f t="shared" si="58"/>
        <v>0</v>
      </c>
      <c r="KJB36">
        <f t="shared" si="59"/>
        <v>0</v>
      </c>
      <c r="KJC36">
        <f t="shared" si="60"/>
        <v>0</v>
      </c>
      <c r="KJD36">
        <f t="shared" si="61"/>
        <v>0</v>
      </c>
      <c r="KJE36">
        <f t="shared" si="62"/>
        <v>0</v>
      </c>
      <c r="KJF36">
        <f t="shared" si="63"/>
        <v>0</v>
      </c>
      <c r="KJG36">
        <f t="shared" si="64"/>
        <v>0</v>
      </c>
      <c r="KJH36">
        <f t="shared" si="65"/>
        <v>0</v>
      </c>
      <c r="KJI36">
        <f t="shared" si="66"/>
        <v>0</v>
      </c>
      <c r="KJJ36">
        <f t="shared" si="67"/>
        <v>0</v>
      </c>
      <c r="KJK36">
        <f t="shared" si="68"/>
        <v>0</v>
      </c>
      <c r="KJL36">
        <f t="shared" si="69"/>
        <v>0</v>
      </c>
      <c r="KJM36">
        <f t="shared" si="70"/>
        <v>0</v>
      </c>
      <c r="KJN36">
        <f t="shared" si="71"/>
        <v>0</v>
      </c>
      <c r="KJO36">
        <f t="shared" si="72"/>
        <v>0</v>
      </c>
      <c r="KJP36">
        <f t="shared" si="73"/>
        <v>0</v>
      </c>
      <c r="KJQ36">
        <f t="shared" si="74"/>
        <v>0</v>
      </c>
      <c r="KJR36">
        <f t="shared" si="75"/>
        <v>0</v>
      </c>
      <c r="KJS36">
        <f t="shared" si="76"/>
        <v>0</v>
      </c>
      <c r="KJT36">
        <f t="shared" si="77"/>
        <v>0</v>
      </c>
      <c r="KJU36">
        <f t="shared" si="78"/>
        <v>0</v>
      </c>
      <c r="KJV36">
        <f t="shared" si="79"/>
        <v>0</v>
      </c>
      <c r="KJW36">
        <f t="shared" si="80"/>
        <v>0</v>
      </c>
      <c r="KJX36">
        <f t="shared" si="81"/>
        <v>0</v>
      </c>
      <c r="KJY36">
        <f t="shared" si="82"/>
        <v>0</v>
      </c>
      <c r="KJZ36">
        <f t="shared" si="83"/>
        <v>0</v>
      </c>
      <c r="KKA36">
        <f t="shared" si="84"/>
        <v>0</v>
      </c>
      <c r="KKB36">
        <f t="shared" si="85"/>
        <v>0</v>
      </c>
      <c r="KKC36">
        <f t="shared" si="86"/>
        <v>0</v>
      </c>
      <c r="KKD36">
        <f t="shared" si="87"/>
        <v>0</v>
      </c>
      <c r="KKE36">
        <f t="shared" si="88"/>
        <v>0</v>
      </c>
      <c r="KKF36">
        <f t="shared" si="89"/>
        <v>0</v>
      </c>
      <c r="KKG36">
        <f t="shared" si="90"/>
        <v>0</v>
      </c>
      <c r="KKH36">
        <f t="shared" si="91"/>
        <v>0</v>
      </c>
      <c r="KKI36">
        <f t="shared" si="92"/>
        <v>0</v>
      </c>
      <c r="KKJ36">
        <f t="shared" si="93"/>
        <v>0</v>
      </c>
      <c r="KKK36">
        <f t="shared" si="94"/>
        <v>0</v>
      </c>
      <c r="KKL36">
        <f t="shared" si="95"/>
        <v>0</v>
      </c>
      <c r="KKM36">
        <f t="shared" si="96"/>
        <v>0</v>
      </c>
      <c r="KKN36">
        <f t="shared" si="97"/>
        <v>0</v>
      </c>
      <c r="KKO36">
        <f t="shared" si="98"/>
        <v>0</v>
      </c>
      <c r="KKP36">
        <f t="shared" si="99"/>
        <v>0</v>
      </c>
      <c r="KKR36">
        <f t="shared" si="100"/>
        <v>0</v>
      </c>
      <c r="KKT36">
        <f t="shared" si="100"/>
        <v>0</v>
      </c>
      <c r="KKU36">
        <f t="shared" si="101"/>
        <v>0</v>
      </c>
      <c r="KKW36">
        <f t="shared" si="101"/>
        <v>0</v>
      </c>
    </row>
    <row r="37" spans="1:2 2601:2638 4867:5062 5967:6013 7182:7745">
      <c r="A37" t="s">
        <v>7668</v>
      </c>
      <c r="B37">
        <v>1</v>
      </c>
      <c r="GEE37">
        <v>1</v>
      </c>
      <c r="GEF37">
        <v>1</v>
      </c>
      <c r="GEG37">
        <v>1</v>
      </c>
      <c r="GEH37">
        <v>1</v>
      </c>
      <c r="GEI37">
        <v>1</v>
      </c>
      <c r="GEJ37">
        <v>1</v>
      </c>
      <c r="GEK37">
        <v>1</v>
      </c>
      <c r="GEL37">
        <v>1</v>
      </c>
      <c r="GEM37">
        <v>1</v>
      </c>
      <c r="GEN37">
        <v>1</v>
      </c>
      <c r="GEO37">
        <v>1</v>
      </c>
      <c r="GEP37">
        <v>1</v>
      </c>
      <c r="GEQ37">
        <v>1</v>
      </c>
      <c r="GER37">
        <v>1</v>
      </c>
      <c r="GES37">
        <v>1</v>
      </c>
      <c r="GET37">
        <v>1</v>
      </c>
      <c r="GEU37">
        <v>1</v>
      </c>
      <c r="KGU37" s="1">
        <f t="shared" si="0"/>
        <v>17</v>
      </c>
      <c r="KGV37">
        <f t="shared" si="1"/>
        <v>0</v>
      </c>
      <c r="KGW37">
        <f t="shared" si="2"/>
        <v>0</v>
      </c>
      <c r="KGX37">
        <f t="shared" si="3"/>
        <v>0</v>
      </c>
      <c r="KGY37">
        <f t="shared" si="4"/>
        <v>0</v>
      </c>
      <c r="KGZ37">
        <f t="shared" si="5"/>
        <v>0</v>
      </c>
      <c r="KHA37">
        <f t="shared" si="6"/>
        <v>0</v>
      </c>
      <c r="KHB37">
        <f t="shared" si="7"/>
        <v>0</v>
      </c>
      <c r="KHC37">
        <f t="shared" si="8"/>
        <v>0</v>
      </c>
      <c r="KHD37">
        <f t="shared" si="9"/>
        <v>0</v>
      </c>
      <c r="KHE37">
        <f t="shared" si="10"/>
        <v>0</v>
      </c>
      <c r="KHF37">
        <f t="shared" si="11"/>
        <v>0</v>
      </c>
      <c r="KHG37">
        <f t="shared" si="12"/>
        <v>0</v>
      </c>
      <c r="KHH37">
        <f t="shared" si="13"/>
        <v>0</v>
      </c>
      <c r="KHI37">
        <f t="shared" si="14"/>
        <v>0</v>
      </c>
      <c r="KHJ37">
        <f t="shared" si="15"/>
        <v>0</v>
      </c>
      <c r="KHK37">
        <f t="shared" si="16"/>
        <v>0</v>
      </c>
      <c r="KHL37">
        <f t="shared" si="17"/>
        <v>0</v>
      </c>
      <c r="KHM37">
        <f t="shared" si="18"/>
        <v>0</v>
      </c>
      <c r="KHN37">
        <f t="shared" si="19"/>
        <v>0</v>
      </c>
      <c r="KHO37">
        <f t="shared" si="20"/>
        <v>0</v>
      </c>
      <c r="KHP37">
        <f t="shared" si="21"/>
        <v>0</v>
      </c>
      <c r="KHQ37">
        <f t="shared" si="22"/>
        <v>0</v>
      </c>
      <c r="KHR37">
        <f t="shared" si="23"/>
        <v>0</v>
      </c>
      <c r="KHS37">
        <f t="shared" si="24"/>
        <v>0</v>
      </c>
      <c r="KHT37">
        <f t="shared" si="25"/>
        <v>0</v>
      </c>
      <c r="KHU37">
        <f t="shared" si="26"/>
        <v>0</v>
      </c>
      <c r="KHV37">
        <f t="shared" si="27"/>
        <v>0</v>
      </c>
      <c r="KHW37">
        <f t="shared" si="28"/>
        <v>0</v>
      </c>
      <c r="KHX37">
        <f t="shared" si="29"/>
        <v>0</v>
      </c>
      <c r="KHY37">
        <f t="shared" si="30"/>
        <v>0</v>
      </c>
      <c r="KHZ37">
        <f t="shared" si="31"/>
        <v>0</v>
      </c>
      <c r="KIA37">
        <f t="shared" si="32"/>
        <v>0</v>
      </c>
      <c r="KIB37">
        <f t="shared" si="33"/>
        <v>0</v>
      </c>
      <c r="KIC37">
        <f t="shared" si="34"/>
        <v>0</v>
      </c>
      <c r="KID37">
        <f t="shared" si="35"/>
        <v>0</v>
      </c>
      <c r="KIE37">
        <f t="shared" si="36"/>
        <v>0</v>
      </c>
      <c r="KIF37">
        <f t="shared" si="37"/>
        <v>0</v>
      </c>
      <c r="KIG37">
        <f t="shared" si="38"/>
        <v>0</v>
      </c>
      <c r="KIH37">
        <f t="shared" si="39"/>
        <v>0</v>
      </c>
      <c r="KII37">
        <f t="shared" si="40"/>
        <v>0</v>
      </c>
      <c r="KIJ37">
        <f t="shared" si="41"/>
        <v>0</v>
      </c>
      <c r="KIK37">
        <f t="shared" si="42"/>
        <v>0</v>
      </c>
      <c r="KIL37">
        <f t="shared" si="43"/>
        <v>0</v>
      </c>
      <c r="KIM37">
        <f t="shared" si="44"/>
        <v>0</v>
      </c>
      <c r="KIN37">
        <f t="shared" si="45"/>
        <v>0</v>
      </c>
      <c r="KIO37">
        <f t="shared" si="46"/>
        <v>0</v>
      </c>
      <c r="KIP37">
        <f t="shared" si="47"/>
        <v>0</v>
      </c>
      <c r="KIQ37">
        <f t="shared" si="48"/>
        <v>0</v>
      </c>
      <c r="KIR37">
        <f t="shared" si="49"/>
        <v>0</v>
      </c>
      <c r="KIS37">
        <f t="shared" si="50"/>
        <v>0</v>
      </c>
      <c r="KIT37">
        <f t="shared" si="51"/>
        <v>0</v>
      </c>
      <c r="KIU37">
        <f t="shared" si="52"/>
        <v>0</v>
      </c>
      <c r="KIV37">
        <f t="shared" si="53"/>
        <v>0</v>
      </c>
      <c r="KIW37">
        <f t="shared" si="54"/>
        <v>0</v>
      </c>
      <c r="KIX37">
        <f t="shared" si="55"/>
        <v>0</v>
      </c>
      <c r="KIY37">
        <f t="shared" si="56"/>
        <v>0</v>
      </c>
      <c r="KIZ37">
        <f t="shared" si="57"/>
        <v>0</v>
      </c>
      <c r="KJA37">
        <f t="shared" si="58"/>
        <v>0</v>
      </c>
      <c r="KJB37">
        <f t="shared" si="59"/>
        <v>0</v>
      </c>
      <c r="KJC37">
        <f t="shared" si="60"/>
        <v>0</v>
      </c>
      <c r="KJD37">
        <f t="shared" si="61"/>
        <v>0</v>
      </c>
      <c r="KJE37">
        <f t="shared" si="62"/>
        <v>0</v>
      </c>
      <c r="KJF37">
        <f t="shared" si="63"/>
        <v>0</v>
      </c>
      <c r="KJG37">
        <f t="shared" si="64"/>
        <v>0</v>
      </c>
      <c r="KJH37">
        <f t="shared" si="65"/>
        <v>0</v>
      </c>
      <c r="KJI37">
        <f t="shared" si="66"/>
        <v>0</v>
      </c>
      <c r="KJJ37">
        <f t="shared" si="67"/>
        <v>0</v>
      </c>
      <c r="KJK37">
        <f t="shared" si="68"/>
        <v>0</v>
      </c>
      <c r="KJL37">
        <f t="shared" si="69"/>
        <v>0</v>
      </c>
      <c r="KJM37">
        <f t="shared" si="70"/>
        <v>0</v>
      </c>
      <c r="KJN37">
        <f t="shared" si="71"/>
        <v>0</v>
      </c>
      <c r="KJO37">
        <f t="shared" si="72"/>
        <v>0</v>
      </c>
      <c r="KJP37">
        <f t="shared" si="73"/>
        <v>0</v>
      </c>
      <c r="KJQ37">
        <f t="shared" si="74"/>
        <v>0</v>
      </c>
      <c r="KJR37">
        <f t="shared" si="75"/>
        <v>0</v>
      </c>
      <c r="KJS37">
        <f t="shared" si="76"/>
        <v>0</v>
      </c>
      <c r="KJT37">
        <f t="shared" si="77"/>
        <v>0</v>
      </c>
      <c r="KJU37">
        <f t="shared" si="78"/>
        <v>0</v>
      </c>
      <c r="KJV37">
        <f t="shared" si="79"/>
        <v>0</v>
      </c>
      <c r="KJW37">
        <f t="shared" si="80"/>
        <v>0</v>
      </c>
      <c r="KJX37">
        <f t="shared" si="81"/>
        <v>0</v>
      </c>
      <c r="KJY37">
        <f t="shared" si="82"/>
        <v>0</v>
      </c>
      <c r="KJZ37">
        <f t="shared" si="83"/>
        <v>0</v>
      </c>
      <c r="KKA37">
        <f t="shared" si="84"/>
        <v>0</v>
      </c>
      <c r="KKB37">
        <f t="shared" si="85"/>
        <v>0</v>
      </c>
      <c r="KKC37">
        <f t="shared" si="86"/>
        <v>0</v>
      </c>
      <c r="KKD37">
        <f t="shared" si="87"/>
        <v>0</v>
      </c>
      <c r="KKE37">
        <f t="shared" si="88"/>
        <v>0</v>
      </c>
      <c r="KKF37">
        <f t="shared" si="89"/>
        <v>0</v>
      </c>
      <c r="KKG37">
        <f t="shared" si="90"/>
        <v>0</v>
      </c>
      <c r="KKH37">
        <f t="shared" si="91"/>
        <v>0</v>
      </c>
      <c r="KKI37">
        <f t="shared" si="92"/>
        <v>0</v>
      </c>
      <c r="KKJ37">
        <f t="shared" si="93"/>
        <v>0</v>
      </c>
      <c r="KKK37">
        <f t="shared" si="94"/>
        <v>0</v>
      </c>
      <c r="KKL37">
        <f t="shared" si="95"/>
        <v>0</v>
      </c>
      <c r="KKM37">
        <f t="shared" si="96"/>
        <v>0</v>
      </c>
      <c r="KKN37">
        <f t="shared" si="97"/>
        <v>0</v>
      </c>
      <c r="KKO37">
        <f t="shared" si="98"/>
        <v>0</v>
      </c>
      <c r="KKP37">
        <f t="shared" si="99"/>
        <v>0</v>
      </c>
      <c r="KKR37">
        <f t="shared" si="100"/>
        <v>17</v>
      </c>
      <c r="KKT37">
        <f t="shared" si="100"/>
        <v>17</v>
      </c>
      <c r="KKU37">
        <f t="shared" si="101"/>
        <v>0.68</v>
      </c>
      <c r="KKW37">
        <f t="shared" si="101"/>
        <v>0.68</v>
      </c>
    </row>
    <row r="38" spans="1:2 2601:2638 4867:5062 5967:6013 7182:7745">
      <c r="A38" t="s">
        <v>13</v>
      </c>
      <c r="B38">
        <v>1</v>
      </c>
      <c r="JPF38">
        <v>1</v>
      </c>
      <c r="JPG38">
        <v>1</v>
      </c>
      <c r="JPH38">
        <v>1</v>
      </c>
      <c r="JPI38">
        <v>1</v>
      </c>
      <c r="JPJ38">
        <v>1</v>
      </c>
      <c r="JPK38">
        <v>1</v>
      </c>
      <c r="JPL38">
        <v>1</v>
      </c>
      <c r="JPM38">
        <v>1</v>
      </c>
      <c r="JPN38">
        <v>1</v>
      </c>
      <c r="JPO38">
        <v>1</v>
      </c>
      <c r="JPP38">
        <v>1</v>
      </c>
      <c r="JPQ38">
        <v>1</v>
      </c>
      <c r="JPR38">
        <v>1</v>
      </c>
      <c r="JPS38">
        <v>1</v>
      </c>
      <c r="JPT38">
        <v>1</v>
      </c>
      <c r="JPU38">
        <v>1</v>
      </c>
      <c r="JPV38">
        <v>1</v>
      </c>
      <c r="JPW38">
        <v>1</v>
      </c>
      <c r="JPX38">
        <v>1</v>
      </c>
      <c r="JPY38">
        <v>1</v>
      </c>
      <c r="JPZ38">
        <v>1</v>
      </c>
      <c r="JQA38">
        <v>1</v>
      </c>
      <c r="JQB38">
        <v>1</v>
      </c>
      <c r="JQC38">
        <v>1</v>
      </c>
      <c r="JQD38">
        <v>1</v>
      </c>
      <c r="KGU38" s="1">
        <f t="shared" si="0"/>
        <v>25</v>
      </c>
      <c r="KGV38">
        <f t="shared" si="1"/>
        <v>0</v>
      </c>
      <c r="KGW38">
        <f t="shared" si="2"/>
        <v>0</v>
      </c>
      <c r="KGX38">
        <f t="shared" si="3"/>
        <v>0</v>
      </c>
      <c r="KGY38">
        <f t="shared" si="4"/>
        <v>0</v>
      </c>
      <c r="KGZ38">
        <f t="shared" si="5"/>
        <v>0</v>
      </c>
      <c r="KHA38">
        <f t="shared" si="6"/>
        <v>0</v>
      </c>
      <c r="KHB38">
        <f t="shared" si="7"/>
        <v>0</v>
      </c>
      <c r="KHC38">
        <f t="shared" si="8"/>
        <v>0</v>
      </c>
      <c r="KHD38">
        <f t="shared" si="9"/>
        <v>0</v>
      </c>
      <c r="KHE38">
        <f t="shared" si="10"/>
        <v>0</v>
      </c>
      <c r="KHF38">
        <f t="shared" si="11"/>
        <v>0</v>
      </c>
      <c r="KHG38">
        <f t="shared" si="12"/>
        <v>0</v>
      </c>
      <c r="KHH38">
        <f t="shared" si="13"/>
        <v>0</v>
      </c>
      <c r="KHI38">
        <f t="shared" si="14"/>
        <v>0</v>
      </c>
      <c r="KHJ38">
        <f t="shared" si="15"/>
        <v>0</v>
      </c>
      <c r="KHK38">
        <f t="shared" si="16"/>
        <v>0</v>
      </c>
      <c r="KHL38">
        <f t="shared" si="17"/>
        <v>0</v>
      </c>
      <c r="KHM38">
        <f t="shared" si="18"/>
        <v>0</v>
      </c>
      <c r="KHN38">
        <f t="shared" si="19"/>
        <v>0</v>
      </c>
      <c r="KHO38">
        <f t="shared" si="20"/>
        <v>0</v>
      </c>
      <c r="KHP38">
        <f t="shared" si="21"/>
        <v>0</v>
      </c>
      <c r="KHQ38">
        <f t="shared" si="22"/>
        <v>0</v>
      </c>
      <c r="KHR38">
        <f t="shared" si="23"/>
        <v>0</v>
      </c>
      <c r="KHS38">
        <f t="shared" si="24"/>
        <v>0</v>
      </c>
      <c r="KHT38">
        <f t="shared" si="25"/>
        <v>0</v>
      </c>
      <c r="KHU38">
        <f t="shared" si="26"/>
        <v>0</v>
      </c>
      <c r="KHV38">
        <f t="shared" si="27"/>
        <v>0</v>
      </c>
      <c r="KHW38">
        <f t="shared" si="28"/>
        <v>0</v>
      </c>
      <c r="KHX38">
        <f t="shared" si="29"/>
        <v>0</v>
      </c>
      <c r="KHY38">
        <f t="shared" si="30"/>
        <v>0</v>
      </c>
      <c r="KHZ38">
        <f t="shared" si="31"/>
        <v>0</v>
      </c>
      <c r="KIA38">
        <f t="shared" si="32"/>
        <v>0</v>
      </c>
      <c r="KIB38">
        <f t="shared" si="33"/>
        <v>0</v>
      </c>
      <c r="KIC38">
        <f t="shared" si="34"/>
        <v>0</v>
      </c>
      <c r="KID38">
        <f t="shared" si="35"/>
        <v>0</v>
      </c>
      <c r="KIE38">
        <f t="shared" si="36"/>
        <v>0</v>
      </c>
      <c r="KIF38">
        <f t="shared" si="37"/>
        <v>0</v>
      </c>
      <c r="KIG38">
        <f t="shared" si="38"/>
        <v>0</v>
      </c>
      <c r="KIH38">
        <f t="shared" si="39"/>
        <v>0</v>
      </c>
      <c r="KII38">
        <f t="shared" si="40"/>
        <v>0</v>
      </c>
      <c r="KIJ38">
        <f t="shared" si="41"/>
        <v>0</v>
      </c>
      <c r="KIK38">
        <f t="shared" si="42"/>
        <v>0</v>
      </c>
      <c r="KIL38">
        <f t="shared" si="43"/>
        <v>0</v>
      </c>
      <c r="KIM38">
        <f t="shared" si="44"/>
        <v>0</v>
      </c>
      <c r="KIN38">
        <f t="shared" si="45"/>
        <v>0</v>
      </c>
      <c r="KIO38">
        <f t="shared" si="46"/>
        <v>0</v>
      </c>
      <c r="KIP38">
        <f t="shared" si="47"/>
        <v>0</v>
      </c>
      <c r="KIQ38">
        <f t="shared" si="48"/>
        <v>0</v>
      </c>
      <c r="KIR38">
        <f t="shared" si="49"/>
        <v>0</v>
      </c>
      <c r="KIS38">
        <f t="shared" si="50"/>
        <v>0</v>
      </c>
      <c r="KIT38">
        <f t="shared" si="51"/>
        <v>0</v>
      </c>
      <c r="KIU38">
        <f t="shared" si="52"/>
        <v>0</v>
      </c>
      <c r="KIV38">
        <f t="shared" si="53"/>
        <v>0</v>
      </c>
      <c r="KIW38">
        <f t="shared" si="54"/>
        <v>0</v>
      </c>
      <c r="KIX38">
        <f t="shared" si="55"/>
        <v>0</v>
      </c>
      <c r="KIY38">
        <f t="shared" si="56"/>
        <v>0</v>
      </c>
      <c r="KIZ38">
        <f t="shared" si="57"/>
        <v>0</v>
      </c>
      <c r="KJA38">
        <f t="shared" si="58"/>
        <v>0</v>
      </c>
      <c r="KJB38">
        <f t="shared" si="59"/>
        <v>0</v>
      </c>
      <c r="KJC38">
        <f t="shared" si="60"/>
        <v>0</v>
      </c>
      <c r="KJD38">
        <f t="shared" si="61"/>
        <v>0</v>
      </c>
      <c r="KJE38">
        <f t="shared" si="62"/>
        <v>0</v>
      </c>
      <c r="KJF38">
        <f t="shared" si="63"/>
        <v>0</v>
      </c>
      <c r="KJG38">
        <f t="shared" si="64"/>
        <v>0</v>
      </c>
      <c r="KJH38">
        <f t="shared" si="65"/>
        <v>0</v>
      </c>
      <c r="KJI38">
        <f t="shared" si="66"/>
        <v>0</v>
      </c>
      <c r="KJJ38">
        <f t="shared" si="67"/>
        <v>0</v>
      </c>
      <c r="KJK38">
        <f t="shared" si="68"/>
        <v>0</v>
      </c>
      <c r="KJL38">
        <f t="shared" si="69"/>
        <v>0</v>
      </c>
      <c r="KJM38">
        <f t="shared" si="70"/>
        <v>0</v>
      </c>
      <c r="KJN38">
        <f t="shared" si="71"/>
        <v>0</v>
      </c>
      <c r="KJO38">
        <f t="shared" si="72"/>
        <v>0</v>
      </c>
      <c r="KJP38">
        <f t="shared" si="73"/>
        <v>0</v>
      </c>
      <c r="KJQ38">
        <f t="shared" si="74"/>
        <v>0</v>
      </c>
      <c r="KJR38">
        <f t="shared" si="75"/>
        <v>0</v>
      </c>
      <c r="KJS38">
        <f t="shared" si="76"/>
        <v>0</v>
      </c>
      <c r="KJT38">
        <f t="shared" si="77"/>
        <v>0</v>
      </c>
      <c r="KJU38">
        <f t="shared" si="78"/>
        <v>0</v>
      </c>
      <c r="KJV38">
        <f t="shared" si="79"/>
        <v>0</v>
      </c>
      <c r="KJW38">
        <f t="shared" si="80"/>
        <v>0</v>
      </c>
      <c r="KJX38">
        <f t="shared" si="81"/>
        <v>0</v>
      </c>
      <c r="KJY38">
        <f t="shared" si="82"/>
        <v>0</v>
      </c>
      <c r="KJZ38">
        <f t="shared" si="83"/>
        <v>0</v>
      </c>
      <c r="KKA38">
        <f t="shared" si="84"/>
        <v>0</v>
      </c>
      <c r="KKB38">
        <f t="shared" si="85"/>
        <v>0</v>
      </c>
      <c r="KKC38">
        <f t="shared" si="86"/>
        <v>0</v>
      </c>
      <c r="KKD38">
        <f t="shared" si="87"/>
        <v>0</v>
      </c>
      <c r="KKE38">
        <f t="shared" si="88"/>
        <v>0</v>
      </c>
      <c r="KKF38">
        <f t="shared" si="89"/>
        <v>0</v>
      </c>
      <c r="KKG38">
        <f t="shared" si="90"/>
        <v>0</v>
      </c>
      <c r="KKH38">
        <f t="shared" si="91"/>
        <v>0</v>
      </c>
      <c r="KKI38">
        <f t="shared" si="92"/>
        <v>0</v>
      </c>
      <c r="KKJ38">
        <f t="shared" si="93"/>
        <v>0</v>
      </c>
      <c r="KKK38">
        <f t="shared" si="94"/>
        <v>0</v>
      </c>
      <c r="KKL38">
        <f t="shared" si="95"/>
        <v>0</v>
      </c>
      <c r="KKM38">
        <f t="shared" si="96"/>
        <v>0</v>
      </c>
      <c r="KKN38">
        <f t="shared" si="97"/>
        <v>0</v>
      </c>
      <c r="KKO38">
        <f t="shared" si="98"/>
        <v>0</v>
      </c>
      <c r="KKP38">
        <f t="shared" si="99"/>
        <v>0</v>
      </c>
      <c r="KKR38">
        <f t="shared" si="100"/>
        <v>25</v>
      </c>
      <c r="KKT38">
        <f t="shared" si="100"/>
        <v>25</v>
      </c>
      <c r="KKU38">
        <f t="shared" si="101"/>
        <v>1</v>
      </c>
      <c r="KKW38">
        <f t="shared" si="101"/>
        <v>1</v>
      </c>
    </row>
    <row r="39" spans="1:2 2601:2638 4867:5062 5967:6013 7182:7745">
      <c r="A39" t="s">
        <v>29</v>
      </c>
      <c r="B39">
        <v>1</v>
      </c>
      <c r="JQP39">
        <v>1</v>
      </c>
      <c r="JQQ39">
        <v>1</v>
      </c>
      <c r="JQR39">
        <v>1</v>
      </c>
      <c r="JQS39">
        <v>1</v>
      </c>
      <c r="JQT39">
        <v>1</v>
      </c>
      <c r="JQU39">
        <v>1</v>
      </c>
      <c r="JQV39">
        <v>1</v>
      </c>
      <c r="JQW39">
        <v>1</v>
      </c>
      <c r="JQX39">
        <v>1</v>
      </c>
      <c r="JQY39">
        <v>1</v>
      </c>
      <c r="JQZ39">
        <v>1</v>
      </c>
      <c r="JRA39">
        <v>1</v>
      </c>
      <c r="JRB39">
        <v>1</v>
      </c>
      <c r="JRC39">
        <v>1</v>
      </c>
      <c r="JRD39">
        <v>1</v>
      </c>
      <c r="JRE39">
        <v>1</v>
      </c>
      <c r="JRF39">
        <v>1</v>
      </c>
      <c r="JRG39">
        <v>1</v>
      </c>
      <c r="JRH39">
        <v>1</v>
      </c>
      <c r="JRI39">
        <v>1</v>
      </c>
      <c r="JRJ39">
        <v>1</v>
      </c>
      <c r="JRK39">
        <v>1</v>
      </c>
      <c r="JRL39">
        <v>1</v>
      </c>
      <c r="JRM39">
        <v>1</v>
      </c>
      <c r="JRN39">
        <v>1</v>
      </c>
      <c r="JRO39">
        <v>1</v>
      </c>
      <c r="JRP39">
        <v>1</v>
      </c>
      <c r="JRQ39">
        <v>1</v>
      </c>
      <c r="JRR39">
        <v>1</v>
      </c>
      <c r="JRS39">
        <v>1</v>
      </c>
      <c r="JRT39">
        <v>1</v>
      </c>
      <c r="JRU39">
        <v>1</v>
      </c>
      <c r="JRV39">
        <v>1</v>
      </c>
      <c r="JRW39">
        <v>1</v>
      </c>
      <c r="JRX39">
        <v>1</v>
      </c>
      <c r="JRY39">
        <v>1</v>
      </c>
      <c r="JRZ39">
        <v>1</v>
      </c>
      <c r="JSA39">
        <v>1</v>
      </c>
      <c r="JSB39">
        <v>1</v>
      </c>
      <c r="JSC39">
        <v>1</v>
      </c>
      <c r="JSD39">
        <v>1</v>
      </c>
      <c r="JSE39">
        <v>1</v>
      </c>
      <c r="JSF39">
        <v>1</v>
      </c>
      <c r="JSG39">
        <v>1</v>
      </c>
      <c r="JSH39">
        <v>1</v>
      </c>
      <c r="JSI39">
        <v>1</v>
      </c>
      <c r="JSJ39">
        <v>1</v>
      </c>
      <c r="JSK39">
        <v>1</v>
      </c>
      <c r="JSL39">
        <v>1</v>
      </c>
      <c r="JSM39">
        <v>1</v>
      </c>
      <c r="JSN39">
        <v>1</v>
      </c>
      <c r="JSO39">
        <v>1</v>
      </c>
      <c r="JSP39">
        <v>1</v>
      </c>
      <c r="JSQ39">
        <v>1</v>
      </c>
      <c r="JSR39">
        <v>1</v>
      </c>
      <c r="JSS39">
        <v>1</v>
      </c>
      <c r="JST39">
        <v>1</v>
      </c>
      <c r="JSU39">
        <v>1</v>
      </c>
      <c r="JSV39">
        <v>1</v>
      </c>
      <c r="JSW39">
        <v>1</v>
      </c>
      <c r="JSX39">
        <v>1</v>
      </c>
      <c r="JSY39">
        <v>1</v>
      </c>
      <c r="JSZ39">
        <v>1</v>
      </c>
      <c r="JTA39">
        <v>1</v>
      </c>
      <c r="JTB39">
        <v>1</v>
      </c>
      <c r="JTC39">
        <v>1</v>
      </c>
      <c r="JTD39">
        <v>1</v>
      </c>
      <c r="JTE39">
        <v>1</v>
      </c>
      <c r="JTF39">
        <v>1</v>
      </c>
      <c r="JTG39">
        <v>1</v>
      </c>
      <c r="JTH39">
        <v>1</v>
      </c>
      <c r="JTI39">
        <v>1</v>
      </c>
      <c r="JTJ39">
        <v>1</v>
      </c>
      <c r="JTK39">
        <v>1</v>
      </c>
      <c r="JTL39">
        <v>1</v>
      </c>
      <c r="JTM39">
        <v>1</v>
      </c>
      <c r="JTN39">
        <v>1</v>
      </c>
      <c r="JTO39">
        <v>1</v>
      </c>
      <c r="JTP39">
        <v>1</v>
      </c>
      <c r="JTQ39">
        <v>1</v>
      </c>
      <c r="JTR39">
        <v>1</v>
      </c>
      <c r="JTS39">
        <v>1</v>
      </c>
      <c r="JTT39">
        <v>1</v>
      </c>
      <c r="JTU39">
        <v>1</v>
      </c>
      <c r="JTV39">
        <v>1</v>
      </c>
      <c r="JTW39">
        <v>1</v>
      </c>
      <c r="JTX39">
        <v>1</v>
      </c>
      <c r="JTY39">
        <v>1</v>
      </c>
      <c r="JTZ39">
        <v>1</v>
      </c>
      <c r="JUA39">
        <v>1</v>
      </c>
      <c r="JUB39">
        <v>1</v>
      </c>
      <c r="JUC39">
        <v>1</v>
      </c>
      <c r="JUD39">
        <v>1</v>
      </c>
      <c r="JUE39">
        <v>1</v>
      </c>
      <c r="JUF39">
        <v>1</v>
      </c>
      <c r="JUG39">
        <v>1</v>
      </c>
      <c r="JUH39">
        <v>1</v>
      </c>
      <c r="JUI39">
        <v>1</v>
      </c>
      <c r="JUJ39">
        <v>1</v>
      </c>
      <c r="JUK39">
        <v>1</v>
      </c>
      <c r="JUL39">
        <v>1</v>
      </c>
      <c r="JUM39">
        <v>1</v>
      </c>
      <c r="JUN39">
        <v>1</v>
      </c>
      <c r="JUO39">
        <v>1</v>
      </c>
      <c r="JUP39">
        <v>1</v>
      </c>
      <c r="JUQ39">
        <v>1</v>
      </c>
      <c r="JUR39">
        <v>1</v>
      </c>
      <c r="JUS39">
        <v>1</v>
      </c>
      <c r="JUT39">
        <v>1</v>
      </c>
      <c r="JUU39">
        <v>1</v>
      </c>
      <c r="JUV39">
        <v>1</v>
      </c>
      <c r="JUW39">
        <v>1</v>
      </c>
      <c r="JUX39">
        <v>1</v>
      </c>
      <c r="JUY39">
        <v>1</v>
      </c>
      <c r="JUZ39">
        <v>1</v>
      </c>
      <c r="JVA39">
        <v>1</v>
      </c>
      <c r="JVB39">
        <v>1</v>
      </c>
      <c r="JVC39">
        <v>1</v>
      </c>
      <c r="JVD39">
        <v>1</v>
      </c>
      <c r="JVE39">
        <v>1</v>
      </c>
      <c r="JVF39">
        <v>1</v>
      </c>
      <c r="JVG39">
        <v>1</v>
      </c>
      <c r="JVH39">
        <v>1</v>
      </c>
      <c r="KGU39" s="1">
        <f t="shared" si="0"/>
        <v>123</v>
      </c>
      <c r="KGV39">
        <f t="shared" si="1"/>
        <v>0</v>
      </c>
      <c r="KGW39">
        <f t="shared" si="2"/>
        <v>0</v>
      </c>
      <c r="KGX39">
        <f t="shared" si="3"/>
        <v>0</v>
      </c>
      <c r="KGY39">
        <f t="shared" si="4"/>
        <v>0</v>
      </c>
      <c r="KGZ39">
        <f t="shared" si="5"/>
        <v>0</v>
      </c>
      <c r="KHA39">
        <f t="shared" si="6"/>
        <v>0</v>
      </c>
      <c r="KHB39">
        <f t="shared" si="7"/>
        <v>0</v>
      </c>
      <c r="KHC39">
        <f t="shared" si="8"/>
        <v>0</v>
      </c>
      <c r="KHD39">
        <f t="shared" si="9"/>
        <v>0</v>
      </c>
      <c r="KHE39">
        <f t="shared" si="10"/>
        <v>0</v>
      </c>
      <c r="KHF39">
        <f t="shared" si="11"/>
        <v>0</v>
      </c>
      <c r="KHG39">
        <f t="shared" si="12"/>
        <v>0</v>
      </c>
      <c r="KHH39">
        <f t="shared" si="13"/>
        <v>0</v>
      </c>
      <c r="KHI39">
        <f t="shared" si="14"/>
        <v>0</v>
      </c>
      <c r="KHJ39">
        <f t="shared" si="15"/>
        <v>0</v>
      </c>
      <c r="KHK39">
        <f t="shared" si="16"/>
        <v>0</v>
      </c>
      <c r="KHL39">
        <f t="shared" si="17"/>
        <v>0</v>
      </c>
      <c r="KHM39">
        <f t="shared" si="18"/>
        <v>0</v>
      </c>
      <c r="KHN39">
        <f t="shared" si="19"/>
        <v>0</v>
      </c>
      <c r="KHO39">
        <f t="shared" si="20"/>
        <v>0</v>
      </c>
      <c r="KHP39">
        <f t="shared" si="21"/>
        <v>0</v>
      </c>
      <c r="KHQ39">
        <f t="shared" si="22"/>
        <v>0</v>
      </c>
      <c r="KHR39">
        <f t="shared" si="23"/>
        <v>0</v>
      </c>
      <c r="KHS39">
        <f t="shared" si="24"/>
        <v>0</v>
      </c>
      <c r="KHT39">
        <f t="shared" si="25"/>
        <v>0</v>
      </c>
      <c r="KHU39">
        <f t="shared" si="26"/>
        <v>0</v>
      </c>
      <c r="KHV39">
        <f t="shared" si="27"/>
        <v>0</v>
      </c>
      <c r="KHW39">
        <f t="shared" si="28"/>
        <v>0</v>
      </c>
      <c r="KHX39">
        <f t="shared" si="29"/>
        <v>0</v>
      </c>
      <c r="KHY39">
        <f t="shared" si="30"/>
        <v>0</v>
      </c>
      <c r="KHZ39">
        <f t="shared" si="31"/>
        <v>0</v>
      </c>
      <c r="KIA39">
        <f t="shared" si="32"/>
        <v>0</v>
      </c>
      <c r="KIB39">
        <f t="shared" si="33"/>
        <v>0</v>
      </c>
      <c r="KIC39">
        <f t="shared" si="34"/>
        <v>0</v>
      </c>
      <c r="KID39">
        <f t="shared" si="35"/>
        <v>0</v>
      </c>
      <c r="KIE39">
        <f t="shared" si="36"/>
        <v>0</v>
      </c>
      <c r="KIF39">
        <f t="shared" si="37"/>
        <v>0</v>
      </c>
      <c r="KIG39">
        <f t="shared" si="38"/>
        <v>0</v>
      </c>
      <c r="KIH39">
        <f t="shared" si="39"/>
        <v>0</v>
      </c>
      <c r="KII39">
        <f t="shared" si="40"/>
        <v>0</v>
      </c>
      <c r="KIJ39">
        <f t="shared" si="41"/>
        <v>0</v>
      </c>
      <c r="KIK39">
        <f t="shared" si="42"/>
        <v>0</v>
      </c>
      <c r="KIL39">
        <f t="shared" si="43"/>
        <v>0</v>
      </c>
      <c r="KIM39">
        <f t="shared" si="44"/>
        <v>0</v>
      </c>
      <c r="KIN39">
        <f t="shared" si="45"/>
        <v>0</v>
      </c>
      <c r="KIO39">
        <f t="shared" si="46"/>
        <v>0</v>
      </c>
      <c r="KIP39">
        <f t="shared" si="47"/>
        <v>0</v>
      </c>
      <c r="KIQ39">
        <f t="shared" si="48"/>
        <v>0</v>
      </c>
      <c r="KIR39">
        <f t="shared" si="49"/>
        <v>0</v>
      </c>
      <c r="KIS39">
        <f t="shared" si="50"/>
        <v>0</v>
      </c>
      <c r="KIT39">
        <f t="shared" si="51"/>
        <v>0</v>
      </c>
      <c r="KIU39">
        <f t="shared" si="52"/>
        <v>0</v>
      </c>
      <c r="KIV39">
        <f t="shared" si="53"/>
        <v>0</v>
      </c>
      <c r="KIW39">
        <f t="shared" si="54"/>
        <v>0</v>
      </c>
      <c r="KIX39">
        <f t="shared" si="55"/>
        <v>0</v>
      </c>
      <c r="KIY39">
        <f t="shared" si="56"/>
        <v>0</v>
      </c>
      <c r="KIZ39">
        <f t="shared" si="57"/>
        <v>0</v>
      </c>
      <c r="KJA39">
        <f t="shared" si="58"/>
        <v>0</v>
      </c>
      <c r="KJB39">
        <f t="shared" si="59"/>
        <v>0</v>
      </c>
      <c r="KJC39">
        <f t="shared" si="60"/>
        <v>0</v>
      </c>
      <c r="KJD39">
        <f t="shared" si="61"/>
        <v>0</v>
      </c>
      <c r="KJE39">
        <f t="shared" si="62"/>
        <v>0</v>
      </c>
      <c r="KJF39">
        <f t="shared" si="63"/>
        <v>0</v>
      </c>
      <c r="KJG39">
        <f t="shared" si="64"/>
        <v>0</v>
      </c>
      <c r="KJH39">
        <f t="shared" si="65"/>
        <v>0</v>
      </c>
      <c r="KJI39">
        <f t="shared" si="66"/>
        <v>0</v>
      </c>
      <c r="KJJ39">
        <f t="shared" si="67"/>
        <v>0</v>
      </c>
      <c r="KJK39">
        <f t="shared" si="68"/>
        <v>0</v>
      </c>
      <c r="KJL39">
        <f t="shared" si="69"/>
        <v>0</v>
      </c>
      <c r="KJM39">
        <f t="shared" si="70"/>
        <v>0</v>
      </c>
      <c r="KJN39">
        <f t="shared" si="71"/>
        <v>0</v>
      </c>
      <c r="KJO39">
        <f t="shared" si="72"/>
        <v>0</v>
      </c>
      <c r="KJP39">
        <f t="shared" si="73"/>
        <v>0</v>
      </c>
      <c r="KJQ39">
        <f t="shared" si="74"/>
        <v>0</v>
      </c>
      <c r="KJR39">
        <f t="shared" si="75"/>
        <v>0</v>
      </c>
      <c r="KJS39">
        <f t="shared" si="76"/>
        <v>0</v>
      </c>
      <c r="KJT39">
        <f t="shared" si="77"/>
        <v>0</v>
      </c>
      <c r="KJU39">
        <f t="shared" si="78"/>
        <v>0</v>
      </c>
      <c r="KJV39">
        <f t="shared" si="79"/>
        <v>0</v>
      </c>
      <c r="KJW39">
        <f t="shared" si="80"/>
        <v>0</v>
      </c>
      <c r="KJX39">
        <f t="shared" si="81"/>
        <v>0</v>
      </c>
      <c r="KJY39">
        <f t="shared" si="82"/>
        <v>0</v>
      </c>
      <c r="KJZ39">
        <f t="shared" si="83"/>
        <v>0</v>
      </c>
      <c r="KKA39">
        <f t="shared" si="84"/>
        <v>0</v>
      </c>
      <c r="KKB39">
        <f t="shared" si="85"/>
        <v>0</v>
      </c>
      <c r="KKC39">
        <f t="shared" si="86"/>
        <v>0</v>
      </c>
      <c r="KKD39">
        <f t="shared" si="87"/>
        <v>0</v>
      </c>
      <c r="KKE39">
        <f t="shared" si="88"/>
        <v>0</v>
      </c>
      <c r="KKF39">
        <f t="shared" si="89"/>
        <v>0</v>
      </c>
      <c r="KKG39">
        <f t="shared" si="90"/>
        <v>0</v>
      </c>
      <c r="KKH39">
        <f t="shared" si="91"/>
        <v>0</v>
      </c>
      <c r="KKI39">
        <f t="shared" si="92"/>
        <v>0</v>
      </c>
      <c r="KKJ39">
        <f t="shared" si="93"/>
        <v>0</v>
      </c>
      <c r="KKK39">
        <f t="shared" si="94"/>
        <v>0</v>
      </c>
      <c r="KKL39">
        <f t="shared" si="95"/>
        <v>0</v>
      </c>
      <c r="KKM39">
        <f t="shared" si="96"/>
        <v>0</v>
      </c>
      <c r="KKN39">
        <f t="shared" si="97"/>
        <v>0</v>
      </c>
      <c r="KKO39">
        <f t="shared" si="98"/>
        <v>0</v>
      </c>
      <c r="KKP39">
        <f t="shared" si="99"/>
        <v>0</v>
      </c>
      <c r="KKR39">
        <f t="shared" si="100"/>
        <v>123</v>
      </c>
      <c r="KKT39">
        <f t="shared" si="100"/>
        <v>123</v>
      </c>
      <c r="KKU39">
        <f t="shared" si="101"/>
        <v>4.92</v>
      </c>
      <c r="KKW39">
        <f t="shared" si="101"/>
        <v>4.92</v>
      </c>
    </row>
    <row r="40" spans="1:2 2601:2638 4867:5062 5967:6013 7182:7745">
      <c r="A40" t="s">
        <v>7669</v>
      </c>
      <c r="B40">
        <v>0</v>
      </c>
      <c r="KGU40" s="1">
        <f t="shared" si="0"/>
        <v>0</v>
      </c>
      <c r="KGV40">
        <f t="shared" si="1"/>
        <v>0</v>
      </c>
      <c r="KGW40">
        <f t="shared" si="2"/>
        <v>0</v>
      </c>
      <c r="KGX40">
        <f t="shared" si="3"/>
        <v>0</v>
      </c>
      <c r="KGY40">
        <f t="shared" si="4"/>
        <v>0</v>
      </c>
      <c r="KGZ40">
        <f t="shared" si="5"/>
        <v>0</v>
      </c>
      <c r="KHA40">
        <f t="shared" si="6"/>
        <v>0</v>
      </c>
      <c r="KHB40">
        <f t="shared" si="7"/>
        <v>0</v>
      </c>
      <c r="KHC40">
        <f t="shared" si="8"/>
        <v>0</v>
      </c>
      <c r="KHD40">
        <f t="shared" si="9"/>
        <v>0</v>
      </c>
      <c r="KHE40">
        <f t="shared" si="10"/>
        <v>0</v>
      </c>
      <c r="KHF40">
        <f t="shared" si="11"/>
        <v>0</v>
      </c>
      <c r="KHG40">
        <f t="shared" si="12"/>
        <v>0</v>
      </c>
      <c r="KHH40">
        <f t="shared" si="13"/>
        <v>0</v>
      </c>
      <c r="KHI40">
        <f t="shared" si="14"/>
        <v>0</v>
      </c>
      <c r="KHJ40">
        <f t="shared" si="15"/>
        <v>0</v>
      </c>
      <c r="KHK40">
        <f t="shared" si="16"/>
        <v>0</v>
      </c>
      <c r="KHL40">
        <f t="shared" si="17"/>
        <v>0</v>
      </c>
      <c r="KHM40">
        <f t="shared" si="18"/>
        <v>0</v>
      </c>
      <c r="KHN40">
        <f t="shared" si="19"/>
        <v>0</v>
      </c>
      <c r="KHO40">
        <f t="shared" si="20"/>
        <v>0</v>
      </c>
      <c r="KHP40">
        <f t="shared" si="21"/>
        <v>0</v>
      </c>
      <c r="KHQ40">
        <f t="shared" si="22"/>
        <v>0</v>
      </c>
      <c r="KHR40">
        <f t="shared" si="23"/>
        <v>0</v>
      </c>
      <c r="KHS40">
        <f t="shared" si="24"/>
        <v>0</v>
      </c>
      <c r="KHT40">
        <f t="shared" si="25"/>
        <v>0</v>
      </c>
      <c r="KHU40">
        <f t="shared" si="26"/>
        <v>0</v>
      </c>
      <c r="KHV40">
        <f t="shared" si="27"/>
        <v>0</v>
      </c>
      <c r="KHW40">
        <f t="shared" si="28"/>
        <v>0</v>
      </c>
      <c r="KHX40">
        <f t="shared" si="29"/>
        <v>0</v>
      </c>
      <c r="KHY40">
        <f t="shared" si="30"/>
        <v>0</v>
      </c>
      <c r="KHZ40">
        <f t="shared" si="31"/>
        <v>0</v>
      </c>
      <c r="KIA40">
        <f t="shared" si="32"/>
        <v>0</v>
      </c>
      <c r="KIB40">
        <f t="shared" si="33"/>
        <v>0</v>
      </c>
      <c r="KIC40">
        <f t="shared" si="34"/>
        <v>0</v>
      </c>
      <c r="KID40">
        <f t="shared" si="35"/>
        <v>0</v>
      </c>
      <c r="KIE40">
        <f t="shared" si="36"/>
        <v>0</v>
      </c>
      <c r="KIF40">
        <f t="shared" si="37"/>
        <v>0</v>
      </c>
      <c r="KIG40">
        <f t="shared" si="38"/>
        <v>0</v>
      </c>
      <c r="KIH40">
        <f t="shared" si="39"/>
        <v>0</v>
      </c>
      <c r="KII40">
        <f t="shared" si="40"/>
        <v>0</v>
      </c>
      <c r="KIJ40">
        <f t="shared" si="41"/>
        <v>0</v>
      </c>
      <c r="KIK40">
        <f t="shared" si="42"/>
        <v>0</v>
      </c>
      <c r="KIL40">
        <f t="shared" si="43"/>
        <v>0</v>
      </c>
      <c r="KIM40">
        <f t="shared" si="44"/>
        <v>0</v>
      </c>
      <c r="KIN40">
        <f t="shared" si="45"/>
        <v>0</v>
      </c>
      <c r="KIO40">
        <f t="shared" si="46"/>
        <v>0</v>
      </c>
      <c r="KIP40">
        <f t="shared" si="47"/>
        <v>0</v>
      </c>
      <c r="KIQ40">
        <f t="shared" si="48"/>
        <v>0</v>
      </c>
      <c r="KIR40">
        <f t="shared" si="49"/>
        <v>0</v>
      </c>
      <c r="KIS40">
        <f t="shared" si="50"/>
        <v>0</v>
      </c>
      <c r="KIT40">
        <f t="shared" si="51"/>
        <v>0</v>
      </c>
      <c r="KIU40">
        <f t="shared" si="52"/>
        <v>0</v>
      </c>
      <c r="KIV40">
        <f t="shared" si="53"/>
        <v>0</v>
      </c>
      <c r="KIW40">
        <f t="shared" si="54"/>
        <v>0</v>
      </c>
      <c r="KIX40">
        <f t="shared" si="55"/>
        <v>0</v>
      </c>
      <c r="KIY40">
        <f t="shared" si="56"/>
        <v>0</v>
      </c>
      <c r="KIZ40">
        <f t="shared" si="57"/>
        <v>0</v>
      </c>
      <c r="KJA40">
        <f t="shared" si="58"/>
        <v>0</v>
      </c>
      <c r="KJB40">
        <f t="shared" si="59"/>
        <v>0</v>
      </c>
      <c r="KJC40">
        <f t="shared" si="60"/>
        <v>0</v>
      </c>
      <c r="KJD40">
        <f t="shared" si="61"/>
        <v>0</v>
      </c>
      <c r="KJE40">
        <f t="shared" si="62"/>
        <v>0</v>
      </c>
      <c r="KJF40">
        <f t="shared" si="63"/>
        <v>0</v>
      </c>
      <c r="KJG40">
        <f t="shared" si="64"/>
        <v>0</v>
      </c>
      <c r="KJH40">
        <f t="shared" si="65"/>
        <v>0</v>
      </c>
      <c r="KJI40">
        <f t="shared" si="66"/>
        <v>0</v>
      </c>
      <c r="KJJ40">
        <f t="shared" si="67"/>
        <v>0</v>
      </c>
      <c r="KJK40">
        <f t="shared" si="68"/>
        <v>0</v>
      </c>
      <c r="KJL40">
        <f t="shared" si="69"/>
        <v>0</v>
      </c>
      <c r="KJM40">
        <f t="shared" si="70"/>
        <v>0</v>
      </c>
      <c r="KJN40">
        <f t="shared" si="71"/>
        <v>0</v>
      </c>
      <c r="KJO40">
        <f t="shared" si="72"/>
        <v>0</v>
      </c>
      <c r="KJP40">
        <f t="shared" si="73"/>
        <v>0</v>
      </c>
      <c r="KJQ40">
        <f t="shared" si="74"/>
        <v>0</v>
      </c>
      <c r="KJR40">
        <f t="shared" si="75"/>
        <v>0</v>
      </c>
      <c r="KJS40">
        <f t="shared" si="76"/>
        <v>0</v>
      </c>
      <c r="KJT40">
        <f t="shared" si="77"/>
        <v>0</v>
      </c>
      <c r="KJU40">
        <f t="shared" si="78"/>
        <v>0</v>
      </c>
      <c r="KJV40">
        <f t="shared" si="79"/>
        <v>0</v>
      </c>
      <c r="KJW40">
        <f t="shared" si="80"/>
        <v>0</v>
      </c>
      <c r="KJX40">
        <f t="shared" si="81"/>
        <v>0</v>
      </c>
      <c r="KJY40">
        <f t="shared" si="82"/>
        <v>0</v>
      </c>
      <c r="KJZ40">
        <f t="shared" si="83"/>
        <v>0</v>
      </c>
      <c r="KKA40">
        <f t="shared" si="84"/>
        <v>0</v>
      </c>
      <c r="KKB40">
        <f t="shared" si="85"/>
        <v>0</v>
      </c>
      <c r="KKC40">
        <f t="shared" si="86"/>
        <v>0</v>
      </c>
      <c r="KKD40">
        <f t="shared" si="87"/>
        <v>0</v>
      </c>
      <c r="KKE40">
        <f t="shared" si="88"/>
        <v>0</v>
      </c>
      <c r="KKF40">
        <f t="shared" si="89"/>
        <v>0</v>
      </c>
      <c r="KKG40">
        <f t="shared" si="90"/>
        <v>0</v>
      </c>
      <c r="KKH40">
        <f t="shared" si="91"/>
        <v>0</v>
      </c>
      <c r="KKI40">
        <f t="shared" si="92"/>
        <v>0</v>
      </c>
      <c r="KKJ40">
        <f t="shared" si="93"/>
        <v>0</v>
      </c>
      <c r="KKK40">
        <f t="shared" si="94"/>
        <v>0</v>
      </c>
      <c r="KKL40">
        <f t="shared" si="95"/>
        <v>0</v>
      </c>
      <c r="KKM40">
        <f t="shared" si="96"/>
        <v>0</v>
      </c>
      <c r="KKN40">
        <f t="shared" si="97"/>
        <v>0</v>
      </c>
      <c r="KKO40">
        <f t="shared" si="98"/>
        <v>0</v>
      </c>
      <c r="KKP40">
        <f t="shared" si="99"/>
        <v>0</v>
      </c>
      <c r="KKR40">
        <f t="shared" si="100"/>
        <v>0</v>
      </c>
      <c r="KKT40">
        <f t="shared" si="100"/>
        <v>0</v>
      </c>
      <c r="KKU40">
        <f t="shared" si="101"/>
        <v>0</v>
      </c>
      <c r="KKW40">
        <f t="shared" si="101"/>
        <v>0</v>
      </c>
    </row>
    <row r="41" spans="1:2 2601:2638 4867:5062 5967:6013 7182:7745">
      <c r="A41" t="s">
        <v>7670</v>
      </c>
      <c r="B41">
        <v>1</v>
      </c>
      <c r="JPF41">
        <v>1</v>
      </c>
      <c r="JPG41">
        <v>1</v>
      </c>
      <c r="JPH41">
        <v>1</v>
      </c>
      <c r="JPI41">
        <v>1</v>
      </c>
      <c r="JPJ41">
        <v>1</v>
      </c>
      <c r="JPK41">
        <v>1</v>
      </c>
      <c r="JPL41">
        <v>1</v>
      </c>
      <c r="JPM41">
        <v>1</v>
      </c>
      <c r="JPN41">
        <v>1</v>
      </c>
      <c r="JPO41">
        <v>1</v>
      </c>
      <c r="JPP41">
        <v>1</v>
      </c>
      <c r="JPQ41">
        <v>1</v>
      </c>
      <c r="JPR41">
        <v>1</v>
      </c>
      <c r="JPS41">
        <v>1</v>
      </c>
      <c r="JPT41">
        <v>1</v>
      </c>
      <c r="JPU41">
        <v>1</v>
      </c>
      <c r="JPV41">
        <v>1</v>
      </c>
      <c r="JPW41">
        <v>1</v>
      </c>
      <c r="JPX41">
        <v>1</v>
      </c>
      <c r="JPY41">
        <v>1</v>
      </c>
      <c r="JPZ41">
        <v>1</v>
      </c>
      <c r="JQA41">
        <v>1</v>
      </c>
      <c r="JQB41">
        <v>1</v>
      </c>
      <c r="JQC41">
        <v>1</v>
      </c>
      <c r="JQD41">
        <v>1</v>
      </c>
      <c r="KGU41" s="1">
        <f t="shared" si="0"/>
        <v>25</v>
      </c>
      <c r="KGV41">
        <f t="shared" si="1"/>
        <v>0</v>
      </c>
      <c r="KGW41">
        <f t="shared" si="2"/>
        <v>0</v>
      </c>
      <c r="KGX41">
        <f t="shared" si="3"/>
        <v>0</v>
      </c>
      <c r="KGY41">
        <f t="shared" si="4"/>
        <v>0</v>
      </c>
      <c r="KGZ41">
        <f t="shared" si="5"/>
        <v>0</v>
      </c>
      <c r="KHA41">
        <f t="shared" si="6"/>
        <v>0</v>
      </c>
      <c r="KHB41">
        <f t="shared" si="7"/>
        <v>0</v>
      </c>
      <c r="KHC41">
        <f t="shared" si="8"/>
        <v>0</v>
      </c>
      <c r="KHD41">
        <f t="shared" si="9"/>
        <v>0</v>
      </c>
      <c r="KHE41">
        <f t="shared" si="10"/>
        <v>0</v>
      </c>
      <c r="KHF41">
        <f t="shared" si="11"/>
        <v>0</v>
      </c>
      <c r="KHG41">
        <f t="shared" si="12"/>
        <v>0</v>
      </c>
      <c r="KHH41">
        <f t="shared" si="13"/>
        <v>0</v>
      </c>
      <c r="KHI41">
        <f t="shared" si="14"/>
        <v>0</v>
      </c>
      <c r="KHJ41">
        <f t="shared" si="15"/>
        <v>0</v>
      </c>
      <c r="KHK41">
        <f t="shared" si="16"/>
        <v>0</v>
      </c>
      <c r="KHL41">
        <f t="shared" si="17"/>
        <v>0</v>
      </c>
      <c r="KHM41">
        <f t="shared" si="18"/>
        <v>0</v>
      </c>
      <c r="KHN41">
        <f t="shared" si="19"/>
        <v>0</v>
      </c>
      <c r="KHO41">
        <f t="shared" si="20"/>
        <v>0</v>
      </c>
      <c r="KHP41">
        <f t="shared" si="21"/>
        <v>0</v>
      </c>
      <c r="KHQ41">
        <f t="shared" si="22"/>
        <v>0</v>
      </c>
      <c r="KHR41">
        <f t="shared" si="23"/>
        <v>0</v>
      </c>
      <c r="KHS41">
        <f t="shared" si="24"/>
        <v>0</v>
      </c>
      <c r="KHT41">
        <f t="shared" si="25"/>
        <v>0</v>
      </c>
      <c r="KHU41">
        <f t="shared" si="26"/>
        <v>0</v>
      </c>
      <c r="KHV41">
        <f t="shared" si="27"/>
        <v>0</v>
      </c>
      <c r="KHW41">
        <f t="shared" si="28"/>
        <v>0</v>
      </c>
      <c r="KHX41">
        <f t="shared" si="29"/>
        <v>0</v>
      </c>
      <c r="KHY41">
        <f t="shared" si="30"/>
        <v>0</v>
      </c>
      <c r="KHZ41">
        <f t="shared" si="31"/>
        <v>0</v>
      </c>
      <c r="KIA41">
        <f t="shared" si="32"/>
        <v>0</v>
      </c>
      <c r="KIB41">
        <f t="shared" si="33"/>
        <v>0</v>
      </c>
      <c r="KIC41">
        <f t="shared" si="34"/>
        <v>0</v>
      </c>
      <c r="KID41">
        <f t="shared" si="35"/>
        <v>0</v>
      </c>
      <c r="KIE41">
        <f t="shared" si="36"/>
        <v>0</v>
      </c>
      <c r="KIF41">
        <f t="shared" si="37"/>
        <v>0</v>
      </c>
      <c r="KIG41">
        <f t="shared" si="38"/>
        <v>0</v>
      </c>
      <c r="KIH41">
        <f t="shared" si="39"/>
        <v>0</v>
      </c>
      <c r="KII41">
        <f t="shared" si="40"/>
        <v>0</v>
      </c>
      <c r="KIJ41">
        <f t="shared" si="41"/>
        <v>0</v>
      </c>
      <c r="KIK41">
        <f t="shared" si="42"/>
        <v>0</v>
      </c>
      <c r="KIL41">
        <f t="shared" si="43"/>
        <v>0</v>
      </c>
      <c r="KIM41">
        <f t="shared" si="44"/>
        <v>0</v>
      </c>
      <c r="KIN41">
        <f t="shared" si="45"/>
        <v>0</v>
      </c>
      <c r="KIO41">
        <f t="shared" si="46"/>
        <v>0</v>
      </c>
      <c r="KIP41">
        <f t="shared" si="47"/>
        <v>0</v>
      </c>
      <c r="KIQ41">
        <f t="shared" si="48"/>
        <v>0</v>
      </c>
      <c r="KIR41">
        <f t="shared" si="49"/>
        <v>0</v>
      </c>
      <c r="KIS41">
        <f t="shared" si="50"/>
        <v>0</v>
      </c>
      <c r="KIT41">
        <f t="shared" si="51"/>
        <v>0</v>
      </c>
      <c r="KIU41">
        <f t="shared" si="52"/>
        <v>0</v>
      </c>
      <c r="KIV41">
        <f t="shared" si="53"/>
        <v>0</v>
      </c>
      <c r="KIW41">
        <f t="shared" si="54"/>
        <v>0</v>
      </c>
      <c r="KIX41">
        <f t="shared" si="55"/>
        <v>0</v>
      </c>
      <c r="KIY41">
        <f t="shared" si="56"/>
        <v>0</v>
      </c>
      <c r="KIZ41">
        <f t="shared" si="57"/>
        <v>0</v>
      </c>
      <c r="KJA41">
        <f t="shared" si="58"/>
        <v>0</v>
      </c>
      <c r="KJB41">
        <f t="shared" si="59"/>
        <v>0</v>
      </c>
      <c r="KJC41">
        <f t="shared" si="60"/>
        <v>0</v>
      </c>
      <c r="KJD41">
        <f t="shared" si="61"/>
        <v>0</v>
      </c>
      <c r="KJE41">
        <f t="shared" si="62"/>
        <v>0</v>
      </c>
      <c r="KJF41">
        <f t="shared" si="63"/>
        <v>0</v>
      </c>
      <c r="KJG41">
        <f t="shared" si="64"/>
        <v>0</v>
      </c>
      <c r="KJH41">
        <f t="shared" si="65"/>
        <v>0</v>
      </c>
      <c r="KJI41">
        <f t="shared" si="66"/>
        <v>0</v>
      </c>
      <c r="KJJ41">
        <f t="shared" si="67"/>
        <v>0</v>
      </c>
      <c r="KJK41">
        <f t="shared" si="68"/>
        <v>0</v>
      </c>
      <c r="KJL41">
        <f t="shared" si="69"/>
        <v>0</v>
      </c>
      <c r="KJM41">
        <f t="shared" si="70"/>
        <v>0</v>
      </c>
      <c r="KJN41">
        <f t="shared" si="71"/>
        <v>0</v>
      </c>
      <c r="KJO41">
        <f t="shared" si="72"/>
        <v>0</v>
      </c>
      <c r="KJP41">
        <f t="shared" si="73"/>
        <v>0</v>
      </c>
      <c r="KJQ41">
        <f t="shared" si="74"/>
        <v>0</v>
      </c>
      <c r="KJR41">
        <f t="shared" si="75"/>
        <v>0</v>
      </c>
      <c r="KJS41">
        <f t="shared" si="76"/>
        <v>0</v>
      </c>
      <c r="KJT41">
        <f t="shared" si="77"/>
        <v>0</v>
      </c>
      <c r="KJU41">
        <f t="shared" si="78"/>
        <v>0</v>
      </c>
      <c r="KJV41">
        <f t="shared" si="79"/>
        <v>0</v>
      </c>
      <c r="KJW41">
        <f t="shared" si="80"/>
        <v>0</v>
      </c>
      <c r="KJX41">
        <f t="shared" si="81"/>
        <v>0</v>
      </c>
      <c r="KJY41">
        <f t="shared" si="82"/>
        <v>0</v>
      </c>
      <c r="KJZ41">
        <f t="shared" si="83"/>
        <v>0</v>
      </c>
      <c r="KKA41">
        <f t="shared" si="84"/>
        <v>0</v>
      </c>
      <c r="KKB41">
        <f t="shared" si="85"/>
        <v>0</v>
      </c>
      <c r="KKC41">
        <f t="shared" si="86"/>
        <v>0</v>
      </c>
      <c r="KKD41">
        <f t="shared" si="87"/>
        <v>0</v>
      </c>
      <c r="KKE41">
        <f t="shared" si="88"/>
        <v>0</v>
      </c>
      <c r="KKF41">
        <f t="shared" si="89"/>
        <v>0</v>
      </c>
      <c r="KKG41">
        <f t="shared" si="90"/>
        <v>0</v>
      </c>
      <c r="KKH41">
        <f t="shared" si="91"/>
        <v>0</v>
      </c>
      <c r="KKI41">
        <f t="shared" si="92"/>
        <v>0</v>
      </c>
      <c r="KKJ41">
        <f t="shared" si="93"/>
        <v>0</v>
      </c>
      <c r="KKK41">
        <f t="shared" si="94"/>
        <v>0</v>
      </c>
      <c r="KKL41">
        <f t="shared" si="95"/>
        <v>0</v>
      </c>
      <c r="KKM41">
        <f t="shared" si="96"/>
        <v>0</v>
      </c>
      <c r="KKN41">
        <f t="shared" si="97"/>
        <v>0</v>
      </c>
      <c r="KKO41">
        <f t="shared" si="98"/>
        <v>0</v>
      </c>
      <c r="KKP41">
        <f t="shared" si="99"/>
        <v>0</v>
      </c>
      <c r="KKR41">
        <f t="shared" si="100"/>
        <v>25</v>
      </c>
      <c r="KKT41">
        <f t="shared" si="100"/>
        <v>25</v>
      </c>
      <c r="KKU41">
        <f t="shared" si="101"/>
        <v>1</v>
      </c>
      <c r="KKW41">
        <f t="shared" si="101"/>
        <v>1</v>
      </c>
    </row>
    <row r="42" spans="1:2 2601:2638 4867:5062 5967:6013 7182:7745">
      <c r="A42" t="s">
        <v>14</v>
      </c>
      <c r="B42">
        <v>0</v>
      </c>
      <c r="KGU42" s="1">
        <f t="shared" si="0"/>
        <v>0</v>
      </c>
      <c r="KGV42">
        <f t="shared" si="1"/>
        <v>0</v>
      </c>
      <c r="KGW42">
        <f t="shared" si="2"/>
        <v>0</v>
      </c>
      <c r="KGX42">
        <f t="shared" si="3"/>
        <v>0</v>
      </c>
      <c r="KGY42">
        <f t="shared" si="4"/>
        <v>0</v>
      </c>
      <c r="KGZ42">
        <f t="shared" si="5"/>
        <v>0</v>
      </c>
      <c r="KHA42">
        <f t="shared" si="6"/>
        <v>0</v>
      </c>
      <c r="KHB42">
        <f t="shared" si="7"/>
        <v>0</v>
      </c>
      <c r="KHC42">
        <f t="shared" si="8"/>
        <v>0</v>
      </c>
      <c r="KHD42">
        <f t="shared" si="9"/>
        <v>0</v>
      </c>
      <c r="KHE42">
        <f t="shared" si="10"/>
        <v>0</v>
      </c>
      <c r="KHF42">
        <f t="shared" si="11"/>
        <v>0</v>
      </c>
      <c r="KHG42">
        <f t="shared" si="12"/>
        <v>0</v>
      </c>
      <c r="KHH42">
        <f t="shared" si="13"/>
        <v>0</v>
      </c>
      <c r="KHI42">
        <f t="shared" si="14"/>
        <v>0</v>
      </c>
      <c r="KHJ42">
        <f t="shared" si="15"/>
        <v>0</v>
      </c>
      <c r="KHK42">
        <f t="shared" si="16"/>
        <v>0</v>
      </c>
      <c r="KHL42">
        <f t="shared" si="17"/>
        <v>0</v>
      </c>
      <c r="KHM42">
        <f t="shared" si="18"/>
        <v>0</v>
      </c>
      <c r="KHN42">
        <f t="shared" si="19"/>
        <v>0</v>
      </c>
      <c r="KHO42">
        <f t="shared" si="20"/>
        <v>0</v>
      </c>
      <c r="KHP42">
        <f t="shared" si="21"/>
        <v>0</v>
      </c>
      <c r="KHQ42">
        <f t="shared" si="22"/>
        <v>0</v>
      </c>
      <c r="KHR42">
        <f t="shared" si="23"/>
        <v>0</v>
      </c>
      <c r="KHS42">
        <f t="shared" si="24"/>
        <v>0</v>
      </c>
      <c r="KHT42">
        <f t="shared" si="25"/>
        <v>0</v>
      </c>
      <c r="KHU42">
        <f t="shared" si="26"/>
        <v>0</v>
      </c>
      <c r="KHV42">
        <f t="shared" si="27"/>
        <v>0</v>
      </c>
      <c r="KHW42">
        <f t="shared" si="28"/>
        <v>0</v>
      </c>
      <c r="KHX42">
        <f t="shared" si="29"/>
        <v>0</v>
      </c>
      <c r="KHY42">
        <f t="shared" si="30"/>
        <v>0</v>
      </c>
      <c r="KHZ42">
        <f t="shared" si="31"/>
        <v>0</v>
      </c>
      <c r="KIA42">
        <f t="shared" si="32"/>
        <v>0</v>
      </c>
      <c r="KIB42">
        <f t="shared" si="33"/>
        <v>0</v>
      </c>
      <c r="KIC42">
        <f t="shared" si="34"/>
        <v>0</v>
      </c>
      <c r="KID42">
        <f t="shared" si="35"/>
        <v>0</v>
      </c>
      <c r="KIE42">
        <f t="shared" si="36"/>
        <v>0</v>
      </c>
      <c r="KIF42">
        <f t="shared" si="37"/>
        <v>0</v>
      </c>
      <c r="KIG42">
        <f t="shared" si="38"/>
        <v>0</v>
      </c>
      <c r="KIH42">
        <f t="shared" si="39"/>
        <v>0</v>
      </c>
      <c r="KII42">
        <f t="shared" si="40"/>
        <v>0</v>
      </c>
      <c r="KIJ42">
        <f t="shared" si="41"/>
        <v>0</v>
      </c>
      <c r="KIK42">
        <f t="shared" si="42"/>
        <v>0</v>
      </c>
      <c r="KIL42">
        <f t="shared" si="43"/>
        <v>0</v>
      </c>
      <c r="KIM42">
        <f t="shared" si="44"/>
        <v>0</v>
      </c>
      <c r="KIN42">
        <f t="shared" si="45"/>
        <v>0</v>
      </c>
      <c r="KIO42">
        <f t="shared" si="46"/>
        <v>0</v>
      </c>
      <c r="KIP42">
        <f t="shared" si="47"/>
        <v>0</v>
      </c>
      <c r="KIQ42">
        <f t="shared" si="48"/>
        <v>0</v>
      </c>
      <c r="KIR42">
        <f t="shared" si="49"/>
        <v>0</v>
      </c>
      <c r="KIS42">
        <f t="shared" si="50"/>
        <v>0</v>
      </c>
      <c r="KIT42">
        <f t="shared" si="51"/>
        <v>0</v>
      </c>
      <c r="KIU42">
        <f t="shared" si="52"/>
        <v>0</v>
      </c>
      <c r="KIV42">
        <f t="shared" si="53"/>
        <v>0</v>
      </c>
      <c r="KIW42">
        <f t="shared" si="54"/>
        <v>0</v>
      </c>
      <c r="KIX42">
        <f t="shared" si="55"/>
        <v>0</v>
      </c>
      <c r="KIY42">
        <f t="shared" si="56"/>
        <v>0</v>
      </c>
      <c r="KIZ42">
        <f t="shared" si="57"/>
        <v>0</v>
      </c>
      <c r="KJA42">
        <f t="shared" si="58"/>
        <v>0</v>
      </c>
      <c r="KJB42">
        <f t="shared" si="59"/>
        <v>0</v>
      </c>
      <c r="KJC42">
        <f t="shared" si="60"/>
        <v>0</v>
      </c>
      <c r="KJD42">
        <f t="shared" si="61"/>
        <v>0</v>
      </c>
      <c r="KJE42">
        <f t="shared" si="62"/>
        <v>0</v>
      </c>
      <c r="KJF42">
        <f t="shared" si="63"/>
        <v>0</v>
      </c>
      <c r="KJG42">
        <f t="shared" si="64"/>
        <v>0</v>
      </c>
      <c r="KJH42">
        <f t="shared" si="65"/>
        <v>0</v>
      </c>
      <c r="KJI42">
        <f t="shared" si="66"/>
        <v>0</v>
      </c>
      <c r="KJJ42">
        <f t="shared" si="67"/>
        <v>0</v>
      </c>
      <c r="KJK42">
        <f t="shared" si="68"/>
        <v>0</v>
      </c>
      <c r="KJL42">
        <f t="shared" si="69"/>
        <v>0</v>
      </c>
      <c r="KJM42">
        <f t="shared" si="70"/>
        <v>0</v>
      </c>
      <c r="KJN42">
        <f t="shared" si="71"/>
        <v>0</v>
      </c>
      <c r="KJO42">
        <f t="shared" si="72"/>
        <v>0</v>
      </c>
      <c r="KJP42">
        <f t="shared" si="73"/>
        <v>0</v>
      </c>
      <c r="KJQ42">
        <f t="shared" si="74"/>
        <v>0</v>
      </c>
      <c r="KJR42">
        <f t="shared" si="75"/>
        <v>0</v>
      </c>
      <c r="KJS42">
        <f t="shared" si="76"/>
        <v>0</v>
      </c>
      <c r="KJT42">
        <f t="shared" si="77"/>
        <v>0</v>
      </c>
      <c r="KJU42">
        <f t="shared" si="78"/>
        <v>0</v>
      </c>
      <c r="KJV42">
        <f t="shared" si="79"/>
        <v>0</v>
      </c>
      <c r="KJW42">
        <f t="shared" si="80"/>
        <v>0</v>
      </c>
      <c r="KJX42">
        <f t="shared" si="81"/>
        <v>0</v>
      </c>
      <c r="KJY42">
        <f t="shared" si="82"/>
        <v>0</v>
      </c>
      <c r="KJZ42">
        <f t="shared" si="83"/>
        <v>0</v>
      </c>
      <c r="KKA42">
        <f t="shared" si="84"/>
        <v>0</v>
      </c>
      <c r="KKB42">
        <f t="shared" si="85"/>
        <v>0</v>
      </c>
      <c r="KKC42">
        <f t="shared" si="86"/>
        <v>0</v>
      </c>
      <c r="KKD42">
        <f t="shared" si="87"/>
        <v>0</v>
      </c>
      <c r="KKE42">
        <f t="shared" si="88"/>
        <v>0</v>
      </c>
      <c r="KKF42">
        <f t="shared" si="89"/>
        <v>0</v>
      </c>
      <c r="KKG42">
        <f t="shared" si="90"/>
        <v>0</v>
      </c>
      <c r="KKH42">
        <f t="shared" si="91"/>
        <v>0</v>
      </c>
      <c r="KKI42">
        <f t="shared" si="92"/>
        <v>0</v>
      </c>
      <c r="KKJ42">
        <f t="shared" si="93"/>
        <v>0</v>
      </c>
      <c r="KKK42">
        <f t="shared" si="94"/>
        <v>0</v>
      </c>
      <c r="KKL42">
        <f t="shared" si="95"/>
        <v>0</v>
      </c>
      <c r="KKM42">
        <f t="shared" si="96"/>
        <v>0</v>
      </c>
      <c r="KKN42">
        <f t="shared" si="97"/>
        <v>0</v>
      </c>
      <c r="KKO42">
        <f t="shared" si="98"/>
        <v>0</v>
      </c>
      <c r="KKP42">
        <f t="shared" si="99"/>
        <v>0</v>
      </c>
      <c r="KKR42">
        <f t="shared" si="100"/>
        <v>0</v>
      </c>
      <c r="KKT42">
        <f t="shared" si="100"/>
        <v>0</v>
      </c>
      <c r="KKU42">
        <f t="shared" si="101"/>
        <v>0</v>
      </c>
      <c r="KKW42">
        <f t="shared" si="101"/>
        <v>0</v>
      </c>
    </row>
    <row r="43" spans="1:2 2601:2638 4867:5062 5967:6013 7182:7745">
      <c r="A43" t="s">
        <v>30</v>
      </c>
      <c r="B43">
        <v>0</v>
      </c>
      <c r="KGU43" s="1">
        <f t="shared" si="0"/>
        <v>0</v>
      </c>
      <c r="KGV43">
        <f t="shared" si="1"/>
        <v>0</v>
      </c>
      <c r="KGW43">
        <f t="shared" si="2"/>
        <v>0</v>
      </c>
      <c r="KGX43">
        <f t="shared" si="3"/>
        <v>0</v>
      </c>
      <c r="KGY43">
        <f t="shared" si="4"/>
        <v>0</v>
      </c>
      <c r="KGZ43">
        <f t="shared" si="5"/>
        <v>0</v>
      </c>
      <c r="KHA43">
        <f t="shared" si="6"/>
        <v>0</v>
      </c>
      <c r="KHB43">
        <f t="shared" si="7"/>
        <v>0</v>
      </c>
      <c r="KHC43">
        <f t="shared" si="8"/>
        <v>0</v>
      </c>
      <c r="KHD43">
        <f t="shared" si="9"/>
        <v>0</v>
      </c>
      <c r="KHE43">
        <f t="shared" si="10"/>
        <v>0</v>
      </c>
      <c r="KHF43">
        <f t="shared" si="11"/>
        <v>0</v>
      </c>
      <c r="KHG43">
        <f t="shared" si="12"/>
        <v>0</v>
      </c>
      <c r="KHH43">
        <f t="shared" si="13"/>
        <v>0</v>
      </c>
      <c r="KHI43">
        <f t="shared" si="14"/>
        <v>0</v>
      </c>
      <c r="KHJ43">
        <f t="shared" si="15"/>
        <v>0</v>
      </c>
      <c r="KHK43">
        <f t="shared" si="16"/>
        <v>0</v>
      </c>
      <c r="KHL43">
        <f t="shared" si="17"/>
        <v>0</v>
      </c>
      <c r="KHM43">
        <f t="shared" si="18"/>
        <v>0</v>
      </c>
      <c r="KHN43">
        <f t="shared" si="19"/>
        <v>0</v>
      </c>
      <c r="KHO43">
        <f t="shared" si="20"/>
        <v>0</v>
      </c>
      <c r="KHP43">
        <f t="shared" si="21"/>
        <v>0</v>
      </c>
      <c r="KHQ43">
        <f t="shared" si="22"/>
        <v>0</v>
      </c>
      <c r="KHR43">
        <f t="shared" si="23"/>
        <v>0</v>
      </c>
      <c r="KHS43">
        <f t="shared" si="24"/>
        <v>0</v>
      </c>
      <c r="KHT43">
        <f t="shared" si="25"/>
        <v>0</v>
      </c>
      <c r="KHU43">
        <f t="shared" si="26"/>
        <v>0</v>
      </c>
      <c r="KHV43">
        <f t="shared" si="27"/>
        <v>0</v>
      </c>
      <c r="KHW43">
        <f t="shared" si="28"/>
        <v>0</v>
      </c>
      <c r="KHX43">
        <f t="shared" si="29"/>
        <v>0</v>
      </c>
      <c r="KHY43">
        <f t="shared" si="30"/>
        <v>0</v>
      </c>
      <c r="KHZ43">
        <f t="shared" si="31"/>
        <v>0</v>
      </c>
      <c r="KIA43">
        <f t="shared" si="32"/>
        <v>0</v>
      </c>
      <c r="KIB43">
        <f t="shared" si="33"/>
        <v>0</v>
      </c>
      <c r="KIC43">
        <f t="shared" si="34"/>
        <v>0</v>
      </c>
      <c r="KID43">
        <f t="shared" si="35"/>
        <v>0</v>
      </c>
      <c r="KIE43">
        <f t="shared" si="36"/>
        <v>0</v>
      </c>
      <c r="KIF43">
        <f t="shared" si="37"/>
        <v>0</v>
      </c>
      <c r="KIG43">
        <f t="shared" si="38"/>
        <v>0</v>
      </c>
      <c r="KIH43">
        <f t="shared" si="39"/>
        <v>0</v>
      </c>
      <c r="KII43">
        <f t="shared" si="40"/>
        <v>0</v>
      </c>
      <c r="KIJ43">
        <f t="shared" si="41"/>
        <v>0</v>
      </c>
      <c r="KIK43">
        <f t="shared" si="42"/>
        <v>0</v>
      </c>
      <c r="KIL43">
        <f t="shared" si="43"/>
        <v>0</v>
      </c>
      <c r="KIM43">
        <f t="shared" si="44"/>
        <v>0</v>
      </c>
      <c r="KIN43">
        <f t="shared" si="45"/>
        <v>0</v>
      </c>
      <c r="KIO43">
        <f t="shared" si="46"/>
        <v>0</v>
      </c>
      <c r="KIP43">
        <f t="shared" si="47"/>
        <v>0</v>
      </c>
      <c r="KIQ43">
        <f t="shared" si="48"/>
        <v>0</v>
      </c>
      <c r="KIR43">
        <f t="shared" si="49"/>
        <v>0</v>
      </c>
      <c r="KIS43">
        <f t="shared" si="50"/>
        <v>0</v>
      </c>
      <c r="KIT43">
        <f t="shared" si="51"/>
        <v>0</v>
      </c>
      <c r="KIU43">
        <f t="shared" si="52"/>
        <v>0</v>
      </c>
      <c r="KIV43">
        <f t="shared" si="53"/>
        <v>0</v>
      </c>
      <c r="KIW43">
        <f t="shared" si="54"/>
        <v>0</v>
      </c>
      <c r="KIX43">
        <f t="shared" si="55"/>
        <v>0</v>
      </c>
      <c r="KIY43">
        <f t="shared" si="56"/>
        <v>0</v>
      </c>
      <c r="KIZ43">
        <f t="shared" si="57"/>
        <v>0</v>
      </c>
      <c r="KJA43">
        <f t="shared" si="58"/>
        <v>0</v>
      </c>
      <c r="KJB43">
        <f t="shared" si="59"/>
        <v>0</v>
      </c>
      <c r="KJC43">
        <f t="shared" si="60"/>
        <v>0</v>
      </c>
      <c r="KJD43">
        <f t="shared" si="61"/>
        <v>0</v>
      </c>
      <c r="KJE43">
        <f t="shared" si="62"/>
        <v>0</v>
      </c>
      <c r="KJF43">
        <f t="shared" si="63"/>
        <v>0</v>
      </c>
      <c r="KJG43">
        <f t="shared" si="64"/>
        <v>0</v>
      </c>
      <c r="KJH43">
        <f t="shared" si="65"/>
        <v>0</v>
      </c>
      <c r="KJI43">
        <f t="shared" si="66"/>
        <v>0</v>
      </c>
      <c r="KJJ43">
        <f t="shared" si="67"/>
        <v>0</v>
      </c>
      <c r="KJK43">
        <f t="shared" si="68"/>
        <v>0</v>
      </c>
      <c r="KJL43">
        <f t="shared" si="69"/>
        <v>0</v>
      </c>
      <c r="KJM43">
        <f t="shared" si="70"/>
        <v>0</v>
      </c>
      <c r="KJN43">
        <f t="shared" si="71"/>
        <v>0</v>
      </c>
      <c r="KJO43">
        <f t="shared" si="72"/>
        <v>0</v>
      </c>
      <c r="KJP43">
        <f t="shared" si="73"/>
        <v>0</v>
      </c>
      <c r="KJQ43">
        <f t="shared" si="74"/>
        <v>0</v>
      </c>
      <c r="KJR43">
        <f t="shared" si="75"/>
        <v>0</v>
      </c>
      <c r="KJS43">
        <f t="shared" si="76"/>
        <v>0</v>
      </c>
      <c r="KJT43">
        <f t="shared" si="77"/>
        <v>0</v>
      </c>
      <c r="KJU43">
        <f t="shared" si="78"/>
        <v>0</v>
      </c>
      <c r="KJV43">
        <f t="shared" si="79"/>
        <v>0</v>
      </c>
      <c r="KJW43">
        <f t="shared" si="80"/>
        <v>0</v>
      </c>
      <c r="KJX43">
        <f t="shared" si="81"/>
        <v>0</v>
      </c>
      <c r="KJY43">
        <f t="shared" si="82"/>
        <v>0</v>
      </c>
      <c r="KJZ43">
        <f t="shared" si="83"/>
        <v>0</v>
      </c>
      <c r="KKA43">
        <f t="shared" si="84"/>
        <v>0</v>
      </c>
      <c r="KKB43">
        <f t="shared" si="85"/>
        <v>0</v>
      </c>
      <c r="KKC43">
        <f t="shared" si="86"/>
        <v>0</v>
      </c>
      <c r="KKD43">
        <f t="shared" si="87"/>
        <v>0</v>
      </c>
      <c r="KKE43">
        <f t="shared" si="88"/>
        <v>0</v>
      </c>
      <c r="KKF43">
        <f t="shared" si="89"/>
        <v>0</v>
      </c>
      <c r="KKG43">
        <f t="shared" si="90"/>
        <v>0</v>
      </c>
      <c r="KKH43">
        <f t="shared" si="91"/>
        <v>0</v>
      </c>
      <c r="KKI43">
        <f t="shared" si="92"/>
        <v>0</v>
      </c>
      <c r="KKJ43">
        <f t="shared" si="93"/>
        <v>0</v>
      </c>
      <c r="KKK43">
        <f t="shared" si="94"/>
        <v>0</v>
      </c>
      <c r="KKL43">
        <f t="shared" si="95"/>
        <v>0</v>
      </c>
      <c r="KKM43">
        <f t="shared" si="96"/>
        <v>0</v>
      </c>
      <c r="KKN43">
        <f t="shared" si="97"/>
        <v>0</v>
      </c>
      <c r="KKO43">
        <f t="shared" si="98"/>
        <v>0</v>
      </c>
      <c r="KKP43">
        <f t="shared" si="99"/>
        <v>0</v>
      </c>
      <c r="KKR43">
        <f t="shared" si="100"/>
        <v>0</v>
      </c>
      <c r="KKT43">
        <f t="shared" si="100"/>
        <v>0</v>
      </c>
      <c r="KKU43">
        <f t="shared" si="101"/>
        <v>0</v>
      </c>
      <c r="KKW43">
        <f t="shared" si="101"/>
        <v>0</v>
      </c>
    </row>
    <row r="44" spans="1:2 2601:2638 4867:5062 5967:6013 7182:7745">
      <c r="A44" t="s">
        <v>7671</v>
      </c>
      <c r="B44">
        <v>0</v>
      </c>
      <c r="KGU44" s="1">
        <f t="shared" si="0"/>
        <v>0</v>
      </c>
      <c r="KGV44">
        <f t="shared" si="1"/>
        <v>0</v>
      </c>
      <c r="KGW44">
        <f t="shared" si="2"/>
        <v>0</v>
      </c>
      <c r="KGX44">
        <f t="shared" si="3"/>
        <v>0</v>
      </c>
      <c r="KGY44">
        <f t="shared" si="4"/>
        <v>0</v>
      </c>
      <c r="KGZ44">
        <f t="shared" si="5"/>
        <v>0</v>
      </c>
      <c r="KHA44">
        <f t="shared" si="6"/>
        <v>0</v>
      </c>
      <c r="KHB44">
        <f t="shared" si="7"/>
        <v>0</v>
      </c>
      <c r="KHC44">
        <f t="shared" si="8"/>
        <v>0</v>
      </c>
      <c r="KHD44">
        <f t="shared" si="9"/>
        <v>0</v>
      </c>
      <c r="KHE44">
        <f t="shared" si="10"/>
        <v>0</v>
      </c>
      <c r="KHF44">
        <f t="shared" si="11"/>
        <v>0</v>
      </c>
      <c r="KHG44">
        <f t="shared" si="12"/>
        <v>0</v>
      </c>
      <c r="KHH44">
        <f t="shared" si="13"/>
        <v>0</v>
      </c>
      <c r="KHI44">
        <f t="shared" si="14"/>
        <v>0</v>
      </c>
      <c r="KHJ44">
        <f t="shared" si="15"/>
        <v>0</v>
      </c>
      <c r="KHK44">
        <f t="shared" si="16"/>
        <v>0</v>
      </c>
      <c r="KHL44">
        <f t="shared" si="17"/>
        <v>0</v>
      </c>
      <c r="KHM44">
        <f t="shared" si="18"/>
        <v>0</v>
      </c>
      <c r="KHN44">
        <f t="shared" si="19"/>
        <v>0</v>
      </c>
      <c r="KHO44">
        <f t="shared" si="20"/>
        <v>0</v>
      </c>
      <c r="KHP44">
        <f t="shared" si="21"/>
        <v>0</v>
      </c>
      <c r="KHQ44">
        <f t="shared" si="22"/>
        <v>0</v>
      </c>
      <c r="KHR44">
        <f t="shared" si="23"/>
        <v>0</v>
      </c>
      <c r="KHS44">
        <f t="shared" si="24"/>
        <v>0</v>
      </c>
      <c r="KHT44">
        <f t="shared" si="25"/>
        <v>0</v>
      </c>
      <c r="KHU44">
        <f t="shared" si="26"/>
        <v>0</v>
      </c>
      <c r="KHV44">
        <f t="shared" si="27"/>
        <v>0</v>
      </c>
      <c r="KHW44">
        <f t="shared" si="28"/>
        <v>0</v>
      </c>
      <c r="KHX44">
        <f t="shared" si="29"/>
        <v>0</v>
      </c>
      <c r="KHY44">
        <f t="shared" si="30"/>
        <v>0</v>
      </c>
      <c r="KHZ44">
        <f t="shared" si="31"/>
        <v>0</v>
      </c>
      <c r="KIA44">
        <f t="shared" si="32"/>
        <v>0</v>
      </c>
      <c r="KIB44">
        <f t="shared" si="33"/>
        <v>0</v>
      </c>
      <c r="KIC44">
        <f t="shared" si="34"/>
        <v>0</v>
      </c>
      <c r="KID44">
        <f t="shared" si="35"/>
        <v>0</v>
      </c>
      <c r="KIE44">
        <f t="shared" si="36"/>
        <v>0</v>
      </c>
      <c r="KIF44">
        <f t="shared" si="37"/>
        <v>0</v>
      </c>
      <c r="KIG44">
        <f t="shared" si="38"/>
        <v>0</v>
      </c>
      <c r="KIH44">
        <f t="shared" si="39"/>
        <v>0</v>
      </c>
      <c r="KII44">
        <f t="shared" si="40"/>
        <v>0</v>
      </c>
      <c r="KIJ44">
        <f t="shared" si="41"/>
        <v>0</v>
      </c>
      <c r="KIK44">
        <f t="shared" si="42"/>
        <v>0</v>
      </c>
      <c r="KIL44">
        <f t="shared" si="43"/>
        <v>0</v>
      </c>
      <c r="KIM44">
        <f t="shared" si="44"/>
        <v>0</v>
      </c>
      <c r="KIN44">
        <f t="shared" si="45"/>
        <v>0</v>
      </c>
      <c r="KIO44">
        <f t="shared" si="46"/>
        <v>0</v>
      </c>
      <c r="KIP44">
        <f t="shared" si="47"/>
        <v>0</v>
      </c>
      <c r="KIQ44">
        <f t="shared" si="48"/>
        <v>0</v>
      </c>
      <c r="KIR44">
        <f t="shared" si="49"/>
        <v>0</v>
      </c>
      <c r="KIS44">
        <f t="shared" si="50"/>
        <v>0</v>
      </c>
      <c r="KIT44">
        <f t="shared" si="51"/>
        <v>0</v>
      </c>
      <c r="KIU44">
        <f t="shared" si="52"/>
        <v>0</v>
      </c>
      <c r="KIV44">
        <f t="shared" si="53"/>
        <v>0</v>
      </c>
      <c r="KIW44">
        <f t="shared" si="54"/>
        <v>0</v>
      </c>
      <c r="KIX44">
        <f t="shared" si="55"/>
        <v>0</v>
      </c>
      <c r="KIY44">
        <f t="shared" si="56"/>
        <v>0</v>
      </c>
      <c r="KIZ44">
        <f t="shared" si="57"/>
        <v>0</v>
      </c>
      <c r="KJA44">
        <f t="shared" si="58"/>
        <v>0</v>
      </c>
      <c r="KJB44">
        <f t="shared" si="59"/>
        <v>0</v>
      </c>
      <c r="KJC44">
        <f t="shared" si="60"/>
        <v>0</v>
      </c>
      <c r="KJD44">
        <f t="shared" si="61"/>
        <v>0</v>
      </c>
      <c r="KJE44">
        <f t="shared" si="62"/>
        <v>0</v>
      </c>
      <c r="KJF44">
        <f t="shared" si="63"/>
        <v>0</v>
      </c>
      <c r="KJG44">
        <f t="shared" si="64"/>
        <v>0</v>
      </c>
      <c r="KJH44">
        <f t="shared" si="65"/>
        <v>0</v>
      </c>
      <c r="KJI44">
        <f t="shared" si="66"/>
        <v>0</v>
      </c>
      <c r="KJJ44">
        <f t="shared" si="67"/>
        <v>0</v>
      </c>
      <c r="KJK44">
        <f t="shared" si="68"/>
        <v>0</v>
      </c>
      <c r="KJL44">
        <f t="shared" si="69"/>
        <v>0</v>
      </c>
      <c r="KJM44">
        <f t="shared" si="70"/>
        <v>0</v>
      </c>
      <c r="KJN44">
        <f t="shared" si="71"/>
        <v>0</v>
      </c>
      <c r="KJO44">
        <f t="shared" si="72"/>
        <v>0</v>
      </c>
      <c r="KJP44">
        <f t="shared" si="73"/>
        <v>0</v>
      </c>
      <c r="KJQ44">
        <f t="shared" si="74"/>
        <v>0</v>
      </c>
      <c r="KJR44">
        <f t="shared" si="75"/>
        <v>0</v>
      </c>
      <c r="KJS44">
        <f t="shared" si="76"/>
        <v>0</v>
      </c>
      <c r="KJT44">
        <f t="shared" si="77"/>
        <v>0</v>
      </c>
      <c r="KJU44">
        <f t="shared" si="78"/>
        <v>0</v>
      </c>
      <c r="KJV44">
        <f t="shared" si="79"/>
        <v>0</v>
      </c>
      <c r="KJW44">
        <f t="shared" si="80"/>
        <v>0</v>
      </c>
      <c r="KJX44">
        <f t="shared" si="81"/>
        <v>0</v>
      </c>
      <c r="KJY44">
        <f t="shared" si="82"/>
        <v>0</v>
      </c>
      <c r="KJZ44">
        <f t="shared" si="83"/>
        <v>0</v>
      </c>
      <c r="KKA44">
        <f t="shared" si="84"/>
        <v>0</v>
      </c>
      <c r="KKB44">
        <f t="shared" si="85"/>
        <v>0</v>
      </c>
      <c r="KKC44">
        <f t="shared" si="86"/>
        <v>0</v>
      </c>
      <c r="KKD44">
        <f t="shared" si="87"/>
        <v>0</v>
      </c>
      <c r="KKE44">
        <f t="shared" si="88"/>
        <v>0</v>
      </c>
      <c r="KKF44">
        <f t="shared" si="89"/>
        <v>0</v>
      </c>
      <c r="KKG44">
        <f t="shared" si="90"/>
        <v>0</v>
      </c>
      <c r="KKH44">
        <f t="shared" si="91"/>
        <v>0</v>
      </c>
      <c r="KKI44">
        <f t="shared" si="92"/>
        <v>0</v>
      </c>
      <c r="KKJ44">
        <f t="shared" si="93"/>
        <v>0</v>
      </c>
      <c r="KKK44">
        <f t="shared" si="94"/>
        <v>0</v>
      </c>
      <c r="KKL44">
        <f t="shared" si="95"/>
        <v>0</v>
      </c>
      <c r="KKM44">
        <f t="shared" si="96"/>
        <v>0</v>
      </c>
      <c r="KKN44">
        <f t="shared" si="97"/>
        <v>0</v>
      </c>
      <c r="KKO44">
        <f t="shared" si="98"/>
        <v>0</v>
      </c>
      <c r="KKP44">
        <f t="shared" si="99"/>
        <v>0</v>
      </c>
      <c r="KKR44">
        <f t="shared" si="100"/>
        <v>0</v>
      </c>
      <c r="KKT44">
        <f t="shared" si="100"/>
        <v>0</v>
      </c>
      <c r="KKU44">
        <f t="shared" si="101"/>
        <v>0</v>
      </c>
      <c r="KKW44">
        <f t="shared" si="101"/>
        <v>0</v>
      </c>
    </row>
    <row r="45" spans="1:2 2601:2638 4867:5062 5967:6013 7182:7745">
      <c r="A45" t="s">
        <v>7672</v>
      </c>
      <c r="B45">
        <v>0</v>
      </c>
      <c r="KGU45" s="1">
        <f t="shared" si="0"/>
        <v>0</v>
      </c>
      <c r="KGV45">
        <f t="shared" si="1"/>
        <v>0</v>
      </c>
      <c r="KGW45">
        <f t="shared" si="2"/>
        <v>0</v>
      </c>
      <c r="KGX45">
        <f t="shared" si="3"/>
        <v>0</v>
      </c>
      <c r="KGY45">
        <f t="shared" si="4"/>
        <v>0</v>
      </c>
      <c r="KGZ45">
        <f t="shared" si="5"/>
        <v>0</v>
      </c>
      <c r="KHA45">
        <f t="shared" si="6"/>
        <v>0</v>
      </c>
      <c r="KHB45">
        <f t="shared" si="7"/>
        <v>0</v>
      </c>
      <c r="KHC45">
        <f t="shared" si="8"/>
        <v>0</v>
      </c>
      <c r="KHD45">
        <f t="shared" si="9"/>
        <v>0</v>
      </c>
      <c r="KHE45">
        <f t="shared" si="10"/>
        <v>0</v>
      </c>
      <c r="KHF45">
        <f t="shared" si="11"/>
        <v>0</v>
      </c>
      <c r="KHG45">
        <f t="shared" si="12"/>
        <v>0</v>
      </c>
      <c r="KHH45">
        <f t="shared" si="13"/>
        <v>0</v>
      </c>
      <c r="KHI45">
        <f t="shared" si="14"/>
        <v>0</v>
      </c>
      <c r="KHJ45">
        <f t="shared" si="15"/>
        <v>0</v>
      </c>
      <c r="KHK45">
        <f t="shared" si="16"/>
        <v>0</v>
      </c>
      <c r="KHL45">
        <f t="shared" si="17"/>
        <v>0</v>
      </c>
      <c r="KHM45">
        <f t="shared" si="18"/>
        <v>0</v>
      </c>
      <c r="KHN45">
        <f t="shared" si="19"/>
        <v>0</v>
      </c>
      <c r="KHO45">
        <f t="shared" si="20"/>
        <v>0</v>
      </c>
      <c r="KHP45">
        <f t="shared" si="21"/>
        <v>0</v>
      </c>
      <c r="KHQ45">
        <f t="shared" si="22"/>
        <v>0</v>
      </c>
      <c r="KHR45">
        <f t="shared" si="23"/>
        <v>0</v>
      </c>
      <c r="KHS45">
        <f t="shared" si="24"/>
        <v>0</v>
      </c>
      <c r="KHT45">
        <f t="shared" si="25"/>
        <v>0</v>
      </c>
      <c r="KHU45">
        <f t="shared" si="26"/>
        <v>0</v>
      </c>
      <c r="KHV45">
        <f t="shared" si="27"/>
        <v>0</v>
      </c>
      <c r="KHW45">
        <f t="shared" si="28"/>
        <v>0</v>
      </c>
      <c r="KHX45">
        <f t="shared" si="29"/>
        <v>0</v>
      </c>
      <c r="KHY45">
        <f t="shared" si="30"/>
        <v>0</v>
      </c>
      <c r="KHZ45">
        <f t="shared" si="31"/>
        <v>0</v>
      </c>
      <c r="KIA45">
        <f t="shared" si="32"/>
        <v>0</v>
      </c>
      <c r="KIB45">
        <f t="shared" si="33"/>
        <v>0</v>
      </c>
      <c r="KIC45">
        <f t="shared" si="34"/>
        <v>0</v>
      </c>
      <c r="KID45">
        <f t="shared" si="35"/>
        <v>0</v>
      </c>
      <c r="KIE45">
        <f t="shared" si="36"/>
        <v>0</v>
      </c>
      <c r="KIF45">
        <f t="shared" si="37"/>
        <v>0</v>
      </c>
      <c r="KIG45">
        <f t="shared" si="38"/>
        <v>0</v>
      </c>
      <c r="KIH45">
        <f t="shared" si="39"/>
        <v>0</v>
      </c>
      <c r="KII45">
        <f t="shared" si="40"/>
        <v>0</v>
      </c>
      <c r="KIJ45">
        <f t="shared" si="41"/>
        <v>0</v>
      </c>
      <c r="KIK45">
        <f t="shared" si="42"/>
        <v>0</v>
      </c>
      <c r="KIL45">
        <f t="shared" si="43"/>
        <v>0</v>
      </c>
      <c r="KIM45">
        <f t="shared" si="44"/>
        <v>0</v>
      </c>
      <c r="KIN45">
        <f t="shared" si="45"/>
        <v>0</v>
      </c>
      <c r="KIO45">
        <f t="shared" si="46"/>
        <v>0</v>
      </c>
      <c r="KIP45">
        <f t="shared" si="47"/>
        <v>0</v>
      </c>
      <c r="KIQ45">
        <f t="shared" si="48"/>
        <v>0</v>
      </c>
      <c r="KIR45">
        <f t="shared" si="49"/>
        <v>0</v>
      </c>
      <c r="KIS45">
        <f t="shared" si="50"/>
        <v>0</v>
      </c>
      <c r="KIT45">
        <f t="shared" si="51"/>
        <v>0</v>
      </c>
      <c r="KIU45">
        <f t="shared" si="52"/>
        <v>0</v>
      </c>
      <c r="KIV45">
        <f t="shared" si="53"/>
        <v>0</v>
      </c>
      <c r="KIW45">
        <f t="shared" si="54"/>
        <v>0</v>
      </c>
      <c r="KIX45">
        <f t="shared" si="55"/>
        <v>0</v>
      </c>
      <c r="KIY45">
        <f t="shared" si="56"/>
        <v>0</v>
      </c>
      <c r="KIZ45">
        <f t="shared" si="57"/>
        <v>0</v>
      </c>
      <c r="KJA45">
        <f t="shared" si="58"/>
        <v>0</v>
      </c>
      <c r="KJB45">
        <f t="shared" si="59"/>
        <v>0</v>
      </c>
      <c r="KJC45">
        <f t="shared" si="60"/>
        <v>0</v>
      </c>
      <c r="KJD45">
        <f t="shared" si="61"/>
        <v>0</v>
      </c>
      <c r="KJE45">
        <f t="shared" si="62"/>
        <v>0</v>
      </c>
      <c r="KJF45">
        <f t="shared" si="63"/>
        <v>0</v>
      </c>
      <c r="KJG45">
        <f t="shared" si="64"/>
        <v>0</v>
      </c>
      <c r="KJH45">
        <f t="shared" si="65"/>
        <v>0</v>
      </c>
      <c r="KJI45">
        <f t="shared" si="66"/>
        <v>0</v>
      </c>
      <c r="KJJ45">
        <f t="shared" si="67"/>
        <v>0</v>
      </c>
      <c r="KJK45">
        <f t="shared" si="68"/>
        <v>0</v>
      </c>
      <c r="KJL45">
        <f t="shared" si="69"/>
        <v>0</v>
      </c>
      <c r="KJM45">
        <f t="shared" si="70"/>
        <v>0</v>
      </c>
      <c r="KJN45">
        <f t="shared" si="71"/>
        <v>0</v>
      </c>
      <c r="KJO45">
        <f t="shared" si="72"/>
        <v>0</v>
      </c>
      <c r="KJP45">
        <f t="shared" si="73"/>
        <v>0</v>
      </c>
      <c r="KJQ45">
        <f t="shared" si="74"/>
        <v>0</v>
      </c>
      <c r="KJR45">
        <f t="shared" si="75"/>
        <v>0</v>
      </c>
      <c r="KJS45">
        <f t="shared" si="76"/>
        <v>0</v>
      </c>
      <c r="KJT45">
        <f t="shared" si="77"/>
        <v>0</v>
      </c>
      <c r="KJU45">
        <f t="shared" si="78"/>
        <v>0</v>
      </c>
      <c r="KJV45">
        <f t="shared" si="79"/>
        <v>0</v>
      </c>
      <c r="KJW45">
        <f t="shared" si="80"/>
        <v>0</v>
      </c>
      <c r="KJX45">
        <f t="shared" si="81"/>
        <v>0</v>
      </c>
      <c r="KJY45">
        <f t="shared" si="82"/>
        <v>0</v>
      </c>
      <c r="KJZ45">
        <f t="shared" si="83"/>
        <v>0</v>
      </c>
      <c r="KKA45">
        <f t="shared" si="84"/>
        <v>0</v>
      </c>
      <c r="KKB45">
        <f t="shared" si="85"/>
        <v>0</v>
      </c>
      <c r="KKC45">
        <f t="shared" si="86"/>
        <v>0</v>
      </c>
      <c r="KKD45">
        <f t="shared" si="87"/>
        <v>0</v>
      </c>
      <c r="KKE45">
        <f t="shared" si="88"/>
        <v>0</v>
      </c>
      <c r="KKF45">
        <f t="shared" si="89"/>
        <v>0</v>
      </c>
      <c r="KKG45">
        <f t="shared" si="90"/>
        <v>0</v>
      </c>
      <c r="KKH45">
        <f t="shared" si="91"/>
        <v>0</v>
      </c>
      <c r="KKI45">
        <f t="shared" si="92"/>
        <v>0</v>
      </c>
      <c r="KKJ45">
        <f t="shared" si="93"/>
        <v>0</v>
      </c>
      <c r="KKK45">
        <f t="shared" si="94"/>
        <v>0</v>
      </c>
      <c r="KKL45">
        <f t="shared" si="95"/>
        <v>0</v>
      </c>
      <c r="KKM45">
        <f t="shared" si="96"/>
        <v>0</v>
      </c>
      <c r="KKN45">
        <f t="shared" si="97"/>
        <v>0</v>
      </c>
      <c r="KKO45">
        <f t="shared" si="98"/>
        <v>0</v>
      </c>
      <c r="KKP45">
        <f t="shared" si="99"/>
        <v>0</v>
      </c>
      <c r="KKR45">
        <f t="shared" si="100"/>
        <v>0</v>
      </c>
      <c r="KKT45">
        <f t="shared" si="100"/>
        <v>0</v>
      </c>
      <c r="KKU45">
        <f t="shared" si="101"/>
        <v>0</v>
      </c>
      <c r="KKW45">
        <f t="shared" si="101"/>
        <v>0</v>
      </c>
    </row>
    <row r="46" spans="1:2 2601:2638 4867:5062 5967:6013 7182:7745">
      <c r="A46" t="s">
        <v>15</v>
      </c>
      <c r="B46">
        <v>1</v>
      </c>
      <c r="CVA46">
        <v>1</v>
      </c>
      <c r="CVB46">
        <v>1</v>
      </c>
      <c r="CVC46">
        <v>1</v>
      </c>
      <c r="CVD46">
        <v>1</v>
      </c>
      <c r="CVE46">
        <v>1</v>
      </c>
      <c r="CVF46">
        <v>1</v>
      </c>
      <c r="CVG46">
        <v>1</v>
      </c>
      <c r="CVH46">
        <v>1</v>
      </c>
      <c r="CVI46">
        <v>1</v>
      </c>
      <c r="CVJ46">
        <v>1</v>
      </c>
      <c r="CVK46">
        <v>1</v>
      </c>
      <c r="CVL46">
        <v>1</v>
      </c>
      <c r="CVM46">
        <v>1</v>
      </c>
      <c r="CVN46">
        <v>1</v>
      </c>
      <c r="CVO46">
        <v>1</v>
      </c>
      <c r="CVP46">
        <v>1</v>
      </c>
      <c r="CVQ46">
        <v>1</v>
      </c>
      <c r="CVR46">
        <v>1</v>
      </c>
      <c r="CVS46">
        <v>1</v>
      </c>
      <c r="CVT46">
        <v>1</v>
      </c>
      <c r="CVU46">
        <v>1</v>
      </c>
      <c r="CVV46">
        <v>1</v>
      </c>
      <c r="CVW46">
        <v>1</v>
      </c>
      <c r="CVX46">
        <v>1</v>
      </c>
      <c r="CVY46">
        <v>1</v>
      </c>
      <c r="CVZ46">
        <v>1</v>
      </c>
      <c r="CWA46">
        <v>1</v>
      </c>
      <c r="CWB46">
        <v>1</v>
      </c>
      <c r="CWC46">
        <v>1</v>
      </c>
      <c r="CWD46">
        <v>1</v>
      </c>
      <c r="CWE46">
        <v>1</v>
      </c>
      <c r="CWF46">
        <v>1</v>
      </c>
      <c r="CWG46">
        <v>1</v>
      </c>
      <c r="CWH46">
        <v>1</v>
      </c>
      <c r="CWI46">
        <v>1</v>
      </c>
      <c r="CWJ46">
        <v>1</v>
      </c>
      <c r="CWK46">
        <v>1</v>
      </c>
      <c r="CWL46">
        <v>1</v>
      </c>
      <c r="KGU46" s="1">
        <f t="shared" si="0"/>
        <v>38</v>
      </c>
      <c r="KGV46">
        <f t="shared" si="1"/>
        <v>0</v>
      </c>
      <c r="KGW46">
        <f t="shared" si="2"/>
        <v>0</v>
      </c>
      <c r="KGX46">
        <f t="shared" si="3"/>
        <v>0</v>
      </c>
      <c r="KGY46">
        <f t="shared" si="4"/>
        <v>0</v>
      </c>
      <c r="KGZ46">
        <f t="shared" si="5"/>
        <v>0</v>
      </c>
      <c r="KHA46">
        <f t="shared" si="6"/>
        <v>0</v>
      </c>
      <c r="KHB46">
        <f t="shared" si="7"/>
        <v>0</v>
      </c>
      <c r="KHC46">
        <f t="shared" si="8"/>
        <v>0</v>
      </c>
      <c r="KHD46">
        <f t="shared" si="9"/>
        <v>0</v>
      </c>
      <c r="KHE46">
        <f t="shared" si="10"/>
        <v>0</v>
      </c>
      <c r="KHF46">
        <f t="shared" si="11"/>
        <v>0</v>
      </c>
      <c r="KHG46">
        <f t="shared" si="12"/>
        <v>0</v>
      </c>
      <c r="KHH46">
        <f t="shared" si="13"/>
        <v>0</v>
      </c>
      <c r="KHI46">
        <f t="shared" si="14"/>
        <v>0</v>
      </c>
      <c r="KHJ46">
        <f t="shared" si="15"/>
        <v>0</v>
      </c>
      <c r="KHK46">
        <f t="shared" si="16"/>
        <v>0</v>
      </c>
      <c r="KHL46">
        <f t="shared" si="17"/>
        <v>0</v>
      </c>
      <c r="KHM46">
        <f t="shared" si="18"/>
        <v>0</v>
      </c>
      <c r="KHN46">
        <f t="shared" si="19"/>
        <v>0</v>
      </c>
      <c r="KHO46">
        <f t="shared" si="20"/>
        <v>0</v>
      </c>
      <c r="KHP46">
        <f t="shared" si="21"/>
        <v>0</v>
      </c>
      <c r="KHQ46">
        <f t="shared" si="22"/>
        <v>0</v>
      </c>
      <c r="KHR46">
        <f t="shared" si="23"/>
        <v>0</v>
      </c>
      <c r="KHS46">
        <f t="shared" si="24"/>
        <v>0</v>
      </c>
      <c r="KHT46">
        <f t="shared" si="25"/>
        <v>0</v>
      </c>
      <c r="KHU46">
        <f t="shared" si="26"/>
        <v>0</v>
      </c>
      <c r="KHV46">
        <f t="shared" si="27"/>
        <v>0</v>
      </c>
      <c r="KHW46">
        <f t="shared" si="28"/>
        <v>0</v>
      </c>
      <c r="KHX46">
        <f t="shared" si="29"/>
        <v>0</v>
      </c>
      <c r="KHY46">
        <f t="shared" si="30"/>
        <v>0</v>
      </c>
      <c r="KHZ46">
        <f t="shared" si="31"/>
        <v>0</v>
      </c>
      <c r="KIA46">
        <f t="shared" si="32"/>
        <v>0</v>
      </c>
      <c r="KIB46">
        <f t="shared" si="33"/>
        <v>0</v>
      </c>
      <c r="KIC46">
        <f t="shared" si="34"/>
        <v>0</v>
      </c>
      <c r="KID46">
        <f t="shared" si="35"/>
        <v>0</v>
      </c>
      <c r="KIE46">
        <f t="shared" si="36"/>
        <v>0</v>
      </c>
      <c r="KIF46">
        <f t="shared" si="37"/>
        <v>0</v>
      </c>
      <c r="KIG46">
        <f t="shared" si="38"/>
        <v>0</v>
      </c>
      <c r="KIH46">
        <f t="shared" si="39"/>
        <v>0</v>
      </c>
      <c r="KII46">
        <f t="shared" si="40"/>
        <v>0</v>
      </c>
      <c r="KIJ46">
        <f t="shared" si="41"/>
        <v>0</v>
      </c>
      <c r="KIK46">
        <f t="shared" si="42"/>
        <v>0</v>
      </c>
      <c r="KIL46">
        <f t="shared" si="43"/>
        <v>0</v>
      </c>
      <c r="KIM46">
        <f t="shared" si="44"/>
        <v>0</v>
      </c>
      <c r="KIN46">
        <f t="shared" si="45"/>
        <v>0</v>
      </c>
      <c r="KIO46">
        <f t="shared" si="46"/>
        <v>0</v>
      </c>
      <c r="KIP46">
        <f t="shared" si="47"/>
        <v>0</v>
      </c>
      <c r="KIQ46">
        <f t="shared" si="48"/>
        <v>0</v>
      </c>
      <c r="KIR46">
        <f t="shared" si="49"/>
        <v>0</v>
      </c>
      <c r="KIS46">
        <f t="shared" si="50"/>
        <v>0</v>
      </c>
      <c r="KIT46">
        <f t="shared" si="51"/>
        <v>0</v>
      </c>
      <c r="KIU46">
        <f t="shared" si="52"/>
        <v>0</v>
      </c>
      <c r="KIV46">
        <f t="shared" si="53"/>
        <v>0</v>
      </c>
      <c r="KIW46">
        <f t="shared" si="54"/>
        <v>0</v>
      </c>
      <c r="KIX46">
        <f t="shared" si="55"/>
        <v>0</v>
      </c>
      <c r="KIY46">
        <f t="shared" si="56"/>
        <v>0</v>
      </c>
      <c r="KIZ46">
        <f t="shared" si="57"/>
        <v>0</v>
      </c>
      <c r="KJA46">
        <f t="shared" si="58"/>
        <v>0</v>
      </c>
      <c r="KJB46">
        <f t="shared" si="59"/>
        <v>0</v>
      </c>
      <c r="KJC46">
        <f t="shared" si="60"/>
        <v>0</v>
      </c>
      <c r="KJD46">
        <f t="shared" si="61"/>
        <v>0</v>
      </c>
      <c r="KJE46">
        <f t="shared" si="62"/>
        <v>0</v>
      </c>
      <c r="KJF46">
        <f t="shared" si="63"/>
        <v>0</v>
      </c>
      <c r="KJG46">
        <f t="shared" si="64"/>
        <v>0</v>
      </c>
      <c r="KJH46">
        <f t="shared" si="65"/>
        <v>0</v>
      </c>
      <c r="KJI46">
        <f t="shared" si="66"/>
        <v>0</v>
      </c>
      <c r="KJJ46">
        <f t="shared" si="67"/>
        <v>0</v>
      </c>
      <c r="KJK46">
        <f t="shared" si="68"/>
        <v>0</v>
      </c>
      <c r="KJL46">
        <f t="shared" si="69"/>
        <v>0</v>
      </c>
      <c r="KJM46">
        <f t="shared" si="70"/>
        <v>0</v>
      </c>
      <c r="KJN46">
        <f t="shared" si="71"/>
        <v>0</v>
      </c>
      <c r="KJO46">
        <f t="shared" si="72"/>
        <v>0</v>
      </c>
      <c r="KJP46">
        <f t="shared" si="73"/>
        <v>0</v>
      </c>
      <c r="KJQ46">
        <f t="shared" si="74"/>
        <v>0</v>
      </c>
      <c r="KJR46">
        <f t="shared" si="75"/>
        <v>0</v>
      </c>
      <c r="KJS46">
        <f t="shared" si="76"/>
        <v>0</v>
      </c>
      <c r="KJT46">
        <f t="shared" si="77"/>
        <v>0</v>
      </c>
      <c r="KJU46">
        <f t="shared" si="78"/>
        <v>0</v>
      </c>
      <c r="KJV46">
        <f t="shared" si="79"/>
        <v>0</v>
      </c>
      <c r="KJW46">
        <f t="shared" si="80"/>
        <v>0</v>
      </c>
      <c r="KJX46">
        <f t="shared" si="81"/>
        <v>0</v>
      </c>
      <c r="KJY46">
        <f t="shared" si="82"/>
        <v>0</v>
      </c>
      <c r="KJZ46">
        <f t="shared" si="83"/>
        <v>0</v>
      </c>
      <c r="KKA46">
        <f t="shared" si="84"/>
        <v>0</v>
      </c>
      <c r="KKB46">
        <f t="shared" si="85"/>
        <v>0</v>
      </c>
      <c r="KKC46">
        <f t="shared" si="86"/>
        <v>0</v>
      </c>
      <c r="KKD46">
        <f t="shared" si="87"/>
        <v>0</v>
      </c>
      <c r="KKE46">
        <f t="shared" si="88"/>
        <v>0</v>
      </c>
      <c r="KKF46">
        <f t="shared" si="89"/>
        <v>0</v>
      </c>
      <c r="KKG46">
        <f t="shared" si="90"/>
        <v>0</v>
      </c>
      <c r="KKH46">
        <f t="shared" si="91"/>
        <v>0</v>
      </c>
      <c r="KKI46">
        <f t="shared" si="92"/>
        <v>0</v>
      </c>
      <c r="KKJ46">
        <f t="shared" si="93"/>
        <v>0</v>
      </c>
      <c r="KKK46">
        <f t="shared" si="94"/>
        <v>0</v>
      </c>
      <c r="KKL46">
        <f t="shared" si="95"/>
        <v>0</v>
      </c>
      <c r="KKM46">
        <f t="shared" si="96"/>
        <v>0</v>
      </c>
      <c r="KKN46">
        <f t="shared" si="97"/>
        <v>0</v>
      </c>
      <c r="KKO46">
        <f t="shared" si="98"/>
        <v>0</v>
      </c>
      <c r="KKP46">
        <f t="shared" si="99"/>
        <v>0</v>
      </c>
      <c r="KKR46">
        <f t="shared" si="100"/>
        <v>38</v>
      </c>
      <c r="KKT46">
        <f t="shared" si="100"/>
        <v>38</v>
      </c>
      <c r="KKU46">
        <f t="shared" si="101"/>
        <v>1.52</v>
      </c>
      <c r="KKW46">
        <f t="shared" si="101"/>
        <v>1.52</v>
      </c>
    </row>
    <row r="47" spans="1:2 2601:2638 4867:5062 5967:6013 7182:7745">
      <c r="A47" t="s">
        <v>31</v>
      </c>
      <c r="B47">
        <v>0</v>
      </c>
      <c r="KGU47" s="1">
        <f t="shared" si="0"/>
        <v>0</v>
      </c>
      <c r="KGV47">
        <f t="shared" si="1"/>
        <v>0</v>
      </c>
      <c r="KGW47">
        <f t="shared" si="2"/>
        <v>0</v>
      </c>
      <c r="KGX47">
        <f t="shared" si="3"/>
        <v>0</v>
      </c>
      <c r="KGY47">
        <f t="shared" si="4"/>
        <v>0</v>
      </c>
      <c r="KGZ47">
        <f t="shared" si="5"/>
        <v>0</v>
      </c>
      <c r="KHA47">
        <f t="shared" si="6"/>
        <v>0</v>
      </c>
      <c r="KHB47">
        <f t="shared" si="7"/>
        <v>0</v>
      </c>
      <c r="KHC47">
        <f t="shared" si="8"/>
        <v>0</v>
      </c>
      <c r="KHD47">
        <f t="shared" si="9"/>
        <v>0</v>
      </c>
      <c r="KHE47">
        <f t="shared" si="10"/>
        <v>0</v>
      </c>
      <c r="KHF47">
        <f t="shared" si="11"/>
        <v>0</v>
      </c>
      <c r="KHG47">
        <f t="shared" si="12"/>
        <v>0</v>
      </c>
      <c r="KHH47">
        <f t="shared" si="13"/>
        <v>0</v>
      </c>
      <c r="KHI47">
        <f t="shared" si="14"/>
        <v>0</v>
      </c>
      <c r="KHJ47">
        <f t="shared" si="15"/>
        <v>0</v>
      </c>
      <c r="KHK47">
        <f t="shared" si="16"/>
        <v>0</v>
      </c>
      <c r="KHL47">
        <f t="shared" si="17"/>
        <v>0</v>
      </c>
      <c r="KHM47">
        <f t="shared" si="18"/>
        <v>0</v>
      </c>
      <c r="KHN47">
        <f t="shared" si="19"/>
        <v>0</v>
      </c>
      <c r="KHO47">
        <f t="shared" si="20"/>
        <v>0</v>
      </c>
      <c r="KHP47">
        <f t="shared" si="21"/>
        <v>0</v>
      </c>
      <c r="KHQ47">
        <f t="shared" si="22"/>
        <v>0</v>
      </c>
      <c r="KHR47">
        <f t="shared" si="23"/>
        <v>0</v>
      </c>
      <c r="KHS47">
        <f t="shared" si="24"/>
        <v>0</v>
      </c>
      <c r="KHT47">
        <f t="shared" si="25"/>
        <v>0</v>
      </c>
      <c r="KHU47">
        <f t="shared" si="26"/>
        <v>0</v>
      </c>
      <c r="KHV47">
        <f t="shared" si="27"/>
        <v>0</v>
      </c>
      <c r="KHW47">
        <f t="shared" si="28"/>
        <v>0</v>
      </c>
      <c r="KHX47">
        <f t="shared" si="29"/>
        <v>0</v>
      </c>
      <c r="KHY47">
        <f t="shared" si="30"/>
        <v>0</v>
      </c>
      <c r="KHZ47">
        <f t="shared" si="31"/>
        <v>0</v>
      </c>
      <c r="KIA47">
        <f t="shared" si="32"/>
        <v>0</v>
      </c>
      <c r="KIB47">
        <f t="shared" si="33"/>
        <v>0</v>
      </c>
      <c r="KIC47">
        <f t="shared" si="34"/>
        <v>0</v>
      </c>
      <c r="KID47">
        <f t="shared" si="35"/>
        <v>0</v>
      </c>
      <c r="KIE47">
        <f t="shared" si="36"/>
        <v>0</v>
      </c>
      <c r="KIF47">
        <f t="shared" si="37"/>
        <v>0</v>
      </c>
      <c r="KIG47">
        <f t="shared" si="38"/>
        <v>0</v>
      </c>
      <c r="KIH47">
        <f t="shared" si="39"/>
        <v>0</v>
      </c>
      <c r="KII47">
        <f t="shared" si="40"/>
        <v>0</v>
      </c>
      <c r="KIJ47">
        <f t="shared" si="41"/>
        <v>0</v>
      </c>
      <c r="KIK47">
        <f t="shared" si="42"/>
        <v>0</v>
      </c>
      <c r="KIL47">
        <f t="shared" si="43"/>
        <v>0</v>
      </c>
      <c r="KIM47">
        <f t="shared" si="44"/>
        <v>0</v>
      </c>
      <c r="KIN47">
        <f t="shared" si="45"/>
        <v>0</v>
      </c>
      <c r="KIO47">
        <f t="shared" si="46"/>
        <v>0</v>
      </c>
      <c r="KIP47">
        <f t="shared" si="47"/>
        <v>0</v>
      </c>
      <c r="KIQ47">
        <f t="shared" si="48"/>
        <v>0</v>
      </c>
      <c r="KIR47">
        <f t="shared" si="49"/>
        <v>0</v>
      </c>
      <c r="KIS47">
        <f t="shared" si="50"/>
        <v>0</v>
      </c>
      <c r="KIT47">
        <f t="shared" si="51"/>
        <v>0</v>
      </c>
      <c r="KIU47">
        <f t="shared" si="52"/>
        <v>0</v>
      </c>
      <c r="KIV47">
        <f t="shared" si="53"/>
        <v>0</v>
      </c>
      <c r="KIW47">
        <f t="shared" si="54"/>
        <v>0</v>
      </c>
      <c r="KIX47">
        <f t="shared" si="55"/>
        <v>0</v>
      </c>
      <c r="KIY47">
        <f t="shared" si="56"/>
        <v>0</v>
      </c>
      <c r="KIZ47">
        <f t="shared" si="57"/>
        <v>0</v>
      </c>
      <c r="KJA47">
        <f t="shared" si="58"/>
        <v>0</v>
      </c>
      <c r="KJB47">
        <f t="shared" si="59"/>
        <v>0</v>
      </c>
      <c r="KJC47">
        <f t="shared" si="60"/>
        <v>0</v>
      </c>
      <c r="KJD47">
        <f t="shared" si="61"/>
        <v>0</v>
      </c>
      <c r="KJE47">
        <f t="shared" si="62"/>
        <v>0</v>
      </c>
      <c r="KJF47">
        <f t="shared" si="63"/>
        <v>0</v>
      </c>
      <c r="KJG47">
        <f t="shared" si="64"/>
        <v>0</v>
      </c>
      <c r="KJH47">
        <f t="shared" si="65"/>
        <v>0</v>
      </c>
      <c r="KJI47">
        <f t="shared" si="66"/>
        <v>0</v>
      </c>
      <c r="KJJ47">
        <f t="shared" si="67"/>
        <v>0</v>
      </c>
      <c r="KJK47">
        <f t="shared" si="68"/>
        <v>0</v>
      </c>
      <c r="KJL47">
        <f t="shared" si="69"/>
        <v>0</v>
      </c>
      <c r="KJM47">
        <f t="shared" si="70"/>
        <v>0</v>
      </c>
      <c r="KJN47">
        <f t="shared" si="71"/>
        <v>0</v>
      </c>
      <c r="KJO47">
        <f t="shared" si="72"/>
        <v>0</v>
      </c>
      <c r="KJP47">
        <f t="shared" si="73"/>
        <v>0</v>
      </c>
      <c r="KJQ47">
        <f t="shared" si="74"/>
        <v>0</v>
      </c>
      <c r="KJR47">
        <f t="shared" si="75"/>
        <v>0</v>
      </c>
      <c r="KJS47">
        <f t="shared" si="76"/>
        <v>0</v>
      </c>
      <c r="KJT47">
        <f t="shared" si="77"/>
        <v>0</v>
      </c>
      <c r="KJU47">
        <f t="shared" si="78"/>
        <v>0</v>
      </c>
      <c r="KJV47">
        <f t="shared" si="79"/>
        <v>0</v>
      </c>
      <c r="KJW47">
        <f t="shared" si="80"/>
        <v>0</v>
      </c>
      <c r="KJX47">
        <f t="shared" si="81"/>
        <v>0</v>
      </c>
      <c r="KJY47">
        <f t="shared" si="82"/>
        <v>0</v>
      </c>
      <c r="KJZ47">
        <f t="shared" si="83"/>
        <v>0</v>
      </c>
      <c r="KKA47">
        <f t="shared" si="84"/>
        <v>0</v>
      </c>
      <c r="KKB47">
        <f t="shared" si="85"/>
        <v>0</v>
      </c>
      <c r="KKC47">
        <f t="shared" si="86"/>
        <v>0</v>
      </c>
      <c r="KKD47">
        <f t="shared" si="87"/>
        <v>0</v>
      </c>
      <c r="KKE47">
        <f t="shared" si="88"/>
        <v>0</v>
      </c>
      <c r="KKF47">
        <f t="shared" si="89"/>
        <v>0</v>
      </c>
      <c r="KKG47">
        <f t="shared" si="90"/>
        <v>0</v>
      </c>
      <c r="KKH47">
        <f t="shared" si="91"/>
        <v>0</v>
      </c>
      <c r="KKI47">
        <f t="shared" si="92"/>
        <v>0</v>
      </c>
      <c r="KKJ47">
        <f t="shared" si="93"/>
        <v>0</v>
      </c>
      <c r="KKK47">
        <f t="shared" si="94"/>
        <v>0</v>
      </c>
      <c r="KKL47">
        <f t="shared" si="95"/>
        <v>0</v>
      </c>
      <c r="KKM47">
        <f t="shared" si="96"/>
        <v>0</v>
      </c>
      <c r="KKN47">
        <f t="shared" si="97"/>
        <v>0</v>
      </c>
      <c r="KKO47">
        <f t="shared" si="98"/>
        <v>0</v>
      </c>
      <c r="KKP47">
        <f t="shared" si="99"/>
        <v>0</v>
      </c>
      <c r="KKR47">
        <f t="shared" si="100"/>
        <v>0</v>
      </c>
      <c r="KKT47">
        <f t="shared" si="100"/>
        <v>0</v>
      </c>
      <c r="KKU47">
        <f t="shared" si="101"/>
        <v>0</v>
      </c>
      <c r="KKW47">
        <f t="shared" si="101"/>
        <v>0</v>
      </c>
    </row>
    <row r="48" spans="1:2 2601:2638 4867:5062 5967:6013 7182:7745">
      <c r="A48" t="s">
        <v>7673</v>
      </c>
      <c r="B48">
        <v>1</v>
      </c>
      <c r="CVA48">
        <v>1</v>
      </c>
      <c r="CVB48">
        <v>1</v>
      </c>
      <c r="CVC48">
        <v>1</v>
      </c>
      <c r="CVD48">
        <v>1</v>
      </c>
      <c r="CVE48">
        <v>1</v>
      </c>
      <c r="CVF48">
        <v>1</v>
      </c>
      <c r="CVG48">
        <v>1</v>
      </c>
      <c r="CVH48">
        <v>1</v>
      </c>
      <c r="CVI48">
        <v>1</v>
      </c>
      <c r="CVJ48">
        <v>1</v>
      </c>
      <c r="CVK48">
        <v>1</v>
      </c>
      <c r="CVL48">
        <v>1</v>
      </c>
      <c r="CVM48">
        <v>1</v>
      </c>
      <c r="CVN48">
        <v>1</v>
      </c>
      <c r="CVO48">
        <v>1</v>
      </c>
      <c r="CVP48">
        <v>1</v>
      </c>
      <c r="CVQ48">
        <v>1</v>
      </c>
      <c r="CVR48">
        <v>1</v>
      </c>
      <c r="CVS48">
        <v>1</v>
      </c>
      <c r="CVT48">
        <v>1</v>
      </c>
      <c r="CVU48">
        <v>1</v>
      </c>
      <c r="CVV48">
        <v>1</v>
      </c>
      <c r="CVW48">
        <v>1</v>
      </c>
      <c r="CVX48">
        <v>1</v>
      </c>
      <c r="CVY48">
        <v>1</v>
      </c>
      <c r="CVZ48">
        <v>1</v>
      </c>
      <c r="CWA48">
        <v>1</v>
      </c>
      <c r="CWB48">
        <v>1</v>
      </c>
      <c r="CWC48">
        <v>1</v>
      </c>
      <c r="CWD48">
        <v>1</v>
      </c>
      <c r="CWE48">
        <v>1</v>
      </c>
      <c r="CWF48">
        <v>1</v>
      </c>
      <c r="CWG48">
        <v>1</v>
      </c>
      <c r="CWH48">
        <v>1</v>
      </c>
      <c r="CWI48">
        <v>1</v>
      </c>
      <c r="CWJ48">
        <v>1</v>
      </c>
      <c r="CWK48">
        <v>1</v>
      </c>
      <c r="CWL48">
        <v>1</v>
      </c>
      <c r="KGU48" s="1">
        <f t="shared" si="0"/>
        <v>38</v>
      </c>
      <c r="KGV48">
        <f t="shared" si="1"/>
        <v>0</v>
      </c>
      <c r="KGW48">
        <f t="shared" si="2"/>
        <v>0</v>
      </c>
      <c r="KGX48">
        <f t="shared" si="3"/>
        <v>0</v>
      </c>
      <c r="KGY48">
        <f t="shared" si="4"/>
        <v>0</v>
      </c>
      <c r="KGZ48">
        <f t="shared" si="5"/>
        <v>0</v>
      </c>
      <c r="KHA48">
        <f t="shared" si="6"/>
        <v>0</v>
      </c>
      <c r="KHB48">
        <f t="shared" si="7"/>
        <v>0</v>
      </c>
      <c r="KHC48">
        <f t="shared" si="8"/>
        <v>0</v>
      </c>
      <c r="KHD48">
        <f t="shared" si="9"/>
        <v>0</v>
      </c>
      <c r="KHE48">
        <f t="shared" si="10"/>
        <v>0</v>
      </c>
      <c r="KHF48">
        <f t="shared" si="11"/>
        <v>0</v>
      </c>
      <c r="KHG48">
        <f t="shared" si="12"/>
        <v>0</v>
      </c>
      <c r="KHH48">
        <f t="shared" si="13"/>
        <v>0</v>
      </c>
      <c r="KHI48">
        <f t="shared" si="14"/>
        <v>0</v>
      </c>
      <c r="KHJ48">
        <f t="shared" si="15"/>
        <v>0</v>
      </c>
      <c r="KHK48">
        <f t="shared" si="16"/>
        <v>0</v>
      </c>
      <c r="KHL48">
        <f t="shared" si="17"/>
        <v>0</v>
      </c>
      <c r="KHM48">
        <f t="shared" si="18"/>
        <v>0</v>
      </c>
      <c r="KHN48">
        <f t="shared" si="19"/>
        <v>0</v>
      </c>
      <c r="KHO48">
        <f t="shared" si="20"/>
        <v>0</v>
      </c>
      <c r="KHP48">
        <f t="shared" si="21"/>
        <v>0</v>
      </c>
      <c r="KHQ48">
        <f t="shared" si="22"/>
        <v>0</v>
      </c>
      <c r="KHR48">
        <f t="shared" si="23"/>
        <v>0</v>
      </c>
      <c r="KHS48">
        <f t="shared" si="24"/>
        <v>0</v>
      </c>
      <c r="KHT48">
        <f t="shared" si="25"/>
        <v>0</v>
      </c>
      <c r="KHU48">
        <f t="shared" si="26"/>
        <v>0</v>
      </c>
      <c r="KHV48">
        <f t="shared" si="27"/>
        <v>0</v>
      </c>
      <c r="KHW48">
        <f t="shared" si="28"/>
        <v>0</v>
      </c>
      <c r="KHX48">
        <f t="shared" si="29"/>
        <v>0</v>
      </c>
      <c r="KHY48">
        <f t="shared" si="30"/>
        <v>0</v>
      </c>
      <c r="KHZ48">
        <f t="shared" si="31"/>
        <v>0</v>
      </c>
      <c r="KIA48">
        <f t="shared" si="32"/>
        <v>0</v>
      </c>
      <c r="KIB48">
        <f t="shared" si="33"/>
        <v>0</v>
      </c>
      <c r="KIC48">
        <f t="shared" si="34"/>
        <v>0</v>
      </c>
      <c r="KID48">
        <f t="shared" si="35"/>
        <v>0</v>
      </c>
      <c r="KIE48">
        <f t="shared" si="36"/>
        <v>0</v>
      </c>
      <c r="KIF48">
        <f t="shared" si="37"/>
        <v>0</v>
      </c>
      <c r="KIG48">
        <f t="shared" si="38"/>
        <v>0</v>
      </c>
      <c r="KIH48">
        <f t="shared" si="39"/>
        <v>0</v>
      </c>
      <c r="KII48">
        <f t="shared" si="40"/>
        <v>0</v>
      </c>
      <c r="KIJ48">
        <f t="shared" si="41"/>
        <v>0</v>
      </c>
      <c r="KIK48">
        <f t="shared" si="42"/>
        <v>0</v>
      </c>
      <c r="KIL48">
        <f t="shared" si="43"/>
        <v>0</v>
      </c>
      <c r="KIM48">
        <f t="shared" si="44"/>
        <v>0</v>
      </c>
      <c r="KIN48">
        <f t="shared" si="45"/>
        <v>0</v>
      </c>
      <c r="KIO48">
        <f t="shared" si="46"/>
        <v>0</v>
      </c>
      <c r="KIP48">
        <f t="shared" si="47"/>
        <v>0</v>
      </c>
      <c r="KIQ48">
        <f t="shared" si="48"/>
        <v>0</v>
      </c>
      <c r="KIR48">
        <f t="shared" si="49"/>
        <v>0</v>
      </c>
      <c r="KIS48">
        <f t="shared" si="50"/>
        <v>0</v>
      </c>
      <c r="KIT48">
        <f t="shared" si="51"/>
        <v>0</v>
      </c>
      <c r="KIU48">
        <f t="shared" si="52"/>
        <v>0</v>
      </c>
      <c r="KIV48">
        <f t="shared" si="53"/>
        <v>0</v>
      </c>
      <c r="KIW48">
        <f t="shared" si="54"/>
        <v>0</v>
      </c>
      <c r="KIX48">
        <f t="shared" si="55"/>
        <v>0</v>
      </c>
      <c r="KIY48">
        <f t="shared" si="56"/>
        <v>0</v>
      </c>
      <c r="KIZ48">
        <f t="shared" si="57"/>
        <v>0</v>
      </c>
      <c r="KJA48">
        <f t="shared" si="58"/>
        <v>0</v>
      </c>
      <c r="KJB48">
        <f t="shared" si="59"/>
        <v>0</v>
      </c>
      <c r="KJC48">
        <f t="shared" si="60"/>
        <v>0</v>
      </c>
      <c r="KJD48">
        <f t="shared" si="61"/>
        <v>0</v>
      </c>
      <c r="KJE48">
        <f t="shared" si="62"/>
        <v>0</v>
      </c>
      <c r="KJF48">
        <f t="shared" si="63"/>
        <v>0</v>
      </c>
      <c r="KJG48">
        <f t="shared" si="64"/>
        <v>0</v>
      </c>
      <c r="KJH48">
        <f t="shared" si="65"/>
        <v>0</v>
      </c>
      <c r="KJI48">
        <f t="shared" si="66"/>
        <v>0</v>
      </c>
      <c r="KJJ48">
        <f t="shared" si="67"/>
        <v>0</v>
      </c>
      <c r="KJK48">
        <f t="shared" si="68"/>
        <v>0</v>
      </c>
      <c r="KJL48">
        <f t="shared" si="69"/>
        <v>0</v>
      </c>
      <c r="KJM48">
        <f t="shared" si="70"/>
        <v>0</v>
      </c>
      <c r="KJN48">
        <f t="shared" si="71"/>
        <v>0</v>
      </c>
      <c r="KJO48">
        <f t="shared" si="72"/>
        <v>0</v>
      </c>
      <c r="KJP48">
        <f t="shared" si="73"/>
        <v>0</v>
      </c>
      <c r="KJQ48">
        <f t="shared" si="74"/>
        <v>0</v>
      </c>
      <c r="KJR48">
        <f t="shared" si="75"/>
        <v>0</v>
      </c>
      <c r="KJS48">
        <f t="shared" si="76"/>
        <v>0</v>
      </c>
      <c r="KJT48">
        <f t="shared" si="77"/>
        <v>0</v>
      </c>
      <c r="KJU48">
        <f t="shared" si="78"/>
        <v>0</v>
      </c>
      <c r="KJV48">
        <f t="shared" si="79"/>
        <v>0</v>
      </c>
      <c r="KJW48">
        <f t="shared" si="80"/>
        <v>0</v>
      </c>
      <c r="KJX48">
        <f t="shared" si="81"/>
        <v>0</v>
      </c>
      <c r="KJY48">
        <f t="shared" si="82"/>
        <v>0</v>
      </c>
      <c r="KJZ48">
        <f t="shared" si="83"/>
        <v>0</v>
      </c>
      <c r="KKA48">
        <f t="shared" si="84"/>
        <v>0</v>
      </c>
      <c r="KKB48">
        <f t="shared" si="85"/>
        <v>0</v>
      </c>
      <c r="KKC48">
        <f t="shared" si="86"/>
        <v>0</v>
      </c>
      <c r="KKD48">
        <f t="shared" si="87"/>
        <v>0</v>
      </c>
      <c r="KKE48">
        <f t="shared" si="88"/>
        <v>0</v>
      </c>
      <c r="KKF48">
        <f t="shared" si="89"/>
        <v>0</v>
      </c>
      <c r="KKG48">
        <f t="shared" si="90"/>
        <v>0</v>
      </c>
      <c r="KKH48">
        <f t="shared" si="91"/>
        <v>0</v>
      </c>
      <c r="KKI48">
        <f t="shared" si="92"/>
        <v>0</v>
      </c>
      <c r="KKJ48">
        <f t="shared" si="93"/>
        <v>0</v>
      </c>
      <c r="KKK48">
        <f t="shared" si="94"/>
        <v>0</v>
      </c>
      <c r="KKL48">
        <f t="shared" si="95"/>
        <v>0</v>
      </c>
      <c r="KKM48">
        <f t="shared" si="96"/>
        <v>0</v>
      </c>
      <c r="KKN48">
        <f t="shared" si="97"/>
        <v>0</v>
      </c>
      <c r="KKO48">
        <f t="shared" si="98"/>
        <v>0</v>
      </c>
      <c r="KKP48">
        <f t="shared" si="99"/>
        <v>0</v>
      </c>
      <c r="KKR48">
        <f t="shared" si="100"/>
        <v>38</v>
      </c>
      <c r="KKT48">
        <f t="shared" si="100"/>
        <v>38</v>
      </c>
      <c r="KKU48">
        <f t="shared" si="101"/>
        <v>1.52</v>
      </c>
      <c r="KKW48">
        <f t="shared" si="101"/>
        <v>1.52</v>
      </c>
    </row>
    <row r="49" spans="1:514 1409:1417 2495:2576 4143:4764 5778:5831 6491:7134 7639:7745">
      <c r="A49" t="s">
        <v>7674</v>
      </c>
      <c r="B49">
        <v>0</v>
      </c>
      <c r="KGU49" s="1">
        <f t="shared" si="0"/>
        <v>0</v>
      </c>
      <c r="KGV49">
        <f t="shared" si="1"/>
        <v>0</v>
      </c>
      <c r="KGW49">
        <f t="shared" si="2"/>
        <v>0</v>
      </c>
      <c r="KGX49">
        <f t="shared" si="3"/>
        <v>0</v>
      </c>
      <c r="KGY49">
        <f t="shared" si="4"/>
        <v>0</v>
      </c>
      <c r="KGZ49">
        <f t="shared" si="5"/>
        <v>0</v>
      </c>
      <c r="KHA49">
        <f t="shared" si="6"/>
        <v>0</v>
      </c>
      <c r="KHB49">
        <f t="shared" si="7"/>
        <v>0</v>
      </c>
      <c r="KHC49">
        <f t="shared" si="8"/>
        <v>0</v>
      </c>
      <c r="KHD49">
        <f t="shared" si="9"/>
        <v>0</v>
      </c>
      <c r="KHE49">
        <f t="shared" si="10"/>
        <v>0</v>
      </c>
      <c r="KHF49">
        <f t="shared" si="11"/>
        <v>0</v>
      </c>
      <c r="KHG49">
        <f t="shared" si="12"/>
        <v>0</v>
      </c>
      <c r="KHH49">
        <f t="shared" si="13"/>
        <v>0</v>
      </c>
      <c r="KHI49">
        <f t="shared" si="14"/>
        <v>0</v>
      </c>
      <c r="KHJ49">
        <f t="shared" si="15"/>
        <v>0</v>
      </c>
      <c r="KHK49">
        <f t="shared" si="16"/>
        <v>0</v>
      </c>
      <c r="KHL49">
        <f t="shared" si="17"/>
        <v>0</v>
      </c>
      <c r="KHM49">
        <f t="shared" si="18"/>
        <v>0</v>
      </c>
      <c r="KHN49">
        <f t="shared" si="19"/>
        <v>0</v>
      </c>
      <c r="KHO49">
        <f t="shared" si="20"/>
        <v>0</v>
      </c>
      <c r="KHP49">
        <f t="shared" si="21"/>
        <v>0</v>
      </c>
      <c r="KHQ49">
        <f t="shared" si="22"/>
        <v>0</v>
      </c>
      <c r="KHR49">
        <f t="shared" si="23"/>
        <v>0</v>
      </c>
      <c r="KHS49">
        <f t="shared" si="24"/>
        <v>0</v>
      </c>
      <c r="KHT49">
        <f t="shared" si="25"/>
        <v>0</v>
      </c>
      <c r="KHU49">
        <f t="shared" si="26"/>
        <v>0</v>
      </c>
      <c r="KHV49">
        <f t="shared" si="27"/>
        <v>0</v>
      </c>
      <c r="KHW49">
        <f t="shared" si="28"/>
        <v>0</v>
      </c>
      <c r="KHX49">
        <f t="shared" si="29"/>
        <v>0</v>
      </c>
      <c r="KHY49">
        <f t="shared" si="30"/>
        <v>0</v>
      </c>
      <c r="KHZ49">
        <f t="shared" si="31"/>
        <v>0</v>
      </c>
      <c r="KIA49">
        <f t="shared" si="32"/>
        <v>0</v>
      </c>
      <c r="KIB49">
        <f t="shared" si="33"/>
        <v>0</v>
      </c>
      <c r="KIC49">
        <f t="shared" si="34"/>
        <v>0</v>
      </c>
      <c r="KID49">
        <f t="shared" si="35"/>
        <v>0</v>
      </c>
      <c r="KIE49">
        <f t="shared" si="36"/>
        <v>0</v>
      </c>
      <c r="KIF49">
        <f t="shared" si="37"/>
        <v>0</v>
      </c>
      <c r="KIG49">
        <f t="shared" si="38"/>
        <v>0</v>
      </c>
      <c r="KIH49">
        <f t="shared" si="39"/>
        <v>0</v>
      </c>
      <c r="KII49">
        <f t="shared" si="40"/>
        <v>0</v>
      </c>
      <c r="KIJ49">
        <f t="shared" si="41"/>
        <v>0</v>
      </c>
      <c r="KIK49">
        <f t="shared" si="42"/>
        <v>0</v>
      </c>
      <c r="KIL49">
        <f t="shared" si="43"/>
        <v>0</v>
      </c>
      <c r="KIM49">
        <f t="shared" si="44"/>
        <v>0</v>
      </c>
      <c r="KIN49">
        <f t="shared" si="45"/>
        <v>0</v>
      </c>
      <c r="KIO49">
        <f t="shared" si="46"/>
        <v>0</v>
      </c>
      <c r="KIP49">
        <f t="shared" si="47"/>
        <v>0</v>
      </c>
      <c r="KIQ49">
        <f t="shared" si="48"/>
        <v>0</v>
      </c>
      <c r="KIR49">
        <f t="shared" si="49"/>
        <v>0</v>
      </c>
      <c r="KIS49">
        <f t="shared" si="50"/>
        <v>0</v>
      </c>
      <c r="KIT49">
        <f t="shared" si="51"/>
        <v>0</v>
      </c>
      <c r="KIU49">
        <f t="shared" si="52"/>
        <v>0</v>
      </c>
      <c r="KIV49">
        <f t="shared" si="53"/>
        <v>0</v>
      </c>
      <c r="KIW49">
        <f t="shared" si="54"/>
        <v>0</v>
      </c>
      <c r="KIX49">
        <f t="shared" si="55"/>
        <v>0</v>
      </c>
      <c r="KIY49">
        <f t="shared" si="56"/>
        <v>0</v>
      </c>
      <c r="KIZ49">
        <f t="shared" si="57"/>
        <v>0</v>
      </c>
      <c r="KJA49">
        <f t="shared" si="58"/>
        <v>0</v>
      </c>
      <c r="KJB49">
        <f t="shared" si="59"/>
        <v>0</v>
      </c>
      <c r="KJC49">
        <f t="shared" si="60"/>
        <v>0</v>
      </c>
      <c r="KJD49">
        <f t="shared" si="61"/>
        <v>0</v>
      </c>
      <c r="KJE49">
        <f t="shared" si="62"/>
        <v>0</v>
      </c>
      <c r="KJF49">
        <f t="shared" si="63"/>
        <v>0</v>
      </c>
      <c r="KJG49">
        <f t="shared" si="64"/>
        <v>0</v>
      </c>
      <c r="KJH49">
        <f t="shared" si="65"/>
        <v>0</v>
      </c>
      <c r="KJI49">
        <f t="shared" si="66"/>
        <v>0</v>
      </c>
      <c r="KJJ49">
        <f t="shared" si="67"/>
        <v>0</v>
      </c>
      <c r="KJK49">
        <f t="shared" si="68"/>
        <v>0</v>
      </c>
      <c r="KJL49">
        <f t="shared" si="69"/>
        <v>0</v>
      </c>
      <c r="KJM49">
        <f t="shared" si="70"/>
        <v>0</v>
      </c>
      <c r="KJN49">
        <f t="shared" si="71"/>
        <v>0</v>
      </c>
      <c r="KJO49">
        <f t="shared" si="72"/>
        <v>0</v>
      </c>
      <c r="KJP49">
        <f t="shared" si="73"/>
        <v>0</v>
      </c>
      <c r="KJQ49">
        <f t="shared" si="74"/>
        <v>0</v>
      </c>
      <c r="KJR49">
        <f t="shared" si="75"/>
        <v>0</v>
      </c>
      <c r="KJS49">
        <f t="shared" si="76"/>
        <v>0</v>
      </c>
      <c r="KJT49">
        <f t="shared" si="77"/>
        <v>0</v>
      </c>
      <c r="KJU49">
        <f t="shared" si="78"/>
        <v>0</v>
      </c>
      <c r="KJV49">
        <f t="shared" si="79"/>
        <v>0</v>
      </c>
      <c r="KJW49">
        <f t="shared" si="80"/>
        <v>0</v>
      </c>
      <c r="KJX49">
        <f t="shared" si="81"/>
        <v>0</v>
      </c>
      <c r="KJY49">
        <f t="shared" si="82"/>
        <v>0</v>
      </c>
      <c r="KJZ49">
        <f t="shared" si="83"/>
        <v>0</v>
      </c>
      <c r="KKA49">
        <f t="shared" si="84"/>
        <v>0</v>
      </c>
      <c r="KKB49">
        <f t="shared" si="85"/>
        <v>0</v>
      </c>
      <c r="KKC49">
        <f t="shared" si="86"/>
        <v>0</v>
      </c>
      <c r="KKD49">
        <f t="shared" si="87"/>
        <v>0</v>
      </c>
      <c r="KKE49">
        <f t="shared" si="88"/>
        <v>0</v>
      </c>
      <c r="KKF49">
        <f t="shared" si="89"/>
        <v>0</v>
      </c>
      <c r="KKG49">
        <f t="shared" si="90"/>
        <v>0</v>
      </c>
      <c r="KKH49">
        <f t="shared" si="91"/>
        <v>0</v>
      </c>
      <c r="KKI49">
        <f t="shared" si="92"/>
        <v>0</v>
      </c>
      <c r="KKJ49">
        <f t="shared" si="93"/>
        <v>0</v>
      </c>
      <c r="KKK49">
        <f t="shared" si="94"/>
        <v>0</v>
      </c>
      <c r="KKL49">
        <f t="shared" si="95"/>
        <v>0</v>
      </c>
      <c r="KKM49">
        <f t="shared" si="96"/>
        <v>0</v>
      </c>
      <c r="KKN49">
        <f t="shared" si="97"/>
        <v>0</v>
      </c>
      <c r="KKO49">
        <f t="shared" si="98"/>
        <v>0</v>
      </c>
      <c r="KKP49">
        <f t="shared" si="99"/>
        <v>0</v>
      </c>
      <c r="KKR49">
        <f t="shared" si="100"/>
        <v>0</v>
      </c>
      <c r="KKT49">
        <f t="shared" si="100"/>
        <v>0</v>
      </c>
      <c r="KKU49">
        <f t="shared" si="101"/>
        <v>0</v>
      </c>
      <c r="KKW49">
        <f t="shared" si="101"/>
        <v>0</v>
      </c>
    </row>
    <row r="50" spans="1:514 1409:1417 2495:2576 4143:4764 5778:5831 6491:7134 7639:7745">
      <c r="A50" t="s">
        <v>16</v>
      </c>
      <c r="B50">
        <v>3</v>
      </c>
      <c r="CQY50">
        <v>1</v>
      </c>
      <c r="CQZ50">
        <v>1</v>
      </c>
      <c r="CRA50">
        <v>1</v>
      </c>
      <c r="CRB50">
        <v>1</v>
      </c>
      <c r="CRC50">
        <v>1</v>
      </c>
      <c r="CRD50">
        <v>1</v>
      </c>
      <c r="CRE50">
        <v>1</v>
      </c>
      <c r="CRF50">
        <v>1</v>
      </c>
      <c r="CRG50">
        <v>1</v>
      </c>
      <c r="CRH50">
        <v>1</v>
      </c>
      <c r="CRI50">
        <v>1</v>
      </c>
      <c r="CRJ50">
        <v>1</v>
      </c>
      <c r="CRK50">
        <v>1</v>
      </c>
      <c r="CRL50">
        <v>1</v>
      </c>
      <c r="CRM50">
        <v>1</v>
      </c>
      <c r="CRN50">
        <v>1</v>
      </c>
      <c r="CRO50">
        <v>1</v>
      </c>
      <c r="CRP50">
        <v>1</v>
      </c>
      <c r="CRQ50">
        <v>1</v>
      </c>
      <c r="CRR50">
        <v>1</v>
      </c>
      <c r="CRS50">
        <v>1</v>
      </c>
      <c r="CRT50">
        <v>1</v>
      </c>
      <c r="CRU50">
        <v>1</v>
      </c>
      <c r="CRV50">
        <v>1</v>
      </c>
      <c r="CRW50">
        <v>1</v>
      </c>
      <c r="CRX50">
        <v>1</v>
      </c>
      <c r="CRY50">
        <v>1</v>
      </c>
      <c r="CRZ50">
        <v>1</v>
      </c>
      <c r="CSA50">
        <v>1</v>
      </c>
      <c r="CSB50">
        <v>1</v>
      </c>
      <c r="CSC50">
        <v>1</v>
      </c>
      <c r="CSD50">
        <v>1</v>
      </c>
      <c r="CSE50">
        <v>1</v>
      </c>
      <c r="CSF50">
        <v>1</v>
      </c>
      <c r="CSG50">
        <v>1</v>
      </c>
      <c r="CSH50">
        <v>1</v>
      </c>
      <c r="CSI50">
        <v>1</v>
      </c>
      <c r="CSJ50">
        <v>1</v>
      </c>
      <c r="CSK50">
        <v>1</v>
      </c>
      <c r="CSL50">
        <v>1</v>
      </c>
      <c r="CSM50">
        <v>1</v>
      </c>
      <c r="CSN50">
        <v>1</v>
      </c>
      <c r="CSO50">
        <v>1</v>
      </c>
      <c r="CSP50">
        <v>1</v>
      </c>
      <c r="CSQ50">
        <v>1</v>
      </c>
      <c r="CSR50">
        <v>1</v>
      </c>
      <c r="CSS50">
        <v>1</v>
      </c>
      <c r="CST50">
        <v>1</v>
      </c>
      <c r="CSU50">
        <v>1</v>
      </c>
      <c r="CSV50">
        <v>1</v>
      </c>
      <c r="CSW50">
        <v>1</v>
      </c>
      <c r="CSX50">
        <v>1</v>
      </c>
      <c r="CSY50">
        <v>1</v>
      </c>
      <c r="CSZ50">
        <v>1</v>
      </c>
      <c r="CTA50">
        <v>1</v>
      </c>
      <c r="CTB50">
        <v>1</v>
      </c>
      <c r="CTC50">
        <v>1</v>
      </c>
      <c r="CTD50">
        <v>1</v>
      </c>
      <c r="CTE50">
        <v>1</v>
      </c>
      <c r="CTF50">
        <v>1</v>
      </c>
      <c r="CTG50">
        <v>1</v>
      </c>
      <c r="CTH50">
        <v>1</v>
      </c>
      <c r="CTI50">
        <v>1</v>
      </c>
      <c r="CTJ50">
        <v>1</v>
      </c>
      <c r="CTK50">
        <v>1</v>
      </c>
      <c r="CTL50">
        <v>1</v>
      </c>
      <c r="CTM50">
        <v>1</v>
      </c>
      <c r="CTN50">
        <v>1</v>
      </c>
      <c r="CTO50">
        <v>1</v>
      </c>
      <c r="CTP50">
        <v>1</v>
      </c>
      <c r="CTQ50">
        <v>1</v>
      </c>
      <c r="CTR50">
        <v>1</v>
      </c>
      <c r="CTS50">
        <v>1</v>
      </c>
      <c r="CTT50">
        <v>1</v>
      </c>
      <c r="CTU50">
        <v>1</v>
      </c>
      <c r="CTV50">
        <v>1</v>
      </c>
      <c r="CTW50">
        <v>1</v>
      </c>
      <c r="CTX50">
        <v>1</v>
      </c>
      <c r="CTY50">
        <v>1</v>
      </c>
      <c r="CTZ50">
        <v>1</v>
      </c>
      <c r="CUA50">
        <v>1</v>
      </c>
      <c r="CUB50">
        <v>1</v>
      </c>
      <c r="FTY50">
        <v>2</v>
      </c>
      <c r="FTZ50">
        <v>2</v>
      </c>
      <c r="FUA50">
        <v>2</v>
      </c>
      <c r="FUB50">
        <v>2</v>
      </c>
      <c r="FUC50">
        <v>2</v>
      </c>
      <c r="FUD50">
        <v>2</v>
      </c>
      <c r="FUE50">
        <v>2</v>
      </c>
      <c r="FUF50">
        <v>2</v>
      </c>
      <c r="FUG50">
        <v>2</v>
      </c>
      <c r="FUH50">
        <v>2</v>
      </c>
      <c r="FUI50">
        <v>2</v>
      </c>
      <c r="FUJ50">
        <v>2</v>
      </c>
      <c r="FUK50">
        <v>2</v>
      </c>
      <c r="FUL50">
        <v>2</v>
      </c>
      <c r="FUM50">
        <v>2</v>
      </c>
      <c r="FUN50">
        <v>2</v>
      </c>
      <c r="FUO50">
        <v>2</v>
      </c>
      <c r="FUP50">
        <v>2</v>
      </c>
      <c r="FUQ50">
        <v>2</v>
      </c>
      <c r="FUR50">
        <v>2</v>
      </c>
      <c r="FUS50">
        <v>2</v>
      </c>
      <c r="JMA50">
        <v>3</v>
      </c>
      <c r="JMB50">
        <v>3</v>
      </c>
      <c r="JMC50">
        <v>3</v>
      </c>
      <c r="JMD50">
        <v>3</v>
      </c>
      <c r="JME50">
        <v>3</v>
      </c>
      <c r="JMF50">
        <v>3</v>
      </c>
      <c r="JMG50">
        <v>3</v>
      </c>
      <c r="JMH50">
        <v>3</v>
      </c>
      <c r="JMI50">
        <v>3</v>
      </c>
      <c r="JMJ50">
        <v>3</v>
      </c>
      <c r="JMK50">
        <v>3</v>
      </c>
      <c r="JML50">
        <v>3</v>
      </c>
      <c r="JMM50">
        <v>3</v>
      </c>
      <c r="JMN50">
        <v>3</v>
      </c>
      <c r="JMO50">
        <v>3</v>
      </c>
      <c r="JMP50">
        <v>3</v>
      </c>
      <c r="JMQ50">
        <v>3</v>
      </c>
      <c r="JMR50">
        <v>3</v>
      </c>
      <c r="JMS50">
        <v>3</v>
      </c>
      <c r="JMT50">
        <v>3</v>
      </c>
      <c r="JMU50">
        <v>3</v>
      </c>
      <c r="JMV50">
        <v>3</v>
      </c>
      <c r="JMW50">
        <v>3</v>
      </c>
      <c r="JMX50">
        <v>3</v>
      </c>
      <c r="JMY50">
        <v>3</v>
      </c>
      <c r="JMZ50">
        <v>3</v>
      </c>
      <c r="JNA50">
        <v>3</v>
      </c>
      <c r="JNB50">
        <v>3</v>
      </c>
      <c r="JNC50">
        <v>3</v>
      </c>
      <c r="JND50">
        <v>3</v>
      </c>
      <c r="JNE50">
        <v>3</v>
      </c>
      <c r="JNF50">
        <v>3</v>
      </c>
      <c r="JNG50">
        <v>3</v>
      </c>
      <c r="JNH50">
        <v>3</v>
      </c>
      <c r="JNI50">
        <v>3</v>
      </c>
      <c r="JNJ50">
        <v>3</v>
      </c>
      <c r="KGU50" s="1">
        <f t="shared" si="0"/>
        <v>82</v>
      </c>
      <c r="KGV50">
        <f t="shared" si="1"/>
        <v>21</v>
      </c>
      <c r="KGW50">
        <f t="shared" si="2"/>
        <v>36</v>
      </c>
      <c r="KGX50">
        <f t="shared" si="3"/>
        <v>0</v>
      </c>
      <c r="KGY50">
        <f t="shared" si="4"/>
        <v>0</v>
      </c>
      <c r="KGZ50">
        <f t="shared" si="5"/>
        <v>0</v>
      </c>
      <c r="KHA50">
        <f t="shared" si="6"/>
        <v>0</v>
      </c>
      <c r="KHB50">
        <f t="shared" si="7"/>
        <v>0</v>
      </c>
      <c r="KHC50">
        <f t="shared" si="8"/>
        <v>0</v>
      </c>
      <c r="KHD50">
        <f t="shared" si="9"/>
        <v>0</v>
      </c>
      <c r="KHE50">
        <f t="shared" si="10"/>
        <v>0</v>
      </c>
      <c r="KHF50">
        <f t="shared" si="11"/>
        <v>0</v>
      </c>
      <c r="KHG50">
        <f t="shared" si="12"/>
        <v>0</v>
      </c>
      <c r="KHH50">
        <f t="shared" si="13"/>
        <v>0</v>
      </c>
      <c r="KHI50">
        <f t="shared" si="14"/>
        <v>0</v>
      </c>
      <c r="KHJ50">
        <f t="shared" si="15"/>
        <v>0</v>
      </c>
      <c r="KHK50">
        <f t="shared" si="16"/>
        <v>0</v>
      </c>
      <c r="KHL50">
        <f t="shared" si="17"/>
        <v>0</v>
      </c>
      <c r="KHM50">
        <f t="shared" si="18"/>
        <v>0</v>
      </c>
      <c r="KHN50">
        <f t="shared" si="19"/>
        <v>0</v>
      </c>
      <c r="KHO50">
        <f t="shared" si="20"/>
        <v>0</v>
      </c>
      <c r="KHP50">
        <f t="shared" si="21"/>
        <v>0</v>
      </c>
      <c r="KHQ50">
        <f t="shared" si="22"/>
        <v>0</v>
      </c>
      <c r="KHR50">
        <f t="shared" si="23"/>
        <v>0</v>
      </c>
      <c r="KHS50">
        <f t="shared" si="24"/>
        <v>0</v>
      </c>
      <c r="KHT50">
        <f t="shared" si="25"/>
        <v>0</v>
      </c>
      <c r="KHU50">
        <f t="shared" si="26"/>
        <v>0</v>
      </c>
      <c r="KHV50">
        <f t="shared" si="27"/>
        <v>0</v>
      </c>
      <c r="KHW50">
        <f t="shared" si="28"/>
        <v>0</v>
      </c>
      <c r="KHX50">
        <f t="shared" si="29"/>
        <v>0</v>
      </c>
      <c r="KHY50">
        <f t="shared" si="30"/>
        <v>0</v>
      </c>
      <c r="KHZ50">
        <f t="shared" si="31"/>
        <v>0</v>
      </c>
      <c r="KIA50">
        <f t="shared" si="32"/>
        <v>0</v>
      </c>
      <c r="KIB50">
        <f t="shared" si="33"/>
        <v>0</v>
      </c>
      <c r="KIC50">
        <f t="shared" si="34"/>
        <v>0</v>
      </c>
      <c r="KID50">
        <f t="shared" si="35"/>
        <v>0</v>
      </c>
      <c r="KIE50">
        <f t="shared" si="36"/>
        <v>0</v>
      </c>
      <c r="KIF50">
        <f t="shared" si="37"/>
        <v>0</v>
      </c>
      <c r="KIG50">
        <f t="shared" si="38"/>
        <v>0</v>
      </c>
      <c r="KIH50">
        <f t="shared" si="39"/>
        <v>0</v>
      </c>
      <c r="KII50">
        <f t="shared" si="40"/>
        <v>0</v>
      </c>
      <c r="KIJ50">
        <f t="shared" si="41"/>
        <v>0</v>
      </c>
      <c r="KIK50">
        <f t="shared" si="42"/>
        <v>0</v>
      </c>
      <c r="KIL50">
        <f t="shared" si="43"/>
        <v>0</v>
      </c>
      <c r="KIM50">
        <f t="shared" si="44"/>
        <v>0</v>
      </c>
      <c r="KIN50">
        <f t="shared" si="45"/>
        <v>0</v>
      </c>
      <c r="KIO50">
        <f t="shared" si="46"/>
        <v>0</v>
      </c>
      <c r="KIP50">
        <f t="shared" si="47"/>
        <v>0</v>
      </c>
      <c r="KIQ50">
        <f t="shared" si="48"/>
        <v>0</v>
      </c>
      <c r="KIR50">
        <f t="shared" si="49"/>
        <v>0</v>
      </c>
      <c r="KIS50">
        <f t="shared" si="50"/>
        <v>0</v>
      </c>
      <c r="KIT50">
        <f t="shared" si="51"/>
        <v>0</v>
      </c>
      <c r="KIU50">
        <f t="shared" si="52"/>
        <v>0</v>
      </c>
      <c r="KIV50">
        <f t="shared" si="53"/>
        <v>0</v>
      </c>
      <c r="KIW50">
        <f t="shared" si="54"/>
        <v>0</v>
      </c>
      <c r="KIX50">
        <f t="shared" si="55"/>
        <v>0</v>
      </c>
      <c r="KIY50">
        <f t="shared" si="56"/>
        <v>0</v>
      </c>
      <c r="KIZ50">
        <f t="shared" si="57"/>
        <v>0</v>
      </c>
      <c r="KJA50">
        <f t="shared" si="58"/>
        <v>0</v>
      </c>
      <c r="KJB50">
        <f t="shared" si="59"/>
        <v>0</v>
      </c>
      <c r="KJC50">
        <f t="shared" si="60"/>
        <v>0</v>
      </c>
      <c r="KJD50">
        <f t="shared" si="61"/>
        <v>0</v>
      </c>
      <c r="KJE50">
        <f t="shared" si="62"/>
        <v>0</v>
      </c>
      <c r="KJF50">
        <f t="shared" si="63"/>
        <v>0</v>
      </c>
      <c r="KJG50">
        <f t="shared" si="64"/>
        <v>0</v>
      </c>
      <c r="KJH50">
        <f t="shared" si="65"/>
        <v>0</v>
      </c>
      <c r="KJI50">
        <f t="shared" si="66"/>
        <v>0</v>
      </c>
      <c r="KJJ50">
        <f t="shared" si="67"/>
        <v>0</v>
      </c>
      <c r="KJK50">
        <f t="shared" si="68"/>
        <v>0</v>
      </c>
      <c r="KJL50">
        <f t="shared" si="69"/>
        <v>0</v>
      </c>
      <c r="KJM50">
        <f t="shared" si="70"/>
        <v>0</v>
      </c>
      <c r="KJN50">
        <f t="shared" si="71"/>
        <v>0</v>
      </c>
      <c r="KJO50">
        <f t="shared" si="72"/>
        <v>0</v>
      </c>
      <c r="KJP50">
        <f t="shared" si="73"/>
        <v>0</v>
      </c>
      <c r="KJQ50">
        <f t="shared" si="74"/>
        <v>0</v>
      </c>
      <c r="KJR50">
        <f t="shared" si="75"/>
        <v>0</v>
      </c>
      <c r="KJS50">
        <f t="shared" si="76"/>
        <v>0</v>
      </c>
      <c r="KJT50">
        <f t="shared" si="77"/>
        <v>0</v>
      </c>
      <c r="KJU50">
        <f t="shared" si="78"/>
        <v>0</v>
      </c>
      <c r="KJV50">
        <f t="shared" si="79"/>
        <v>0</v>
      </c>
      <c r="KJW50">
        <f t="shared" si="80"/>
        <v>0</v>
      </c>
      <c r="KJX50">
        <f t="shared" si="81"/>
        <v>0</v>
      </c>
      <c r="KJY50">
        <f t="shared" si="82"/>
        <v>0</v>
      </c>
      <c r="KJZ50">
        <f t="shared" si="83"/>
        <v>0</v>
      </c>
      <c r="KKA50">
        <f t="shared" si="84"/>
        <v>0</v>
      </c>
      <c r="KKB50">
        <f t="shared" si="85"/>
        <v>0</v>
      </c>
      <c r="KKC50">
        <f t="shared" si="86"/>
        <v>0</v>
      </c>
      <c r="KKD50">
        <f t="shared" si="87"/>
        <v>0</v>
      </c>
      <c r="KKE50">
        <f t="shared" si="88"/>
        <v>0</v>
      </c>
      <c r="KKF50">
        <f t="shared" si="89"/>
        <v>0</v>
      </c>
      <c r="KKG50">
        <f t="shared" si="90"/>
        <v>0</v>
      </c>
      <c r="KKH50">
        <f t="shared" si="91"/>
        <v>0</v>
      </c>
      <c r="KKI50">
        <f t="shared" si="92"/>
        <v>0</v>
      </c>
      <c r="KKJ50">
        <f t="shared" si="93"/>
        <v>0</v>
      </c>
      <c r="KKK50">
        <f t="shared" si="94"/>
        <v>0</v>
      </c>
      <c r="KKL50">
        <f t="shared" si="95"/>
        <v>0</v>
      </c>
      <c r="KKM50">
        <f t="shared" si="96"/>
        <v>0</v>
      </c>
      <c r="KKN50">
        <f t="shared" si="97"/>
        <v>0</v>
      </c>
      <c r="KKO50">
        <f t="shared" si="98"/>
        <v>0</v>
      </c>
      <c r="KKP50">
        <f t="shared" si="99"/>
        <v>0</v>
      </c>
      <c r="KKR50">
        <f t="shared" si="100"/>
        <v>139</v>
      </c>
      <c r="KKT50">
        <f t="shared" si="100"/>
        <v>139</v>
      </c>
      <c r="KKU50">
        <f t="shared" si="101"/>
        <v>5.56</v>
      </c>
      <c r="KKW50">
        <f t="shared" si="101"/>
        <v>5.56</v>
      </c>
    </row>
    <row r="51" spans="1:514 1409:1417 2495:2576 4143:4764 5778:5831 6491:7134 7639:7745">
      <c r="A51" t="s">
        <v>32</v>
      </c>
      <c r="B51">
        <v>1</v>
      </c>
      <c r="FUT51">
        <v>1</v>
      </c>
      <c r="FUU51">
        <v>1</v>
      </c>
      <c r="FUV51">
        <v>1</v>
      </c>
      <c r="FUW51">
        <v>1</v>
      </c>
      <c r="FUX51">
        <v>1</v>
      </c>
      <c r="FUY51">
        <v>1</v>
      </c>
      <c r="FUZ51">
        <v>1</v>
      </c>
      <c r="FVA51">
        <v>1</v>
      </c>
      <c r="FVB51">
        <v>1</v>
      </c>
      <c r="FVC51">
        <v>1</v>
      </c>
      <c r="FVD51">
        <v>1</v>
      </c>
      <c r="FVE51">
        <v>1</v>
      </c>
      <c r="FVF51">
        <v>1</v>
      </c>
      <c r="FVG51">
        <v>1</v>
      </c>
      <c r="FVH51">
        <v>1</v>
      </c>
      <c r="FVI51">
        <v>1</v>
      </c>
      <c r="FVJ51">
        <v>1</v>
      </c>
      <c r="FVK51">
        <v>1</v>
      </c>
      <c r="FVL51">
        <v>1</v>
      </c>
      <c r="FVM51">
        <v>1</v>
      </c>
      <c r="FVN51">
        <v>1</v>
      </c>
      <c r="FVO51">
        <v>1</v>
      </c>
      <c r="FVP51">
        <v>1</v>
      </c>
      <c r="FVQ51">
        <v>1</v>
      </c>
      <c r="FVR51">
        <v>1</v>
      </c>
      <c r="FVS51">
        <v>1</v>
      </c>
      <c r="FVT51">
        <v>1</v>
      </c>
      <c r="FVU51">
        <v>1</v>
      </c>
      <c r="FVV51">
        <v>1</v>
      </c>
      <c r="FVW51">
        <v>1</v>
      </c>
      <c r="FVX51">
        <v>1</v>
      </c>
      <c r="FVY51">
        <v>1</v>
      </c>
      <c r="FVZ51">
        <v>1</v>
      </c>
      <c r="FWA51">
        <v>1</v>
      </c>
      <c r="FWB51">
        <v>1</v>
      </c>
      <c r="FWC51">
        <v>1</v>
      </c>
      <c r="FWD51">
        <v>1</v>
      </c>
      <c r="FWE51">
        <v>1</v>
      </c>
      <c r="FWF51">
        <v>1</v>
      </c>
      <c r="FWG51">
        <v>1</v>
      </c>
      <c r="FWH51">
        <v>1</v>
      </c>
      <c r="FWI51">
        <v>1</v>
      </c>
      <c r="FWJ51">
        <v>1</v>
      </c>
      <c r="FWK51">
        <v>1</v>
      </c>
      <c r="FWL51">
        <v>1</v>
      </c>
      <c r="FWM51">
        <v>1</v>
      </c>
      <c r="FWN51">
        <v>1</v>
      </c>
      <c r="FWO51">
        <v>1</v>
      </c>
      <c r="FWP51">
        <v>1</v>
      </c>
      <c r="FWQ51">
        <v>1</v>
      </c>
      <c r="FWR51">
        <v>1</v>
      </c>
      <c r="FWS51">
        <v>1</v>
      </c>
      <c r="FWT51">
        <v>1</v>
      </c>
      <c r="FWU51">
        <v>1</v>
      </c>
      <c r="FWV51">
        <v>1</v>
      </c>
      <c r="FWW51">
        <v>1</v>
      </c>
      <c r="FWX51">
        <v>1</v>
      </c>
      <c r="FWY51">
        <v>1</v>
      </c>
      <c r="FWZ51">
        <v>1</v>
      </c>
      <c r="FXA51">
        <v>1</v>
      </c>
      <c r="FXB51">
        <v>1</v>
      </c>
      <c r="FXC51">
        <v>1</v>
      </c>
      <c r="FXD51">
        <v>1</v>
      </c>
      <c r="FXE51">
        <v>1</v>
      </c>
      <c r="FXF51">
        <v>1</v>
      </c>
      <c r="FXG51">
        <v>1</v>
      </c>
      <c r="FXH51">
        <v>1</v>
      </c>
      <c r="FXI51">
        <v>1</v>
      </c>
      <c r="FXJ51">
        <v>1</v>
      </c>
      <c r="FXK51">
        <v>1</v>
      </c>
      <c r="FXL51">
        <v>1</v>
      </c>
      <c r="FXM51">
        <v>1</v>
      </c>
      <c r="FXN51">
        <v>1</v>
      </c>
      <c r="FXO51">
        <v>1</v>
      </c>
      <c r="FXP51">
        <v>1</v>
      </c>
      <c r="FXQ51">
        <v>1</v>
      </c>
      <c r="FXR51">
        <v>1</v>
      </c>
      <c r="FXS51">
        <v>1</v>
      </c>
      <c r="FXT51">
        <v>1</v>
      </c>
      <c r="FXU51">
        <v>1</v>
      </c>
      <c r="FXV51">
        <v>1</v>
      </c>
      <c r="FXW51">
        <v>1</v>
      </c>
      <c r="FXX51">
        <v>1</v>
      </c>
      <c r="FXY51">
        <v>1</v>
      </c>
      <c r="FXZ51">
        <v>1</v>
      </c>
      <c r="FYA51">
        <v>1</v>
      </c>
      <c r="FYB51">
        <v>1</v>
      </c>
      <c r="FYC51">
        <v>1</v>
      </c>
      <c r="FYD51">
        <v>1</v>
      </c>
      <c r="FYE51">
        <v>1</v>
      </c>
      <c r="FYF51">
        <v>1</v>
      </c>
      <c r="FYG51">
        <v>1</v>
      </c>
      <c r="FYH51">
        <v>1</v>
      </c>
      <c r="FYI51">
        <v>1</v>
      </c>
      <c r="FYJ51">
        <v>1</v>
      </c>
      <c r="FYK51">
        <v>1</v>
      </c>
      <c r="FYL51">
        <v>1</v>
      </c>
      <c r="FYM51">
        <v>1</v>
      </c>
      <c r="FYN51">
        <v>1</v>
      </c>
      <c r="FYO51">
        <v>1</v>
      </c>
      <c r="FYP51">
        <v>1</v>
      </c>
      <c r="FYQ51">
        <v>1</v>
      </c>
      <c r="FYR51">
        <v>1</v>
      </c>
      <c r="FYS51">
        <v>1</v>
      </c>
      <c r="FYT51">
        <v>1</v>
      </c>
      <c r="FYU51">
        <v>1</v>
      </c>
      <c r="FYV51">
        <v>1</v>
      </c>
      <c r="FYW51">
        <v>1</v>
      </c>
      <c r="FYX51">
        <v>1</v>
      </c>
      <c r="FYY51">
        <v>1</v>
      </c>
      <c r="FYZ51">
        <v>1</v>
      </c>
      <c r="FZA51">
        <v>1</v>
      </c>
      <c r="FZB51">
        <v>1</v>
      </c>
      <c r="FZC51">
        <v>1</v>
      </c>
      <c r="FZD51">
        <v>1</v>
      </c>
      <c r="FZE51">
        <v>1</v>
      </c>
      <c r="FZF51">
        <v>1</v>
      </c>
      <c r="FZG51">
        <v>1</v>
      </c>
      <c r="FZH51">
        <v>1</v>
      </c>
      <c r="FZI51">
        <v>1</v>
      </c>
      <c r="FZJ51">
        <v>1</v>
      </c>
      <c r="FZK51">
        <v>1</v>
      </c>
      <c r="FZL51">
        <v>1</v>
      </c>
      <c r="FZM51">
        <v>1</v>
      </c>
      <c r="FZN51">
        <v>1</v>
      </c>
      <c r="FZO51">
        <v>1</v>
      </c>
      <c r="FZP51">
        <v>1</v>
      </c>
      <c r="FZQ51">
        <v>1</v>
      </c>
      <c r="FZR51">
        <v>1</v>
      </c>
      <c r="FZS51">
        <v>1</v>
      </c>
      <c r="FZT51">
        <v>1</v>
      </c>
      <c r="FZU51">
        <v>1</v>
      </c>
      <c r="FZV51">
        <v>1</v>
      </c>
      <c r="FZW51">
        <v>1</v>
      </c>
      <c r="FZX51">
        <v>1</v>
      </c>
      <c r="FZY51">
        <v>1</v>
      </c>
      <c r="FZZ51">
        <v>1</v>
      </c>
      <c r="GAA51">
        <v>1</v>
      </c>
      <c r="GAB51">
        <v>1</v>
      </c>
      <c r="GAC51">
        <v>1</v>
      </c>
      <c r="GAD51">
        <v>1</v>
      </c>
      <c r="GAE51">
        <v>1</v>
      </c>
      <c r="GAF51">
        <v>1</v>
      </c>
      <c r="KGU51" s="1">
        <f t="shared" si="0"/>
        <v>143</v>
      </c>
      <c r="KGV51">
        <f t="shared" si="1"/>
        <v>0</v>
      </c>
      <c r="KGW51">
        <f t="shared" si="2"/>
        <v>0</v>
      </c>
      <c r="KGX51">
        <f t="shared" si="3"/>
        <v>0</v>
      </c>
      <c r="KGY51">
        <f t="shared" si="4"/>
        <v>0</v>
      </c>
      <c r="KGZ51">
        <f t="shared" si="5"/>
        <v>0</v>
      </c>
      <c r="KHA51">
        <f t="shared" si="6"/>
        <v>0</v>
      </c>
      <c r="KHB51">
        <f t="shared" si="7"/>
        <v>0</v>
      </c>
      <c r="KHC51">
        <f t="shared" si="8"/>
        <v>0</v>
      </c>
      <c r="KHD51">
        <f t="shared" si="9"/>
        <v>0</v>
      </c>
      <c r="KHE51">
        <f t="shared" si="10"/>
        <v>0</v>
      </c>
      <c r="KHF51">
        <f t="shared" si="11"/>
        <v>0</v>
      </c>
      <c r="KHG51">
        <f t="shared" si="12"/>
        <v>0</v>
      </c>
      <c r="KHH51">
        <f t="shared" si="13"/>
        <v>0</v>
      </c>
      <c r="KHI51">
        <f t="shared" si="14"/>
        <v>0</v>
      </c>
      <c r="KHJ51">
        <f t="shared" si="15"/>
        <v>0</v>
      </c>
      <c r="KHK51">
        <f t="shared" si="16"/>
        <v>0</v>
      </c>
      <c r="KHL51">
        <f t="shared" si="17"/>
        <v>0</v>
      </c>
      <c r="KHM51">
        <f t="shared" si="18"/>
        <v>0</v>
      </c>
      <c r="KHN51">
        <f t="shared" si="19"/>
        <v>0</v>
      </c>
      <c r="KHO51">
        <f t="shared" si="20"/>
        <v>0</v>
      </c>
      <c r="KHP51">
        <f t="shared" si="21"/>
        <v>0</v>
      </c>
      <c r="KHQ51">
        <f t="shared" si="22"/>
        <v>0</v>
      </c>
      <c r="KHR51">
        <f t="shared" si="23"/>
        <v>0</v>
      </c>
      <c r="KHS51">
        <f t="shared" si="24"/>
        <v>0</v>
      </c>
      <c r="KHT51">
        <f t="shared" si="25"/>
        <v>0</v>
      </c>
      <c r="KHU51">
        <f t="shared" si="26"/>
        <v>0</v>
      </c>
      <c r="KHV51">
        <f t="shared" si="27"/>
        <v>0</v>
      </c>
      <c r="KHW51">
        <f t="shared" si="28"/>
        <v>0</v>
      </c>
      <c r="KHX51">
        <f t="shared" si="29"/>
        <v>0</v>
      </c>
      <c r="KHY51">
        <f t="shared" si="30"/>
        <v>0</v>
      </c>
      <c r="KHZ51">
        <f t="shared" si="31"/>
        <v>0</v>
      </c>
      <c r="KIA51">
        <f t="shared" si="32"/>
        <v>0</v>
      </c>
      <c r="KIB51">
        <f t="shared" si="33"/>
        <v>0</v>
      </c>
      <c r="KIC51">
        <f t="shared" si="34"/>
        <v>0</v>
      </c>
      <c r="KID51">
        <f t="shared" si="35"/>
        <v>0</v>
      </c>
      <c r="KIE51">
        <f t="shared" si="36"/>
        <v>0</v>
      </c>
      <c r="KIF51">
        <f t="shared" si="37"/>
        <v>0</v>
      </c>
      <c r="KIG51">
        <f t="shared" si="38"/>
        <v>0</v>
      </c>
      <c r="KIH51">
        <f t="shared" si="39"/>
        <v>0</v>
      </c>
      <c r="KII51">
        <f t="shared" si="40"/>
        <v>0</v>
      </c>
      <c r="KIJ51">
        <f t="shared" si="41"/>
        <v>0</v>
      </c>
      <c r="KIK51">
        <f t="shared" si="42"/>
        <v>0</v>
      </c>
      <c r="KIL51">
        <f t="shared" si="43"/>
        <v>0</v>
      </c>
      <c r="KIM51">
        <f t="shared" si="44"/>
        <v>0</v>
      </c>
      <c r="KIN51">
        <f t="shared" si="45"/>
        <v>0</v>
      </c>
      <c r="KIO51">
        <f t="shared" si="46"/>
        <v>0</v>
      </c>
      <c r="KIP51">
        <f t="shared" si="47"/>
        <v>0</v>
      </c>
      <c r="KIQ51">
        <f t="shared" si="48"/>
        <v>0</v>
      </c>
      <c r="KIR51">
        <f t="shared" si="49"/>
        <v>0</v>
      </c>
      <c r="KIS51">
        <f t="shared" si="50"/>
        <v>0</v>
      </c>
      <c r="KIT51">
        <f t="shared" si="51"/>
        <v>0</v>
      </c>
      <c r="KIU51">
        <f t="shared" si="52"/>
        <v>0</v>
      </c>
      <c r="KIV51">
        <f t="shared" si="53"/>
        <v>0</v>
      </c>
      <c r="KIW51">
        <f t="shared" si="54"/>
        <v>0</v>
      </c>
      <c r="KIX51">
        <f t="shared" si="55"/>
        <v>0</v>
      </c>
      <c r="KIY51">
        <f t="shared" si="56"/>
        <v>0</v>
      </c>
      <c r="KIZ51">
        <f t="shared" si="57"/>
        <v>0</v>
      </c>
      <c r="KJA51">
        <f t="shared" si="58"/>
        <v>0</v>
      </c>
      <c r="KJB51">
        <f t="shared" si="59"/>
        <v>0</v>
      </c>
      <c r="KJC51">
        <f t="shared" si="60"/>
        <v>0</v>
      </c>
      <c r="KJD51">
        <f t="shared" si="61"/>
        <v>0</v>
      </c>
      <c r="KJE51">
        <f t="shared" si="62"/>
        <v>0</v>
      </c>
      <c r="KJF51">
        <f t="shared" si="63"/>
        <v>0</v>
      </c>
      <c r="KJG51">
        <f t="shared" si="64"/>
        <v>0</v>
      </c>
      <c r="KJH51">
        <f t="shared" si="65"/>
        <v>0</v>
      </c>
      <c r="KJI51">
        <f t="shared" si="66"/>
        <v>0</v>
      </c>
      <c r="KJJ51">
        <f t="shared" si="67"/>
        <v>0</v>
      </c>
      <c r="KJK51">
        <f t="shared" si="68"/>
        <v>0</v>
      </c>
      <c r="KJL51">
        <f t="shared" si="69"/>
        <v>0</v>
      </c>
      <c r="KJM51">
        <f t="shared" si="70"/>
        <v>0</v>
      </c>
      <c r="KJN51">
        <f t="shared" si="71"/>
        <v>0</v>
      </c>
      <c r="KJO51">
        <f t="shared" si="72"/>
        <v>0</v>
      </c>
      <c r="KJP51">
        <f t="shared" si="73"/>
        <v>0</v>
      </c>
      <c r="KJQ51">
        <f t="shared" si="74"/>
        <v>0</v>
      </c>
      <c r="KJR51">
        <f t="shared" si="75"/>
        <v>0</v>
      </c>
      <c r="KJS51">
        <f t="shared" si="76"/>
        <v>0</v>
      </c>
      <c r="KJT51">
        <f t="shared" si="77"/>
        <v>0</v>
      </c>
      <c r="KJU51">
        <f t="shared" si="78"/>
        <v>0</v>
      </c>
      <c r="KJV51">
        <f t="shared" si="79"/>
        <v>0</v>
      </c>
      <c r="KJW51">
        <f t="shared" si="80"/>
        <v>0</v>
      </c>
      <c r="KJX51">
        <f t="shared" si="81"/>
        <v>0</v>
      </c>
      <c r="KJY51">
        <f t="shared" si="82"/>
        <v>0</v>
      </c>
      <c r="KJZ51">
        <f t="shared" si="83"/>
        <v>0</v>
      </c>
      <c r="KKA51">
        <f t="shared" si="84"/>
        <v>0</v>
      </c>
      <c r="KKB51">
        <f t="shared" si="85"/>
        <v>0</v>
      </c>
      <c r="KKC51">
        <f t="shared" si="86"/>
        <v>0</v>
      </c>
      <c r="KKD51">
        <f t="shared" si="87"/>
        <v>0</v>
      </c>
      <c r="KKE51">
        <f t="shared" si="88"/>
        <v>0</v>
      </c>
      <c r="KKF51">
        <f t="shared" si="89"/>
        <v>0</v>
      </c>
      <c r="KKG51">
        <f t="shared" si="90"/>
        <v>0</v>
      </c>
      <c r="KKH51">
        <f t="shared" si="91"/>
        <v>0</v>
      </c>
      <c r="KKI51">
        <f t="shared" si="92"/>
        <v>0</v>
      </c>
      <c r="KKJ51">
        <f t="shared" si="93"/>
        <v>0</v>
      </c>
      <c r="KKK51">
        <f t="shared" si="94"/>
        <v>0</v>
      </c>
      <c r="KKL51">
        <f t="shared" si="95"/>
        <v>0</v>
      </c>
      <c r="KKM51">
        <f t="shared" si="96"/>
        <v>0</v>
      </c>
      <c r="KKN51">
        <f t="shared" si="97"/>
        <v>0</v>
      </c>
      <c r="KKO51">
        <f t="shared" si="98"/>
        <v>0</v>
      </c>
      <c r="KKP51">
        <f t="shared" si="99"/>
        <v>0</v>
      </c>
      <c r="KKR51">
        <f t="shared" si="100"/>
        <v>143</v>
      </c>
      <c r="KKT51">
        <f t="shared" si="100"/>
        <v>143</v>
      </c>
      <c r="KKU51">
        <f t="shared" si="101"/>
        <v>5.72</v>
      </c>
      <c r="KKW51">
        <f t="shared" si="101"/>
        <v>5.72</v>
      </c>
    </row>
    <row r="52" spans="1:514 1409:1417 2495:2576 4143:4764 5778:5831 6491:7134 7639:7745">
      <c r="A52" t="s">
        <v>7675</v>
      </c>
      <c r="B52">
        <v>1</v>
      </c>
      <c r="CQY52">
        <v>1</v>
      </c>
      <c r="CQZ52">
        <v>1</v>
      </c>
      <c r="CRA52">
        <v>1</v>
      </c>
      <c r="CRB52">
        <v>1</v>
      </c>
      <c r="CRC52">
        <v>1</v>
      </c>
      <c r="CRD52">
        <v>1</v>
      </c>
      <c r="CRE52">
        <v>1</v>
      </c>
      <c r="CRF52">
        <v>1</v>
      </c>
      <c r="CRG52">
        <v>1</v>
      </c>
      <c r="CRH52">
        <v>1</v>
      </c>
      <c r="CRI52">
        <v>1</v>
      </c>
      <c r="CRJ52">
        <v>1</v>
      </c>
      <c r="CRK52">
        <v>1</v>
      </c>
      <c r="CRL52">
        <v>1</v>
      </c>
      <c r="CRM52">
        <v>1</v>
      </c>
      <c r="CRN52">
        <v>1</v>
      </c>
      <c r="CRO52">
        <v>1</v>
      </c>
      <c r="CRP52">
        <v>1</v>
      </c>
      <c r="CRQ52">
        <v>1</v>
      </c>
      <c r="CRR52">
        <v>1</v>
      </c>
      <c r="CRS52">
        <v>1</v>
      </c>
      <c r="CRT52">
        <v>1</v>
      </c>
      <c r="CRU52">
        <v>1</v>
      </c>
      <c r="CRV52">
        <v>1</v>
      </c>
      <c r="CRW52">
        <v>1</v>
      </c>
      <c r="CRX52">
        <v>1</v>
      </c>
      <c r="CRY52">
        <v>1</v>
      </c>
      <c r="CRZ52">
        <v>1</v>
      </c>
      <c r="CSA52">
        <v>1</v>
      </c>
      <c r="CSB52">
        <v>1</v>
      </c>
      <c r="CSC52">
        <v>1</v>
      </c>
      <c r="CSD52">
        <v>1</v>
      </c>
      <c r="CSE52">
        <v>1</v>
      </c>
      <c r="CSF52">
        <v>1</v>
      </c>
      <c r="CSG52">
        <v>1</v>
      </c>
      <c r="CSH52">
        <v>1</v>
      </c>
      <c r="CSI52">
        <v>1</v>
      </c>
      <c r="CSJ52">
        <v>1</v>
      </c>
      <c r="CSK52">
        <v>1</v>
      </c>
      <c r="CSL52">
        <v>1</v>
      </c>
      <c r="CSM52">
        <v>1</v>
      </c>
      <c r="CSN52">
        <v>1</v>
      </c>
      <c r="CSO52">
        <v>1</v>
      </c>
      <c r="CSP52">
        <v>1</v>
      </c>
      <c r="CSQ52">
        <v>1</v>
      </c>
      <c r="CSR52">
        <v>1</v>
      </c>
      <c r="CSS52">
        <v>1</v>
      </c>
      <c r="CST52">
        <v>1</v>
      </c>
      <c r="CSU52">
        <v>1</v>
      </c>
      <c r="CSV52">
        <v>1</v>
      </c>
      <c r="CSW52">
        <v>1</v>
      </c>
      <c r="CSX52">
        <v>1</v>
      </c>
      <c r="CSY52">
        <v>1</v>
      </c>
      <c r="CSZ52">
        <v>1</v>
      </c>
      <c r="CTA52">
        <v>1</v>
      </c>
      <c r="CTB52">
        <v>1</v>
      </c>
      <c r="CTC52">
        <v>1</v>
      </c>
      <c r="CTD52">
        <v>1</v>
      </c>
      <c r="CTE52">
        <v>1</v>
      </c>
      <c r="CTF52">
        <v>1</v>
      </c>
      <c r="CTG52">
        <v>1</v>
      </c>
      <c r="CTH52">
        <v>1</v>
      </c>
      <c r="CTI52">
        <v>1</v>
      </c>
      <c r="CTJ52">
        <v>1</v>
      </c>
      <c r="CTK52">
        <v>1</v>
      </c>
      <c r="CTL52">
        <v>1</v>
      </c>
      <c r="CTM52">
        <v>1</v>
      </c>
      <c r="CTN52">
        <v>1</v>
      </c>
      <c r="CTO52">
        <v>1</v>
      </c>
      <c r="CTP52">
        <v>1</v>
      </c>
      <c r="CTQ52">
        <v>1</v>
      </c>
      <c r="CTR52">
        <v>1</v>
      </c>
      <c r="CTS52">
        <v>1</v>
      </c>
      <c r="CTT52">
        <v>1</v>
      </c>
      <c r="CTU52">
        <v>1</v>
      </c>
      <c r="CTV52">
        <v>1</v>
      </c>
      <c r="CTW52">
        <v>1</v>
      </c>
      <c r="CTX52">
        <v>1</v>
      </c>
      <c r="CTY52">
        <v>1</v>
      </c>
      <c r="CTZ52">
        <v>1</v>
      </c>
      <c r="CUA52">
        <v>1</v>
      </c>
      <c r="CUB52">
        <v>1</v>
      </c>
      <c r="KGU52" s="1">
        <f t="shared" si="0"/>
        <v>82</v>
      </c>
      <c r="KGV52">
        <f t="shared" si="1"/>
        <v>0</v>
      </c>
      <c r="KGW52">
        <f t="shared" si="2"/>
        <v>0</v>
      </c>
      <c r="KGX52">
        <f t="shared" si="3"/>
        <v>0</v>
      </c>
      <c r="KGY52">
        <f t="shared" si="4"/>
        <v>0</v>
      </c>
      <c r="KGZ52">
        <f t="shared" si="5"/>
        <v>0</v>
      </c>
      <c r="KHA52">
        <f t="shared" si="6"/>
        <v>0</v>
      </c>
      <c r="KHB52">
        <f t="shared" si="7"/>
        <v>0</v>
      </c>
      <c r="KHC52">
        <f t="shared" si="8"/>
        <v>0</v>
      </c>
      <c r="KHD52">
        <f t="shared" si="9"/>
        <v>0</v>
      </c>
      <c r="KHE52">
        <f t="shared" si="10"/>
        <v>0</v>
      </c>
      <c r="KHF52">
        <f t="shared" si="11"/>
        <v>0</v>
      </c>
      <c r="KHG52">
        <f t="shared" si="12"/>
        <v>0</v>
      </c>
      <c r="KHH52">
        <f t="shared" si="13"/>
        <v>0</v>
      </c>
      <c r="KHI52">
        <f t="shared" si="14"/>
        <v>0</v>
      </c>
      <c r="KHJ52">
        <f t="shared" si="15"/>
        <v>0</v>
      </c>
      <c r="KHK52">
        <f t="shared" si="16"/>
        <v>0</v>
      </c>
      <c r="KHL52">
        <f t="shared" si="17"/>
        <v>0</v>
      </c>
      <c r="KHM52">
        <f t="shared" si="18"/>
        <v>0</v>
      </c>
      <c r="KHN52">
        <f t="shared" si="19"/>
        <v>0</v>
      </c>
      <c r="KHO52">
        <f t="shared" si="20"/>
        <v>0</v>
      </c>
      <c r="KHP52">
        <f t="shared" si="21"/>
        <v>0</v>
      </c>
      <c r="KHQ52">
        <f t="shared" si="22"/>
        <v>0</v>
      </c>
      <c r="KHR52">
        <f t="shared" si="23"/>
        <v>0</v>
      </c>
      <c r="KHS52">
        <f t="shared" si="24"/>
        <v>0</v>
      </c>
      <c r="KHT52">
        <f t="shared" si="25"/>
        <v>0</v>
      </c>
      <c r="KHU52">
        <f t="shared" si="26"/>
        <v>0</v>
      </c>
      <c r="KHV52">
        <f t="shared" si="27"/>
        <v>0</v>
      </c>
      <c r="KHW52">
        <f t="shared" si="28"/>
        <v>0</v>
      </c>
      <c r="KHX52">
        <f t="shared" si="29"/>
        <v>0</v>
      </c>
      <c r="KHY52">
        <f t="shared" si="30"/>
        <v>0</v>
      </c>
      <c r="KHZ52">
        <f t="shared" si="31"/>
        <v>0</v>
      </c>
      <c r="KIA52">
        <f t="shared" si="32"/>
        <v>0</v>
      </c>
      <c r="KIB52">
        <f t="shared" si="33"/>
        <v>0</v>
      </c>
      <c r="KIC52">
        <f t="shared" si="34"/>
        <v>0</v>
      </c>
      <c r="KID52">
        <f t="shared" si="35"/>
        <v>0</v>
      </c>
      <c r="KIE52">
        <f t="shared" si="36"/>
        <v>0</v>
      </c>
      <c r="KIF52">
        <f t="shared" si="37"/>
        <v>0</v>
      </c>
      <c r="KIG52">
        <f t="shared" si="38"/>
        <v>0</v>
      </c>
      <c r="KIH52">
        <f t="shared" si="39"/>
        <v>0</v>
      </c>
      <c r="KII52">
        <f t="shared" si="40"/>
        <v>0</v>
      </c>
      <c r="KIJ52">
        <f t="shared" si="41"/>
        <v>0</v>
      </c>
      <c r="KIK52">
        <f t="shared" si="42"/>
        <v>0</v>
      </c>
      <c r="KIL52">
        <f t="shared" si="43"/>
        <v>0</v>
      </c>
      <c r="KIM52">
        <f t="shared" si="44"/>
        <v>0</v>
      </c>
      <c r="KIN52">
        <f t="shared" si="45"/>
        <v>0</v>
      </c>
      <c r="KIO52">
        <f t="shared" si="46"/>
        <v>0</v>
      </c>
      <c r="KIP52">
        <f t="shared" si="47"/>
        <v>0</v>
      </c>
      <c r="KIQ52">
        <f t="shared" si="48"/>
        <v>0</v>
      </c>
      <c r="KIR52">
        <f t="shared" si="49"/>
        <v>0</v>
      </c>
      <c r="KIS52">
        <f t="shared" si="50"/>
        <v>0</v>
      </c>
      <c r="KIT52">
        <f t="shared" si="51"/>
        <v>0</v>
      </c>
      <c r="KIU52">
        <f t="shared" si="52"/>
        <v>0</v>
      </c>
      <c r="KIV52">
        <f t="shared" si="53"/>
        <v>0</v>
      </c>
      <c r="KIW52">
        <f t="shared" si="54"/>
        <v>0</v>
      </c>
      <c r="KIX52">
        <f t="shared" si="55"/>
        <v>0</v>
      </c>
      <c r="KIY52">
        <f t="shared" si="56"/>
        <v>0</v>
      </c>
      <c r="KIZ52">
        <f t="shared" si="57"/>
        <v>0</v>
      </c>
      <c r="KJA52">
        <f t="shared" si="58"/>
        <v>0</v>
      </c>
      <c r="KJB52">
        <f t="shared" si="59"/>
        <v>0</v>
      </c>
      <c r="KJC52">
        <f t="shared" si="60"/>
        <v>0</v>
      </c>
      <c r="KJD52">
        <f t="shared" si="61"/>
        <v>0</v>
      </c>
      <c r="KJE52">
        <f t="shared" si="62"/>
        <v>0</v>
      </c>
      <c r="KJF52">
        <f t="shared" si="63"/>
        <v>0</v>
      </c>
      <c r="KJG52">
        <f t="shared" si="64"/>
        <v>0</v>
      </c>
      <c r="KJH52">
        <f t="shared" si="65"/>
        <v>0</v>
      </c>
      <c r="KJI52">
        <f t="shared" si="66"/>
        <v>0</v>
      </c>
      <c r="KJJ52">
        <f t="shared" si="67"/>
        <v>0</v>
      </c>
      <c r="KJK52">
        <f t="shared" si="68"/>
        <v>0</v>
      </c>
      <c r="KJL52">
        <f t="shared" si="69"/>
        <v>0</v>
      </c>
      <c r="KJM52">
        <f t="shared" si="70"/>
        <v>0</v>
      </c>
      <c r="KJN52">
        <f t="shared" si="71"/>
        <v>0</v>
      </c>
      <c r="KJO52">
        <f t="shared" si="72"/>
        <v>0</v>
      </c>
      <c r="KJP52">
        <f t="shared" si="73"/>
        <v>0</v>
      </c>
      <c r="KJQ52">
        <f t="shared" si="74"/>
        <v>0</v>
      </c>
      <c r="KJR52">
        <f t="shared" si="75"/>
        <v>0</v>
      </c>
      <c r="KJS52">
        <f t="shared" si="76"/>
        <v>0</v>
      </c>
      <c r="KJT52">
        <f t="shared" si="77"/>
        <v>0</v>
      </c>
      <c r="KJU52">
        <f t="shared" si="78"/>
        <v>0</v>
      </c>
      <c r="KJV52">
        <f t="shared" si="79"/>
        <v>0</v>
      </c>
      <c r="KJW52">
        <f t="shared" si="80"/>
        <v>0</v>
      </c>
      <c r="KJX52">
        <f t="shared" si="81"/>
        <v>0</v>
      </c>
      <c r="KJY52">
        <f t="shared" si="82"/>
        <v>0</v>
      </c>
      <c r="KJZ52">
        <f t="shared" si="83"/>
        <v>0</v>
      </c>
      <c r="KKA52">
        <f t="shared" si="84"/>
        <v>0</v>
      </c>
      <c r="KKB52">
        <f t="shared" si="85"/>
        <v>0</v>
      </c>
      <c r="KKC52">
        <f t="shared" si="86"/>
        <v>0</v>
      </c>
      <c r="KKD52">
        <f t="shared" si="87"/>
        <v>0</v>
      </c>
      <c r="KKE52">
        <f t="shared" si="88"/>
        <v>0</v>
      </c>
      <c r="KKF52">
        <f t="shared" si="89"/>
        <v>0</v>
      </c>
      <c r="KKG52">
        <f t="shared" si="90"/>
        <v>0</v>
      </c>
      <c r="KKH52">
        <f t="shared" si="91"/>
        <v>0</v>
      </c>
      <c r="KKI52">
        <f t="shared" si="92"/>
        <v>0</v>
      </c>
      <c r="KKJ52">
        <f t="shared" si="93"/>
        <v>0</v>
      </c>
      <c r="KKK52">
        <f t="shared" si="94"/>
        <v>0</v>
      </c>
      <c r="KKL52">
        <f t="shared" si="95"/>
        <v>0</v>
      </c>
      <c r="KKM52">
        <f t="shared" si="96"/>
        <v>0</v>
      </c>
      <c r="KKN52">
        <f t="shared" si="97"/>
        <v>0</v>
      </c>
      <c r="KKO52">
        <f t="shared" si="98"/>
        <v>0</v>
      </c>
      <c r="KKP52">
        <f t="shared" si="99"/>
        <v>0</v>
      </c>
      <c r="KKR52">
        <f t="shared" si="100"/>
        <v>82</v>
      </c>
      <c r="KKT52">
        <f t="shared" si="100"/>
        <v>82</v>
      </c>
      <c r="KKU52">
        <f t="shared" si="101"/>
        <v>3.28</v>
      </c>
      <c r="KKW52">
        <f t="shared" si="101"/>
        <v>3.28</v>
      </c>
    </row>
    <row r="53" spans="1:514 1409:1417 2495:2576 4143:4764 5778:5831 6491:7134 7639:7745">
      <c r="A53" t="s">
        <v>7676</v>
      </c>
      <c r="B53">
        <v>1</v>
      </c>
      <c r="FTY53">
        <v>1</v>
      </c>
      <c r="FTZ53">
        <v>1</v>
      </c>
      <c r="FUA53">
        <v>1</v>
      </c>
      <c r="FUB53">
        <v>1</v>
      </c>
      <c r="FUC53">
        <v>1</v>
      </c>
      <c r="FUD53">
        <v>1</v>
      </c>
      <c r="FUE53">
        <v>1</v>
      </c>
      <c r="FUF53">
        <v>1</v>
      </c>
      <c r="FUG53">
        <v>1</v>
      </c>
      <c r="FUH53">
        <v>1</v>
      </c>
      <c r="FUI53">
        <v>1</v>
      </c>
      <c r="FUJ53">
        <v>1</v>
      </c>
      <c r="FUK53">
        <v>1</v>
      </c>
      <c r="FUL53">
        <v>1</v>
      </c>
      <c r="FUM53">
        <v>1</v>
      </c>
      <c r="FUN53">
        <v>1</v>
      </c>
      <c r="FUO53">
        <v>1</v>
      </c>
      <c r="FUP53">
        <v>1</v>
      </c>
      <c r="FUQ53">
        <v>1</v>
      </c>
      <c r="FUR53">
        <v>1</v>
      </c>
      <c r="FUS53">
        <v>1</v>
      </c>
      <c r="KGU53" s="1">
        <f t="shared" si="0"/>
        <v>21</v>
      </c>
      <c r="KGV53">
        <f t="shared" si="1"/>
        <v>0</v>
      </c>
      <c r="KGW53">
        <f t="shared" si="2"/>
        <v>0</v>
      </c>
      <c r="KGX53">
        <f t="shared" si="3"/>
        <v>0</v>
      </c>
      <c r="KGY53">
        <f t="shared" si="4"/>
        <v>0</v>
      </c>
      <c r="KGZ53">
        <f t="shared" si="5"/>
        <v>0</v>
      </c>
      <c r="KHA53">
        <f t="shared" si="6"/>
        <v>0</v>
      </c>
      <c r="KHB53">
        <f t="shared" si="7"/>
        <v>0</v>
      </c>
      <c r="KHC53">
        <f t="shared" si="8"/>
        <v>0</v>
      </c>
      <c r="KHD53">
        <f t="shared" si="9"/>
        <v>0</v>
      </c>
      <c r="KHE53">
        <f t="shared" si="10"/>
        <v>0</v>
      </c>
      <c r="KHF53">
        <f t="shared" si="11"/>
        <v>0</v>
      </c>
      <c r="KHG53">
        <f t="shared" si="12"/>
        <v>0</v>
      </c>
      <c r="KHH53">
        <f t="shared" si="13"/>
        <v>0</v>
      </c>
      <c r="KHI53">
        <f t="shared" si="14"/>
        <v>0</v>
      </c>
      <c r="KHJ53">
        <f t="shared" si="15"/>
        <v>0</v>
      </c>
      <c r="KHK53">
        <f t="shared" si="16"/>
        <v>0</v>
      </c>
      <c r="KHL53">
        <f t="shared" si="17"/>
        <v>0</v>
      </c>
      <c r="KHM53">
        <f t="shared" si="18"/>
        <v>0</v>
      </c>
      <c r="KHN53">
        <f t="shared" si="19"/>
        <v>0</v>
      </c>
      <c r="KHO53">
        <f t="shared" si="20"/>
        <v>0</v>
      </c>
      <c r="KHP53">
        <f t="shared" si="21"/>
        <v>0</v>
      </c>
      <c r="KHQ53">
        <f t="shared" si="22"/>
        <v>0</v>
      </c>
      <c r="KHR53">
        <f t="shared" si="23"/>
        <v>0</v>
      </c>
      <c r="KHS53">
        <f t="shared" si="24"/>
        <v>0</v>
      </c>
      <c r="KHT53">
        <f t="shared" si="25"/>
        <v>0</v>
      </c>
      <c r="KHU53">
        <f t="shared" si="26"/>
        <v>0</v>
      </c>
      <c r="KHV53">
        <f t="shared" si="27"/>
        <v>0</v>
      </c>
      <c r="KHW53">
        <f t="shared" si="28"/>
        <v>0</v>
      </c>
      <c r="KHX53">
        <f t="shared" si="29"/>
        <v>0</v>
      </c>
      <c r="KHY53">
        <f t="shared" si="30"/>
        <v>0</v>
      </c>
      <c r="KHZ53">
        <f t="shared" si="31"/>
        <v>0</v>
      </c>
      <c r="KIA53">
        <f t="shared" si="32"/>
        <v>0</v>
      </c>
      <c r="KIB53">
        <f t="shared" si="33"/>
        <v>0</v>
      </c>
      <c r="KIC53">
        <f t="shared" si="34"/>
        <v>0</v>
      </c>
      <c r="KID53">
        <f t="shared" si="35"/>
        <v>0</v>
      </c>
      <c r="KIE53">
        <f t="shared" si="36"/>
        <v>0</v>
      </c>
      <c r="KIF53">
        <f t="shared" si="37"/>
        <v>0</v>
      </c>
      <c r="KIG53">
        <f t="shared" si="38"/>
        <v>0</v>
      </c>
      <c r="KIH53">
        <f t="shared" si="39"/>
        <v>0</v>
      </c>
      <c r="KII53">
        <f t="shared" si="40"/>
        <v>0</v>
      </c>
      <c r="KIJ53">
        <f t="shared" si="41"/>
        <v>0</v>
      </c>
      <c r="KIK53">
        <f t="shared" si="42"/>
        <v>0</v>
      </c>
      <c r="KIL53">
        <f t="shared" si="43"/>
        <v>0</v>
      </c>
      <c r="KIM53">
        <f t="shared" si="44"/>
        <v>0</v>
      </c>
      <c r="KIN53">
        <f t="shared" si="45"/>
        <v>0</v>
      </c>
      <c r="KIO53">
        <f t="shared" si="46"/>
        <v>0</v>
      </c>
      <c r="KIP53">
        <f t="shared" si="47"/>
        <v>0</v>
      </c>
      <c r="KIQ53">
        <f t="shared" si="48"/>
        <v>0</v>
      </c>
      <c r="KIR53">
        <f t="shared" si="49"/>
        <v>0</v>
      </c>
      <c r="KIS53">
        <f t="shared" si="50"/>
        <v>0</v>
      </c>
      <c r="KIT53">
        <f t="shared" si="51"/>
        <v>0</v>
      </c>
      <c r="KIU53">
        <f t="shared" si="52"/>
        <v>0</v>
      </c>
      <c r="KIV53">
        <f t="shared" si="53"/>
        <v>0</v>
      </c>
      <c r="KIW53">
        <f t="shared" si="54"/>
        <v>0</v>
      </c>
      <c r="KIX53">
        <f t="shared" si="55"/>
        <v>0</v>
      </c>
      <c r="KIY53">
        <f t="shared" si="56"/>
        <v>0</v>
      </c>
      <c r="KIZ53">
        <f t="shared" si="57"/>
        <v>0</v>
      </c>
      <c r="KJA53">
        <f t="shared" si="58"/>
        <v>0</v>
      </c>
      <c r="KJB53">
        <f t="shared" si="59"/>
        <v>0</v>
      </c>
      <c r="KJC53">
        <f t="shared" si="60"/>
        <v>0</v>
      </c>
      <c r="KJD53">
        <f t="shared" si="61"/>
        <v>0</v>
      </c>
      <c r="KJE53">
        <f t="shared" si="62"/>
        <v>0</v>
      </c>
      <c r="KJF53">
        <f t="shared" si="63"/>
        <v>0</v>
      </c>
      <c r="KJG53">
        <f t="shared" si="64"/>
        <v>0</v>
      </c>
      <c r="KJH53">
        <f t="shared" si="65"/>
        <v>0</v>
      </c>
      <c r="KJI53">
        <f t="shared" si="66"/>
        <v>0</v>
      </c>
      <c r="KJJ53">
        <f t="shared" si="67"/>
        <v>0</v>
      </c>
      <c r="KJK53">
        <f t="shared" si="68"/>
        <v>0</v>
      </c>
      <c r="KJL53">
        <f t="shared" si="69"/>
        <v>0</v>
      </c>
      <c r="KJM53">
        <f t="shared" si="70"/>
        <v>0</v>
      </c>
      <c r="KJN53">
        <f t="shared" si="71"/>
        <v>0</v>
      </c>
      <c r="KJO53">
        <f t="shared" si="72"/>
        <v>0</v>
      </c>
      <c r="KJP53">
        <f t="shared" si="73"/>
        <v>0</v>
      </c>
      <c r="KJQ53">
        <f t="shared" si="74"/>
        <v>0</v>
      </c>
      <c r="KJR53">
        <f t="shared" si="75"/>
        <v>0</v>
      </c>
      <c r="KJS53">
        <f t="shared" si="76"/>
        <v>0</v>
      </c>
      <c r="KJT53">
        <f t="shared" si="77"/>
        <v>0</v>
      </c>
      <c r="KJU53">
        <f t="shared" si="78"/>
        <v>0</v>
      </c>
      <c r="KJV53">
        <f t="shared" si="79"/>
        <v>0</v>
      </c>
      <c r="KJW53">
        <f t="shared" si="80"/>
        <v>0</v>
      </c>
      <c r="KJX53">
        <f t="shared" si="81"/>
        <v>0</v>
      </c>
      <c r="KJY53">
        <f t="shared" si="82"/>
        <v>0</v>
      </c>
      <c r="KJZ53">
        <f t="shared" si="83"/>
        <v>0</v>
      </c>
      <c r="KKA53">
        <f t="shared" si="84"/>
        <v>0</v>
      </c>
      <c r="KKB53">
        <f t="shared" si="85"/>
        <v>0</v>
      </c>
      <c r="KKC53">
        <f t="shared" si="86"/>
        <v>0</v>
      </c>
      <c r="KKD53">
        <f t="shared" si="87"/>
        <v>0</v>
      </c>
      <c r="KKE53">
        <f t="shared" si="88"/>
        <v>0</v>
      </c>
      <c r="KKF53">
        <f t="shared" si="89"/>
        <v>0</v>
      </c>
      <c r="KKG53">
        <f t="shared" si="90"/>
        <v>0</v>
      </c>
      <c r="KKH53">
        <f t="shared" si="91"/>
        <v>0</v>
      </c>
      <c r="KKI53">
        <f t="shared" si="92"/>
        <v>0</v>
      </c>
      <c r="KKJ53">
        <f t="shared" si="93"/>
        <v>0</v>
      </c>
      <c r="KKK53">
        <f t="shared" si="94"/>
        <v>0</v>
      </c>
      <c r="KKL53">
        <f t="shared" si="95"/>
        <v>0</v>
      </c>
      <c r="KKM53">
        <f t="shared" si="96"/>
        <v>0</v>
      </c>
      <c r="KKN53">
        <f t="shared" si="97"/>
        <v>0</v>
      </c>
      <c r="KKO53">
        <f t="shared" si="98"/>
        <v>0</v>
      </c>
      <c r="KKP53">
        <f t="shared" si="99"/>
        <v>0</v>
      </c>
      <c r="KKR53">
        <f t="shared" si="100"/>
        <v>21</v>
      </c>
      <c r="KKT53">
        <f t="shared" si="100"/>
        <v>21</v>
      </c>
      <c r="KKU53">
        <f t="shared" si="101"/>
        <v>0.84</v>
      </c>
      <c r="KKW53">
        <f t="shared" si="101"/>
        <v>0.84</v>
      </c>
    </row>
    <row r="54" spans="1:514 1409:1417 2495:2576 4143:4764 5778:5831 6491:7134 7639:7745">
      <c r="A54" t="s">
        <v>17</v>
      </c>
      <c r="B54">
        <v>2</v>
      </c>
      <c r="JAM54">
        <v>1</v>
      </c>
      <c r="JAN54">
        <v>1</v>
      </c>
      <c r="JAO54">
        <v>1</v>
      </c>
      <c r="JAP54">
        <v>1</v>
      </c>
      <c r="JAQ54">
        <v>1</v>
      </c>
      <c r="JAR54">
        <v>1</v>
      </c>
      <c r="JAS54">
        <v>1</v>
      </c>
      <c r="JAT54">
        <v>1</v>
      </c>
      <c r="JAU54">
        <v>1</v>
      </c>
      <c r="JAV54">
        <v>1</v>
      </c>
      <c r="JAW54">
        <v>1</v>
      </c>
      <c r="JAX54">
        <v>1</v>
      </c>
      <c r="JAY54">
        <v>1</v>
      </c>
      <c r="JAZ54">
        <v>1</v>
      </c>
      <c r="JBA54">
        <v>1</v>
      </c>
      <c r="JBB54">
        <v>1</v>
      </c>
      <c r="JBC54">
        <v>1</v>
      </c>
      <c r="JBD54">
        <v>1</v>
      </c>
      <c r="JBE54">
        <v>1</v>
      </c>
      <c r="JBF54">
        <v>1</v>
      </c>
      <c r="JBG54">
        <v>1</v>
      </c>
      <c r="JBH54">
        <v>1</v>
      </c>
      <c r="JBI54">
        <v>1</v>
      </c>
      <c r="JBJ54">
        <v>1</v>
      </c>
      <c r="JBK54">
        <v>1</v>
      </c>
      <c r="JBL54">
        <v>1</v>
      </c>
      <c r="JBM54">
        <v>1</v>
      </c>
      <c r="JBN54">
        <v>1</v>
      </c>
      <c r="JCC54">
        <v>2</v>
      </c>
      <c r="JCD54">
        <v>2</v>
      </c>
      <c r="JCE54">
        <v>2</v>
      </c>
      <c r="JCF54">
        <v>2</v>
      </c>
      <c r="JCG54">
        <v>2</v>
      </c>
      <c r="JCH54">
        <v>2</v>
      </c>
      <c r="JCI54">
        <v>2</v>
      </c>
      <c r="JCJ54">
        <v>2</v>
      </c>
      <c r="JCK54">
        <v>2</v>
      </c>
      <c r="JCL54">
        <v>2</v>
      </c>
      <c r="JCM54">
        <v>2</v>
      </c>
      <c r="JCN54">
        <v>2</v>
      </c>
      <c r="JCO54">
        <v>2</v>
      </c>
      <c r="JCP54">
        <v>2</v>
      </c>
      <c r="JCQ54">
        <v>2</v>
      </c>
      <c r="JCR54">
        <v>2</v>
      </c>
      <c r="JCS54">
        <v>2</v>
      </c>
      <c r="JCT54">
        <v>2</v>
      </c>
      <c r="JCU54">
        <v>2</v>
      </c>
      <c r="JCV54">
        <v>2</v>
      </c>
      <c r="KGU54" s="1">
        <f t="shared" si="0"/>
        <v>28</v>
      </c>
      <c r="KGV54">
        <f t="shared" si="1"/>
        <v>20</v>
      </c>
      <c r="KGW54">
        <f t="shared" si="2"/>
        <v>0</v>
      </c>
      <c r="KGX54">
        <f t="shared" si="3"/>
        <v>0</v>
      </c>
      <c r="KGY54">
        <f t="shared" si="4"/>
        <v>0</v>
      </c>
      <c r="KGZ54">
        <f t="shared" si="5"/>
        <v>0</v>
      </c>
      <c r="KHA54">
        <f t="shared" si="6"/>
        <v>0</v>
      </c>
      <c r="KHB54">
        <f t="shared" si="7"/>
        <v>0</v>
      </c>
      <c r="KHC54">
        <f t="shared" si="8"/>
        <v>0</v>
      </c>
      <c r="KHD54">
        <f t="shared" si="9"/>
        <v>0</v>
      </c>
      <c r="KHE54">
        <f t="shared" si="10"/>
        <v>0</v>
      </c>
      <c r="KHF54">
        <f t="shared" si="11"/>
        <v>0</v>
      </c>
      <c r="KHG54">
        <f t="shared" si="12"/>
        <v>0</v>
      </c>
      <c r="KHH54">
        <f t="shared" si="13"/>
        <v>0</v>
      </c>
      <c r="KHI54">
        <f t="shared" si="14"/>
        <v>0</v>
      </c>
      <c r="KHJ54">
        <f t="shared" si="15"/>
        <v>0</v>
      </c>
      <c r="KHK54">
        <f t="shared" si="16"/>
        <v>0</v>
      </c>
      <c r="KHL54">
        <f t="shared" si="17"/>
        <v>0</v>
      </c>
      <c r="KHM54">
        <f t="shared" si="18"/>
        <v>0</v>
      </c>
      <c r="KHN54">
        <f t="shared" si="19"/>
        <v>0</v>
      </c>
      <c r="KHO54">
        <f t="shared" si="20"/>
        <v>0</v>
      </c>
      <c r="KHP54">
        <f t="shared" si="21"/>
        <v>0</v>
      </c>
      <c r="KHQ54">
        <f t="shared" si="22"/>
        <v>0</v>
      </c>
      <c r="KHR54">
        <f t="shared" si="23"/>
        <v>0</v>
      </c>
      <c r="KHS54">
        <f t="shared" si="24"/>
        <v>0</v>
      </c>
      <c r="KHT54">
        <f t="shared" si="25"/>
        <v>0</v>
      </c>
      <c r="KHU54">
        <f t="shared" si="26"/>
        <v>0</v>
      </c>
      <c r="KHV54">
        <f t="shared" si="27"/>
        <v>0</v>
      </c>
      <c r="KHW54">
        <f t="shared" si="28"/>
        <v>0</v>
      </c>
      <c r="KHX54">
        <f t="shared" si="29"/>
        <v>0</v>
      </c>
      <c r="KHY54">
        <f t="shared" si="30"/>
        <v>0</v>
      </c>
      <c r="KHZ54">
        <f t="shared" si="31"/>
        <v>0</v>
      </c>
      <c r="KIA54">
        <f t="shared" si="32"/>
        <v>0</v>
      </c>
      <c r="KIB54">
        <f t="shared" si="33"/>
        <v>0</v>
      </c>
      <c r="KIC54">
        <f t="shared" si="34"/>
        <v>0</v>
      </c>
      <c r="KID54">
        <f t="shared" si="35"/>
        <v>0</v>
      </c>
      <c r="KIE54">
        <f t="shared" si="36"/>
        <v>0</v>
      </c>
      <c r="KIF54">
        <f t="shared" si="37"/>
        <v>0</v>
      </c>
      <c r="KIG54">
        <f t="shared" si="38"/>
        <v>0</v>
      </c>
      <c r="KIH54">
        <f t="shared" si="39"/>
        <v>0</v>
      </c>
      <c r="KII54">
        <f t="shared" si="40"/>
        <v>0</v>
      </c>
      <c r="KIJ54">
        <f t="shared" si="41"/>
        <v>0</v>
      </c>
      <c r="KIK54">
        <f t="shared" si="42"/>
        <v>0</v>
      </c>
      <c r="KIL54">
        <f t="shared" si="43"/>
        <v>0</v>
      </c>
      <c r="KIM54">
        <f t="shared" si="44"/>
        <v>0</v>
      </c>
      <c r="KIN54">
        <f t="shared" si="45"/>
        <v>0</v>
      </c>
      <c r="KIO54">
        <f t="shared" si="46"/>
        <v>0</v>
      </c>
      <c r="KIP54">
        <f t="shared" si="47"/>
        <v>0</v>
      </c>
      <c r="KIQ54">
        <f t="shared" si="48"/>
        <v>0</v>
      </c>
      <c r="KIR54">
        <f t="shared" si="49"/>
        <v>0</v>
      </c>
      <c r="KIS54">
        <f t="shared" si="50"/>
        <v>0</v>
      </c>
      <c r="KIT54">
        <f t="shared" si="51"/>
        <v>0</v>
      </c>
      <c r="KIU54">
        <f t="shared" si="52"/>
        <v>0</v>
      </c>
      <c r="KIV54">
        <f t="shared" si="53"/>
        <v>0</v>
      </c>
      <c r="KIW54">
        <f t="shared" si="54"/>
        <v>0</v>
      </c>
      <c r="KIX54">
        <f t="shared" si="55"/>
        <v>0</v>
      </c>
      <c r="KIY54">
        <f t="shared" si="56"/>
        <v>0</v>
      </c>
      <c r="KIZ54">
        <f t="shared" si="57"/>
        <v>0</v>
      </c>
      <c r="KJA54">
        <f t="shared" si="58"/>
        <v>0</v>
      </c>
      <c r="KJB54">
        <f t="shared" si="59"/>
        <v>0</v>
      </c>
      <c r="KJC54">
        <f t="shared" si="60"/>
        <v>0</v>
      </c>
      <c r="KJD54">
        <f t="shared" si="61"/>
        <v>0</v>
      </c>
      <c r="KJE54">
        <f t="shared" si="62"/>
        <v>0</v>
      </c>
      <c r="KJF54">
        <f t="shared" si="63"/>
        <v>0</v>
      </c>
      <c r="KJG54">
        <f t="shared" si="64"/>
        <v>0</v>
      </c>
      <c r="KJH54">
        <f t="shared" si="65"/>
        <v>0</v>
      </c>
      <c r="KJI54">
        <f t="shared" si="66"/>
        <v>0</v>
      </c>
      <c r="KJJ54">
        <f t="shared" si="67"/>
        <v>0</v>
      </c>
      <c r="KJK54">
        <f t="shared" si="68"/>
        <v>0</v>
      </c>
      <c r="KJL54">
        <f t="shared" si="69"/>
        <v>0</v>
      </c>
      <c r="KJM54">
        <f t="shared" si="70"/>
        <v>0</v>
      </c>
      <c r="KJN54">
        <f t="shared" si="71"/>
        <v>0</v>
      </c>
      <c r="KJO54">
        <f t="shared" si="72"/>
        <v>0</v>
      </c>
      <c r="KJP54">
        <f t="shared" si="73"/>
        <v>0</v>
      </c>
      <c r="KJQ54">
        <f t="shared" si="74"/>
        <v>0</v>
      </c>
      <c r="KJR54">
        <f t="shared" si="75"/>
        <v>0</v>
      </c>
      <c r="KJS54">
        <f t="shared" si="76"/>
        <v>0</v>
      </c>
      <c r="KJT54">
        <f t="shared" si="77"/>
        <v>0</v>
      </c>
      <c r="KJU54">
        <f t="shared" si="78"/>
        <v>0</v>
      </c>
      <c r="KJV54">
        <f t="shared" si="79"/>
        <v>0</v>
      </c>
      <c r="KJW54">
        <f t="shared" si="80"/>
        <v>0</v>
      </c>
      <c r="KJX54">
        <f t="shared" si="81"/>
        <v>0</v>
      </c>
      <c r="KJY54">
        <f t="shared" si="82"/>
        <v>0</v>
      </c>
      <c r="KJZ54">
        <f t="shared" si="83"/>
        <v>0</v>
      </c>
      <c r="KKA54">
        <f t="shared" si="84"/>
        <v>0</v>
      </c>
      <c r="KKB54">
        <f t="shared" si="85"/>
        <v>0</v>
      </c>
      <c r="KKC54">
        <f t="shared" si="86"/>
        <v>0</v>
      </c>
      <c r="KKD54">
        <f t="shared" si="87"/>
        <v>0</v>
      </c>
      <c r="KKE54">
        <f t="shared" si="88"/>
        <v>0</v>
      </c>
      <c r="KKF54">
        <f t="shared" si="89"/>
        <v>0</v>
      </c>
      <c r="KKG54">
        <f t="shared" si="90"/>
        <v>0</v>
      </c>
      <c r="KKH54">
        <f t="shared" si="91"/>
        <v>0</v>
      </c>
      <c r="KKI54">
        <f t="shared" si="92"/>
        <v>0</v>
      </c>
      <c r="KKJ54">
        <f t="shared" si="93"/>
        <v>0</v>
      </c>
      <c r="KKK54">
        <f t="shared" si="94"/>
        <v>0</v>
      </c>
      <c r="KKL54">
        <f t="shared" si="95"/>
        <v>0</v>
      </c>
      <c r="KKM54">
        <f t="shared" si="96"/>
        <v>0</v>
      </c>
      <c r="KKN54">
        <f t="shared" si="97"/>
        <v>0</v>
      </c>
      <c r="KKO54">
        <f t="shared" si="98"/>
        <v>0</v>
      </c>
      <c r="KKP54">
        <f t="shared" si="99"/>
        <v>0</v>
      </c>
      <c r="KKR54">
        <f t="shared" si="100"/>
        <v>48</v>
      </c>
      <c r="KKT54">
        <f t="shared" si="100"/>
        <v>48</v>
      </c>
      <c r="KKU54">
        <f t="shared" si="101"/>
        <v>1.92</v>
      </c>
      <c r="KKW54">
        <f t="shared" si="101"/>
        <v>1.92</v>
      </c>
    </row>
    <row r="55" spans="1:514 1409:1417 2495:2576 4143:4764 5778:5831 6491:7134 7639:7745">
      <c r="A55" t="s">
        <v>33</v>
      </c>
      <c r="B55">
        <v>1</v>
      </c>
      <c r="JEE55">
        <v>1</v>
      </c>
      <c r="JEF55">
        <v>1</v>
      </c>
      <c r="JEG55">
        <v>1</v>
      </c>
      <c r="JEH55">
        <v>1</v>
      </c>
      <c r="JEI55">
        <v>1</v>
      </c>
      <c r="JEJ55">
        <v>1</v>
      </c>
      <c r="JEK55">
        <v>1</v>
      </c>
      <c r="JEL55">
        <v>1</v>
      </c>
      <c r="JEM55">
        <v>1</v>
      </c>
      <c r="JEN55">
        <v>1</v>
      </c>
      <c r="JEO55">
        <v>1</v>
      </c>
      <c r="JEP55">
        <v>1</v>
      </c>
      <c r="JEQ55">
        <v>1</v>
      </c>
      <c r="JER55">
        <v>1</v>
      </c>
      <c r="JES55">
        <v>1</v>
      </c>
      <c r="JET55">
        <v>1</v>
      </c>
      <c r="JEU55">
        <v>1</v>
      </c>
      <c r="JEV55">
        <v>1</v>
      </c>
      <c r="JEW55">
        <v>1</v>
      </c>
      <c r="JEX55">
        <v>1</v>
      </c>
      <c r="JEY55">
        <v>1</v>
      </c>
      <c r="JEZ55">
        <v>1</v>
      </c>
      <c r="JFA55">
        <v>1</v>
      </c>
      <c r="JFB55">
        <v>1</v>
      </c>
      <c r="JFC55">
        <v>1</v>
      </c>
      <c r="JFD55">
        <v>1</v>
      </c>
      <c r="JFE55">
        <v>1</v>
      </c>
      <c r="JFF55">
        <v>1</v>
      </c>
      <c r="JFG55">
        <v>1</v>
      </c>
      <c r="JFH55">
        <v>1</v>
      </c>
      <c r="JFI55">
        <v>1</v>
      </c>
      <c r="JFJ55">
        <v>1</v>
      </c>
      <c r="JFK55">
        <v>1</v>
      </c>
      <c r="JFL55">
        <v>1</v>
      </c>
      <c r="JFM55">
        <v>1</v>
      </c>
      <c r="JFN55">
        <v>1</v>
      </c>
      <c r="JFO55">
        <v>1</v>
      </c>
      <c r="JFP55">
        <v>1</v>
      </c>
      <c r="JFQ55">
        <v>1</v>
      </c>
      <c r="JFR55">
        <v>1</v>
      </c>
      <c r="JFS55">
        <v>1</v>
      </c>
      <c r="JFT55">
        <v>1</v>
      </c>
      <c r="JFU55">
        <v>1</v>
      </c>
      <c r="JFV55">
        <v>1</v>
      </c>
      <c r="JFW55">
        <v>1</v>
      </c>
      <c r="JFX55">
        <v>1</v>
      </c>
      <c r="JFY55">
        <v>1</v>
      </c>
      <c r="JFZ55">
        <v>1</v>
      </c>
      <c r="JGA55">
        <v>1</v>
      </c>
      <c r="JGB55">
        <v>1</v>
      </c>
      <c r="JGC55">
        <v>1</v>
      </c>
      <c r="JGD55">
        <v>1</v>
      </c>
      <c r="JGE55">
        <v>1</v>
      </c>
      <c r="JGF55">
        <v>1</v>
      </c>
      <c r="JGG55">
        <v>1</v>
      </c>
      <c r="JGH55">
        <v>1</v>
      </c>
      <c r="JGI55">
        <v>1</v>
      </c>
      <c r="JGJ55">
        <v>1</v>
      </c>
      <c r="JGK55">
        <v>1</v>
      </c>
      <c r="JGL55">
        <v>1</v>
      </c>
      <c r="JGM55">
        <v>1</v>
      </c>
      <c r="JGN55">
        <v>1</v>
      </c>
      <c r="JGO55">
        <v>1</v>
      </c>
      <c r="JGP55">
        <v>1</v>
      </c>
      <c r="JGQ55">
        <v>1</v>
      </c>
      <c r="JGR55">
        <v>1</v>
      </c>
      <c r="JGS55">
        <v>1</v>
      </c>
      <c r="JGT55">
        <v>1</v>
      </c>
      <c r="JGU55">
        <v>1</v>
      </c>
      <c r="JGV55">
        <v>1</v>
      </c>
      <c r="JGW55">
        <v>1</v>
      </c>
      <c r="JGX55">
        <v>1</v>
      </c>
      <c r="JGY55">
        <v>1</v>
      </c>
      <c r="JGZ55">
        <v>1</v>
      </c>
      <c r="JHA55">
        <v>1</v>
      </c>
      <c r="JHB55">
        <v>1</v>
      </c>
      <c r="JHC55">
        <v>1</v>
      </c>
      <c r="JHD55">
        <v>1</v>
      </c>
      <c r="JHE55">
        <v>1</v>
      </c>
      <c r="JHF55">
        <v>1</v>
      </c>
      <c r="JHG55">
        <v>1</v>
      </c>
      <c r="JHH55">
        <v>1</v>
      </c>
      <c r="JHI55">
        <v>1</v>
      </c>
      <c r="JHJ55">
        <v>1</v>
      </c>
      <c r="JHK55">
        <v>1</v>
      </c>
      <c r="JHL55">
        <v>1</v>
      </c>
      <c r="JHM55">
        <v>1</v>
      </c>
      <c r="JHN55">
        <v>1</v>
      </c>
      <c r="JHO55">
        <v>1</v>
      </c>
      <c r="JHP55">
        <v>1</v>
      </c>
      <c r="JHQ55">
        <v>1</v>
      </c>
      <c r="JHR55">
        <v>1</v>
      </c>
      <c r="JHS55">
        <v>1</v>
      </c>
      <c r="JHT55">
        <v>1</v>
      </c>
      <c r="JHU55">
        <v>1</v>
      </c>
      <c r="JHV55">
        <v>1</v>
      </c>
      <c r="JHW55">
        <v>1</v>
      </c>
      <c r="JHX55">
        <v>1</v>
      </c>
      <c r="JHY55">
        <v>1</v>
      </c>
      <c r="JHZ55">
        <v>1</v>
      </c>
      <c r="JIA55">
        <v>1</v>
      </c>
      <c r="JIB55">
        <v>1</v>
      </c>
      <c r="JIC55">
        <v>1</v>
      </c>
      <c r="JID55">
        <v>1</v>
      </c>
      <c r="JIE55">
        <v>1</v>
      </c>
      <c r="JIF55">
        <v>1</v>
      </c>
      <c r="JIG55">
        <v>1</v>
      </c>
      <c r="JIH55">
        <v>1</v>
      </c>
      <c r="JII55">
        <v>1</v>
      </c>
      <c r="JIJ55">
        <v>1</v>
      </c>
      <c r="JIK55">
        <v>1</v>
      </c>
      <c r="JIL55">
        <v>1</v>
      </c>
      <c r="JIM55">
        <v>1</v>
      </c>
      <c r="JIN55">
        <v>1</v>
      </c>
      <c r="JIO55">
        <v>1</v>
      </c>
      <c r="JIP55">
        <v>1</v>
      </c>
      <c r="JIQ55">
        <v>1</v>
      </c>
      <c r="JIR55">
        <v>1</v>
      </c>
      <c r="JIS55">
        <v>1</v>
      </c>
      <c r="JIT55">
        <v>1</v>
      </c>
      <c r="JIU55">
        <v>1</v>
      </c>
      <c r="JIV55">
        <v>1</v>
      </c>
      <c r="JIW55">
        <v>1</v>
      </c>
      <c r="JIX55">
        <v>1</v>
      </c>
      <c r="JIY55">
        <v>1</v>
      </c>
      <c r="JIZ55">
        <v>1</v>
      </c>
      <c r="JJA55">
        <v>1</v>
      </c>
      <c r="JJB55">
        <v>1</v>
      </c>
      <c r="JJC55">
        <v>1</v>
      </c>
      <c r="JJD55">
        <v>1</v>
      </c>
      <c r="JJE55">
        <v>1</v>
      </c>
      <c r="JJF55">
        <v>1</v>
      </c>
      <c r="JJG55">
        <v>1</v>
      </c>
      <c r="JJH55">
        <v>1</v>
      </c>
      <c r="JJI55">
        <v>1</v>
      </c>
      <c r="JJJ55">
        <v>1</v>
      </c>
      <c r="JJK55">
        <v>1</v>
      </c>
      <c r="JJL55">
        <v>1</v>
      </c>
      <c r="JJM55">
        <v>1</v>
      </c>
      <c r="JJN55">
        <v>1</v>
      </c>
      <c r="JJO55">
        <v>1</v>
      </c>
      <c r="JJP55">
        <v>1</v>
      </c>
      <c r="JJQ55">
        <v>1</v>
      </c>
      <c r="JJR55">
        <v>1</v>
      </c>
      <c r="JJS55">
        <v>1</v>
      </c>
      <c r="KGU55" s="1">
        <f t="shared" si="0"/>
        <v>145</v>
      </c>
      <c r="KGV55">
        <f t="shared" si="1"/>
        <v>0</v>
      </c>
      <c r="KGW55">
        <f t="shared" si="2"/>
        <v>0</v>
      </c>
      <c r="KGX55">
        <f t="shared" si="3"/>
        <v>0</v>
      </c>
      <c r="KGY55">
        <f t="shared" si="4"/>
        <v>0</v>
      </c>
      <c r="KGZ55">
        <f t="shared" si="5"/>
        <v>0</v>
      </c>
      <c r="KHA55">
        <f t="shared" si="6"/>
        <v>0</v>
      </c>
      <c r="KHB55">
        <f t="shared" si="7"/>
        <v>0</v>
      </c>
      <c r="KHC55">
        <f t="shared" si="8"/>
        <v>0</v>
      </c>
      <c r="KHD55">
        <f t="shared" si="9"/>
        <v>0</v>
      </c>
      <c r="KHE55">
        <f t="shared" si="10"/>
        <v>0</v>
      </c>
      <c r="KHF55">
        <f t="shared" si="11"/>
        <v>0</v>
      </c>
      <c r="KHG55">
        <f t="shared" si="12"/>
        <v>0</v>
      </c>
      <c r="KHH55">
        <f t="shared" si="13"/>
        <v>0</v>
      </c>
      <c r="KHI55">
        <f t="shared" si="14"/>
        <v>0</v>
      </c>
      <c r="KHJ55">
        <f t="shared" si="15"/>
        <v>0</v>
      </c>
      <c r="KHK55">
        <f t="shared" si="16"/>
        <v>0</v>
      </c>
      <c r="KHL55">
        <f t="shared" si="17"/>
        <v>0</v>
      </c>
      <c r="KHM55">
        <f t="shared" si="18"/>
        <v>0</v>
      </c>
      <c r="KHN55">
        <f t="shared" si="19"/>
        <v>0</v>
      </c>
      <c r="KHO55">
        <f t="shared" si="20"/>
        <v>0</v>
      </c>
      <c r="KHP55">
        <f t="shared" si="21"/>
        <v>0</v>
      </c>
      <c r="KHQ55">
        <f t="shared" si="22"/>
        <v>0</v>
      </c>
      <c r="KHR55">
        <f t="shared" si="23"/>
        <v>0</v>
      </c>
      <c r="KHS55">
        <f t="shared" si="24"/>
        <v>0</v>
      </c>
      <c r="KHT55">
        <f t="shared" si="25"/>
        <v>0</v>
      </c>
      <c r="KHU55">
        <f t="shared" si="26"/>
        <v>0</v>
      </c>
      <c r="KHV55">
        <f t="shared" si="27"/>
        <v>0</v>
      </c>
      <c r="KHW55">
        <f t="shared" si="28"/>
        <v>0</v>
      </c>
      <c r="KHX55">
        <f t="shared" si="29"/>
        <v>0</v>
      </c>
      <c r="KHY55">
        <f t="shared" si="30"/>
        <v>0</v>
      </c>
      <c r="KHZ55">
        <f t="shared" si="31"/>
        <v>0</v>
      </c>
      <c r="KIA55">
        <f t="shared" si="32"/>
        <v>0</v>
      </c>
      <c r="KIB55">
        <f t="shared" si="33"/>
        <v>0</v>
      </c>
      <c r="KIC55">
        <f t="shared" si="34"/>
        <v>0</v>
      </c>
      <c r="KID55">
        <f t="shared" si="35"/>
        <v>0</v>
      </c>
      <c r="KIE55">
        <f t="shared" si="36"/>
        <v>0</v>
      </c>
      <c r="KIF55">
        <f t="shared" si="37"/>
        <v>0</v>
      </c>
      <c r="KIG55">
        <f t="shared" si="38"/>
        <v>0</v>
      </c>
      <c r="KIH55">
        <f t="shared" si="39"/>
        <v>0</v>
      </c>
      <c r="KII55">
        <f t="shared" si="40"/>
        <v>0</v>
      </c>
      <c r="KIJ55">
        <f t="shared" si="41"/>
        <v>0</v>
      </c>
      <c r="KIK55">
        <f t="shared" si="42"/>
        <v>0</v>
      </c>
      <c r="KIL55">
        <f t="shared" si="43"/>
        <v>0</v>
      </c>
      <c r="KIM55">
        <f t="shared" si="44"/>
        <v>0</v>
      </c>
      <c r="KIN55">
        <f t="shared" si="45"/>
        <v>0</v>
      </c>
      <c r="KIO55">
        <f t="shared" si="46"/>
        <v>0</v>
      </c>
      <c r="KIP55">
        <f t="shared" si="47"/>
        <v>0</v>
      </c>
      <c r="KIQ55">
        <f t="shared" si="48"/>
        <v>0</v>
      </c>
      <c r="KIR55">
        <f t="shared" si="49"/>
        <v>0</v>
      </c>
      <c r="KIS55">
        <f t="shared" si="50"/>
        <v>0</v>
      </c>
      <c r="KIT55">
        <f t="shared" si="51"/>
        <v>0</v>
      </c>
      <c r="KIU55">
        <f t="shared" si="52"/>
        <v>0</v>
      </c>
      <c r="KIV55">
        <f t="shared" si="53"/>
        <v>0</v>
      </c>
      <c r="KIW55">
        <f t="shared" si="54"/>
        <v>0</v>
      </c>
      <c r="KIX55">
        <f t="shared" si="55"/>
        <v>0</v>
      </c>
      <c r="KIY55">
        <f t="shared" si="56"/>
        <v>0</v>
      </c>
      <c r="KIZ55">
        <f t="shared" si="57"/>
        <v>0</v>
      </c>
      <c r="KJA55">
        <f t="shared" si="58"/>
        <v>0</v>
      </c>
      <c r="KJB55">
        <f t="shared" si="59"/>
        <v>0</v>
      </c>
      <c r="KJC55">
        <f t="shared" si="60"/>
        <v>0</v>
      </c>
      <c r="KJD55">
        <f t="shared" si="61"/>
        <v>0</v>
      </c>
      <c r="KJE55">
        <f t="shared" si="62"/>
        <v>0</v>
      </c>
      <c r="KJF55">
        <f t="shared" si="63"/>
        <v>0</v>
      </c>
      <c r="KJG55">
        <f t="shared" si="64"/>
        <v>0</v>
      </c>
      <c r="KJH55">
        <f t="shared" si="65"/>
        <v>0</v>
      </c>
      <c r="KJI55">
        <f t="shared" si="66"/>
        <v>0</v>
      </c>
      <c r="KJJ55">
        <f t="shared" si="67"/>
        <v>0</v>
      </c>
      <c r="KJK55">
        <f t="shared" si="68"/>
        <v>0</v>
      </c>
      <c r="KJL55">
        <f t="shared" si="69"/>
        <v>0</v>
      </c>
      <c r="KJM55">
        <f t="shared" si="70"/>
        <v>0</v>
      </c>
      <c r="KJN55">
        <f t="shared" si="71"/>
        <v>0</v>
      </c>
      <c r="KJO55">
        <f t="shared" si="72"/>
        <v>0</v>
      </c>
      <c r="KJP55">
        <f t="shared" si="73"/>
        <v>0</v>
      </c>
      <c r="KJQ55">
        <f t="shared" si="74"/>
        <v>0</v>
      </c>
      <c r="KJR55">
        <f t="shared" si="75"/>
        <v>0</v>
      </c>
      <c r="KJS55">
        <f t="shared" si="76"/>
        <v>0</v>
      </c>
      <c r="KJT55">
        <f t="shared" si="77"/>
        <v>0</v>
      </c>
      <c r="KJU55">
        <f t="shared" si="78"/>
        <v>0</v>
      </c>
      <c r="KJV55">
        <f t="shared" si="79"/>
        <v>0</v>
      </c>
      <c r="KJW55">
        <f t="shared" si="80"/>
        <v>0</v>
      </c>
      <c r="KJX55">
        <f t="shared" si="81"/>
        <v>0</v>
      </c>
      <c r="KJY55">
        <f t="shared" si="82"/>
        <v>0</v>
      </c>
      <c r="KJZ55">
        <f t="shared" si="83"/>
        <v>0</v>
      </c>
      <c r="KKA55">
        <f t="shared" si="84"/>
        <v>0</v>
      </c>
      <c r="KKB55">
        <f t="shared" si="85"/>
        <v>0</v>
      </c>
      <c r="KKC55">
        <f t="shared" si="86"/>
        <v>0</v>
      </c>
      <c r="KKD55">
        <f t="shared" si="87"/>
        <v>0</v>
      </c>
      <c r="KKE55">
        <f t="shared" si="88"/>
        <v>0</v>
      </c>
      <c r="KKF55">
        <f t="shared" si="89"/>
        <v>0</v>
      </c>
      <c r="KKG55">
        <f t="shared" si="90"/>
        <v>0</v>
      </c>
      <c r="KKH55">
        <f t="shared" si="91"/>
        <v>0</v>
      </c>
      <c r="KKI55">
        <f t="shared" si="92"/>
        <v>0</v>
      </c>
      <c r="KKJ55">
        <f t="shared" si="93"/>
        <v>0</v>
      </c>
      <c r="KKK55">
        <f t="shared" si="94"/>
        <v>0</v>
      </c>
      <c r="KKL55">
        <f t="shared" si="95"/>
        <v>0</v>
      </c>
      <c r="KKM55">
        <f t="shared" si="96"/>
        <v>0</v>
      </c>
      <c r="KKN55">
        <f t="shared" si="97"/>
        <v>0</v>
      </c>
      <c r="KKO55">
        <f t="shared" si="98"/>
        <v>0</v>
      </c>
      <c r="KKP55">
        <f t="shared" si="99"/>
        <v>0</v>
      </c>
      <c r="KKR55">
        <f t="shared" si="100"/>
        <v>145</v>
      </c>
      <c r="KKT55">
        <f t="shared" si="100"/>
        <v>145</v>
      </c>
      <c r="KKU55">
        <f t="shared" si="101"/>
        <v>5.8</v>
      </c>
      <c r="KKW55">
        <f t="shared" si="101"/>
        <v>5.8</v>
      </c>
    </row>
    <row r="56" spans="1:514 1409:1417 2495:2576 4143:4764 5778:5831 6491:7134 7639:7745">
      <c r="A56" t="s">
        <v>7677</v>
      </c>
      <c r="B56">
        <v>1</v>
      </c>
      <c r="JAM56">
        <v>1</v>
      </c>
      <c r="JAN56">
        <v>1</v>
      </c>
      <c r="JAO56">
        <v>1</v>
      </c>
      <c r="JAP56">
        <v>1</v>
      </c>
      <c r="JAQ56">
        <v>1</v>
      </c>
      <c r="JAR56">
        <v>1</v>
      </c>
      <c r="JAS56">
        <v>1</v>
      </c>
      <c r="JAT56">
        <v>1</v>
      </c>
      <c r="JAU56">
        <v>1</v>
      </c>
      <c r="JAV56">
        <v>1</v>
      </c>
      <c r="JAW56">
        <v>1</v>
      </c>
      <c r="JAX56">
        <v>1</v>
      </c>
      <c r="JAY56">
        <v>1</v>
      </c>
      <c r="JAZ56">
        <v>1</v>
      </c>
      <c r="JBA56">
        <v>1</v>
      </c>
      <c r="JBB56">
        <v>1</v>
      </c>
      <c r="JBC56">
        <v>1</v>
      </c>
      <c r="JBD56">
        <v>1</v>
      </c>
      <c r="JBE56">
        <v>1</v>
      </c>
      <c r="JBF56">
        <v>1</v>
      </c>
      <c r="JBG56">
        <v>1</v>
      </c>
      <c r="JBH56">
        <v>1</v>
      </c>
      <c r="JBI56">
        <v>1</v>
      </c>
      <c r="JBJ56">
        <v>1</v>
      </c>
      <c r="JBK56">
        <v>1</v>
      </c>
      <c r="JBL56">
        <v>1</v>
      </c>
      <c r="JBM56">
        <v>1</v>
      </c>
      <c r="JBN56">
        <v>1</v>
      </c>
      <c r="KGU56" s="1">
        <f t="shared" si="0"/>
        <v>28</v>
      </c>
      <c r="KGV56">
        <f t="shared" si="1"/>
        <v>0</v>
      </c>
      <c r="KGW56">
        <f t="shared" si="2"/>
        <v>0</v>
      </c>
      <c r="KGX56">
        <f t="shared" si="3"/>
        <v>0</v>
      </c>
      <c r="KGY56">
        <f t="shared" si="4"/>
        <v>0</v>
      </c>
      <c r="KGZ56">
        <f t="shared" si="5"/>
        <v>0</v>
      </c>
      <c r="KHA56">
        <f t="shared" si="6"/>
        <v>0</v>
      </c>
      <c r="KHB56">
        <f t="shared" si="7"/>
        <v>0</v>
      </c>
      <c r="KHC56">
        <f t="shared" si="8"/>
        <v>0</v>
      </c>
      <c r="KHD56">
        <f t="shared" si="9"/>
        <v>0</v>
      </c>
      <c r="KHE56">
        <f t="shared" si="10"/>
        <v>0</v>
      </c>
      <c r="KHF56">
        <f t="shared" si="11"/>
        <v>0</v>
      </c>
      <c r="KHG56">
        <f t="shared" si="12"/>
        <v>0</v>
      </c>
      <c r="KHH56">
        <f t="shared" si="13"/>
        <v>0</v>
      </c>
      <c r="KHI56">
        <f t="shared" si="14"/>
        <v>0</v>
      </c>
      <c r="KHJ56">
        <f t="shared" si="15"/>
        <v>0</v>
      </c>
      <c r="KHK56">
        <f t="shared" si="16"/>
        <v>0</v>
      </c>
      <c r="KHL56">
        <f t="shared" si="17"/>
        <v>0</v>
      </c>
      <c r="KHM56">
        <f t="shared" si="18"/>
        <v>0</v>
      </c>
      <c r="KHN56">
        <f t="shared" si="19"/>
        <v>0</v>
      </c>
      <c r="KHO56">
        <f t="shared" si="20"/>
        <v>0</v>
      </c>
      <c r="KHP56">
        <f t="shared" si="21"/>
        <v>0</v>
      </c>
      <c r="KHQ56">
        <f t="shared" si="22"/>
        <v>0</v>
      </c>
      <c r="KHR56">
        <f t="shared" si="23"/>
        <v>0</v>
      </c>
      <c r="KHS56">
        <f t="shared" si="24"/>
        <v>0</v>
      </c>
      <c r="KHT56">
        <f t="shared" si="25"/>
        <v>0</v>
      </c>
      <c r="KHU56">
        <f t="shared" si="26"/>
        <v>0</v>
      </c>
      <c r="KHV56">
        <f t="shared" si="27"/>
        <v>0</v>
      </c>
      <c r="KHW56">
        <f t="shared" si="28"/>
        <v>0</v>
      </c>
      <c r="KHX56">
        <f t="shared" si="29"/>
        <v>0</v>
      </c>
      <c r="KHY56">
        <f t="shared" si="30"/>
        <v>0</v>
      </c>
      <c r="KHZ56">
        <f t="shared" si="31"/>
        <v>0</v>
      </c>
      <c r="KIA56">
        <f t="shared" si="32"/>
        <v>0</v>
      </c>
      <c r="KIB56">
        <f t="shared" si="33"/>
        <v>0</v>
      </c>
      <c r="KIC56">
        <f t="shared" si="34"/>
        <v>0</v>
      </c>
      <c r="KID56">
        <f t="shared" si="35"/>
        <v>0</v>
      </c>
      <c r="KIE56">
        <f t="shared" si="36"/>
        <v>0</v>
      </c>
      <c r="KIF56">
        <f t="shared" si="37"/>
        <v>0</v>
      </c>
      <c r="KIG56">
        <f t="shared" si="38"/>
        <v>0</v>
      </c>
      <c r="KIH56">
        <f t="shared" si="39"/>
        <v>0</v>
      </c>
      <c r="KII56">
        <f t="shared" si="40"/>
        <v>0</v>
      </c>
      <c r="KIJ56">
        <f t="shared" si="41"/>
        <v>0</v>
      </c>
      <c r="KIK56">
        <f t="shared" si="42"/>
        <v>0</v>
      </c>
      <c r="KIL56">
        <f t="shared" si="43"/>
        <v>0</v>
      </c>
      <c r="KIM56">
        <f t="shared" si="44"/>
        <v>0</v>
      </c>
      <c r="KIN56">
        <f t="shared" si="45"/>
        <v>0</v>
      </c>
      <c r="KIO56">
        <f t="shared" si="46"/>
        <v>0</v>
      </c>
      <c r="KIP56">
        <f t="shared" si="47"/>
        <v>0</v>
      </c>
      <c r="KIQ56">
        <f t="shared" si="48"/>
        <v>0</v>
      </c>
      <c r="KIR56">
        <f t="shared" si="49"/>
        <v>0</v>
      </c>
      <c r="KIS56">
        <f t="shared" si="50"/>
        <v>0</v>
      </c>
      <c r="KIT56">
        <f t="shared" si="51"/>
        <v>0</v>
      </c>
      <c r="KIU56">
        <f t="shared" si="52"/>
        <v>0</v>
      </c>
      <c r="KIV56">
        <f t="shared" si="53"/>
        <v>0</v>
      </c>
      <c r="KIW56">
        <f t="shared" si="54"/>
        <v>0</v>
      </c>
      <c r="KIX56">
        <f t="shared" si="55"/>
        <v>0</v>
      </c>
      <c r="KIY56">
        <f t="shared" si="56"/>
        <v>0</v>
      </c>
      <c r="KIZ56">
        <f t="shared" si="57"/>
        <v>0</v>
      </c>
      <c r="KJA56">
        <f t="shared" si="58"/>
        <v>0</v>
      </c>
      <c r="KJB56">
        <f t="shared" si="59"/>
        <v>0</v>
      </c>
      <c r="KJC56">
        <f t="shared" si="60"/>
        <v>0</v>
      </c>
      <c r="KJD56">
        <f t="shared" si="61"/>
        <v>0</v>
      </c>
      <c r="KJE56">
        <f t="shared" si="62"/>
        <v>0</v>
      </c>
      <c r="KJF56">
        <f t="shared" si="63"/>
        <v>0</v>
      </c>
      <c r="KJG56">
        <f t="shared" si="64"/>
        <v>0</v>
      </c>
      <c r="KJH56">
        <f t="shared" si="65"/>
        <v>0</v>
      </c>
      <c r="KJI56">
        <f t="shared" si="66"/>
        <v>0</v>
      </c>
      <c r="KJJ56">
        <f t="shared" si="67"/>
        <v>0</v>
      </c>
      <c r="KJK56">
        <f t="shared" si="68"/>
        <v>0</v>
      </c>
      <c r="KJL56">
        <f t="shared" si="69"/>
        <v>0</v>
      </c>
      <c r="KJM56">
        <f t="shared" si="70"/>
        <v>0</v>
      </c>
      <c r="KJN56">
        <f t="shared" si="71"/>
        <v>0</v>
      </c>
      <c r="KJO56">
        <f t="shared" si="72"/>
        <v>0</v>
      </c>
      <c r="KJP56">
        <f t="shared" si="73"/>
        <v>0</v>
      </c>
      <c r="KJQ56">
        <f t="shared" si="74"/>
        <v>0</v>
      </c>
      <c r="KJR56">
        <f t="shared" si="75"/>
        <v>0</v>
      </c>
      <c r="KJS56">
        <f t="shared" si="76"/>
        <v>0</v>
      </c>
      <c r="KJT56">
        <f t="shared" si="77"/>
        <v>0</v>
      </c>
      <c r="KJU56">
        <f t="shared" si="78"/>
        <v>0</v>
      </c>
      <c r="KJV56">
        <f t="shared" si="79"/>
        <v>0</v>
      </c>
      <c r="KJW56">
        <f t="shared" si="80"/>
        <v>0</v>
      </c>
      <c r="KJX56">
        <f t="shared" si="81"/>
        <v>0</v>
      </c>
      <c r="KJY56">
        <f t="shared" si="82"/>
        <v>0</v>
      </c>
      <c r="KJZ56">
        <f t="shared" si="83"/>
        <v>0</v>
      </c>
      <c r="KKA56">
        <f t="shared" si="84"/>
        <v>0</v>
      </c>
      <c r="KKB56">
        <f t="shared" si="85"/>
        <v>0</v>
      </c>
      <c r="KKC56">
        <f t="shared" si="86"/>
        <v>0</v>
      </c>
      <c r="KKD56">
        <f t="shared" si="87"/>
        <v>0</v>
      </c>
      <c r="KKE56">
        <f t="shared" si="88"/>
        <v>0</v>
      </c>
      <c r="KKF56">
        <f t="shared" si="89"/>
        <v>0</v>
      </c>
      <c r="KKG56">
        <f t="shared" si="90"/>
        <v>0</v>
      </c>
      <c r="KKH56">
        <f t="shared" si="91"/>
        <v>0</v>
      </c>
      <c r="KKI56">
        <f t="shared" si="92"/>
        <v>0</v>
      </c>
      <c r="KKJ56">
        <f t="shared" si="93"/>
        <v>0</v>
      </c>
      <c r="KKK56">
        <f t="shared" si="94"/>
        <v>0</v>
      </c>
      <c r="KKL56">
        <f t="shared" si="95"/>
        <v>0</v>
      </c>
      <c r="KKM56">
        <f t="shared" si="96"/>
        <v>0</v>
      </c>
      <c r="KKN56">
        <f t="shared" si="97"/>
        <v>0</v>
      </c>
      <c r="KKO56">
        <f t="shared" si="98"/>
        <v>0</v>
      </c>
      <c r="KKP56">
        <f t="shared" si="99"/>
        <v>0</v>
      </c>
      <c r="KKR56">
        <f t="shared" si="100"/>
        <v>28</v>
      </c>
      <c r="KKT56">
        <f t="shared" si="100"/>
        <v>28</v>
      </c>
      <c r="KKU56">
        <f t="shared" si="101"/>
        <v>1.1200000000000001</v>
      </c>
      <c r="KKW56">
        <f t="shared" si="101"/>
        <v>1.1200000000000001</v>
      </c>
    </row>
    <row r="57" spans="1:514 1409:1417 2495:2576 4143:4764 5778:5831 6491:7134 7639:7745">
      <c r="A57" t="s">
        <v>7678</v>
      </c>
      <c r="B57">
        <v>1</v>
      </c>
      <c r="JCC57">
        <v>1</v>
      </c>
      <c r="JCD57">
        <v>1</v>
      </c>
      <c r="JCE57">
        <v>1</v>
      </c>
      <c r="JCF57">
        <v>1</v>
      </c>
      <c r="JCG57">
        <v>1</v>
      </c>
      <c r="JCH57">
        <v>1</v>
      </c>
      <c r="JCI57">
        <v>1</v>
      </c>
      <c r="JCJ57">
        <v>1</v>
      </c>
      <c r="JCK57">
        <v>1</v>
      </c>
      <c r="JCL57">
        <v>1</v>
      </c>
      <c r="JCM57">
        <v>1</v>
      </c>
      <c r="JCN57">
        <v>1</v>
      </c>
      <c r="JCO57">
        <v>1</v>
      </c>
      <c r="JCP57">
        <v>1</v>
      </c>
      <c r="JCQ57">
        <v>1</v>
      </c>
      <c r="JCR57">
        <v>1</v>
      </c>
      <c r="JCS57">
        <v>1</v>
      </c>
      <c r="JCT57">
        <v>1</v>
      </c>
      <c r="JCU57">
        <v>1</v>
      </c>
      <c r="JCV57">
        <v>1</v>
      </c>
      <c r="KGU57" s="1">
        <f t="shared" si="0"/>
        <v>20</v>
      </c>
      <c r="KGV57">
        <f t="shared" si="1"/>
        <v>0</v>
      </c>
      <c r="KGW57">
        <f t="shared" si="2"/>
        <v>0</v>
      </c>
      <c r="KGX57">
        <f t="shared" si="3"/>
        <v>0</v>
      </c>
      <c r="KGY57">
        <f t="shared" si="4"/>
        <v>0</v>
      </c>
      <c r="KGZ57">
        <f t="shared" si="5"/>
        <v>0</v>
      </c>
      <c r="KHA57">
        <f t="shared" si="6"/>
        <v>0</v>
      </c>
      <c r="KHB57">
        <f t="shared" si="7"/>
        <v>0</v>
      </c>
      <c r="KHC57">
        <f t="shared" si="8"/>
        <v>0</v>
      </c>
      <c r="KHD57">
        <f t="shared" si="9"/>
        <v>0</v>
      </c>
      <c r="KHE57">
        <f t="shared" si="10"/>
        <v>0</v>
      </c>
      <c r="KHF57">
        <f t="shared" si="11"/>
        <v>0</v>
      </c>
      <c r="KHG57">
        <f t="shared" si="12"/>
        <v>0</v>
      </c>
      <c r="KHH57">
        <f t="shared" si="13"/>
        <v>0</v>
      </c>
      <c r="KHI57">
        <f t="shared" si="14"/>
        <v>0</v>
      </c>
      <c r="KHJ57">
        <f t="shared" si="15"/>
        <v>0</v>
      </c>
      <c r="KHK57">
        <f t="shared" si="16"/>
        <v>0</v>
      </c>
      <c r="KHL57">
        <f t="shared" si="17"/>
        <v>0</v>
      </c>
      <c r="KHM57">
        <f t="shared" si="18"/>
        <v>0</v>
      </c>
      <c r="KHN57">
        <f t="shared" si="19"/>
        <v>0</v>
      </c>
      <c r="KHO57">
        <f t="shared" si="20"/>
        <v>0</v>
      </c>
      <c r="KHP57">
        <f t="shared" si="21"/>
        <v>0</v>
      </c>
      <c r="KHQ57">
        <f t="shared" si="22"/>
        <v>0</v>
      </c>
      <c r="KHR57">
        <f t="shared" si="23"/>
        <v>0</v>
      </c>
      <c r="KHS57">
        <f t="shared" si="24"/>
        <v>0</v>
      </c>
      <c r="KHT57">
        <f t="shared" si="25"/>
        <v>0</v>
      </c>
      <c r="KHU57">
        <f t="shared" si="26"/>
        <v>0</v>
      </c>
      <c r="KHV57">
        <f t="shared" si="27"/>
        <v>0</v>
      </c>
      <c r="KHW57">
        <f t="shared" si="28"/>
        <v>0</v>
      </c>
      <c r="KHX57">
        <f t="shared" si="29"/>
        <v>0</v>
      </c>
      <c r="KHY57">
        <f t="shared" si="30"/>
        <v>0</v>
      </c>
      <c r="KHZ57">
        <f t="shared" si="31"/>
        <v>0</v>
      </c>
      <c r="KIA57">
        <f t="shared" si="32"/>
        <v>0</v>
      </c>
      <c r="KIB57">
        <f t="shared" si="33"/>
        <v>0</v>
      </c>
      <c r="KIC57">
        <f t="shared" si="34"/>
        <v>0</v>
      </c>
      <c r="KID57">
        <f t="shared" si="35"/>
        <v>0</v>
      </c>
      <c r="KIE57">
        <f t="shared" si="36"/>
        <v>0</v>
      </c>
      <c r="KIF57">
        <f t="shared" si="37"/>
        <v>0</v>
      </c>
      <c r="KIG57">
        <f t="shared" si="38"/>
        <v>0</v>
      </c>
      <c r="KIH57">
        <f t="shared" si="39"/>
        <v>0</v>
      </c>
      <c r="KII57">
        <f t="shared" si="40"/>
        <v>0</v>
      </c>
      <c r="KIJ57">
        <f t="shared" si="41"/>
        <v>0</v>
      </c>
      <c r="KIK57">
        <f t="shared" si="42"/>
        <v>0</v>
      </c>
      <c r="KIL57">
        <f t="shared" si="43"/>
        <v>0</v>
      </c>
      <c r="KIM57">
        <f t="shared" si="44"/>
        <v>0</v>
      </c>
      <c r="KIN57">
        <f t="shared" si="45"/>
        <v>0</v>
      </c>
      <c r="KIO57">
        <f t="shared" si="46"/>
        <v>0</v>
      </c>
      <c r="KIP57">
        <f t="shared" si="47"/>
        <v>0</v>
      </c>
      <c r="KIQ57">
        <f t="shared" si="48"/>
        <v>0</v>
      </c>
      <c r="KIR57">
        <f t="shared" si="49"/>
        <v>0</v>
      </c>
      <c r="KIS57">
        <f t="shared" si="50"/>
        <v>0</v>
      </c>
      <c r="KIT57">
        <f t="shared" si="51"/>
        <v>0</v>
      </c>
      <c r="KIU57">
        <f t="shared" si="52"/>
        <v>0</v>
      </c>
      <c r="KIV57">
        <f t="shared" si="53"/>
        <v>0</v>
      </c>
      <c r="KIW57">
        <f t="shared" si="54"/>
        <v>0</v>
      </c>
      <c r="KIX57">
        <f t="shared" si="55"/>
        <v>0</v>
      </c>
      <c r="KIY57">
        <f t="shared" si="56"/>
        <v>0</v>
      </c>
      <c r="KIZ57">
        <f t="shared" si="57"/>
        <v>0</v>
      </c>
      <c r="KJA57">
        <f t="shared" si="58"/>
        <v>0</v>
      </c>
      <c r="KJB57">
        <f t="shared" si="59"/>
        <v>0</v>
      </c>
      <c r="KJC57">
        <f t="shared" si="60"/>
        <v>0</v>
      </c>
      <c r="KJD57">
        <f t="shared" si="61"/>
        <v>0</v>
      </c>
      <c r="KJE57">
        <f t="shared" si="62"/>
        <v>0</v>
      </c>
      <c r="KJF57">
        <f t="shared" si="63"/>
        <v>0</v>
      </c>
      <c r="KJG57">
        <f t="shared" si="64"/>
        <v>0</v>
      </c>
      <c r="KJH57">
        <f t="shared" si="65"/>
        <v>0</v>
      </c>
      <c r="KJI57">
        <f t="shared" si="66"/>
        <v>0</v>
      </c>
      <c r="KJJ57">
        <f t="shared" si="67"/>
        <v>0</v>
      </c>
      <c r="KJK57">
        <f t="shared" si="68"/>
        <v>0</v>
      </c>
      <c r="KJL57">
        <f t="shared" si="69"/>
        <v>0</v>
      </c>
      <c r="KJM57">
        <f t="shared" si="70"/>
        <v>0</v>
      </c>
      <c r="KJN57">
        <f t="shared" si="71"/>
        <v>0</v>
      </c>
      <c r="KJO57">
        <f t="shared" si="72"/>
        <v>0</v>
      </c>
      <c r="KJP57">
        <f t="shared" si="73"/>
        <v>0</v>
      </c>
      <c r="KJQ57">
        <f t="shared" si="74"/>
        <v>0</v>
      </c>
      <c r="KJR57">
        <f t="shared" si="75"/>
        <v>0</v>
      </c>
      <c r="KJS57">
        <f t="shared" si="76"/>
        <v>0</v>
      </c>
      <c r="KJT57">
        <f t="shared" si="77"/>
        <v>0</v>
      </c>
      <c r="KJU57">
        <f t="shared" si="78"/>
        <v>0</v>
      </c>
      <c r="KJV57">
        <f t="shared" si="79"/>
        <v>0</v>
      </c>
      <c r="KJW57">
        <f t="shared" si="80"/>
        <v>0</v>
      </c>
      <c r="KJX57">
        <f t="shared" si="81"/>
        <v>0</v>
      </c>
      <c r="KJY57">
        <f t="shared" si="82"/>
        <v>0</v>
      </c>
      <c r="KJZ57">
        <f t="shared" si="83"/>
        <v>0</v>
      </c>
      <c r="KKA57">
        <f t="shared" si="84"/>
        <v>0</v>
      </c>
      <c r="KKB57">
        <f t="shared" si="85"/>
        <v>0</v>
      </c>
      <c r="KKC57">
        <f t="shared" si="86"/>
        <v>0</v>
      </c>
      <c r="KKD57">
        <f t="shared" si="87"/>
        <v>0</v>
      </c>
      <c r="KKE57">
        <f t="shared" si="88"/>
        <v>0</v>
      </c>
      <c r="KKF57">
        <f t="shared" si="89"/>
        <v>0</v>
      </c>
      <c r="KKG57">
        <f t="shared" si="90"/>
        <v>0</v>
      </c>
      <c r="KKH57">
        <f t="shared" si="91"/>
        <v>0</v>
      </c>
      <c r="KKI57">
        <f t="shared" si="92"/>
        <v>0</v>
      </c>
      <c r="KKJ57">
        <f t="shared" si="93"/>
        <v>0</v>
      </c>
      <c r="KKK57">
        <f t="shared" si="94"/>
        <v>0</v>
      </c>
      <c r="KKL57">
        <f t="shared" si="95"/>
        <v>0</v>
      </c>
      <c r="KKM57">
        <f t="shared" si="96"/>
        <v>0</v>
      </c>
      <c r="KKN57">
        <f t="shared" si="97"/>
        <v>0</v>
      </c>
      <c r="KKO57">
        <f t="shared" si="98"/>
        <v>0</v>
      </c>
      <c r="KKP57">
        <f t="shared" si="99"/>
        <v>0</v>
      </c>
      <c r="KKR57">
        <f t="shared" si="100"/>
        <v>20</v>
      </c>
      <c r="KKT57">
        <f t="shared" si="100"/>
        <v>20</v>
      </c>
      <c r="KKU57">
        <f t="shared" si="101"/>
        <v>0.8</v>
      </c>
      <c r="KKW57">
        <f t="shared" si="101"/>
        <v>0.8</v>
      </c>
    </row>
    <row r="58" spans="1:514 1409:1417 2495:2576 4143:4764 5778:5831 6491:7134 7639:7745">
      <c r="A58" t="s">
        <v>18</v>
      </c>
      <c r="B58">
        <v>4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FCI58">
        <v>2</v>
      </c>
      <c r="FCJ58">
        <v>2</v>
      </c>
      <c r="FCK58">
        <v>2</v>
      </c>
      <c r="FCL58">
        <v>2</v>
      </c>
      <c r="FCM58">
        <v>2</v>
      </c>
      <c r="FCN58">
        <v>2</v>
      </c>
      <c r="FCO58">
        <v>2</v>
      </c>
      <c r="FCP58">
        <v>2</v>
      </c>
      <c r="FCQ58">
        <v>2</v>
      </c>
      <c r="FCR58">
        <v>2</v>
      </c>
      <c r="FCS58">
        <v>2</v>
      </c>
      <c r="FCT58">
        <v>2</v>
      </c>
      <c r="FCU58">
        <v>2</v>
      </c>
      <c r="FCV58">
        <v>2</v>
      </c>
      <c r="FCW58">
        <v>2</v>
      </c>
      <c r="FCX58">
        <v>2</v>
      </c>
      <c r="FCY58">
        <v>2</v>
      </c>
      <c r="FCZ58">
        <v>2</v>
      </c>
      <c r="FDA58">
        <v>2</v>
      </c>
      <c r="FDB58">
        <v>2</v>
      </c>
      <c r="FDC58">
        <v>2</v>
      </c>
      <c r="FDD58">
        <v>2</v>
      </c>
      <c r="FDE58">
        <v>2</v>
      </c>
      <c r="FDF58">
        <v>2</v>
      </c>
      <c r="FDG58">
        <v>2</v>
      </c>
      <c r="FDH58">
        <v>2</v>
      </c>
      <c r="FDI58">
        <v>2</v>
      </c>
      <c r="FDJ58">
        <v>2</v>
      </c>
      <c r="FDK58">
        <v>2</v>
      </c>
      <c r="FDL58">
        <v>2</v>
      </c>
      <c r="FDM58">
        <v>2</v>
      </c>
      <c r="FDN58">
        <v>2</v>
      </c>
      <c r="FDO58">
        <v>2</v>
      </c>
      <c r="FDP58">
        <v>2</v>
      </c>
      <c r="FDQ58">
        <v>2</v>
      </c>
      <c r="FDR58">
        <v>2</v>
      </c>
      <c r="FDS58">
        <v>2</v>
      </c>
      <c r="FDT58">
        <v>2</v>
      </c>
      <c r="FDU58">
        <v>2</v>
      </c>
      <c r="FDV58">
        <v>2</v>
      </c>
      <c r="FDW58">
        <v>2</v>
      </c>
      <c r="FDX58">
        <v>2</v>
      </c>
      <c r="FDY58">
        <v>2</v>
      </c>
      <c r="FDZ58">
        <v>2</v>
      </c>
      <c r="FPE58">
        <v>3</v>
      </c>
      <c r="FPF58">
        <v>3</v>
      </c>
      <c r="FPG58">
        <v>3</v>
      </c>
      <c r="FPH58">
        <v>3</v>
      </c>
      <c r="FPI58">
        <v>3</v>
      </c>
      <c r="FPJ58">
        <v>3</v>
      </c>
      <c r="FPK58">
        <v>3</v>
      </c>
      <c r="FPL58">
        <v>3</v>
      </c>
      <c r="FPM58">
        <v>3</v>
      </c>
      <c r="FPN58">
        <v>3</v>
      </c>
      <c r="FPO58">
        <v>3</v>
      </c>
      <c r="FPP58">
        <v>3</v>
      </c>
      <c r="FPQ58">
        <v>3</v>
      </c>
      <c r="FPR58">
        <v>3</v>
      </c>
      <c r="FPS58">
        <v>3</v>
      </c>
      <c r="FPT58">
        <v>3</v>
      </c>
      <c r="FPU58">
        <v>3</v>
      </c>
      <c r="FPV58">
        <v>3</v>
      </c>
      <c r="FPW58">
        <v>3</v>
      </c>
      <c r="FPX58">
        <v>3</v>
      </c>
      <c r="FPY58">
        <v>3</v>
      </c>
      <c r="FPZ58">
        <v>3</v>
      </c>
      <c r="FQA58">
        <v>3</v>
      </c>
      <c r="FQB58">
        <v>3</v>
      </c>
      <c r="FQC58">
        <v>3</v>
      </c>
      <c r="FQD58">
        <v>3</v>
      </c>
      <c r="FQE58">
        <v>3</v>
      </c>
      <c r="FQF58">
        <v>3</v>
      </c>
      <c r="FQG58">
        <v>3</v>
      </c>
      <c r="FQH58">
        <v>3</v>
      </c>
      <c r="FQI58">
        <v>3</v>
      </c>
      <c r="FQJ58">
        <v>3</v>
      </c>
      <c r="FQK58">
        <v>3</v>
      </c>
      <c r="FQL58">
        <v>3</v>
      </c>
      <c r="FQM58">
        <v>3</v>
      </c>
      <c r="FQN58">
        <v>3</v>
      </c>
      <c r="FQO58">
        <v>3</v>
      </c>
      <c r="FQP58">
        <v>3</v>
      </c>
      <c r="FQQ58">
        <v>3</v>
      </c>
      <c r="FQR58">
        <v>3</v>
      </c>
      <c r="FQS58">
        <v>3</v>
      </c>
      <c r="FQT58">
        <v>3</v>
      </c>
      <c r="FQU58">
        <v>3</v>
      </c>
      <c r="FQV58">
        <v>3</v>
      </c>
      <c r="FQW58">
        <v>3</v>
      </c>
      <c r="FQX58">
        <v>3</v>
      </c>
      <c r="FQY58">
        <v>3</v>
      </c>
      <c r="FQZ58">
        <v>3</v>
      </c>
      <c r="FRA58">
        <v>3</v>
      </c>
      <c r="FRB58">
        <v>3</v>
      </c>
      <c r="FRC58">
        <v>3</v>
      </c>
      <c r="FRD58">
        <v>3</v>
      </c>
      <c r="FRE58">
        <v>3</v>
      </c>
      <c r="FRF58">
        <v>3</v>
      </c>
      <c r="FRG58">
        <v>3</v>
      </c>
      <c r="FRH58">
        <v>3</v>
      </c>
      <c r="HNF58">
        <v>4</v>
      </c>
      <c r="HNG58">
        <v>4</v>
      </c>
      <c r="HNH58">
        <v>4</v>
      </c>
      <c r="HNI58">
        <v>4</v>
      </c>
      <c r="HNJ58">
        <v>4</v>
      </c>
      <c r="HNK58">
        <v>4</v>
      </c>
      <c r="HNL58">
        <v>4</v>
      </c>
      <c r="HNM58">
        <v>4</v>
      </c>
      <c r="HNN58">
        <v>4</v>
      </c>
      <c r="HNO58">
        <v>4</v>
      </c>
      <c r="HNP58">
        <v>4</v>
      </c>
      <c r="HNQ58">
        <v>4</v>
      </c>
      <c r="HNR58">
        <v>4</v>
      </c>
      <c r="HNS58">
        <v>4</v>
      </c>
      <c r="HNT58">
        <v>4</v>
      </c>
      <c r="HNU58">
        <v>4</v>
      </c>
      <c r="HNV58">
        <v>4</v>
      </c>
      <c r="HNW58">
        <v>4</v>
      </c>
      <c r="HNX58">
        <v>4</v>
      </c>
      <c r="HNY58">
        <v>4</v>
      </c>
      <c r="HNZ58">
        <v>4</v>
      </c>
      <c r="HOA58">
        <v>4</v>
      </c>
      <c r="HOB58">
        <v>4</v>
      </c>
      <c r="HOC58">
        <v>4</v>
      </c>
      <c r="HOD58">
        <v>4</v>
      </c>
      <c r="HOE58">
        <v>4</v>
      </c>
      <c r="HOF58">
        <v>4</v>
      </c>
      <c r="HOG58">
        <v>4</v>
      </c>
      <c r="HOH58">
        <v>4</v>
      </c>
      <c r="HOI58">
        <v>4</v>
      </c>
      <c r="HOJ58">
        <v>4</v>
      </c>
      <c r="HOK58">
        <v>4</v>
      </c>
      <c r="HOL58">
        <v>4</v>
      </c>
      <c r="HOM58">
        <v>4</v>
      </c>
      <c r="HON58">
        <v>4</v>
      </c>
      <c r="HOO58">
        <v>4</v>
      </c>
      <c r="HOP58">
        <v>4</v>
      </c>
      <c r="HOQ58">
        <v>4</v>
      </c>
      <c r="HOR58">
        <v>4</v>
      </c>
      <c r="HOS58">
        <v>4</v>
      </c>
      <c r="HOT58">
        <v>4</v>
      </c>
      <c r="HOU58">
        <v>4</v>
      </c>
      <c r="HOV58">
        <v>4</v>
      </c>
      <c r="HOW58">
        <v>4</v>
      </c>
      <c r="HOX58">
        <v>4</v>
      </c>
      <c r="HOY58">
        <v>4</v>
      </c>
      <c r="HOZ58">
        <v>4</v>
      </c>
      <c r="HPA58">
        <v>4</v>
      </c>
      <c r="HPB58">
        <v>4</v>
      </c>
      <c r="HPC58">
        <v>4</v>
      </c>
      <c r="HPD58">
        <v>4</v>
      </c>
      <c r="HPE58">
        <v>4</v>
      </c>
      <c r="HPF58">
        <v>4</v>
      </c>
      <c r="HPG58">
        <v>4</v>
      </c>
      <c r="KGU58" s="1">
        <f t="shared" si="0"/>
        <v>27</v>
      </c>
      <c r="KGV58">
        <f t="shared" si="1"/>
        <v>44</v>
      </c>
      <c r="KGW58">
        <f t="shared" si="2"/>
        <v>56</v>
      </c>
      <c r="KGX58">
        <f t="shared" si="3"/>
        <v>54</v>
      </c>
      <c r="KGY58">
        <f t="shared" si="4"/>
        <v>0</v>
      </c>
      <c r="KGZ58">
        <f t="shared" si="5"/>
        <v>0</v>
      </c>
      <c r="KHA58">
        <f t="shared" si="6"/>
        <v>0</v>
      </c>
      <c r="KHB58">
        <f t="shared" si="7"/>
        <v>0</v>
      </c>
      <c r="KHC58">
        <f t="shared" si="8"/>
        <v>0</v>
      </c>
      <c r="KHD58">
        <f t="shared" si="9"/>
        <v>0</v>
      </c>
      <c r="KHE58">
        <f t="shared" si="10"/>
        <v>0</v>
      </c>
      <c r="KHF58">
        <f t="shared" si="11"/>
        <v>0</v>
      </c>
      <c r="KHG58">
        <f t="shared" si="12"/>
        <v>0</v>
      </c>
      <c r="KHH58">
        <f t="shared" si="13"/>
        <v>0</v>
      </c>
      <c r="KHI58">
        <f t="shared" si="14"/>
        <v>0</v>
      </c>
      <c r="KHJ58">
        <f t="shared" si="15"/>
        <v>0</v>
      </c>
      <c r="KHK58">
        <f t="shared" si="16"/>
        <v>0</v>
      </c>
      <c r="KHL58">
        <f t="shared" si="17"/>
        <v>0</v>
      </c>
      <c r="KHM58">
        <f t="shared" si="18"/>
        <v>0</v>
      </c>
      <c r="KHN58">
        <f t="shared" si="19"/>
        <v>0</v>
      </c>
      <c r="KHO58">
        <f t="shared" si="20"/>
        <v>0</v>
      </c>
      <c r="KHP58">
        <f t="shared" si="21"/>
        <v>0</v>
      </c>
      <c r="KHQ58">
        <f t="shared" si="22"/>
        <v>0</v>
      </c>
      <c r="KHR58">
        <f t="shared" si="23"/>
        <v>0</v>
      </c>
      <c r="KHS58">
        <f t="shared" si="24"/>
        <v>0</v>
      </c>
      <c r="KHT58">
        <f t="shared" si="25"/>
        <v>0</v>
      </c>
      <c r="KHU58">
        <f t="shared" si="26"/>
        <v>0</v>
      </c>
      <c r="KHV58">
        <f t="shared" si="27"/>
        <v>0</v>
      </c>
      <c r="KHW58">
        <f t="shared" si="28"/>
        <v>0</v>
      </c>
      <c r="KHX58">
        <f t="shared" si="29"/>
        <v>0</v>
      </c>
      <c r="KHY58">
        <f t="shared" si="30"/>
        <v>0</v>
      </c>
      <c r="KHZ58">
        <f t="shared" si="31"/>
        <v>0</v>
      </c>
      <c r="KIA58">
        <f t="shared" si="32"/>
        <v>0</v>
      </c>
      <c r="KIB58">
        <f t="shared" si="33"/>
        <v>0</v>
      </c>
      <c r="KIC58">
        <f t="shared" si="34"/>
        <v>0</v>
      </c>
      <c r="KID58">
        <f t="shared" si="35"/>
        <v>0</v>
      </c>
      <c r="KIE58">
        <f t="shared" si="36"/>
        <v>0</v>
      </c>
      <c r="KIF58">
        <f t="shared" si="37"/>
        <v>0</v>
      </c>
      <c r="KIG58">
        <f t="shared" si="38"/>
        <v>0</v>
      </c>
      <c r="KIH58">
        <f t="shared" si="39"/>
        <v>0</v>
      </c>
      <c r="KII58">
        <f t="shared" si="40"/>
        <v>0</v>
      </c>
      <c r="KIJ58">
        <f t="shared" si="41"/>
        <v>0</v>
      </c>
      <c r="KIK58">
        <f t="shared" si="42"/>
        <v>0</v>
      </c>
      <c r="KIL58">
        <f t="shared" si="43"/>
        <v>0</v>
      </c>
      <c r="KIM58">
        <f t="shared" si="44"/>
        <v>0</v>
      </c>
      <c r="KIN58">
        <f t="shared" si="45"/>
        <v>0</v>
      </c>
      <c r="KIO58">
        <f t="shared" si="46"/>
        <v>0</v>
      </c>
      <c r="KIP58">
        <f t="shared" si="47"/>
        <v>0</v>
      </c>
      <c r="KIQ58">
        <f t="shared" si="48"/>
        <v>0</v>
      </c>
      <c r="KIR58">
        <f t="shared" si="49"/>
        <v>0</v>
      </c>
      <c r="KIS58">
        <f t="shared" si="50"/>
        <v>0</v>
      </c>
      <c r="KIT58">
        <f t="shared" si="51"/>
        <v>0</v>
      </c>
      <c r="KIU58">
        <f t="shared" si="52"/>
        <v>0</v>
      </c>
      <c r="KIV58">
        <f t="shared" si="53"/>
        <v>0</v>
      </c>
      <c r="KIW58">
        <f t="shared" si="54"/>
        <v>0</v>
      </c>
      <c r="KIX58">
        <f t="shared" si="55"/>
        <v>0</v>
      </c>
      <c r="KIY58">
        <f t="shared" si="56"/>
        <v>0</v>
      </c>
      <c r="KIZ58">
        <f t="shared" si="57"/>
        <v>0</v>
      </c>
      <c r="KJA58">
        <f t="shared" si="58"/>
        <v>0</v>
      </c>
      <c r="KJB58">
        <f t="shared" si="59"/>
        <v>0</v>
      </c>
      <c r="KJC58">
        <f t="shared" si="60"/>
        <v>0</v>
      </c>
      <c r="KJD58">
        <f t="shared" si="61"/>
        <v>0</v>
      </c>
      <c r="KJE58">
        <f t="shared" si="62"/>
        <v>0</v>
      </c>
      <c r="KJF58">
        <f t="shared" si="63"/>
        <v>0</v>
      </c>
      <c r="KJG58">
        <f t="shared" si="64"/>
        <v>0</v>
      </c>
      <c r="KJH58">
        <f t="shared" si="65"/>
        <v>0</v>
      </c>
      <c r="KJI58">
        <f t="shared" si="66"/>
        <v>0</v>
      </c>
      <c r="KJJ58">
        <f t="shared" si="67"/>
        <v>0</v>
      </c>
      <c r="KJK58">
        <f t="shared" si="68"/>
        <v>0</v>
      </c>
      <c r="KJL58">
        <f t="shared" si="69"/>
        <v>0</v>
      </c>
      <c r="KJM58">
        <f t="shared" si="70"/>
        <v>0</v>
      </c>
      <c r="KJN58">
        <f t="shared" si="71"/>
        <v>0</v>
      </c>
      <c r="KJO58">
        <f t="shared" si="72"/>
        <v>0</v>
      </c>
      <c r="KJP58">
        <f t="shared" si="73"/>
        <v>0</v>
      </c>
      <c r="KJQ58">
        <f t="shared" si="74"/>
        <v>0</v>
      </c>
      <c r="KJR58">
        <f t="shared" si="75"/>
        <v>0</v>
      </c>
      <c r="KJS58">
        <f t="shared" si="76"/>
        <v>0</v>
      </c>
      <c r="KJT58">
        <f t="shared" si="77"/>
        <v>0</v>
      </c>
      <c r="KJU58">
        <f t="shared" si="78"/>
        <v>0</v>
      </c>
      <c r="KJV58">
        <f t="shared" si="79"/>
        <v>0</v>
      </c>
      <c r="KJW58">
        <f t="shared" si="80"/>
        <v>0</v>
      </c>
      <c r="KJX58">
        <f t="shared" si="81"/>
        <v>0</v>
      </c>
      <c r="KJY58">
        <f t="shared" si="82"/>
        <v>0</v>
      </c>
      <c r="KJZ58">
        <f t="shared" si="83"/>
        <v>0</v>
      </c>
      <c r="KKA58">
        <f t="shared" si="84"/>
        <v>0</v>
      </c>
      <c r="KKB58">
        <f t="shared" si="85"/>
        <v>0</v>
      </c>
      <c r="KKC58">
        <f t="shared" si="86"/>
        <v>0</v>
      </c>
      <c r="KKD58">
        <f t="shared" si="87"/>
        <v>0</v>
      </c>
      <c r="KKE58">
        <f t="shared" si="88"/>
        <v>0</v>
      </c>
      <c r="KKF58">
        <f t="shared" si="89"/>
        <v>0</v>
      </c>
      <c r="KKG58">
        <f t="shared" si="90"/>
        <v>0</v>
      </c>
      <c r="KKH58">
        <f t="shared" si="91"/>
        <v>0</v>
      </c>
      <c r="KKI58">
        <f t="shared" si="92"/>
        <v>0</v>
      </c>
      <c r="KKJ58">
        <f t="shared" si="93"/>
        <v>0</v>
      </c>
      <c r="KKK58">
        <f t="shared" si="94"/>
        <v>0</v>
      </c>
      <c r="KKL58">
        <f t="shared" si="95"/>
        <v>0</v>
      </c>
      <c r="KKM58">
        <f t="shared" si="96"/>
        <v>0</v>
      </c>
      <c r="KKN58">
        <f t="shared" si="97"/>
        <v>0</v>
      </c>
      <c r="KKO58">
        <f t="shared" si="98"/>
        <v>0</v>
      </c>
      <c r="KKP58">
        <f t="shared" si="99"/>
        <v>0</v>
      </c>
      <c r="KKR58">
        <f t="shared" si="100"/>
        <v>181</v>
      </c>
      <c r="KKT58">
        <f t="shared" si="100"/>
        <v>181</v>
      </c>
      <c r="KKU58">
        <f t="shared" si="101"/>
        <v>7.24</v>
      </c>
      <c r="KKW58">
        <f t="shared" si="101"/>
        <v>7.24</v>
      </c>
    </row>
    <row r="59" spans="1:514 1409:1417 2495:2576 4143:4764 5778:5831 6491:7134 7639:7745">
      <c r="A59" t="s">
        <v>34</v>
      </c>
      <c r="B59">
        <v>1</v>
      </c>
      <c r="FEA59">
        <v>1</v>
      </c>
      <c r="FEB59">
        <v>1</v>
      </c>
      <c r="FEC59">
        <v>1</v>
      </c>
      <c r="FED59">
        <v>1</v>
      </c>
      <c r="FEE59">
        <v>1</v>
      </c>
      <c r="FEF59">
        <v>1</v>
      </c>
      <c r="FEG59">
        <v>1</v>
      </c>
      <c r="FEH59">
        <v>1</v>
      </c>
      <c r="FEI59">
        <v>1</v>
      </c>
      <c r="FEJ59">
        <v>1</v>
      </c>
      <c r="FEK59">
        <v>1</v>
      </c>
      <c r="FEL59">
        <v>1</v>
      </c>
      <c r="FEM59">
        <v>1</v>
      </c>
      <c r="FEN59">
        <v>1</v>
      </c>
      <c r="FEO59">
        <v>1</v>
      </c>
      <c r="FEP59">
        <v>1</v>
      </c>
      <c r="FEQ59">
        <v>1</v>
      </c>
      <c r="FER59">
        <v>1</v>
      </c>
      <c r="FES59">
        <v>1</v>
      </c>
      <c r="FET59">
        <v>1</v>
      </c>
      <c r="FEU59">
        <v>1</v>
      </c>
      <c r="FEV59">
        <v>1</v>
      </c>
      <c r="FEW59">
        <v>1</v>
      </c>
      <c r="FEX59">
        <v>1</v>
      </c>
      <c r="FEY59">
        <v>1</v>
      </c>
      <c r="FEZ59">
        <v>1</v>
      </c>
      <c r="FFA59">
        <v>1</v>
      </c>
      <c r="FFB59">
        <v>1</v>
      </c>
      <c r="FFC59">
        <v>1</v>
      </c>
      <c r="FFD59">
        <v>1</v>
      </c>
      <c r="FFE59">
        <v>1</v>
      </c>
      <c r="FFF59">
        <v>1</v>
      </c>
      <c r="FFG59">
        <v>1</v>
      </c>
      <c r="FFH59">
        <v>1</v>
      </c>
      <c r="FFI59">
        <v>1</v>
      </c>
      <c r="FFJ59">
        <v>1</v>
      </c>
      <c r="FFK59">
        <v>1</v>
      </c>
      <c r="FFL59">
        <v>1</v>
      </c>
      <c r="FFM59">
        <v>1</v>
      </c>
      <c r="FFN59">
        <v>1</v>
      </c>
      <c r="FFO59">
        <v>1</v>
      </c>
      <c r="FFP59">
        <v>1</v>
      </c>
      <c r="FFQ59">
        <v>1</v>
      </c>
      <c r="FFR59">
        <v>1</v>
      </c>
      <c r="FFS59">
        <v>1</v>
      </c>
      <c r="FFT59">
        <v>1</v>
      </c>
      <c r="FFU59">
        <v>1</v>
      </c>
      <c r="FFV59">
        <v>1</v>
      </c>
      <c r="FFW59">
        <v>1</v>
      </c>
      <c r="FFX59">
        <v>1</v>
      </c>
      <c r="FFY59">
        <v>1</v>
      </c>
      <c r="FFZ59">
        <v>1</v>
      </c>
      <c r="FGA59">
        <v>1</v>
      </c>
      <c r="FGB59">
        <v>1</v>
      </c>
      <c r="FGC59">
        <v>1</v>
      </c>
      <c r="FGD59">
        <v>1</v>
      </c>
      <c r="FGE59">
        <v>1</v>
      </c>
      <c r="FGF59">
        <v>1</v>
      </c>
      <c r="FGG59">
        <v>1</v>
      </c>
      <c r="FGH59">
        <v>1</v>
      </c>
      <c r="FGI59">
        <v>1</v>
      </c>
      <c r="FGJ59">
        <v>1</v>
      </c>
      <c r="FGK59">
        <v>1</v>
      </c>
      <c r="FGL59">
        <v>1</v>
      </c>
      <c r="FGM59">
        <v>1</v>
      </c>
      <c r="FGN59">
        <v>1</v>
      </c>
      <c r="FGO59">
        <v>1</v>
      </c>
      <c r="FGP59">
        <v>1</v>
      </c>
      <c r="FGQ59">
        <v>1</v>
      </c>
      <c r="FGR59">
        <v>1</v>
      </c>
      <c r="FGS59">
        <v>1</v>
      </c>
      <c r="FGT59">
        <v>1</v>
      </c>
      <c r="FGU59">
        <v>1</v>
      </c>
      <c r="FGV59">
        <v>1</v>
      </c>
      <c r="FGW59">
        <v>1</v>
      </c>
      <c r="FGX59">
        <v>1</v>
      </c>
      <c r="FGY59">
        <v>1</v>
      </c>
      <c r="FGZ59">
        <v>1</v>
      </c>
      <c r="FHA59">
        <v>1</v>
      </c>
      <c r="FHB59">
        <v>1</v>
      </c>
      <c r="FHC59">
        <v>1</v>
      </c>
      <c r="FHD59">
        <v>1</v>
      </c>
      <c r="FHE59">
        <v>1</v>
      </c>
      <c r="FHF59">
        <v>1</v>
      </c>
      <c r="FHG59">
        <v>1</v>
      </c>
      <c r="FHH59">
        <v>1</v>
      </c>
      <c r="FHI59">
        <v>1</v>
      </c>
      <c r="FHJ59">
        <v>1</v>
      </c>
      <c r="FHK59">
        <v>1</v>
      </c>
      <c r="FHL59">
        <v>1</v>
      </c>
      <c r="FHM59">
        <v>1</v>
      </c>
      <c r="FHN59">
        <v>1</v>
      </c>
      <c r="FHO59">
        <v>1</v>
      </c>
      <c r="FHP59">
        <v>1</v>
      </c>
      <c r="FHQ59">
        <v>1</v>
      </c>
      <c r="FHR59">
        <v>1</v>
      </c>
      <c r="FHS59">
        <v>1</v>
      </c>
      <c r="FHT59">
        <v>1</v>
      </c>
      <c r="FHU59">
        <v>1</v>
      </c>
      <c r="FHV59">
        <v>1</v>
      </c>
      <c r="FHW59">
        <v>1</v>
      </c>
      <c r="FHX59">
        <v>1</v>
      </c>
      <c r="FHY59">
        <v>1</v>
      </c>
      <c r="FHZ59">
        <v>1</v>
      </c>
      <c r="FIA59">
        <v>1</v>
      </c>
      <c r="FIB59">
        <v>1</v>
      </c>
      <c r="FIC59">
        <v>1</v>
      </c>
      <c r="FID59">
        <v>1</v>
      </c>
      <c r="FIE59">
        <v>1</v>
      </c>
      <c r="FIF59">
        <v>1</v>
      </c>
      <c r="FIG59">
        <v>1</v>
      </c>
      <c r="FIH59">
        <v>1</v>
      </c>
      <c r="FII59">
        <v>1</v>
      </c>
      <c r="FIJ59">
        <v>1</v>
      </c>
      <c r="FIK59">
        <v>1</v>
      </c>
      <c r="FIL59">
        <v>1</v>
      </c>
      <c r="FIM59">
        <v>1</v>
      </c>
      <c r="FIN59">
        <v>1</v>
      </c>
      <c r="FIO59">
        <v>1</v>
      </c>
      <c r="FIP59">
        <v>1</v>
      </c>
      <c r="FIQ59">
        <v>1</v>
      </c>
      <c r="FIR59">
        <v>1</v>
      </c>
      <c r="FIS59">
        <v>1</v>
      </c>
      <c r="FIT59">
        <v>1</v>
      </c>
      <c r="FIU59">
        <v>1</v>
      </c>
      <c r="FIV59">
        <v>1</v>
      </c>
      <c r="FIW59">
        <v>1</v>
      </c>
      <c r="FIX59">
        <v>1</v>
      </c>
      <c r="FIY59">
        <v>1</v>
      </c>
      <c r="FIZ59">
        <v>1</v>
      </c>
      <c r="FJA59">
        <v>1</v>
      </c>
      <c r="FJB59">
        <v>1</v>
      </c>
      <c r="FJC59">
        <v>1</v>
      </c>
      <c r="FJD59">
        <v>1</v>
      </c>
      <c r="FJE59">
        <v>1</v>
      </c>
      <c r="FJF59">
        <v>1</v>
      </c>
      <c r="FJG59">
        <v>1</v>
      </c>
      <c r="FJH59">
        <v>1</v>
      </c>
      <c r="FJI59">
        <v>1</v>
      </c>
      <c r="FJJ59">
        <v>1</v>
      </c>
      <c r="FJK59">
        <v>1</v>
      </c>
      <c r="FJL59">
        <v>1</v>
      </c>
      <c r="FJM59">
        <v>1</v>
      </c>
      <c r="FJN59">
        <v>1</v>
      </c>
      <c r="FJO59">
        <v>1</v>
      </c>
      <c r="FJP59">
        <v>1</v>
      </c>
      <c r="FJQ59">
        <v>1</v>
      </c>
      <c r="FJR59">
        <v>1</v>
      </c>
      <c r="FJS59">
        <v>1</v>
      </c>
      <c r="FJT59">
        <v>1</v>
      </c>
      <c r="FJU59">
        <v>1</v>
      </c>
      <c r="FJV59">
        <v>1</v>
      </c>
      <c r="FJW59">
        <v>1</v>
      </c>
      <c r="FJX59">
        <v>1</v>
      </c>
      <c r="FJY59">
        <v>1</v>
      </c>
      <c r="FJZ59">
        <v>1</v>
      </c>
      <c r="FKA59">
        <v>1</v>
      </c>
      <c r="FKB59">
        <v>1</v>
      </c>
      <c r="FKC59">
        <v>1</v>
      </c>
      <c r="FKD59">
        <v>1</v>
      </c>
      <c r="FKE59">
        <v>1</v>
      </c>
      <c r="FKF59">
        <v>1</v>
      </c>
      <c r="FKG59">
        <v>1</v>
      </c>
      <c r="FKH59">
        <v>1</v>
      </c>
      <c r="FKI59">
        <v>1</v>
      </c>
      <c r="FKJ59">
        <v>1</v>
      </c>
      <c r="FKK59">
        <v>1</v>
      </c>
      <c r="FKL59">
        <v>1</v>
      </c>
      <c r="FKM59">
        <v>1</v>
      </c>
      <c r="FKN59">
        <v>1</v>
      </c>
      <c r="FKO59">
        <v>1</v>
      </c>
      <c r="FKP59">
        <v>1</v>
      </c>
      <c r="FKQ59">
        <v>1</v>
      </c>
      <c r="FKR59">
        <v>1</v>
      </c>
      <c r="FKS59">
        <v>1</v>
      </c>
      <c r="FKT59">
        <v>1</v>
      </c>
      <c r="FKU59">
        <v>1</v>
      </c>
      <c r="FKV59">
        <v>1</v>
      </c>
      <c r="FKW59">
        <v>1</v>
      </c>
      <c r="FKX59">
        <v>1</v>
      </c>
      <c r="FKY59">
        <v>1</v>
      </c>
      <c r="FKZ59">
        <v>1</v>
      </c>
      <c r="FLA59">
        <v>1</v>
      </c>
      <c r="FLB59">
        <v>1</v>
      </c>
      <c r="FLC59">
        <v>1</v>
      </c>
      <c r="FLD59">
        <v>1</v>
      </c>
      <c r="FLE59">
        <v>1</v>
      </c>
      <c r="FLF59">
        <v>1</v>
      </c>
      <c r="FLG59">
        <v>1</v>
      </c>
      <c r="FLH59">
        <v>1</v>
      </c>
      <c r="FLI59">
        <v>1</v>
      </c>
      <c r="FLJ59">
        <v>1</v>
      </c>
      <c r="FLK59">
        <v>1</v>
      </c>
      <c r="FLL59">
        <v>1</v>
      </c>
      <c r="FLM59">
        <v>1</v>
      </c>
      <c r="FLN59">
        <v>1</v>
      </c>
      <c r="FLO59">
        <v>1</v>
      </c>
      <c r="FLP59">
        <v>1</v>
      </c>
      <c r="FLQ59">
        <v>1</v>
      </c>
      <c r="FLR59">
        <v>1</v>
      </c>
      <c r="FLS59">
        <v>1</v>
      </c>
      <c r="FLT59">
        <v>1</v>
      </c>
      <c r="FLU59">
        <v>1</v>
      </c>
      <c r="FLV59">
        <v>1</v>
      </c>
      <c r="FLW59">
        <v>1</v>
      </c>
      <c r="FLX59">
        <v>1</v>
      </c>
      <c r="FLY59">
        <v>1</v>
      </c>
      <c r="FLZ59">
        <v>1</v>
      </c>
      <c r="FMA59">
        <v>1</v>
      </c>
      <c r="FMB59">
        <v>1</v>
      </c>
      <c r="FMC59">
        <v>1</v>
      </c>
      <c r="FMD59">
        <v>1</v>
      </c>
      <c r="FME59">
        <v>1</v>
      </c>
      <c r="FMF59">
        <v>1</v>
      </c>
      <c r="FMG59">
        <v>1</v>
      </c>
      <c r="FMH59">
        <v>1</v>
      </c>
      <c r="FMI59">
        <v>1</v>
      </c>
      <c r="FMJ59">
        <v>1</v>
      </c>
      <c r="FMK59">
        <v>1</v>
      </c>
      <c r="FML59">
        <v>1</v>
      </c>
      <c r="FMM59">
        <v>1</v>
      </c>
      <c r="FMN59">
        <v>1</v>
      </c>
      <c r="FMO59">
        <v>1</v>
      </c>
      <c r="FMP59">
        <v>1</v>
      </c>
      <c r="FMQ59">
        <v>1</v>
      </c>
      <c r="FMR59">
        <v>1</v>
      </c>
      <c r="FMS59">
        <v>1</v>
      </c>
      <c r="FMT59">
        <v>1</v>
      </c>
      <c r="FMU59">
        <v>1</v>
      </c>
      <c r="FMV59">
        <v>1</v>
      </c>
      <c r="FMW59">
        <v>1</v>
      </c>
      <c r="FMX59">
        <v>1</v>
      </c>
      <c r="FMY59">
        <v>1</v>
      </c>
      <c r="FMZ59">
        <v>1</v>
      </c>
      <c r="FNA59">
        <v>1</v>
      </c>
      <c r="FNB59">
        <v>1</v>
      </c>
      <c r="FNC59">
        <v>1</v>
      </c>
      <c r="FND59">
        <v>1</v>
      </c>
      <c r="FNE59">
        <v>1</v>
      </c>
      <c r="FNF59">
        <v>1</v>
      </c>
      <c r="FNG59">
        <v>1</v>
      </c>
      <c r="FNH59">
        <v>1</v>
      </c>
      <c r="FNI59">
        <v>1</v>
      </c>
      <c r="FNJ59">
        <v>1</v>
      </c>
      <c r="FNK59">
        <v>1</v>
      </c>
      <c r="FNL59">
        <v>1</v>
      </c>
      <c r="FNM59">
        <v>1</v>
      </c>
      <c r="FNN59">
        <v>1</v>
      </c>
      <c r="FNO59">
        <v>1</v>
      </c>
      <c r="FNP59">
        <v>1</v>
      </c>
      <c r="FNQ59">
        <v>1</v>
      </c>
      <c r="FNR59">
        <v>1</v>
      </c>
      <c r="FNS59">
        <v>1</v>
      </c>
      <c r="FNT59">
        <v>1</v>
      </c>
      <c r="FNU59">
        <v>1</v>
      </c>
      <c r="FNV59">
        <v>1</v>
      </c>
      <c r="FNW59">
        <v>1</v>
      </c>
      <c r="FNX59">
        <v>1</v>
      </c>
      <c r="FNY59">
        <v>1</v>
      </c>
      <c r="FNZ59">
        <v>1</v>
      </c>
      <c r="FOA59">
        <v>1</v>
      </c>
      <c r="FOB59">
        <v>1</v>
      </c>
      <c r="FOC59">
        <v>1</v>
      </c>
      <c r="FOD59">
        <v>1</v>
      </c>
      <c r="FOE59">
        <v>1</v>
      </c>
      <c r="FOF59">
        <v>1</v>
      </c>
      <c r="FOG59">
        <v>1</v>
      </c>
      <c r="FOH59">
        <v>1</v>
      </c>
      <c r="FOI59">
        <v>1</v>
      </c>
      <c r="FOJ59">
        <v>1</v>
      </c>
      <c r="FOK59">
        <v>1</v>
      </c>
      <c r="FOL59">
        <v>1</v>
      </c>
      <c r="FOM59">
        <v>1</v>
      </c>
      <c r="FON59">
        <v>1</v>
      </c>
      <c r="FOO59">
        <v>1</v>
      </c>
      <c r="FOP59">
        <v>1</v>
      </c>
      <c r="FOQ59">
        <v>1</v>
      </c>
      <c r="FOR59">
        <v>1</v>
      </c>
      <c r="FOS59">
        <v>1</v>
      </c>
      <c r="FOT59">
        <v>1</v>
      </c>
      <c r="FOU59">
        <v>1</v>
      </c>
      <c r="FOV59">
        <v>1</v>
      </c>
      <c r="FOW59">
        <v>1</v>
      </c>
      <c r="FOX59">
        <v>1</v>
      </c>
      <c r="FOY59">
        <v>1</v>
      </c>
      <c r="FOZ59">
        <v>1</v>
      </c>
      <c r="FPA59">
        <v>1</v>
      </c>
      <c r="FPB59">
        <v>1</v>
      </c>
      <c r="FPC59">
        <v>1</v>
      </c>
      <c r="FPD59">
        <v>1</v>
      </c>
      <c r="KGU59" s="1">
        <f t="shared" si="0"/>
        <v>290</v>
      </c>
      <c r="KGV59">
        <f t="shared" si="1"/>
        <v>0</v>
      </c>
      <c r="KGW59">
        <f t="shared" si="2"/>
        <v>0</v>
      </c>
      <c r="KGX59">
        <f t="shared" si="3"/>
        <v>0</v>
      </c>
      <c r="KGY59">
        <f t="shared" si="4"/>
        <v>0</v>
      </c>
      <c r="KGZ59">
        <f t="shared" si="5"/>
        <v>0</v>
      </c>
      <c r="KHA59">
        <f t="shared" si="6"/>
        <v>0</v>
      </c>
      <c r="KHB59">
        <f t="shared" si="7"/>
        <v>0</v>
      </c>
      <c r="KHC59">
        <f t="shared" si="8"/>
        <v>0</v>
      </c>
      <c r="KHD59">
        <f t="shared" si="9"/>
        <v>0</v>
      </c>
      <c r="KHE59">
        <f t="shared" si="10"/>
        <v>0</v>
      </c>
      <c r="KHF59">
        <f t="shared" si="11"/>
        <v>0</v>
      </c>
      <c r="KHG59">
        <f t="shared" si="12"/>
        <v>0</v>
      </c>
      <c r="KHH59">
        <f t="shared" si="13"/>
        <v>0</v>
      </c>
      <c r="KHI59">
        <f t="shared" si="14"/>
        <v>0</v>
      </c>
      <c r="KHJ59">
        <f t="shared" si="15"/>
        <v>0</v>
      </c>
      <c r="KHK59">
        <f t="shared" si="16"/>
        <v>0</v>
      </c>
      <c r="KHL59">
        <f t="shared" si="17"/>
        <v>0</v>
      </c>
      <c r="KHM59">
        <f t="shared" si="18"/>
        <v>0</v>
      </c>
      <c r="KHN59">
        <f t="shared" si="19"/>
        <v>0</v>
      </c>
      <c r="KHO59">
        <f t="shared" si="20"/>
        <v>0</v>
      </c>
      <c r="KHP59">
        <f t="shared" si="21"/>
        <v>0</v>
      </c>
      <c r="KHQ59">
        <f t="shared" si="22"/>
        <v>0</v>
      </c>
      <c r="KHR59">
        <f t="shared" si="23"/>
        <v>0</v>
      </c>
      <c r="KHS59">
        <f t="shared" si="24"/>
        <v>0</v>
      </c>
      <c r="KHT59">
        <f t="shared" si="25"/>
        <v>0</v>
      </c>
      <c r="KHU59">
        <f t="shared" si="26"/>
        <v>0</v>
      </c>
      <c r="KHV59">
        <f t="shared" si="27"/>
        <v>0</v>
      </c>
      <c r="KHW59">
        <f t="shared" si="28"/>
        <v>0</v>
      </c>
      <c r="KHX59">
        <f t="shared" si="29"/>
        <v>0</v>
      </c>
      <c r="KHY59">
        <f t="shared" si="30"/>
        <v>0</v>
      </c>
      <c r="KHZ59">
        <f t="shared" si="31"/>
        <v>0</v>
      </c>
      <c r="KIA59">
        <f t="shared" si="32"/>
        <v>0</v>
      </c>
      <c r="KIB59">
        <f t="shared" si="33"/>
        <v>0</v>
      </c>
      <c r="KIC59">
        <f t="shared" si="34"/>
        <v>0</v>
      </c>
      <c r="KID59">
        <f t="shared" si="35"/>
        <v>0</v>
      </c>
      <c r="KIE59">
        <f t="shared" si="36"/>
        <v>0</v>
      </c>
      <c r="KIF59">
        <f t="shared" si="37"/>
        <v>0</v>
      </c>
      <c r="KIG59">
        <f t="shared" si="38"/>
        <v>0</v>
      </c>
      <c r="KIH59">
        <f t="shared" si="39"/>
        <v>0</v>
      </c>
      <c r="KII59">
        <f t="shared" si="40"/>
        <v>0</v>
      </c>
      <c r="KIJ59">
        <f t="shared" si="41"/>
        <v>0</v>
      </c>
      <c r="KIK59">
        <f t="shared" si="42"/>
        <v>0</v>
      </c>
      <c r="KIL59">
        <f t="shared" si="43"/>
        <v>0</v>
      </c>
      <c r="KIM59">
        <f t="shared" si="44"/>
        <v>0</v>
      </c>
      <c r="KIN59">
        <f t="shared" si="45"/>
        <v>0</v>
      </c>
      <c r="KIO59">
        <f t="shared" si="46"/>
        <v>0</v>
      </c>
      <c r="KIP59">
        <f t="shared" si="47"/>
        <v>0</v>
      </c>
      <c r="KIQ59">
        <f t="shared" si="48"/>
        <v>0</v>
      </c>
      <c r="KIR59">
        <f t="shared" si="49"/>
        <v>0</v>
      </c>
      <c r="KIS59">
        <f t="shared" si="50"/>
        <v>0</v>
      </c>
      <c r="KIT59">
        <f t="shared" si="51"/>
        <v>0</v>
      </c>
      <c r="KIU59">
        <f t="shared" si="52"/>
        <v>0</v>
      </c>
      <c r="KIV59">
        <f t="shared" si="53"/>
        <v>0</v>
      </c>
      <c r="KIW59">
        <f t="shared" si="54"/>
        <v>0</v>
      </c>
      <c r="KIX59">
        <f t="shared" si="55"/>
        <v>0</v>
      </c>
      <c r="KIY59">
        <f t="shared" si="56"/>
        <v>0</v>
      </c>
      <c r="KIZ59">
        <f t="shared" si="57"/>
        <v>0</v>
      </c>
      <c r="KJA59">
        <f t="shared" si="58"/>
        <v>0</v>
      </c>
      <c r="KJB59">
        <f t="shared" si="59"/>
        <v>0</v>
      </c>
      <c r="KJC59">
        <f t="shared" si="60"/>
        <v>0</v>
      </c>
      <c r="KJD59">
        <f t="shared" si="61"/>
        <v>0</v>
      </c>
      <c r="KJE59">
        <f t="shared" si="62"/>
        <v>0</v>
      </c>
      <c r="KJF59">
        <f t="shared" si="63"/>
        <v>0</v>
      </c>
      <c r="KJG59">
        <f t="shared" si="64"/>
        <v>0</v>
      </c>
      <c r="KJH59">
        <f t="shared" si="65"/>
        <v>0</v>
      </c>
      <c r="KJI59">
        <f t="shared" si="66"/>
        <v>0</v>
      </c>
      <c r="KJJ59">
        <f t="shared" si="67"/>
        <v>0</v>
      </c>
      <c r="KJK59">
        <f t="shared" si="68"/>
        <v>0</v>
      </c>
      <c r="KJL59">
        <f t="shared" si="69"/>
        <v>0</v>
      </c>
      <c r="KJM59">
        <f t="shared" si="70"/>
        <v>0</v>
      </c>
      <c r="KJN59">
        <f t="shared" si="71"/>
        <v>0</v>
      </c>
      <c r="KJO59">
        <f t="shared" si="72"/>
        <v>0</v>
      </c>
      <c r="KJP59">
        <f t="shared" si="73"/>
        <v>0</v>
      </c>
      <c r="KJQ59">
        <f t="shared" si="74"/>
        <v>0</v>
      </c>
      <c r="KJR59">
        <f t="shared" si="75"/>
        <v>0</v>
      </c>
      <c r="KJS59">
        <f t="shared" si="76"/>
        <v>0</v>
      </c>
      <c r="KJT59">
        <f t="shared" si="77"/>
        <v>0</v>
      </c>
      <c r="KJU59">
        <f t="shared" si="78"/>
        <v>0</v>
      </c>
      <c r="KJV59">
        <f t="shared" si="79"/>
        <v>0</v>
      </c>
      <c r="KJW59">
        <f t="shared" si="80"/>
        <v>0</v>
      </c>
      <c r="KJX59">
        <f t="shared" si="81"/>
        <v>0</v>
      </c>
      <c r="KJY59">
        <f t="shared" si="82"/>
        <v>0</v>
      </c>
      <c r="KJZ59">
        <f t="shared" si="83"/>
        <v>0</v>
      </c>
      <c r="KKA59">
        <f t="shared" si="84"/>
        <v>0</v>
      </c>
      <c r="KKB59">
        <f t="shared" si="85"/>
        <v>0</v>
      </c>
      <c r="KKC59">
        <f t="shared" si="86"/>
        <v>0</v>
      </c>
      <c r="KKD59">
        <f t="shared" si="87"/>
        <v>0</v>
      </c>
      <c r="KKE59">
        <f t="shared" si="88"/>
        <v>0</v>
      </c>
      <c r="KKF59">
        <f t="shared" si="89"/>
        <v>0</v>
      </c>
      <c r="KKG59">
        <f t="shared" si="90"/>
        <v>0</v>
      </c>
      <c r="KKH59">
        <f t="shared" si="91"/>
        <v>0</v>
      </c>
      <c r="KKI59">
        <f t="shared" si="92"/>
        <v>0</v>
      </c>
      <c r="KKJ59">
        <f t="shared" si="93"/>
        <v>0</v>
      </c>
      <c r="KKK59">
        <f t="shared" si="94"/>
        <v>0</v>
      </c>
      <c r="KKL59">
        <f t="shared" si="95"/>
        <v>0</v>
      </c>
      <c r="KKM59">
        <f t="shared" si="96"/>
        <v>0</v>
      </c>
      <c r="KKN59">
        <f t="shared" si="97"/>
        <v>0</v>
      </c>
      <c r="KKO59">
        <f t="shared" si="98"/>
        <v>0</v>
      </c>
      <c r="KKP59">
        <f t="shared" si="99"/>
        <v>0</v>
      </c>
      <c r="KKR59">
        <f t="shared" si="100"/>
        <v>290</v>
      </c>
      <c r="KKT59">
        <f t="shared" si="100"/>
        <v>290</v>
      </c>
      <c r="KKU59">
        <f t="shared" si="101"/>
        <v>11.6</v>
      </c>
      <c r="KKW59">
        <f t="shared" si="101"/>
        <v>11.6</v>
      </c>
    </row>
    <row r="60" spans="1:514 1409:1417 2495:2576 4143:4764 5778:5831 6491:7134 7639:7745">
      <c r="A60" t="s">
        <v>7679</v>
      </c>
      <c r="B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KGU60" s="1">
        <f t="shared" si="0"/>
        <v>27</v>
      </c>
      <c r="KGV60">
        <f t="shared" si="1"/>
        <v>0</v>
      </c>
      <c r="KGW60">
        <f t="shared" si="2"/>
        <v>0</v>
      </c>
      <c r="KGX60">
        <f t="shared" si="3"/>
        <v>0</v>
      </c>
      <c r="KGY60">
        <f t="shared" si="4"/>
        <v>0</v>
      </c>
      <c r="KGZ60">
        <f t="shared" si="5"/>
        <v>0</v>
      </c>
      <c r="KHA60">
        <f t="shared" si="6"/>
        <v>0</v>
      </c>
      <c r="KHB60">
        <f t="shared" si="7"/>
        <v>0</v>
      </c>
      <c r="KHC60">
        <f t="shared" si="8"/>
        <v>0</v>
      </c>
      <c r="KHD60">
        <f t="shared" si="9"/>
        <v>0</v>
      </c>
      <c r="KHE60">
        <f t="shared" si="10"/>
        <v>0</v>
      </c>
      <c r="KHF60">
        <f t="shared" si="11"/>
        <v>0</v>
      </c>
      <c r="KHG60">
        <f t="shared" si="12"/>
        <v>0</v>
      </c>
      <c r="KHH60">
        <f t="shared" si="13"/>
        <v>0</v>
      </c>
      <c r="KHI60">
        <f t="shared" si="14"/>
        <v>0</v>
      </c>
      <c r="KHJ60">
        <f t="shared" si="15"/>
        <v>0</v>
      </c>
      <c r="KHK60">
        <f t="shared" si="16"/>
        <v>0</v>
      </c>
      <c r="KHL60">
        <f t="shared" si="17"/>
        <v>0</v>
      </c>
      <c r="KHM60">
        <f t="shared" si="18"/>
        <v>0</v>
      </c>
      <c r="KHN60">
        <f t="shared" si="19"/>
        <v>0</v>
      </c>
      <c r="KHO60">
        <f t="shared" si="20"/>
        <v>0</v>
      </c>
      <c r="KHP60">
        <f t="shared" si="21"/>
        <v>0</v>
      </c>
      <c r="KHQ60">
        <f t="shared" si="22"/>
        <v>0</v>
      </c>
      <c r="KHR60">
        <f t="shared" si="23"/>
        <v>0</v>
      </c>
      <c r="KHS60">
        <f t="shared" si="24"/>
        <v>0</v>
      </c>
      <c r="KHT60">
        <f t="shared" si="25"/>
        <v>0</v>
      </c>
      <c r="KHU60">
        <f t="shared" si="26"/>
        <v>0</v>
      </c>
      <c r="KHV60">
        <f t="shared" si="27"/>
        <v>0</v>
      </c>
      <c r="KHW60">
        <f t="shared" si="28"/>
        <v>0</v>
      </c>
      <c r="KHX60">
        <f t="shared" si="29"/>
        <v>0</v>
      </c>
      <c r="KHY60">
        <f t="shared" si="30"/>
        <v>0</v>
      </c>
      <c r="KHZ60">
        <f t="shared" si="31"/>
        <v>0</v>
      </c>
      <c r="KIA60">
        <f t="shared" si="32"/>
        <v>0</v>
      </c>
      <c r="KIB60">
        <f t="shared" si="33"/>
        <v>0</v>
      </c>
      <c r="KIC60">
        <f t="shared" si="34"/>
        <v>0</v>
      </c>
      <c r="KID60">
        <f t="shared" si="35"/>
        <v>0</v>
      </c>
      <c r="KIE60">
        <f t="shared" si="36"/>
        <v>0</v>
      </c>
      <c r="KIF60">
        <f t="shared" si="37"/>
        <v>0</v>
      </c>
      <c r="KIG60">
        <f t="shared" si="38"/>
        <v>0</v>
      </c>
      <c r="KIH60">
        <f t="shared" si="39"/>
        <v>0</v>
      </c>
      <c r="KII60">
        <f t="shared" si="40"/>
        <v>0</v>
      </c>
      <c r="KIJ60">
        <f t="shared" si="41"/>
        <v>0</v>
      </c>
      <c r="KIK60">
        <f t="shared" si="42"/>
        <v>0</v>
      </c>
      <c r="KIL60">
        <f t="shared" si="43"/>
        <v>0</v>
      </c>
      <c r="KIM60">
        <f t="shared" si="44"/>
        <v>0</v>
      </c>
      <c r="KIN60">
        <f t="shared" si="45"/>
        <v>0</v>
      </c>
      <c r="KIO60">
        <f t="shared" si="46"/>
        <v>0</v>
      </c>
      <c r="KIP60">
        <f t="shared" si="47"/>
        <v>0</v>
      </c>
      <c r="KIQ60">
        <f t="shared" si="48"/>
        <v>0</v>
      </c>
      <c r="KIR60">
        <f t="shared" si="49"/>
        <v>0</v>
      </c>
      <c r="KIS60">
        <f t="shared" si="50"/>
        <v>0</v>
      </c>
      <c r="KIT60">
        <f t="shared" si="51"/>
        <v>0</v>
      </c>
      <c r="KIU60">
        <f t="shared" si="52"/>
        <v>0</v>
      </c>
      <c r="KIV60">
        <f t="shared" si="53"/>
        <v>0</v>
      </c>
      <c r="KIW60">
        <f t="shared" si="54"/>
        <v>0</v>
      </c>
      <c r="KIX60">
        <f t="shared" si="55"/>
        <v>0</v>
      </c>
      <c r="KIY60">
        <f t="shared" si="56"/>
        <v>0</v>
      </c>
      <c r="KIZ60">
        <f t="shared" si="57"/>
        <v>0</v>
      </c>
      <c r="KJA60">
        <f t="shared" si="58"/>
        <v>0</v>
      </c>
      <c r="KJB60">
        <f t="shared" si="59"/>
        <v>0</v>
      </c>
      <c r="KJC60">
        <f t="shared" si="60"/>
        <v>0</v>
      </c>
      <c r="KJD60">
        <f t="shared" si="61"/>
        <v>0</v>
      </c>
      <c r="KJE60">
        <f t="shared" si="62"/>
        <v>0</v>
      </c>
      <c r="KJF60">
        <f t="shared" si="63"/>
        <v>0</v>
      </c>
      <c r="KJG60">
        <f t="shared" si="64"/>
        <v>0</v>
      </c>
      <c r="KJH60">
        <f t="shared" si="65"/>
        <v>0</v>
      </c>
      <c r="KJI60">
        <f t="shared" si="66"/>
        <v>0</v>
      </c>
      <c r="KJJ60">
        <f t="shared" si="67"/>
        <v>0</v>
      </c>
      <c r="KJK60">
        <f t="shared" si="68"/>
        <v>0</v>
      </c>
      <c r="KJL60">
        <f t="shared" si="69"/>
        <v>0</v>
      </c>
      <c r="KJM60">
        <f t="shared" si="70"/>
        <v>0</v>
      </c>
      <c r="KJN60">
        <f t="shared" si="71"/>
        <v>0</v>
      </c>
      <c r="KJO60">
        <f t="shared" si="72"/>
        <v>0</v>
      </c>
      <c r="KJP60">
        <f t="shared" si="73"/>
        <v>0</v>
      </c>
      <c r="KJQ60">
        <f t="shared" si="74"/>
        <v>0</v>
      </c>
      <c r="KJR60">
        <f t="shared" si="75"/>
        <v>0</v>
      </c>
      <c r="KJS60">
        <f t="shared" si="76"/>
        <v>0</v>
      </c>
      <c r="KJT60">
        <f t="shared" si="77"/>
        <v>0</v>
      </c>
      <c r="KJU60">
        <f t="shared" si="78"/>
        <v>0</v>
      </c>
      <c r="KJV60">
        <f t="shared" si="79"/>
        <v>0</v>
      </c>
      <c r="KJW60">
        <f t="shared" si="80"/>
        <v>0</v>
      </c>
      <c r="KJX60">
        <f t="shared" si="81"/>
        <v>0</v>
      </c>
      <c r="KJY60">
        <f t="shared" si="82"/>
        <v>0</v>
      </c>
      <c r="KJZ60">
        <f t="shared" si="83"/>
        <v>0</v>
      </c>
      <c r="KKA60">
        <f t="shared" si="84"/>
        <v>0</v>
      </c>
      <c r="KKB60">
        <f t="shared" si="85"/>
        <v>0</v>
      </c>
      <c r="KKC60">
        <f t="shared" si="86"/>
        <v>0</v>
      </c>
      <c r="KKD60">
        <f t="shared" si="87"/>
        <v>0</v>
      </c>
      <c r="KKE60">
        <f t="shared" si="88"/>
        <v>0</v>
      </c>
      <c r="KKF60">
        <f t="shared" si="89"/>
        <v>0</v>
      </c>
      <c r="KKG60">
        <f t="shared" si="90"/>
        <v>0</v>
      </c>
      <c r="KKH60">
        <f t="shared" si="91"/>
        <v>0</v>
      </c>
      <c r="KKI60">
        <f t="shared" si="92"/>
        <v>0</v>
      </c>
      <c r="KKJ60">
        <f t="shared" si="93"/>
        <v>0</v>
      </c>
      <c r="KKK60">
        <f t="shared" si="94"/>
        <v>0</v>
      </c>
      <c r="KKL60">
        <f t="shared" si="95"/>
        <v>0</v>
      </c>
      <c r="KKM60">
        <f t="shared" si="96"/>
        <v>0</v>
      </c>
      <c r="KKN60">
        <f t="shared" si="97"/>
        <v>0</v>
      </c>
      <c r="KKO60">
        <f t="shared" si="98"/>
        <v>0</v>
      </c>
      <c r="KKP60">
        <f t="shared" si="99"/>
        <v>0</v>
      </c>
      <c r="KKR60">
        <f t="shared" si="100"/>
        <v>27</v>
      </c>
      <c r="KKT60">
        <f t="shared" si="100"/>
        <v>27</v>
      </c>
      <c r="KKU60">
        <f t="shared" si="101"/>
        <v>1.08</v>
      </c>
      <c r="KKW60">
        <f t="shared" si="101"/>
        <v>1.08</v>
      </c>
    </row>
    <row r="61" spans="1:514 1409:1417 2495:2576 4143:4764 5778:5831 6491:7134 7639:7745">
      <c r="A61" t="s">
        <v>7680</v>
      </c>
      <c r="B61">
        <v>1</v>
      </c>
      <c r="FCI61">
        <v>1</v>
      </c>
      <c r="FCJ61">
        <v>1</v>
      </c>
      <c r="FCK61">
        <v>1</v>
      </c>
      <c r="FCL61">
        <v>1</v>
      </c>
      <c r="FCM61">
        <v>1</v>
      </c>
      <c r="FCN61">
        <v>1</v>
      </c>
      <c r="FCO61">
        <v>1</v>
      </c>
      <c r="FCP61">
        <v>1</v>
      </c>
      <c r="FCQ61">
        <v>1</v>
      </c>
      <c r="FCR61">
        <v>1</v>
      </c>
      <c r="FCS61">
        <v>1</v>
      </c>
      <c r="FCT61">
        <v>1</v>
      </c>
      <c r="FCU61">
        <v>1</v>
      </c>
      <c r="FCV61">
        <v>1</v>
      </c>
      <c r="FCW61">
        <v>1</v>
      </c>
      <c r="FCX61">
        <v>1</v>
      </c>
      <c r="FCY61">
        <v>1</v>
      </c>
      <c r="FCZ61">
        <v>1</v>
      </c>
      <c r="FDA61">
        <v>1</v>
      </c>
      <c r="FDB61">
        <v>1</v>
      </c>
      <c r="FDC61">
        <v>1</v>
      </c>
      <c r="FDD61">
        <v>1</v>
      </c>
      <c r="FDE61">
        <v>1</v>
      </c>
      <c r="FDF61">
        <v>1</v>
      </c>
      <c r="FDG61">
        <v>1</v>
      </c>
      <c r="FDH61">
        <v>1</v>
      </c>
      <c r="FDI61">
        <v>1</v>
      </c>
      <c r="FDJ61">
        <v>1</v>
      </c>
      <c r="FDK61">
        <v>1</v>
      </c>
      <c r="FDL61">
        <v>1</v>
      </c>
      <c r="FDM61">
        <v>1</v>
      </c>
      <c r="FDN61">
        <v>1</v>
      </c>
      <c r="FDO61">
        <v>1</v>
      </c>
      <c r="FDP61">
        <v>1</v>
      </c>
      <c r="FDQ61">
        <v>1</v>
      </c>
      <c r="FDR61">
        <v>1</v>
      </c>
      <c r="FDS61">
        <v>1</v>
      </c>
      <c r="FDT61">
        <v>1</v>
      </c>
      <c r="FDU61">
        <v>1</v>
      </c>
      <c r="FDV61">
        <v>1</v>
      </c>
      <c r="FDW61">
        <v>1</v>
      </c>
      <c r="FDX61">
        <v>1</v>
      </c>
      <c r="FDY61">
        <v>1</v>
      </c>
      <c r="FDZ61">
        <v>1</v>
      </c>
      <c r="KGU61" s="1">
        <f t="shared" si="0"/>
        <v>44</v>
      </c>
      <c r="KGV61">
        <f t="shared" si="1"/>
        <v>0</v>
      </c>
      <c r="KGW61">
        <f t="shared" si="2"/>
        <v>0</v>
      </c>
      <c r="KGX61">
        <f t="shared" si="3"/>
        <v>0</v>
      </c>
      <c r="KGY61">
        <f t="shared" si="4"/>
        <v>0</v>
      </c>
      <c r="KGZ61">
        <f t="shared" si="5"/>
        <v>0</v>
      </c>
      <c r="KHA61">
        <f t="shared" si="6"/>
        <v>0</v>
      </c>
      <c r="KHB61">
        <f t="shared" si="7"/>
        <v>0</v>
      </c>
      <c r="KHC61">
        <f t="shared" si="8"/>
        <v>0</v>
      </c>
      <c r="KHD61">
        <f t="shared" si="9"/>
        <v>0</v>
      </c>
      <c r="KHE61">
        <f t="shared" si="10"/>
        <v>0</v>
      </c>
      <c r="KHF61">
        <f t="shared" si="11"/>
        <v>0</v>
      </c>
      <c r="KHG61">
        <f t="shared" si="12"/>
        <v>0</v>
      </c>
      <c r="KHH61">
        <f t="shared" si="13"/>
        <v>0</v>
      </c>
      <c r="KHI61">
        <f t="shared" si="14"/>
        <v>0</v>
      </c>
      <c r="KHJ61">
        <f t="shared" si="15"/>
        <v>0</v>
      </c>
      <c r="KHK61">
        <f t="shared" si="16"/>
        <v>0</v>
      </c>
      <c r="KHL61">
        <f t="shared" si="17"/>
        <v>0</v>
      </c>
      <c r="KHM61">
        <f t="shared" si="18"/>
        <v>0</v>
      </c>
      <c r="KHN61">
        <f t="shared" si="19"/>
        <v>0</v>
      </c>
      <c r="KHO61">
        <f t="shared" si="20"/>
        <v>0</v>
      </c>
      <c r="KHP61">
        <f t="shared" si="21"/>
        <v>0</v>
      </c>
      <c r="KHQ61">
        <f t="shared" si="22"/>
        <v>0</v>
      </c>
      <c r="KHR61">
        <f t="shared" si="23"/>
        <v>0</v>
      </c>
      <c r="KHS61">
        <f t="shared" si="24"/>
        <v>0</v>
      </c>
      <c r="KHT61">
        <f t="shared" si="25"/>
        <v>0</v>
      </c>
      <c r="KHU61">
        <f t="shared" si="26"/>
        <v>0</v>
      </c>
      <c r="KHV61">
        <f t="shared" si="27"/>
        <v>0</v>
      </c>
      <c r="KHW61">
        <f t="shared" si="28"/>
        <v>0</v>
      </c>
      <c r="KHX61">
        <f t="shared" si="29"/>
        <v>0</v>
      </c>
      <c r="KHY61">
        <f t="shared" si="30"/>
        <v>0</v>
      </c>
      <c r="KHZ61">
        <f t="shared" si="31"/>
        <v>0</v>
      </c>
      <c r="KIA61">
        <f t="shared" si="32"/>
        <v>0</v>
      </c>
      <c r="KIB61">
        <f t="shared" si="33"/>
        <v>0</v>
      </c>
      <c r="KIC61">
        <f t="shared" si="34"/>
        <v>0</v>
      </c>
      <c r="KID61">
        <f t="shared" si="35"/>
        <v>0</v>
      </c>
      <c r="KIE61">
        <f t="shared" si="36"/>
        <v>0</v>
      </c>
      <c r="KIF61">
        <f t="shared" si="37"/>
        <v>0</v>
      </c>
      <c r="KIG61">
        <f t="shared" si="38"/>
        <v>0</v>
      </c>
      <c r="KIH61">
        <f t="shared" si="39"/>
        <v>0</v>
      </c>
      <c r="KII61">
        <f t="shared" si="40"/>
        <v>0</v>
      </c>
      <c r="KIJ61">
        <f t="shared" si="41"/>
        <v>0</v>
      </c>
      <c r="KIK61">
        <f t="shared" si="42"/>
        <v>0</v>
      </c>
      <c r="KIL61">
        <f t="shared" si="43"/>
        <v>0</v>
      </c>
      <c r="KIM61">
        <f t="shared" si="44"/>
        <v>0</v>
      </c>
      <c r="KIN61">
        <f t="shared" si="45"/>
        <v>0</v>
      </c>
      <c r="KIO61">
        <f t="shared" si="46"/>
        <v>0</v>
      </c>
      <c r="KIP61">
        <f t="shared" si="47"/>
        <v>0</v>
      </c>
      <c r="KIQ61">
        <f t="shared" si="48"/>
        <v>0</v>
      </c>
      <c r="KIR61">
        <f t="shared" si="49"/>
        <v>0</v>
      </c>
      <c r="KIS61">
        <f t="shared" si="50"/>
        <v>0</v>
      </c>
      <c r="KIT61">
        <f t="shared" si="51"/>
        <v>0</v>
      </c>
      <c r="KIU61">
        <f t="shared" si="52"/>
        <v>0</v>
      </c>
      <c r="KIV61">
        <f t="shared" si="53"/>
        <v>0</v>
      </c>
      <c r="KIW61">
        <f t="shared" si="54"/>
        <v>0</v>
      </c>
      <c r="KIX61">
        <f t="shared" si="55"/>
        <v>0</v>
      </c>
      <c r="KIY61">
        <f t="shared" si="56"/>
        <v>0</v>
      </c>
      <c r="KIZ61">
        <f t="shared" si="57"/>
        <v>0</v>
      </c>
      <c r="KJA61">
        <f t="shared" si="58"/>
        <v>0</v>
      </c>
      <c r="KJB61">
        <f t="shared" si="59"/>
        <v>0</v>
      </c>
      <c r="KJC61">
        <f t="shared" si="60"/>
        <v>0</v>
      </c>
      <c r="KJD61">
        <f t="shared" si="61"/>
        <v>0</v>
      </c>
      <c r="KJE61">
        <f t="shared" si="62"/>
        <v>0</v>
      </c>
      <c r="KJF61">
        <f t="shared" si="63"/>
        <v>0</v>
      </c>
      <c r="KJG61">
        <f t="shared" si="64"/>
        <v>0</v>
      </c>
      <c r="KJH61">
        <f t="shared" si="65"/>
        <v>0</v>
      </c>
      <c r="KJI61">
        <f t="shared" si="66"/>
        <v>0</v>
      </c>
      <c r="KJJ61">
        <f t="shared" si="67"/>
        <v>0</v>
      </c>
      <c r="KJK61">
        <f t="shared" si="68"/>
        <v>0</v>
      </c>
      <c r="KJL61">
        <f t="shared" si="69"/>
        <v>0</v>
      </c>
      <c r="KJM61">
        <f t="shared" si="70"/>
        <v>0</v>
      </c>
      <c r="KJN61">
        <f t="shared" si="71"/>
        <v>0</v>
      </c>
      <c r="KJO61">
        <f t="shared" si="72"/>
        <v>0</v>
      </c>
      <c r="KJP61">
        <f t="shared" si="73"/>
        <v>0</v>
      </c>
      <c r="KJQ61">
        <f t="shared" si="74"/>
        <v>0</v>
      </c>
      <c r="KJR61">
        <f t="shared" si="75"/>
        <v>0</v>
      </c>
      <c r="KJS61">
        <f t="shared" si="76"/>
        <v>0</v>
      </c>
      <c r="KJT61">
        <f t="shared" si="77"/>
        <v>0</v>
      </c>
      <c r="KJU61">
        <f t="shared" si="78"/>
        <v>0</v>
      </c>
      <c r="KJV61">
        <f t="shared" si="79"/>
        <v>0</v>
      </c>
      <c r="KJW61">
        <f t="shared" si="80"/>
        <v>0</v>
      </c>
      <c r="KJX61">
        <f t="shared" si="81"/>
        <v>0</v>
      </c>
      <c r="KJY61">
        <f t="shared" si="82"/>
        <v>0</v>
      </c>
      <c r="KJZ61">
        <f t="shared" si="83"/>
        <v>0</v>
      </c>
      <c r="KKA61">
        <f t="shared" si="84"/>
        <v>0</v>
      </c>
      <c r="KKB61">
        <f t="shared" si="85"/>
        <v>0</v>
      </c>
      <c r="KKC61">
        <f t="shared" si="86"/>
        <v>0</v>
      </c>
      <c r="KKD61">
        <f t="shared" si="87"/>
        <v>0</v>
      </c>
      <c r="KKE61">
        <f t="shared" si="88"/>
        <v>0</v>
      </c>
      <c r="KKF61">
        <f t="shared" si="89"/>
        <v>0</v>
      </c>
      <c r="KKG61">
        <f t="shared" si="90"/>
        <v>0</v>
      </c>
      <c r="KKH61">
        <f t="shared" si="91"/>
        <v>0</v>
      </c>
      <c r="KKI61">
        <f t="shared" si="92"/>
        <v>0</v>
      </c>
      <c r="KKJ61">
        <f t="shared" si="93"/>
        <v>0</v>
      </c>
      <c r="KKK61">
        <f t="shared" si="94"/>
        <v>0</v>
      </c>
      <c r="KKL61">
        <f t="shared" si="95"/>
        <v>0</v>
      </c>
      <c r="KKM61">
        <f t="shared" si="96"/>
        <v>0</v>
      </c>
      <c r="KKN61">
        <f t="shared" si="97"/>
        <v>0</v>
      </c>
      <c r="KKO61">
        <f t="shared" si="98"/>
        <v>0</v>
      </c>
      <c r="KKP61">
        <f t="shared" si="99"/>
        <v>0</v>
      </c>
      <c r="KKR61">
        <f t="shared" si="100"/>
        <v>44</v>
      </c>
      <c r="KKT61">
        <f t="shared" si="100"/>
        <v>44</v>
      </c>
      <c r="KKU61">
        <f t="shared" si="101"/>
        <v>1.76</v>
      </c>
      <c r="KKW61">
        <f t="shared" si="101"/>
        <v>1.76</v>
      </c>
    </row>
    <row r="62" spans="1:514 1409:1417 2495:2576 4143:4764 5778:5831 6491:7134 7639:7745">
      <c r="A62" t="s">
        <v>19</v>
      </c>
      <c r="B62">
        <v>4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BBE62">
        <v>2</v>
      </c>
      <c r="BBF62">
        <v>2</v>
      </c>
      <c r="BBG62">
        <v>2</v>
      </c>
      <c r="BBH62">
        <v>2</v>
      </c>
      <c r="BBI62">
        <v>2</v>
      </c>
      <c r="BBJ62">
        <v>2</v>
      </c>
      <c r="BBK62">
        <v>2</v>
      </c>
      <c r="BBL62">
        <v>2</v>
      </c>
      <c r="BBM62">
        <v>2</v>
      </c>
      <c r="IOQ62">
        <v>3</v>
      </c>
      <c r="IOR62">
        <v>3</v>
      </c>
      <c r="IOS62">
        <v>3</v>
      </c>
      <c r="IOT62">
        <v>3</v>
      </c>
      <c r="IOU62">
        <v>3</v>
      </c>
      <c r="IOV62">
        <v>3</v>
      </c>
      <c r="IOW62">
        <v>3</v>
      </c>
      <c r="IOX62">
        <v>3</v>
      </c>
      <c r="IOY62">
        <v>3</v>
      </c>
      <c r="IOZ62">
        <v>3</v>
      </c>
      <c r="IPA62">
        <v>3</v>
      </c>
      <c r="IPB62">
        <v>3</v>
      </c>
      <c r="IPC62">
        <v>3</v>
      </c>
      <c r="IPD62">
        <v>3</v>
      </c>
      <c r="IPE62">
        <v>3</v>
      </c>
      <c r="IPF62">
        <v>3</v>
      </c>
      <c r="IPG62">
        <v>3</v>
      </c>
      <c r="IPH62">
        <v>3</v>
      </c>
      <c r="IPI62">
        <v>3</v>
      </c>
      <c r="IPJ62">
        <v>3</v>
      </c>
      <c r="IPK62">
        <v>3</v>
      </c>
      <c r="IPL62">
        <v>3</v>
      </c>
      <c r="IPM62">
        <v>3</v>
      </c>
      <c r="IPN62">
        <v>3</v>
      </c>
      <c r="IPO62">
        <v>3</v>
      </c>
      <c r="IPP62">
        <v>3</v>
      </c>
      <c r="IPQ62">
        <v>3</v>
      </c>
      <c r="IPR62">
        <v>3</v>
      </c>
      <c r="IPS62">
        <v>3</v>
      </c>
      <c r="IPT62">
        <v>3</v>
      </c>
      <c r="IPU62">
        <v>3</v>
      </c>
      <c r="IPV62">
        <v>3</v>
      </c>
      <c r="IPW62">
        <v>3</v>
      </c>
      <c r="IPX62">
        <v>3</v>
      </c>
      <c r="IPY62">
        <v>3</v>
      </c>
      <c r="IPZ62">
        <v>3</v>
      </c>
      <c r="IQA62">
        <v>3</v>
      </c>
      <c r="IQB62">
        <v>3</v>
      </c>
      <c r="IQC62">
        <v>3</v>
      </c>
      <c r="IQD62">
        <v>3</v>
      </c>
      <c r="IQE62">
        <v>3</v>
      </c>
      <c r="IQF62">
        <v>3</v>
      </c>
      <c r="IQG62">
        <v>3</v>
      </c>
      <c r="IQH62">
        <v>3</v>
      </c>
      <c r="IQI62">
        <v>3</v>
      </c>
      <c r="IQJ62">
        <v>3</v>
      </c>
      <c r="IQK62">
        <v>3</v>
      </c>
      <c r="IQL62">
        <v>3</v>
      </c>
      <c r="IQM62">
        <v>3</v>
      </c>
      <c r="IQN62">
        <v>3</v>
      </c>
      <c r="IQO62">
        <v>3</v>
      </c>
      <c r="IQP62">
        <v>3</v>
      </c>
      <c r="IQQ62">
        <v>3</v>
      </c>
      <c r="IQR62">
        <v>3</v>
      </c>
      <c r="IQS62">
        <v>3</v>
      </c>
      <c r="IQT62">
        <v>3</v>
      </c>
      <c r="IQU62">
        <v>3</v>
      </c>
      <c r="IQV62">
        <v>3</v>
      </c>
      <c r="IQW62">
        <v>3</v>
      </c>
      <c r="IQX62">
        <v>3</v>
      </c>
      <c r="IQY62">
        <v>3</v>
      </c>
      <c r="IQZ62">
        <v>3</v>
      </c>
      <c r="IRA62">
        <v>3</v>
      </c>
      <c r="IRB62">
        <v>3</v>
      </c>
      <c r="IRC62">
        <v>3</v>
      </c>
      <c r="IRD62">
        <v>3</v>
      </c>
      <c r="IRE62">
        <v>3</v>
      </c>
      <c r="IRF62">
        <v>3</v>
      </c>
      <c r="IRG62">
        <v>3</v>
      </c>
      <c r="IRH62">
        <v>3</v>
      </c>
      <c r="IRI62">
        <v>3</v>
      </c>
      <c r="IRJ62">
        <v>3</v>
      </c>
      <c r="IRK62">
        <v>3</v>
      </c>
      <c r="IRL62">
        <v>3</v>
      </c>
      <c r="IRM62">
        <v>3</v>
      </c>
      <c r="IXG62">
        <v>4</v>
      </c>
      <c r="IXH62">
        <v>4</v>
      </c>
      <c r="IXI62">
        <v>4</v>
      </c>
      <c r="IXJ62">
        <v>4</v>
      </c>
      <c r="IXK62">
        <v>4</v>
      </c>
      <c r="IXL62">
        <v>4</v>
      </c>
      <c r="IXM62">
        <v>4</v>
      </c>
      <c r="IXN62">
        <v>4</v>
      </c>
      <c r="IXO62">
        <v>4</v>
      </c>
      <c r="IXP62">
        <v>4</v>
      </c>
      <c r="IXQ62">
        <v>4</v>
      </c>
      <c r="IXR62">
        <v>4</v>
      </c>
      <c r="IXS62">
        <v>4</v>
      </c>
      <c r="IXT62">
        <v>4</v>
      </c>
      <c r="IXU62">
        <v>4</v>
      </c>
      <c r="IXV62">
        <v>4</v>
      </c>
      <c r="IXW62">
        <v>4</v>
      </c>
      <c r="IXX62">
        <v>4</v>
      </c>
      <c r="IXY62">
        <v>4</v>
      </c>
      <c r="IXZ62">
        <v>4</v>
      </c>
      <c r="IYA62">
        <v>4</v>
      </c>
      <c r="IYB62">
        <v>4</v>
      </c>
      <c r="IYC62">
        <v>4</v>
      </c>
      <c r="IYD62">
        <v>4</v>
      </c>
      <c r="IYE62">
        <v>4</v>
      </c>
      <c r="IYF62">
        <v>4</v>
      </c>
      <c r="IYG62">
        <v>4</v>
      </c>
      <c r="IYH62">
        <v>4</v>
      </c>
      <c r="IYI62">
        <v>4</v>
      </c>
      <c r="IYJ62">
        <v>4</v>
      </c>
      <c r="IYK62">
        <v>4</v>
      </c>
      <c r="IYL62">
        <v>4</v>
      </c>
      <c r="IYM62">
        <v>4</v>
      </c>
      <c r="IYN62">
        <v>4</v>
      </c>
      <c r="IYO62">
        <v>4</v>
      </c>
      <c r="IYP62">
        <v>4</v>
      </c>
      <c r="IYQ62">
        <v>4</v>
      </c>
      <c r="IYR62">
        <v>4</v>
      </c>
      <c r="IYS62">
        <v>4</v>
      </c>
      <c r="IYT62">
        <v>4</v>
      </c>
      <c r="IYU62">
        <v>4</v>
      </c>
      <c r="IYV62">
        <v>4</v>
      </c>
      <c r="IYW62">
        <v>4</v>
      </c>
      <c r="IYX62">
        <v>4</v>
      </c>
      <c r="IYY62">
        <v>4</v>
      </c>
      <c r="IYZ62">
        <v>4</v>
      </c>
      <c r="IZA62">
        <v>4</v>
      </c>
      <c r="IZB62">
        <v>4</v>
      </c>
      <c r="IZC62">
        <v>4</v>
      </c>
      <c r="KGU62" s="1">
        <f t="shared" si="0"/>
        <v>55</v>
      </c>
      <c r="KGV62">
        <f t="shared" si="1"/>
        <v>9</v>
      </c>
      <c r="KGW62">
        <f t="shared" si="2"/>
        <v>75</v>
      </c>
      <c r="KGX62">
        <f t="shared" si="3"/>
        <v>49</v>
      </c>
      <c r="KGY62">
        <f t="shared" si="4"/>
        <v>0</v>
      </c>
      <c r="KGZ62">
        <f t="shared" si="5"/>
        <v>0</v>
      </c>
      <c r="KHA62">
        <f t="shared" si="6"/>
        <v>0</v>
      </c>
      <c r="KHB62">
        <f t="shared" si="7"/>
        <v>0</v>
      </c>
      <c r="KHC62">
        <f t="shared" si="8"/>
        <v>0</v>
      </c>
      <c r="KHD62">
        <f t="shared" si="9"/>
        <v>0</v>
      </c>
      <c r="KHE62">
        <f t="shared" si="10"/>
        <v>0</v>
      </c>
      <c r="KHF62">
        <f t="shared" si="11"/>
        <v>0</v>
      </c>
      <c r="KHG62">
        <f t="shared" si="12"/>
        <v>0</v>
      </c>
      <c r="KHH62">
        <f t="shared" si="13"/>
        <v>0</v>
      </c>
      <c r="KHI62">
        <f t="shared" si="14"/>
        <v>0</v>
      </c>
      <c r="KHJ62">
        <f t="shared" si="15"/>
        <v>0</v>
      </c>
      <c r="KHK62">
        <f t="shared" si="16"/>
        <v>0</v>
      </c>
      <c r="KHL62">
        <f t="shared" si="17"/>
        <v>0</v>
      </c>
      <c r="KHM62">
        <f t="shared" si="18"/>
        <v>0</v>
      </c>
      <c r="KHN62">
        <f t="shared" si="19"/>
        <v>0</v>
      </c>
      <c r="KHO62">
        <f t="shared" si="20"/>
        <v>0</v>
      </c>
      <c r="KHP62">
        <f t="shared" si="21"/>
        <v>0</v>
      </c>
      <c r="KHQ62">
        <f t="shared" si="22"/>
        <v>0</v>
      </c>
      <c r="KHR62">
        <f t="shared" si="23"/>
        <v>0</v>
      </c>
      <c r="KHS62">
        <f t="shared" si="24"/>
        <v>0</v>
      </c>
      <c r="KHT62">
        <f t="shared" si="25"/>
        <v>0</v>
      </c>
      <c r="KHU62">
        <f t="shared" si="26"/>
        <v>0</v>
      </c>
      <c r="KHV62">
        <f t="shared" si="27"/>
        <v>0</v>
      </c>
      <c r="KHW62">
        <f t="shared" si="28"/>
        <v>0</v>
      </c>
      <c r="KHX62">
        <f t="shared" si="29"/>
        <v>0</v>
      </c>
      <c r="KHY62">
        <f t="shared" si="30"/>
        <v>0</v>
      </c>
      <c r="KHZ62">
        <f t="shared" si="31"/>
        <v>0</v>
      </c>
      <c r="KIA62">
        <f t="shared" si="32"/>
        <v>0</v>
      </c>
      <c r="KIB62">
        <f t="shared" si="33"/>
        <v>0</v>
      </c>
      <c r="KIC62">
        <f t="shared" si="34"/>
        <v>0</v>
      </c>
      <c r="KID62">
        <f t="shared" si="35"/>
        <v>0</v>
      </c>
      <c r="KIE62">
        <f t="shared" si="36"/>
        <v>0</v>
      </c>
      <c r="KIF62">
        <f t="shared" si="37"/>
        <v>0</v>
      </c>
      <c r="KIG62">
        <f t="shared" si="38"/>
        <v>0</v>
      </c>
      <c r="KIH62">
        <f t="shared" si="39"/>
        <v>0</v>
      </c>
      <c r="KII62">
        <f t="shared" si="40"/>
        <v>0</v>
      </c>
      <c r="KIJ62">
        <f t="shared" si="41"/>
        <v>0</v>
      </c>
      <c r="KIK62">
        <f t="shared" si="42"/>
        <v>0</v>
      </c>
      <c r="KIL62">
        <f t="shared" si="43"/>
        <v>0</v>
      </c>
      <c r="KIM62">
        <f t="shared" si="44"/>
        <v>0</v>
      </c>
      <c r="KIN62">
        <f t="shared" si="45"/>
        <v>0</v>
      </c>
      <c r="KIO62">
        <f t="shared" si="46"/>
        <v>0</v>
      </c>
      <c r="KIP62">
        <f t="shared" si="47"/>
        <v>0</v>
      </c>
      <c r="KIQ62">
        <f t="shared" si="48"/>
        <v>0</v>
      </c>
      <c r="KIR62">
        <f t="shared" si="49"/>
        <v>0</v>
      </c>
      <c r="KIS62">
        <f t="shared" si="50"/>
        <v>0</v>
      </c>
      <c r="KIT62">
        <f t="shared" si="51"/>
        <v>0</v>
      </c>
      <c r="KIU62">
        <f t="shared" si="52"/>
        <v>0</v>
      </c>
      <c r="KIV62">
        <f t="shared" si="53"/>
        <v>0</v>
      </c>
      <c r="KIW62">
        <f t="shared" si="54"/>
        <v>0</v>
      </c>
      <c r="KIX62">
        <f t="shared" si="55"/>
        <v>0</v>
      </c>
      <c r="KIY62">
        <f t="shared" si="56"/>
        <v>0</v>
      </c>
      <c r="KIZ62">
        <f t="shared" si="57"/>
        <v>0</v>
      </c>
      <c r="KJA62">
        <f t="shared" si="58"/>
        <v>0</v>
      </c>
      <c r="KJB62">
        <f t="shared" si="59"/>
        <v>0</v>
      </c>
      <c r="KJC62">
        <f t="shared" si="60"/>
        <v>0</v>
      </c>
      <c r="KJD62">
        <f t="shared" si="61"/>
        <v>0</v>
      </c>
      <c r="KJE62">
        <f t="shared" si="62"/>
        <v>0</v>
      </c>
      <c r="KJF62">
        <f t="shared" si="63"/>
        <v>0</v>
      </c>
      <c r="KJG62">
        <f t="shared" si="64"/>
        <v>0</v>
      </c>
      <c r="KJH62">
        <f t="shared" si="65"/>
        <v>0</v>
      </c>
      <c r="KJI62">
        <f t="shared" si="66"/>
        <v>0</v>
      </c>
      <c r="KJJ62">
        <f t="shared" si="67"/>
        <v>0</v>
      </c>
      <c r="KJK62">
        <f t="shared" si="68"/>
        <v>0</v>
      </c>
      <c r="KJL62">
        <f t="shared" si="69"/>
        <v>0</v>
      </c>
      <c r="KJM62">
        <f t="shared" si="70"/>
        <v>0</v>
      </c>
      <c r="KJN62">
        <f t="shared" si="71"/>
        <v>0</v>
      </c>
      <c r="KJO62">
        <f t="shared" si="72"/>
        <v>0</v>
      </c>
      <c r="KJP62">
        <f t="shared" si="73"/>
        <v>0</v>
      </c>
      <c r="KJQ62">
        <f t="shared" si="74"/>
        <v>0</v>
      </c>
      <c r="KJR62">
        <f t="shared" si="75"/>
        <v>0</v>
      </c>
      <c r="KJS62">
        <f t="shared" si="76"/>
        <v>0</v>
      </c>
      <c r="KJT62">
        <f t="shared" si="77"/>
        <v>0</v>
      </c>
      <c r="KJU62">
        <f t="shared" si="78"/>
        <v>0</v>
      </c>
      <c r="KJV62">
        <f t="shared" si="79"/>
        <v>0</v>
      </c>
      <c r="KJW62">
        <f t="shared" si="80"/>
        <v>0</v>
      </c>
      <c r="KJX62">
        <f t="shared" si="81"/>
        <v>0</v>
      </c>
      <c r="KJY62">
        <f t="shared" si="82"/>
        <v>0</v>
      </c>
      <c r="KJZ62">
        <f t="shared" si="83"/>
        <v>0</v>
      </c>
      <c r="KKA62">
        <f t="shared" si="84"/>
        <v>0</v>
      </c>
      <c r="KKB62">
        <f t="shared" si="85"/>
        <v>0</v>
      </c>
      <c r="KKC62">
        <f t="shared" si="86"/>
        <v>0</v>
      </c>
      <c r="KKD62">
        <f t="shared" si="87"/>
        <v>0</v>
      </c>
      <c r="KKE62">
        <f t="shared" si="88"/>
        <v>0</v>
      </c>
      <c r="KKF62">
        <f t="shared" si="89"/>
        <v>0</v>
      </c>
      <c r="KKG62">
        <f t="shared" si="90"/>
        <v>0</v>
      </c>
      <c r="KKH62">
        <f t="shared" si="91"/>
        <v>0</v>
      </c>
      <c r="KKI62">
        <f t="shared" si="92"/>
        <v>0</v>
      </c>
      <c r="KKJ62">
        <f t="shared" si="93"/>
        <v>0</v>
      </c>
      <c r="KKK62">
        <f t="shared" si="94"/>
        <v>0</v>
      </c>
      <c r="KKL62">
        <f t="shared" si="95"/>
        <v>0</v>
      </c>
      <c r="KKM62">
        <f t="shared" si="96"/>
        <v>0</v>
      </c>
      <c r="KKN62">
        <f t="shared" si="97"/>
        <v>0</v>
      </c>
      <c r="KKO62">
        <f t="shared" si="98"/>
        <v>0</v>
      </c>
      <c r="KKP62">
        <f t="shared" si="99"/>
        <v>0</v>
      </c>
      <c r="KKR62">
        <f t="shared" si="100"/>
        <v>188</v>
      </c>
      <c r="KKT62">
        <f t="shared" si="100"/>
        <v>188</v>
      </c>
      <c r="KKU62">
        <f t="shared" si="101"/>
        <v>7.52</v>
      </c>
      <c r="KKW62">
        <f t="shared" si="101"/>
        <v>7.52</v>
      </c>
    </row>
    <row r="63" spans="1:514 1409:1417 2495:2576 4143:4764 5778:5831 6491:7134 7639:7745">
      <c r="A63" t="s">
        <v>35</v>
      </c>
      <c r="B63">
        <v>1</v>
      </c>
      <c r="IRN63">
        <v>1</v>
      </c>
      <c r="IRO63">
        <v>1</v>
      </c>
      <c r="IRP63">
        <v>1</v>
      </c>
      <c r="IRQ63">
        <v>1</v>
      </c>
      <c r="IRR63">
        <v>1</v>
      </c>
      <c r="IRS63">
        <v>1</v>
      </c>
      <c r="IRT63">
        <v>1</v>
      </c>
      <c r="IRU63">
        <v>1</v>
      </c>
      <c r="IRV63">
        <v>1</v>
      </c>
      <c r="IRW63">
        <v>1</v>
      </c>
      <c r="IRX63">
        <v>1</v>
      </c>
      <c r="IRY63">
        <v>1</v>
      </c>
      <c r="IRZ63">
        <v>1</v>
      </c>
      <c r="ISA63">
        <v>1</v>
      </c>
      <c r="ISB63">
        <v>1</v>
      </c>
      <c r="ISC63">
        <v>1</v>
      </c>
      <c r="ISD63">
        <v>1</v>
      </c>
      <c r="ISE63">
        <v>1</v>
      </c>
      <c r="ISF63">
        <v>1</v>
      </c>
      <c r="ISG63">
        <v>1</v>
      </c>
      <c r="ISH63">
        <v>1</v>
      </c>
      <c r="ISI63">
        <v>1</v>
      </c>
      <c r="ISJ63">
        <v>1</v>
      </c>
      <c r="ISK63">
        <v>1</v>
      </c>
      <c r="ISL63">
        <v>1</v>
      </c>
      <c r="ISM63">
        <v>1</v>
      </c>
      <c r="ISN63">
        <v>1</v>
      </c>
      <c r="ISO63">
        <v>1</v>
      </c>
      <c r="ISP63">
        <v>1</v>
      </c>
      <c r="ISQ63">
        <v>1</v>
      </c>
      <c r="ISR63">
        <v>1</v>
      </c>
      <c r="ISS63">
        <v>1</v>
      </c>
      <c r="IST63">
        <v>1</v>
      </c>
      <c r="ISU63">
        <v>1</v>
      </c>
      <c r="ISV63">
        <v>1</v>
      </c>
      <c r="ISW63">
        <v>1</v>
      </c>
      <c r="ISX63">
        <v>1</v>
      </c>
      <c r="ISY63">
        <v>1</v>
      </c>
      <c r="ISZ63">
        <v>1</v>
      </c>
      <c r="ITA63">
        <v>1</v>
      </c>
      <c r="ITB63">
        <v>1</v>
      </c>
      <c r="ITC63">
        <v>1</v>
      </c>
      <c r="ITD63">
        <v>1</v>
      </c>
      <c r="ITE63">
        <v>1</v>
      </c>
      <c r="ITF63">
        <v>1</v>
      </c>
      <c r="ITG63">
        <v>1</v>
      </c>
      <c r="ITH63">
        <v>1</v>
      </c>
      <c r="ITI63">
        <v>1</v>
      </c>
      <c r="ITJ63">
        <v>1</v>
      </c>
      <c r="ITK63">
        <v>1</v>
      </c>
      <c r="ITL63">
        <v>1</v>
      </c>
      <c r="ITM63">
        <v>1</v>
      </c>
      <c r="ITN63">
        <v>1</v>
      </c>
      <c r="ITO63">
        <v>1</v>
      </c>
      <c r="ITP63">
        <v>1</v>
      </c>
      <c r="ITQ63">
        <v>1</v>
      </c>
      <c r="ITR63">
        <v>1</v>
      </c>
      <c r="ITS63">
        <v>1</v>
      </c>
      <c r="ITT63">
        <v>1</v>
      </c>
      <c r="ITU63">
        <v>1</v>
      </c>
      <c r="ITV63">
        <v>1</v>
      </c>
      <c r="ITW63">
        <v>1</v>
      </c>
      <c r="ITX63">
        <v>1</v>
      </c>
      <c r="ITY63">
        <v>1</v>
      </c>
      <c r="ITZ63">
        <v>1</v>
      </c>
      <c r="IUA63">
        <v>1</v>
      </c>
      <c r="IUB63">
        <v>1</v>
      </c>
      <c r="IUC63">
        <v>1</v>
      </c>
      <c r="IUD63">
        <v>1</v>
      </c>
      <c r="IUE63">
        <v>1</v>
      </c>
      <c r="IUF63">
        <v>1</v>
      </c>
      <c r="IUG63">
        <v>1</v>
      </c>
      <c r="IUH63">
        <v>1</v>
      </c>
      <c r="IUI63">
        <v>1</v>
      </c>
      <c r="IUJ63">
        <v>1</v>
      </c>
      <c r="IUK63">
        <v>1</v>
      </c>
      <c r="IUL63">
        <v>1</v>
      </c>
      <c r="IUM63">
        <v>1</v>
      </c>
      <c r="IUN63">
        <v>1</v>
      </c>
      <c r="IUO63">
        <v>1</v>
      </c>
      <c r="IUP63">
        <v>1</v>
      </c>
      <c r="IUQ63">
        <v>1</v>
      </c>
      <c r="IUR63">
        <v>1</v>
      </c>
      <c r="IUS63">
        <v>1</v>
      </c>
      <c r="IUT63">
        <v>1</v>
      </c>
      <c r="IUU63">
        <v>1</v>
      </c>
      <c r="IUV63">
        <v>1</v>
      </c>
      <c r="IUW63">
        <v>1</v>
      </c>
      <c r="IUX63">
        <v>1</v>
      </c>
      <c r="IUY63">
        <v>1</v>
      </c>
      <c r="IUZ63">
        <v>1</v>
      </c>
      <c r="IVA63">
        <v>1</v>
      </c>
      <c r="IVB63">
        <v>1</v>
      </c>
      <c r="IVC63">
        <v>1</v>
      </c>
      <c r="IVD63">
        <v>1</v>
      </c>
      <c r="IVE63">
        <v>1</v>
      </c>
      <c r="IVF63">
        <v>1</v>
      </c>
      <c r="IVG63">
        <v>1</v>
      </c>
      <c r="IVH63">
        <v>1</v>
      </c>
      <c r="IVI63">
        <v>1</v>
      </c>
      <c r="IVJ63">
        <v>1</v>
      </c>
      <c r="IVK63">
        <v>1</v>
      </c>
      <c r="IVL63">
        <v>1</v>
      </c>
      <c r="IVM63">
        <v>1</v>
      </c>
      <c r="IVN63">
        <v>1</v>
      </c>
      <c r="IVO63">
        <v>1</v>
      </c>
      <c r="IVP63">
        <v>1</v>
      </c>
      <c r="IVQ63">
        <v>1</v>
      </c>
      <c r="IVR63">
        <v>1</v>
      </c>
      <c r="IVS63">
        <v>1</v>
      </c>
      <c r="IVT63">
        <v>1</v>
      </c>
      <c r="IVU63">
        <v>1</v>
      </c>
      <c r="IVV63">
        <v>1</v>
      </c>
      <c r="IVW63">
        <v>1</v>
      </c>
      <c r="IVX63">
        <v>1</v>
      </c>
      <c r="IVY63">
        <v>1</v>
      </c>
      <c r="IVZ63">
        <v>1</v>
      </c>
      <c r="IWA63">
        <v>1</v>
      </c>
      <c r="IWB63">
        <v>1</v>
      </c>
      <c r="IWC63">
        <v>1</v>
      </c>
      <c r="IWD63">
        <v>1</v>
      </c>
      <c r="IWE63">
        <v>1</v>
      </c>
      <c r="IWF63">
        <v>1</v>
      </c>
      <c r="IWG63">
        <v>1</v>
      </c>
      <c r="IWH63">
        <v>1</v>
      </c>
      <c r="IWI63">
        <v>1</v>
      </c>
      <c r="IWJ63">
        <v>1</v>
      </c>
      <c r="IWK63">
        <v>1</v>
      </c>
      <c r="IWL63">
        <v>1</v>
      </c>
      <c r="IWM63">
        <v>1</v>
      </c>
      <c r="IWN63">
        <v>1</v>
      </c>
      <c r="IWO63">
        <v>1</v>
      </c>
      <c r="IWP63">
        <v>1</v>
      </c>
      <c r="IWQ63">
        <v>1</v>
      </c>
      <c r="IWR63">
        <v>1</v>
      </c>
      <c r="IWS63">
        <v>1</v>
      </c>
      <c r="IWT63">
        <v>1</v>
      </c>
      <c r="IWU63">
        <v>1</v>
      </c>
      <c r="IWV63">
        <v>1</v>
      </c>
      <c r="IWW63">
        <v>1</v>
      </c>
      <c r="IWX63">
        <v>1</v>
      </c>
      <c r="IWY63">
        <v>1</v>
      </c>
      <c r="IWZ63">
        <v>1</v>
      </c>
      <c r="IXA63">
        <v>1</v>
      </c>
      <c r="IXB63">
        <v>1</v>
      </c>
      <c r="IXC63">
        <v>1</v>
      </c>
      <c r="IXD63">
        <v>1</v>
      </c>
      <c r="IXE63">
        <v>1</v>
      </c>
      <c r="IXF63">
        <v>1</v>
      </c>
      <c r="KGU63" s="1">
        <f t="shared" si="0"/>
        <v>149</v>
      </c>
      <c r="KGV63">
        <f t="shared" si="1"/>
        <v>0</v>
      </c>
      <c r="KGW63">
        <f t="shared" si="2"/>
        <v>0</v>
      </c>
      <c r="KGX63">
        <f t="shared" si="3"/>
        <v>0</v>
      </c>
      <c r="KGY63">
        <f t="shared" si="4"/>
        <v>0</v>
      </c>
      <c r="KGZ63">
        <f t="shared" si="5"/>
        <v>0</v>
      </c>
      <c r="KHA63">
        <f t="shared" si="6"/>
        <v>0</v>
      </c>
      <c r="KHB63">
        <f t="shared" si="7"/>
        <v>0</v>
      </c>
      <c r="KHC63">
        <f t="shared" si="8"/>
        <v>0</v>
      </c>
      <c r="KHD63">
        <f t="shared" si="9"/>
        <v>0</v>
      </c>
      <c r="KHE63">
        <f t="shared" si="10"/>
        <v>0</v>
      </c>
      <c r="KHF63">
        <f t="shared" si="11"/>
        <v>0</v>
      </c>
      <c r="KHG63">
        <f t="shared" si="12"/>
        <v>0</v>
      </c>
      <c r="KHH63">
        <f t="shared" si="13"/>
        <v>0</v>
      </c>
      <c r="KHI63">
        <f t="shared" si="14"/>
        <v>0</v>
      </c>
      <c r="KHJ63">
        <f t="shared" si="15"/>
        <v>0</v>
      </c>
      <c r="KHK63">
        <f t="shared" si="16"/>
        <v>0</v>
      </c>
      <c r="KHL63">
        <f t="shared" si="17"/>
        <v>0</v>
      </c>
      <c r="KHM63">
        <f t="shared" si="18"/>
        <v>0</v>
      </c>
      <c r="KHN63">
        <f t="shared" si="19"/>
        <v>0</v>
      </c>
      <c r="KHO63">
        <f t="shared" si="20"/>
        <v>0</v>
      </c>
      <c r="KHP63">
        <f t="shared" si="21"/>
        <v>0</v>
      </c>
      <c r="KHQ63">
        <f t="shared" si="22"/>
        <v>0</v>
      </c>
      <c r="KHR63">
        <f t="shared" si="23"/>
        <v>0</v>
      </c>
      <c r="KHS63">
        <f t="shared" si="24"/>
        <v>0</v>
      </c>
      <c r="KHT63">
        <f t="shared" si="25"/>
        <v>0</v>
      </c>
      <c r="KHU63">
        <f t="shared" si="26"/>
        <v>0</v>
      </c>
      <c r="KHV63">
        <f t="shared" si="27"/>
        <v>0</v>
      </c>
      <c r="KHW63">
        <f t="shared" si="28"/>
        <v>0</v>
      </c>
      <c r="KHX63">
        <f t="shared" si="29"/>
        <v>0</v>
      </c>
      <c r="KHY63">
        <f t="shared" si="30"/>
        <v>0</v>
      </c>
      <c r="KHZ63">
        <f t="shared" si="31"/>
        <v>0</v>
      </c>
      <c r="KIA63">
        <f t="shared" si="32"/>
        <v>0</v>
      </c>
      <c r="KIB63">
        <f t="shared" si="33"/>
        <v>0</v>
      </c>
      <c r="KIC63">
        <f t="shared" si="34"/>
        <v>0</v>
      </c>
      <c r="KID63">
        <f t="shared" si="35"/>
        <v>0</v>
      </c>
      <c r="KIE63">
        <f t="shared" si="36"/>
        <v>0</v>
      </c>
      <c r="KIF63">
        <f t="shared" si="37"/>
        <v>0</v>
      </c>
      <c r="KIG63">
        <f t="shared" si="38"/>
        <v>0</v>
      </c>
      <c r="KIH63">
        <f t="shared" si="39"/>
        <v>0</v>
      </c>
      <c r="KII63">
        <f t="shared" si="40"/>
        <v>0</v>
      </c>
      <c r="KIJ63">
        <f t="shared" si="41"/>
        <v>0</v>
      </c>
      <c r="KIK63">
        <f t="shared" si="42"/>
        <v>0</v>
      </c>
      <c r="KIL63">
        <f t="shared" si="43"/>
        <v>0</v>
      </c>
      <c r="KIM63">
        <f t="shared" si="44"/>
        <v>0</v>
      </c>
      <c r="KIN63">
        <f t="shared" si="45"/>
        <v>0</v>
      </c>
      <c r="KIO63">
        <f t="shared" si="46"/>
        <v>0</v>
      </c>
      <c r="KIP63">
        <f t="shared" si="47"/>
        <v>0</v>
      </c>
      <c r="KIQ63">
        <f t="shared" si="48"/>
        <v>0</v>
      </c>
      <c r="KIR63">
        <f t="shared" si="49"/>
        <v>0</v>
      </c>
      <c r="KIS63">
        <f t="shared" si="50"/>
        <v>0</v>
      </c>
      <c r="KIT63">
        <f t="shared" si="51"/>
        <v>0</v>
      </c>
      <c r="KIU63">
        <f t="shared" si="52"/>
        <v>0</v>
      </c>
      <c r="KIV63">
        <f t="shared" si="53"/>
        <v>0</v>
      </c>
      <c r="KIW63">
        <f t="shared" si="54"/>
        <v>0</v>
      </c>
      <c r="KIX63">
        <f t="shared" si="55"/>
        <v>0</v>
      </c>
      <c r="KIY63">
        <f t="shared" si="56"/>
        <v>0</v>
      </c>
      <c r="KIZ63">
        <f t="shared" si="57"/>
        <v>0</v>
      </c>
      <c r="KJA63">
        <f t="shared" si="58"/>
        <v>0</v>
      </c>
      <c r="KJB63">
        <f t="shared" si="59"/>
        <v>0</v>
      </c>
      <c r="KJC63">
        <f t="shared" si="60"/>
        <v>0</v>
      </c>
      <c r="KJD63">
        <f t="shared" si="61"/>
        <v>0</v>
      </c>
      <c r="KJE63">
        <f t="shared" si="62"/>
        <v>0</v>
      </c>
      <c r="KJF63">
        <f t="shared" si="63"/>
        <v>0</v>
      </c>
      <c r="KJG63">
        <f t="shared" si="64"/>
        <v>0</v>
      </c>
      <c r="KJH63">
        <f t="shared" si="65"/>
        <v>0</v>
      </c>
      <c r="KJI63">
        <f t="shared" si="66"/>
        <v>0</v>
      </c>
      <c r="KJJ63">
        <f t="shared" si="67"/>
        <v>0</v>
      </c>
      <c r="KJK63">
        <f t="shared" si="68"/>
        <v>0</v>
      </c>
      <c r="KJL63">
        <f t="shared" si="69"/>
        <v>0</v>
      </c>
      <c r="KJM63">
        <f t="shared" si="70"/>
        <v>0</v>
      </c>
      <c r="KJN63">
        <f t="shared" si="71"/>
        <v>0</v>
      </c>
      <c r="KJO63">
        <f t="shared" si="72"/>
        <v>0</v>
      </c>
      <c r="KJP63">
        <f t="shared" si="73"/>
        <v>0</v>
      </c>
      <c r="KJQ63">
        <f t="shared" si="74"/>
        <v>0</v>
      </c>
      <c r="KJR63">
        <f t="shared" si="75"/>
        <v>0</v>
      </c>
      <c r="KJS63">
        <f t="shared" si="76"/>
        <v>0</v>
      </c>
      <c r="KJT63">
        <f t="shared" si="77"/>
        <v>0</v>
      </c>
      <c r="KJU63">
        <f t="shared" si="78"/>
        <v>0</v>
      </c>
      <c r="KJV63">
        <f t="shared" si="79"/>
        <v>0</v>
      </c>
      <c r="KJW63">
        <f t="shared" si="80"/>
        <v>0</v>
      </c>
      <c r="KJX63">
        <f t="shared" si="81"/>
        <v>0</v>
      </c>
      <c r="KJY63">
        <f t="shared" si="82"/>
        <v>0</v>
      </c>
      <c r="KJZ63">
        <f t="shared" si="83"/>
        <v>0</v>
      </c>
      <c r="KKA63">
        <f t="shared" si="84"/>
        <v>0</v>
      </c>
      <c r="KKB63">
        <f t="shared" si="85"/>
        <v>0</v>
      </c>
      <c r="KKC63">
        <f t="shared" si="86"/>
        <v>0</v>
      </c>
      <c r="KKD63">
        <f t="shared" si="87"/>
        <v>0</v>
      </c>
      <c r="KKE63">
        <f t="shared" si="88"/>
        <v>0</v>
      </c>
      <c r="KKF63">
        <f t="shared" si="89"/>
        <v>0</v>
      </c>
      <c r="KKG63">
        <f t="shared" si="90"/>
        <v>0</v>
      </c>
      <c r="KKH63">
        <f t="shared" si="91"/>
        <v>0</v>
      </c>
      <c r="KKI63">
        <f t="shared" si="92"/>
        <v>0</v>
      </c>
      <c r="KKJ63">
        <f t="shared" si="93"/>
        <v>0</v>
      </c>
      <c r="KKK63">
        <f t="shared" si="94"/>
        <v>0</v>
      </c>
      <c r="KKL63">
        <f t="shared" si="95"/>
        <v>0</v>
      </c>
      <c r="KKM63">
        <f t="shared" si="96"/>
        <v>0</v>
      </c>
      <c r="KKN63">
        <f t="shared" si="97"/>
        <v>0</v>
      </c>
      <c r="KKO63">
        <f t="shared" si="98"/>
        <v>0</v>
      </c>
      <c r="KKP63">
        <f t="shared" si="99"/>
        <v>0</v>
      </c>
      <c r="KKR63">
        <f t="shared" si="100"/>
        <v>149</v>
      </c>
      <c r="KKT63">
        <f t="shared" si="100"/>
        <v>149</v>
      </c>
      <c r="KKU63">
        <f t="shared" si="101"/>
        <v>5.96</v>
      </c>
      <c r="KKW63">
        <f t="shared" si="101"/>
        <v>5.96</v>
      </c>
    </row>
    <row r="64" spans="1:514 1409:1417 2495:2576 4143:4764 5778:5831 6491:7134 7639:7745">
      <c r="A64" t="s">
        <v>7681</v>
      </c>
      <c r="B64">
        <v>2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BBE64">
        <v>2</v>
      </c>
      <c r="BBF64">
        <v>2</v>
      </c>
      <c r="BBG64">
        <v>2</v>
      </c>
      <c r="BBH64">
        <v>2</v>
      </c>
      <c r="BBI64">
        <v>2</v>
      </c>
      <c r="BBJ64">
        <v>2</v>
      </c>
      <c r="BBK64">
        <v>2</v>
      </c>
      <c r="BBL64">
        <v>2</v>
      </c>
      <c r="BBM64">
        <v>2</v>
      </c>
      <c r="KGU64" s="1">
        <f t="shared" si="0"/>
        <v>55</v>
      </c>
      <c r="KGV64">
        <f t="shared" si="1"/>
        <v>9</v>
      </c>
      <c r="KGW64">
        <f t="shared" si="2"/>
        <v>0</v>
      </c>
      <c r="KGX64">
        <f t="shared" si="3"/>
        <v>0</v>
      </c>
      <c r="KGY64">
        <f t="shared" si="4"/>
        <v>0</v>
      </c>
      <c r="KGZ64">
        <f t="shared" si="5"/>
        <v>0</v>
      </c>
      <c r="KHA64">
        <f t="shared" si="6"/>
        <v>0</v>
      </c>
      <c r="KHB64">
        <f t="shared" si="7"/>
        <v>0</v>
      </c>
      <c r="KHC64">
        <f t="shared" si="8"/>
        <v>0</v>
      </c>
      <c r="KHD64">
        <f t="shared" si="9"/>
        <v>0</v>
      </c>
      <c r="KHE64">
        <f t="shared" si="10"/>
        <v>0</v>
      </c>
      <c r="KHF64">
        <f t="shared" si="11"/>
        <v>0</v>
      </c>
      <c r="KHG64">
        <f t="shared" si="12"/>
        <v>0</v>
      </c>
      <c r="KHH64">
        <f t="shared" si="13"/>
        <v>0</v>
      </c>
      <c r="KHI64">
        <f t="shared" si="14"/>
        <v>0</v>
      </c>
      <c r="KHJ64">
        <f t="shared" si="15"/>
        <v>0</v>
      </c>
      <c r="KHK64">
        <f t="shared" si="16"/>
        <v>0</v>
      </c>
      <c r="KHL64">
        <f t="shared" si="17"/>
        <v>0</v>
      </c>
      <c r="KHM64">
        <f t="shared" si="18"/>
        <v>0</v>
      </c>
      <c r="KHN64">
        <f t="shared" si="19"/>
        <v>0</v>
      </c>
      <c r="KHO64">
        <f t="shared" si="20"/>
        <v>0</v>
      </c>
      <c r="KHP64">
        <f t="shared" si="21"/>
        <v>0</v>
      </c>
      <c r="KHQ64">
        <f t="shared" si="22"/>
        <v>0</v>
      </c>
      <c r="KHR64">
        <f t="shared" si="23"/>
        <v>0</v>
      </c>
      <c r="KHS64">
        <f t="shared" si="24"/>
        <v>0</v>
      </c>
      <c r="KHT64">
        <f t="shared" si="25"/>
        <v>0</v>
      </c>
      <c r="KHU64">
        <f t="shared" si="26"/>
        <v>0</v>
      </c>
      <c r="KHV64">
        <f t="shared" si="27"/>
        <v>0</v>
      </c>
      <c r="KHW64">
        <f t="shared" si="28"/>
        <v>0</v>
      </c>
      <c r="KHX64">
        <f t="shared" si="29"/>
        <v>0</v>
      </c>
      <c r="KHY64">
        <f t="shared" si="30"/>
        <v>0</v>
      </c>
      <c r="KHZ64">
        <f t="shared" si="31"/>
        <v>0</v>
      </c>
      <c r="KIA64">
        <f t="shared" si="32"/>
        <v>0</v>
      </c>
      <c r="KIB64">
        <f t="shared" si="33"/>
        <v>0</v>
      </c>
      <c r="KIC64">
        <f t="shared" si="34"/>
        <v>0</v>
      </c>
      <c r="KID64">
        <f t="shared" si="35"/>
        <v>0</v>
      </c>
      <c r="KIE64">
        <f t="shared" si="36"/>
        <v>0</v>
      </c>
      <c r="KIF64">
        <f t="shared" si="37"/>
        <v>0</v>
      </c>
      <c r="KIG64">
        <f t="shared" si="38"/>
        <v>0</v>
      </c>
      <c r="KIH64">
        <f t="shared" si="39"/>
        <v>0</v>
      </c>
      <c r="KII64">
        <f t="shared" si="40"/>
        <v>0</v>
      </c>
      <c r="KIJ64">
        <f t="shared" si="41"/>
        <v>0</v>
      </c>
      <c r="KIK64">
        <f t="shared" si="42"/>
        <v>0</v>
      </c>
      <c r="KIL64">
        <f t="shared" si="43"/>
        <v>0</v>
      </c>
      <c r="KIM64">
        <f t="shared" si="44"/>
        <v>0</v>
      </c>
      <c r="KIN64">
        <f t="shared" si="45"/>
        <v>0</v>
      </c>
      <c r="KIO64">
        <f t="shared" si="46"/>
        <v>0</v>
      </c>
      <c r="KIP64">
        <f t="shared" si="47"/>
        <v>0</v>
      </c>
      <c r="KIQ64">
        <f t="shared" si="48"/>
        <v>0</v>
      </c>
      <c r="KIR64">
        <f t="shared" si="49"/>
        <v>0</v>
      </c>
      <c r="KIS64">
        <f t="shared" si="50"/>
        <v>0</v>
      </c>
      <c r="KIT64">
        <f t="shared" si="51"/>
        <v>0</v>
      </c>
      <c r="KIU64">
        <f t="shared" si="52"/>
        <v>0</v>
      </c>
      <c r="KIV64">
        <f t="shared" si="53"/>
        <v>0</v>
      </c>
      <c r="KIW64">
        <f t="shared" si="54"/>
        <v>0</v>
      </c>
      <c r="KIX64">
        <f t="shared" si="55"/>
        <v>0</v>
      </c>
      <c r="KIY64">
        <f t="shared" si="56"/>
        <v>0</v>
      </c>
      <c r="KIZ64">
        <f t="shared" si="57"/>
        <v>0</v>
      </c>
      <c r="KJA64">
        <f t="shared" si="58"/>
        <v>0</v>
      </c>
      <c r="KJB64">
        <f t="shared" si="59"/>
        <v>0</v>
      </c>
      <c r="KJC64">
        <f t="shared" si="60"/>
        <v>0</v>
      </c>
      <c r="KJD64">
        <f t="shared" si="61"/>
        <v>0</v>
      </c>
      <c r="KJE64">
        <f t="shared" si="62"/>
        <v>0</v>
      </c>
      <c r="KJF64">
        <f t="shared" si="63"/>
        <v>0</v>
      </c>
      <c r="KJG64">
        <f t="shared" si="64"/>
        <v>0</v>
      </c>
      <c r="KJH64">
        <f t="shared" si="65"/>
        <v>0</v>
      </c>
      <c r="KJI64">
        <f t="shared" si="66"/>
        <v>0</v>
      </c>
      <c r="KJJ64">
        <f t="shared" si="67"/>
        <v>0</v>
      </c>
      <c r="KJK64">
        <f t="shared" si="68"/>
        <v>0</v>
      </c>
      <c r="KJL64">
        <f t="shared" si="69"/>
        <v>0</v>
      </c>
      <c r="KJM64">
        <f t="shared" si="70"/>
        <v>0</v>
      </c>
      <c r="KJN64">
        <f t="shared" si="71"/>
        <v>0</v>
      </c>
      <c r="KJO64">
        <f t="shared" si="72"/>
        <v>0</v>
      </c>
      <c r="KJP64">
        <f t="shared" si="73"/>
        <v>0</v>
      </c>
      <c r="KJQ64">
        <f t="shared" si="74"/>
        <v>0</v>
      </c>
      <c r="KJR64">
        <f t="shared" si="75"/>
        <v>0</v>
      </c>
      <c r="KJS64">
        <f t="shared" si="76"/>
        <v>0</v>
      </c>
      <c r="KJT64">
        <f t="shared" si="77"/>
        <v>0</v>
      </c>
      <c r="KJU64">
        <f t="shared" si="78"/>
        <v>0</v>
      </c>
      <c r="KJV64">
        <f t="shared" si="79"/>
        <v>0</v>
      </c>
      <c r="KJW64">
        <f t="shared" si="80"/>
        <v>0</v>
      </c>
      <c r="KJX64">
        <f t="shared" si="81"/>
        <v>0</v>
      </c>
      <c r="KJY64">
        <f t="shared" si="82"/>
        <v>0</v>
      </c>
      <c r="KJZ64">
        <f t="shared" si="83"/>
        <v>0</v>
      </c>
      <c r="KKA64">
        <f t="shared" si="84"/>
        <v>0</v>
      </c>
      <c r="KKB64">
        <f t="shared" si="85"/>
        <v>0</v>
      </c>
      <c r="KKC64">
        <f t="shared" si="86"/>
        <v>0</v>
      </c>
      <c r="KKD64">
        <f t="shared" si="87"/>
        <v>0</v>
      </c>
      <c r="KKE64">
        <f t="shared" si="88"/>
        <v>0</v>
      </c>
      <c r="KKF64">
        <f t="shared" si="89"/>
        <v>0</v>
      </c>
      <c r="KKG64">
        <f t="shared" si="90"/>
        <v>0</v>
      </c>
      <c r="KKH64">
        <f t="shared" si="91"/>
        <v>0</v>
      </c>
      <c r="KKI64">
        <f t="shared" si="92"/>
        <v>0</v>
      </c>
      <c r="KKJ64">
        <f t="shared" si="93"/>
        <v>0</v>
      </c>
      <c r="KKK64">
        <f t="shared" si="94"/>
        <v>0</v>
      </c>
      <c r="KKL64">
        <f t="shared" si="95"/>
        <v>0</v>
      </c>
      <c r="KKM64">
        <f t="shared" si="96"/>
        <v>0</v>
      </c>
      <c r="KKN64">
        <f t="shared" si="97"/>
        <v>0</v>
      </c>
      <c r="KKO64">
        <f t="shared" si="98"/>
        <v>0</v>
      </c>
      <c r="KKP64">
        <f t="shared" si="99"/>
        <v>0</v>
      </c>
      <c r="KKR64">
        <f t="shared" si="100"/>
        <v>64</v>
      </c>
      <c r="KKT64">
        <f t="shared" si="100"/>
        <v>64</v>
      </c>
      <c r="KKU64">
        <f t="shared" si="101"/>
        <v>2.56</v>
      </c>
      <c r="KKW64">
        <f t="shared" si="101"/>
        <v>2.56</v>
      </c>
    </row>
    <row r="65" spans="1:790 1170:4062 4134:4142 5713:6116 6491:6565 7639:7745">
      <c r="A65" t="s">
        <v>7682</v>
      </c>
      <c r="B65">
        <v>1</v>
      </c>
      <c r="IOQ65">
        <v>1</v>
      </c>
      <c r="IOR65">
        <v>1</v>
      </c>
      <c r="IOS65">
        <v>1</v>
      </c>
      <c r="IOT65">
        <v>1</v>
      </c>
      <c r="IOU65">
        <v>1</v>
      </c>
      <c r="IOV65">
        <v>1</v>
      </c>
      <c r="IOW65">
        <v>1</v>
      </c>
      <c r="IOX65">
        <v>1</v>
      </c>
      <c r="IOY65">
        <v>1</v>
      </c>
      <c r="IOZ65">
        <v>1</v>
      </c>
      <c r="IPA65">
        <v>1</v>
      </c>
      <c r="IPB65">
        <v>1</v>
      </c>
      <c r="IPC65">
        <v>1</v>
      </c>
      <c r="IPD65">
        <v>1</v>
      </c>
      <c r="IPE65">
        <v>1</v>
      </c>
      <c r="IPF65">
        <v>1</v>
      </c>
      <c r="IPG65">
        <v>1</v>
      </c>
      <c r="IPH65">
        <v>1</v>
      </c>
      <c r="IPI65">
        <v>1</v>
      </c>
      <c r="IPJ65">
        <v>1</v>
      </c>
      <c r="IPK65">
        <v>1</v>
      </c>
      <c r="IPL65">
        <v>1</v>
      </c>
      <c r="IPM65">
        <v>1</v>
      </c>
      <c r="IPN65">
        <v>1</v>
      </c>
      <c r="IPO65">
        <v>1</v>
      </c>
      <c r="IPP65">
        <v>1</v>
      </c>
      <c r="IPQ65">
        <v>1</v>
      </c>
      <c r="IPR65">
        <v>1</v>
      </c>
      <c r="IPS65">
        <v>1</v>
      </c>
      <c r="IPT65">
        <v>1</v>
      </c>
      <c r="IPU65">
        <v>1</v>
      </c>
      <c r="IPV65">
        <v>1</v>
      </c>
      <c r="IPW65">
        <v>1</v>
      </c>
      <c r="IPX65">
        <v>1</v>
      </c>
      <c r="IPY65">
        <v>1</v>
      </c>
      <c r="IPZ65">
        <v>1</v>
      </c>
      <c r="IQA65">
        <v>1</v>
      </c>
      <c r="IQB65">
        <v>1</v>
      </c>
      <c r="IQC65">
        <v>1</v>
      </c>
      <c r="IQD65">
        <v>1</v>
      </c>
      <c r="IQE65">
        <v>1</v>
      </c>
      <c r="IQF65">
        <v>1</v>
      </c>
      <c r="IQG65">
        <v>1</v>
      </c>
      <c r="IQH65">
        <v>1</v>
      </c>
      <c r="IQI65">
        <v>1</v>
      </c>
      <c r="IQJ65">
        <v>1</v>
      </c>
      <c r="IQK65">
        <v>1</v>
      </c>
      <c r="IQL65">
        <v>1</v>
      </c>
      <c r="IQM65">
        <v>1</v>
      </c>
      <c r="IQN65">
        <v>1</v>
      </c>
      <c r="IQO65">
        <v>1</v>
      </c>
      <c r="IQP65">
        <v>1</v>
      </c>
      <c r="IQQ65">
        <v>1</v>
      </c>
      <c r="IQR65">
        <v>1</v>
      </c>
      <c r="IQS65">
        <v>1</v>
      </c>
      <c r="IQT65">
        <v>1</v>
      </c>
      <c r="IQU65">
        <v>1</v>
      </c>
      <c r="IQV65">
        <v>1</v>
      </c>
      <c r="IQW65">
        <v>1</v>
      </c>
      <c r="IQX65">
        <v>1</v>
      </c>
      <c r="IQY65">
        <v>1</v>
      </c>
      <c r="IQZ65">
        <v>1</v>
      </c>
      <c r="IRA65">
        <v>1</v>
      </c>
      <c r="IRB65">
        <v>1</v>
      </c>
      <c r="IRC65">
        <v>1</v>
      </c>
      <c r="IRD65">
        <v>1</v>
      </c>
      <c r="IRE65">
        <v>1</v>
      </c>
      <c r="IRF65">
        <v>1</v>
      </c>
      <c r="IRG65">
        <v>1</v>
      </c>
      <c r="IRH65">
        <v>1</v>
      </c>
      <c r="IRI65">
        <v>1</v>
      </c>
      <c r="IRJ65">
        <v>1</v>
      </c>
      <c r="IRK65">
        <v>1</v>
      </c>
      <c r="IRL65">
        <v>1</v>
      </c>
      <c r="IRM65">
        <v>1</v>
      </c>
      <c r="KGU65" s="1">
        <f t="shared" si="0"/>
        <v>75</v>
      </c>
      <c r="KGV65">
        <f t="shared" si="1"/>
        <v>0</v>
      </c>
      <c r="KGW65">
        <f t="shared" si="2"/>
        <v>0</v>
      </c>
      <c r="KGX65">
        <f t="shared" si="3"/>
        <v>0</v>
      </c>
      <c r="KGY65">
        <f t="shared" si="4"/>
        <v>0</v>
      </c>
      <c r="KGZ65">
        <f t="shared" si="5"/>
        <v>0</v>
      </c>
      <c r="KHA65">
        <f t="shared" si="6"/>
        <v>0</v>
      </c>
      <c r="KHB65">
        <f t="shared" si="7"/>
        <v>0</v>
      </c>
      <c r="KHC65">
        <f t="shared" si="8"/>
        <v>0</v>
      </c>
      <c r="KHD65">
        <f t="shared" si="9"/>
        <v>0</v>
      </c>
      <c r="KHE65">
        <f t="shared" si="10"/>
        <v>0</v>
      </c>
      <c r="KHF65">
        <f t="shared" si="11"/>
        <v>0</v>
      </c>
      <c r="KHG65">
        <f t="shared" si="12"/>
        <v>0</v>
      </c>
      <c r="KHH65">
        <f t="shared" si="13"/>
        <v>0</v>
      </c>
      <c r="KHI65">
        <f t="shared" si="14"/>
        <v>0</v>
      </c>
      <c r="KHJ65">
        <f t="shared" si="15"/>
        <v>0</v>
      </c>
      <c r="KHK65">
        <f t="shared" si="16"/>
        <v>0</v>
      </c>
      <c r="KHL65">
        <f t="shared" si="17"/>
        <v>0</v>
      </c>
      <c r="KHM65">
        <f t="shared" si="18"/>
        <v>0</v>
      </c>
      <c r="KHN65">
        <f t="shared" si="19"/>
        <v>0</v>
      </c>
      <c r="KHO65">
        <f t="shared" si="20"/>
        <v>0</v>
      </c>
      <c r="KHP65">
        <f t="shared" si="21"/>
        <v>0</v>
      </c>
      <c r="KHQ65">
        <f t="shared" si="22"/>
        <v>0</v>
      </c>
      <c r="KHR65">
        <f t="shared" si="23"/>
        <v>0</v>
      </c>
      <c r="KHS65">
        <f t="shared" si="24"/>
        <v>0</v>
      </c>
      <c r="KHT65">
        <f t="shared" si="25"/>
        <v>0</v>
      </c>
      <c r="KHU65">
        <f t="shared" si="26"/>
        <v>0</v>
      </c>
      <c r="KHV65">
        <f t="shared" si="27"/>
        <v>0</v>
      </c>
      <c r="KHW65">
        <f t="shared" si="28"/>
        <v>0</v>
      </c>
      <c r="KHX65">
        <f t="shared" si="29"/>
        <v>0</v>
      </c>
      <c r="KHY65">
        <f t="shared" si="30"/>
        <v>0</v>
      </c>
      <c r="KHZ65">
        <f t="shared" si="31"/>
        <v>0</v>
      </c>
      <c r="KIA65">
        <f t="shared" si="32"/>
        <v>0</v>
      </c>
      <c r="KIB65">
        <f t="shared" si="33"/>
        <v>0</v>
      </c>
      <c r="KIC65">
        <f t="shared" si="34"/>
        <v>0</v>
      </c>
      <c r="KID65">
        <f t="shared" si="35"/>
        <v>0</v>
      </c>
      <c r="KIE65">
        <f t="shared" si="36"/>
        <v>0</v>
      </c>
      <c r="KIF65">
        <f t="shared" si="37"/>
        <v>0</v>
      </c>
      <c r="KIG65">
        <f t="shared" si="38"/>
        <v>0</v>
      </c>
      <c r="KIH65">
        <f t="shared" si="39"/>
        <v>0</v>
      </c>
      <c r="KII65">
        <f t="shared" si="40"/>
        <v>0</v>
      </c>
      <c r="KIJ65">
        <f t="shared" si="41"/>
        <v>0</v>
      </c>
      <c r="KIK65">
        <f t="shared" si="42"/>
        <v>0</v>
      </c>
      <c r="KIL65">
        <f t="shared" si="43"/>
        <v>0</v>
      </c>
      <c r="KIM65">
        <f t="shared" si="44"/>
        <v>0</v>
      </c>
      <c r="KIN65">
        <f t="shared" si="45"/>
        <v>0</v>
      </c>
      <c r="KIO65">
        <f t="shared" si="46"/>
        <v>0</v>
      </c>
      <c r="KIP65">
        <f t="shared" si="47"/>
        <v>0</v>
      </c>
      <c r="KIQ65">
        <f t="shared" si="48"/>
        <v>0</v>
      </c>
      <c r="KIR65">
        <f t="shared" si="49"/>
        <v>0</v>
      </c>
      <c r="KIS65">
        <f t="shared" si="50"/>
        <v>0</v>
      </c>
      <c r="KIT65">
        <f t="shared" si="51"/>
        <v>0</v>
      </c>
      <c r="KIU65">
        <f t="shared" si="52"/>
        <v>0</v>
      </c>
      <c r="KIV65">
        <f t="shared" si="53"/>
        <v>0</v>
      </c>
      <c r="KIW65">
        <f t="shared" si="54"/>
        <v>0</v>
      </c>
      <c r="KIX65">
        <f t="shared" si="55"/>
        <v>0</v>
      </c>
      <c r="KIY65">
        <f t="shared" si="56"/>
        <v>0</v>
      </c>
      <c r="KIZ65">
        <f t="shared" si="57"/>
        <v>0</v>
      </c>
      <c r="KJA65">
        <f t="shared" si="58"/>
        <v>0</v>
      </c>
      <c r="KJB65">
        <f t="shared" si="59"/>
        <v>0</v>
      </c>
      <c r="KJC65">
        <f t="shared" si="60"/>
        <v>0</v>
      </c>
      <c r="KJD65">
        <f t="shared" si="61"/>
        <v>0</v>
      </c>
      <c r="KJE65">
        <f t="shared" si="62"/>
        <v>0</v>
      </c>
      <c r="KJF65">
        <f t="shared" si="63"/>
        <v>0</v>
      </c>
      <c r="KJG65">
        <f t="shared" si="64"/>
        <v>0</v>
      </c>
      <c r="KJH65">
        <f t="shared" si="65"/>
        <v>0</v>
      </c>
      <c r="KJI65">
        <f t="shared" si="66"/>
        <v>0</v>
      </c>
      <c r="KJJ65">
        <f t="shared" si="67"/>
        <v>0</v>
      </c>
      <c r="KJK65">
        <f t="shared" si="68"/>
        <v>0</v>
      </c>
      <c r="KJL65">
        <f t="shared" si="69"/>
        <v>0</v>
      </c>
      <c r="KJM65">
        <f t="shared" si="70"/>
        <v>0</v>
      </c>
      <c r="KJN65">
        <f t="shared" si="71"/>
        <v>0</v>
      </c>
      <c r="KJO65">
        <f t="shared" si="72"/>
        <v>0</v>
      </c>
      <c r="KJP65">
        <f t="shared" si="73"/>
        <v>0</v>
      </c>
      <c r="KJQ65">
        <f t="shared" si="74"/>
        <v>0</v>
      </c>
      <c r="KJR65">
        <f t="shared" si="75"/>
        <v>0</v>
      </c>
      <c r="KJS65">
        <f t="shared" si="76"/>
        <v>0</v>
      </c>
      <c r="KJT65">
        <f t="shared" si="77"/>
        <v>0</v>
      </c>
      <c r="KJU65">
        <f t="shared" si="78"/>
        <v>0</v>
      </c>
      <c r="KJV65">
        <f t="shared" si="79"/>
        <v>0</v>
      </c>
      <c r="KJW65">
        <f t="shared" si="80"/>
        <v>0</v>
      </c>
      <c r="KJX65">
        <f t="shared" si="81"/>
        <v>0</v>
      </c>
      <c r="KJY65">
        <f t="shared" si="82"/>
        <v>0</v>
      </c>
      <c r="KJZ65">
        <f t="shared" si="83"/>
        <v>0</v>
      </c>
      <c r="KKA65">
        <f t="shared" si="84"/>
        <v>0</v>
      </c>
      <c r="KKB65">
        <f t="shared" si="85"/>
        <v>0</v>
      </c>
      <c r="KKC65">
        <f t="shared" si="86"/>
        <v>0</v>
      </c>
      <c r="KKD65">
        <f t="shared" si="87"/>
        <v>0</v>
      </c>
      <c r="KKE65">
        <f t="shared" si="88"/>
        <v>0</v>
      </c>
      <c r="KKF65">
        <f t="shared" si="89"/>
        <v>0</v>
      </c>
      <c r="KKG65">
        <f t="shared" si="90"/>
        <v>0</v>
      </c>
      <c r="KKH65">
        <f t="shared" si="91"/>
        <v>0</v>
      </c>
      <c r="KKI65">
        <f t="shared" si="92"/>
        <v>0</v>
      </c>
      <c r="KKJ65">
        <f t="shared" si="93"/>
        <v>0</v>
      </c>
      <c r="KKK65">
        <f t="shared" si="94"/>
        <v>0</v>
      </c>
      <c r="KKL65">
        <f t="shared" si="95"/>
        <v>0</v>
      </c>
      <c r="KKM65">
        <f t="shared" si="96"/>
        <v>0</v>
      </c>
      <c r="KKN65">
        <f t="shared" si="97"/>
        <v>0</v>
      </c>
      <c r="KKO65">
        <f t="shared" si="98"/>
        <v>0</v>
      </c>
      <c r="KKP65">
        <f t="shared" si="99"/>
        <v>0</v>
      </c>
      <c r="KKR65">
        <f t="shared" si="100"/>
        <v>75</v>
      </c>
      <c r="KKT65">
        <f t="shared" si="100"/>
        <v>75</v>
      </c>
      <c r="KKU65">
        <f t="shared" si="101"/>
        <v>3</v>
      </c>
      <c r="KKW65">
        <f t="shared" si="101"/>
        <v>3</v>
      </c>
    </row>
    <row r="66" spans="1:790 1170:4062 4134:4142 5713:6116 6491:6565 7639:7745">
      <c r="A66" t="s">
        <v>20</v>
      </c>
      <c r="B66">
        <v>0</v>
      </c>
      <c r="KGU66" s="1">
        <f t="shared" si="0"/>
        <v>0</v>
      </c>
      <c r="KGV66">
        <f t="shared" si="1"/>
        <v>0</v>
      </c>
      <c r="KGW66">
        <f t="shared" si="2"/>
        <v>0</v>
      </c>
      <c r="KGX66">
        <f t="shared" si="3"/>
        <v>0</v>
      </c>
      <c r="KGY66">
        <f t="shared" si="4"/>
        <v>0</v>
      </c>
      <c r="KGZ66">
        <f t="shared" si="5"/>
        <v>0</v>
      </c>
      <c r="KHA66">
        <f t="shared" si="6"/>
        <v>0</v>
      </c>
      <c r="KHB66">
        <f t="shared" si="7"/>
        <v>0</v>
      </c>
      <c r="KHC66">
        <f t="shared" si="8"/>
        <v>0</v>
      </c>
      <c r="KHD66">
        <f t="shared" si="9"/>
        <v>0</v>
      </c>
      <c r="KHE66">
        <f t="shared" si="10"/>
        <v>0</v>
      </c>
      <c r="KHF66">
        <f t="shared" si="11"/>
        <v>0</v>
      </c>
      <c r="KHG66">
        <f t="shared" si="12"/>
        <v>0</v>
      </c>
      <c r="KHH66">
        <f t="shared" si="13"/>
        <v>0</v>
      </c>
      <c r="KHI66">
        <f t="shared" si="14"/>
        <v>0</v>
      </c>
      <c r="KHJ66">
        <f t="shared" si="15"/>
        <v>0</v>
      </c>
      <c r="KHK66">
        <f t="shared" si="16"/>
        <v>0</v>
      </c>
      <c r="KHL66">
        <f t="shared" si="17"/>
        <v>0</v>
      </c>
      <c r="KHM66">
        <f t="shared" si="18"/>
        <v>0</v>
      </c>
      <c r="KHN66">
        <f t="shared" si="19"/>
        <v>0</v>
      </c>
      <c r="KHO66">
        <f t="shared" si="20"/>
        <v>0</v>
      </c>
      <c r="KHP66">
        <f t="shared" si="21"/>
        <v>0</v>
      </c>
      <c r="KHQ66">
        <f t="shared" si="22"/>
        <v>0</v>
      </c>
      <c r="KHR66">
        <f t="shared" si="23"/>
        <v>0</v>
      </c>
      <c r="KHS66">
        <f t="shared" si="24"/>
        <v>0</v>
      </c>
      <c r="KHT66">
        <f t="shared" si="25"/>
        <v>0</v>
      </c>
      <c r="KHU66">
        <f t="shared" si="26"/>
        <v>0</v>
      </c>
      <c r="KHV66">
        <f t="shared" si="27"/>
        <v>0</v>
      </c>
      <c r="KHW66">
        <f t="shared" si="28"/>
        <v>0</v>
      </c>
      <c r="KHX66">
        <f t="shared" si="29"/>
        <v>0</v>
      </c>
      <c r="KHY66">
        <f t="shared" si="30"/>
        <v>0</v>
      </c>
      <c r="KHZ66">
        <f t="shared" si="31"/>
        <v>0</v>
      </c>
      <c r="KIA66">
        <f t="shared" si="32"/>
        <v>0</v>
      </c>
      <c r="KIB66">
        <f t="shared" si="33"/>
        <v>0</v>
      </c>
      <c r="KIC66">
        <f t="shared" si="34"/>
        <v>0</v>
      </c>
      <c r="KID66">
        <f t="shared" si="35"/>
        <v>0</v>
      </c>
      <c r="KIE66">
        <f t="shared" si="36"/>
        <v>0</v>
      </c>
      <c r="KIF66">
        <f t="shared" si="37"/>
        <v>0</v>
      </c>
      <c r="KIG66">
        <f t="shared" si="38"/>
        <v>0</v>
      </c>
      <c r="KIH66">
        <f t="shared" si="39"/>
        <v>0</v>
      </c>
      <c r="KII66">
        <f t="shared" si="40"/>
        <v>0</v>
      </c>
      <c r="KIJ66">
        <f t="shared" si="41"/>
        <v>0</v>
      </c>
      <c r="KIK66">
        <f t="shared" si="42"/>
        <v>0</v>
      </c>
      <c r="KIL66">
        <f t="shared" si="43"/>
        <v>0</v>
      </c>
      <c r="KIM66">
        <f t="shared" si="44"/>
        <v>0</v>
      </c>
      <c r="KIN66">
        <f t="shared" si="45"/>
        <v>0</v>
      </c>
      <c r="KIO66">
        <f t="shared" si="46"/>
        <v>0</v>
      </c>
      <c r="KIP66">
        <f t="shared" si="47"/>
        <v>0</v>
      </c>
      <c r="KIQ66">
        <f t="shared" si="48"/>
        <v>0</v>
      </c>
      <c r="KIR66">
        <f t="shared" si="49"/>
        <v>0</v>
      </c>
      <c r="KIS66">
        <f t="shared" si="50"/>
        <v>0</v>
      </c>
      <c r="KIT66">
        <f t="shared" si="51"/>
        <v>0</v>
      </c>
      <c r="KIU66">
        <f t="shared" si="52"/>
        <v>0</v>
      </c>
      <c r="KIV66">
        <f t="shared" si="53"/>
        <v>0</v>
      </c>
      <c r="KIW66">
        <f t="shared" si="54"/>
        <v>0</v>
      </c>
      <c r="KIX66">
        <f t="shared" si="55"/>
        <v>0</v>
      </c>
      <c r="KIY66">
        <f t="shared" si="56"/>
        <v>0</v>
      </c>
      <c r="KIZ66">
        <f t="shared" si="57"/>
        <v>0</v>
      </c>
      <c r="KJA66">
        <f t="shared" si="58"/>
        <v>0</v>
      </c>
      <c r="KJB66">
        <f t="shared" si="59"/>
        <v>0</v>
      </c>
      <c r="KJC66">
        <f t="shared" si="60"/>
        <v>0</v>
      </c>
      <c r="KJD66">
        <f t="shared" si="61"/>
        <v>0</v>
      </c>
      <c r="KJE66">
        <f t="shared" si="62"/>
        <v>0</v>
      </c>
      <c r="KJF66">
        <f t="shared" si="63"/>
        <v>0</v>
      </c>
      <c r="KJG66">
        <f t="shared" si="64"/>
        <v>0</v>
      </c>
      <c r="KJH66">
        <f t="shared" si="65"/>
        <v>0</v>
      </c>
      <c r="KJI66">
        <f t="shared" si="66"/>
        <v>0</v>
      </c>
      <c r="KJJ66">
        <f t="shared" si="67"/>
        <v>0</v>
      </c>
      <c r="KJK66">
        <f t="shared" si="68"/>
        <v>0</v>
      </c>
      <c r="KJL66">
        <f t="shared" si="69"/>
        <v>0</v>
      </c>
      <c r="KJM66">
        <f t="shared" si="70"/>
        <v>0</v>
      </c>
      <c r="KJN66">
        <f t="shared" si="71"/>
        <v>0</v>
      </c>
      <c r="KJO66">
        <f t="shared" si="72"/>
        <v>0</v>
      </c>
      <c r="KJP66">
        <f t="shared" si="73"/>
        <v>0</v>
      </c>
      <c r="KJQ66">
        <f t="shared" si="74"/>
        <v>0</v>
      </c>
      <c r="KJR66">
        <f t="shared" si="75"/>
        <v>0</v>
      </c>
      <c r="KJS66">
        <f t="shared" si="76"/>
        <v>0</v>
      </c>
      <c r="KJT66">
        <f t="shared" si="77"/>
        <v>0</v>
      </c>
      <c r="KJU66">
        <f t="shared" si="78"/>
        <v>0</v>
      </c>
      <c r="KJV66">
        <f t="shared" si="79"/>
        <v>0</v>
      </c>
      <c r="KJW66">
        <f t="shared" si="80"/>
        <v>0</v>
      </c>
      <c r="KJX66">
        <f t="shared" si="81"/>
        <v>0</v>
      </c>
      <c r="KJY66">
        <f t="shared" si="82"/>
        <v>0</v>
      </c>
      <c r="KJZ66">
        <f t="shared" si="83"/>
        <v>0</v>
      </c>
      <c r="KKA66">
        <f t="shared" si="84"/>
        <v>0</v>
      </c>
      <c r="KKB66">
        <f t="shared" si="85"/>
        <v>0</v>
      </c>
      <c r="KKC66">
        <f t="shared" si="86"/>
        <v>0</v>
      </c>
      <c r="KKD66">
        <f t="shared" si="87"/>
        <v>0</v>
      </c>
      <c r="KKE66">
        <f t="shared" si="88"/>
        <v>0</v>
      </c>
      <c r="KKF66">
        <f t="shared" si="89"/>
        <v>0</v>
      </c>
      <c r="KKG66">
        <f t="shared" si="90"/>
        <v>0</v>
      </c>
      <c r="KKH66">
        <f t="shared" si="91"/>
        <v>0</v>
      </c>
      <c r="KKI66">
        <f t="shared" si="92"/>
        <v>0</v>
      </c>
      <c r="KKJ66">
        <f t="shared" si="93"/>
        <v>0</v>
      </c>
      <c r="KKK66">
        <f t="shared" si="94"/>
        <v>0</v>
      </c>
      <c r="KKL66">
        <f t="shared" si="95"/>
        <v>0</v>
      </c>
      <c r="KKM66">
        <f t="shared" si="96"/>
        <v>0</v>
      </c>
      <c r="KKN66">
        <f t="shared" si="97"/>
        <v>0</v>
      </c>
      <c r="KKO66">
        <f t="shared" si="98"/>
        <v>0</v>
      </c>
      <c r="KKP66">
        <f t="shared" si="99"/>
        <v>0</v>
      </c>
      <c r="KKR66">
        <f t="shared" si="100"/>
        <v>0</v>
      </c>
      <c r="KKT66">
        <f t="shared" si="100"/>
        <v>0</v>
      </c>
      <c r="KKU66">
        <f t="shared" si="101"/>
        <v>0</v>
      </c>
      <c r="KKW66">
        <f t="shared" si="101"/>
        <v>0</v>
      </c>
    </row>
    <row r="67" spans="1:790 1170:4062 4134:4142 5713:6116 6491:6565 7639:7745">
      <c r="A67" t="s">
        <v>36</v>
      </c>
      <c r="B67">
        <v>0</v>
      </c>
      <c r="KGU67" s="1">
        <f t="shared" si="0"/>
        <v>0</v>
      </c>
      <c r="KGV67">
        <f t="shared" si="1"/>
        <v>0</v>
      </c>
      <c r="KGW67">
        <f t="shared" si="2"/>
        <v>0</v>
      </c>
      <c r="KGX67">
        <f t="shared" si="3"/>
        <v>0</v>
      </c>
      <c r="KGY67">
        <f t="shared" si="4"/>
        <v>0</v>
      </c>
      <c r="KGZ67">
        <f t="shared" si="5"/>
        <v>0</v>
      </c>
      <c r="KHA67">
        <f t="shared" si="6"/>
        <v>0</v>
      </c>
      <c r="KHB67">
        <f t="shared" si="7"/>
        <v>0</v>
      </c>
      <c r="KHC67">
        <f t="shared" si="8"/>
        <v>0</v>
      </c>
      <c r="KHD67">
        <f t="shared" si="9"/>
        <v>0</v>
      </c>
      <c r="KHE67">
        <f t="shared" si="10"/>
        <v>0</v>
      </c>
      <c r="KHF67">
        <f t="shared" si="11"/>
        <v>0</v>
      </c>
      <c r="KHG67">
        <f t="shared" si="12"/>
        <v>0</v>
      </c>
      <c r="KHH67">
        <f t="shared" si="13"/>
        <v>0</v>
      </c>
      <c r="KHI67">
        <f t="shared" si="14"/>
        <v>0</v>
      </c>
      <c r="KHJ67">
        <f t="shared" si="15"/>
        <v>0</v>
      </c>
      <c r="KHK67">
        <f t="shared" si="16"/>
        <v>0</v>
      </c>
      <c r="KHL67">
        <f t="shared" si="17"/>
        <v>0</v>
      </c>
      <c r="KHM67">
        <f t="shared" si="18"/>
        <v>0</v>
      </c>
      <c r="KHN67">
        <f t="shared" si="19"/>
        <v>0</v>
      </c>
      <c r="KHO67">
        <f t="shared" si="20"/>
        <v>0</v>
      </c>
      <c r="KHP67">
        <f t="shared" si="21"/>
        <v>0</v>
      </c>
      <c r="KHQ67">
        <f t="shared" si="22"/>
        <v>0</v>
      </c>
      <c r="KHR67">
        <f t="shared" si="23"/>
        <v>0</v>
      </c>
      <c r="KHS67">
        <f t="shared" si="24"/>
        <v>0</v>
      </c>
      <c r="KHT67">
        <f t="shared" si="25"/>
        <v>0</v>
      </c>
      <c r="KHU67">
        <f t="shared" si="26"/>
        <v>0</v>
      </c>
      <c r="KHV67">
        <f t="shared" si="27"/>
        <v>0</v>
      </c>
      <c r="KHW67">
        <f t="shared" si="28"/>
        <v>0</v>
      </c>
      <c r="KHX67">
        <f t="shared" si="29"/>
        <v>0</v>
      </c>
      <c r="KHY67">
        <f t="shared" si="30"/>
        <v>0</v>
      </c>
      <c r="KHZ67">
        <f t="shared" si="31"/>
        <v>0</v>
      </c>
      <c r="KIA67">
        <f t="shared" si="32"/>
        <v>0</v>
      </c>
      <c r="KIB67">
        <f t="shared" si="33"/>
        <v>0</v>
      </c>
      <c r="KIC67">
        <f t="shared" si="34"/>
        <v>0</v>
      </c>
      <c r="KID67">
        <f t="shared" si="35"/>
        <v>0</v>
      </c>
      <c r="KIE67">
        <f t="shared" si="36"/>
        <v>0</v>
      </c>
      <c r="KIF67">
        <f t="shared" si="37"/>
        <v>0</v>
      </c>
      <c r="KIG67">
        <f t="shared" si="38"/>
        <v>0</v>
      </c>
      <c r="KIH67">
        <f t="shared" si="39"/>
        <v>0</v>
      </c>
      <c r="KII67">
        <f t="shared" si="40"/>
        <v>0</v>
      </c>
      <c r="KIJ67">
        <f t="shared" si="41"/>
        <v>0</v>
      </c>
      <c r="KIK67">
        <f t="shared" si="42"/>
        <v>0</v>
      </c>
      <c r="KIL67">
        <f t="shared" si="43"/>
        <v>0</v>
      </c>
      <c r="KIM67">
        <f t="shared" si="44"/>
        <v>0</v>
      </c>
      <c r="KIN67">
        <f t="shared" si="45"/>
        <v>0</v>
      </c>
      <c r="KIO67">
        <f t="shared" si="46"/>
        <v>0</v>
      </c>
      <c r="KIP67">
        <f t="shared" si="47"/>
        <v>0</v>
      </c>
      <c r="KIQ67">
        <f t="shared" si="48"/>
        <v>0</v>
      </c>
      <c r="KIR67">
        <f t="shared" si="49"/>
        <v>0</v>
      </c>
      <c r="KIS67">
        <f t="shared" si="50"/>
        <v>0</v>
      </c>
      <c r="KIT67">
        <f t="shared" si="51"/>
        <v>0</v>
      </c>
      <c r="KIU67">
        <f t="shared" si="52"/>
        <v>0</v>
      </c>
      <c r="KIV67">
        <f t="shared" si="53"/>
        <v>0</v>
      </c>
      <c r="KIW67">
        <f t="shared" si="54"/>
        <v>0</v>
      </c>
      <c r="KIX67">
        <f t="shared" si="55"/>
        <v>0</v>
      </c>
      <c r="KIY67">
        <f t="shared" si="56"/>
        <v>0</v>
      </c>
      <c r="KIZ67">
        <f t="shared" si="57"/>
        <v>0</v>
      </c>
      <c r="KJA67">
        <f t="shared" si="58"/>
        <v>0</v>
      </c>
      <c r="KJB67">
        <f t="shared" si="59"/>
        <v>0</v>
      </c>
      <c r="KJC67">
        <f t="shared" si="60"/>
        <v>0</v>
      </c>
      <c r="KJD67">
        <f t="shared" si="61"/>
        <v>0</v>
      </c>
      <c r="KJE67">
        <f t="shared" si="62"/>
        <v>0</v>
      </c>
      <c r="KJF67">
        <f t="shared" si="63"/>
        <v>0</v>
      </c>
      <c r="KJG67">
        <f t="shared" si="64"/>
        <v>0</v>
      </c>
      <c r="KJH67">
        <f t="shared" si="65"/>
        <v>0</v>
      </c>
      <c r="KJI67">
        <f t="shared" si="66"/>
        <v>0</v>
      </c>
      <c r="KJJ67">
        <f t="shared" si="67"/>
        <v>0</v>
      </c>
      <c r="KJK67">
        <f t="shared" si="68"/>
        <v>0</v>
      </c>
      <c r="KJL67">
        <f t="shared" si="69"/>
        <v>0</v>
      </c>
      <c r="KJM67">
        <f t="shared" si="70"/>
        <v>0</v>
      </c>
      <c r="KJN67">
        <f t="shared" si="71"/>
        <v>0</v>
      </c>
      <c r="KJO67">
        <f t="shared" si="72"/>
        <v>0</v>
      </c>
      <c r="KJP67">
        <f t="shared" si="73"/>
        <v>0</v>
      </c>
      <c r="KJQ67">
        <f t="shared" si="74"/>
        <v>0</v>
      </c>
      <c r="KJR67">
        <f t="shared" si="75"/>
        <v>0</v>
      </c>
      <c r="KJS67">
        <f t="shared" si="76"/>
        <v>0</v>
      </c>
      <c r="KJT67">
        <f t="shared" si="77"/>
        <v>0</v>
      </c>
      <c r="KJU67">
        <f t="shared" si="78"/>
        <v>0</v>
      </c>
      <c r="KJV67">
        <f t="shared" si="79"/>
        <v>0</v>
      </c>
      <c r="KJW67">
        <f t="shared" si="80"/>
        <v>0</v>
      </c>
      <c r="KJX67">
        <f t="shared" si="81"/>
        <v>0</v>
      </c>
      <c r="KJY67">
        <f t="shared" si="82"/>
        <v>0</v>
      </c>
      <c r="KJZ67">
        <f t="shared" si="83"/>
        <v>0</v>
      </c>
      <c r="KKA67">
        <f t="shared" si="84"/>
        <v>0</v>
      </c>
      <c r="KKB67">
        <f t="shared" si="85"/>
        <v>0</v>
      </c>
      <c r="KKC67">
        <f t="shared" si="86"/>
        <v>0</v>
      </c>
      <c r="KKD67">
        <f t="shared" si="87"/>
        <v>0</v>
      </c>
      <c r="KKE67">
        <f t="shared" si="88"/>
        <v>0</v>
      </c>
      <c r="KKF67">
        <f t="shared" si="89"/>
        <v>0</v>
      </c>
      <c r="KKG67">
        <f t="shared" si="90"/>
        <v>0</v>
      </c>
      <c r="KKH67">
        <f t="shared" si="91"/>
        <v>0</v>
      </c>
      <c r="KKI67">
        <f t="shared" si="92"/>
        <v>0</v>
      </c>
      <c r="KKJ67">
        <f t="shared" si="93"/>
        <v>0</v>
      </c>
      <c r="KKK67">
        <f t="shared" si="94"/>
        <v>0</v>
      </c>
      <c r="KKL67">
        <f t="shared" si="95"/>
        <v>0</v>
      </c>
      <c r="KKM67">
        <f t="shared" si="96"/>
        <v>0</v>
      </c>
      <c r="KKN67">
        <f t="shared" si="97"/>
        <v>0</v>
      </c>
      <c r="KKO67">
        <f t="shared" si="98"/>
        <v>0</v>
      </c>
      <c r="KKP67">
        <f t="shared" si="99"/>
        <v>0</v>
      </c>
      <c r="KKR67">
        <f t="shared" si="100"/>
        <v>0</v>
      </c>
      <c r="KKT67">
        <f t="shared" si="100"/>
        <v>0</v>
      </c>
      <c r="KKU67">
        <f t="shared" si="101"/>
        <v>0</v>
      </c>
      <c r="KKW67">
        <f t="shared" si="101"/>
        <v>0</v>
      </c>
    </row>
    <row r="68" spans="1:790 1170:4062 4134:4142 5713:6116 6491:6565 7639:7745">
      <c r="A68" t="s">
        <v>7683</v>
      </c>
      <c r="B68">
        <v>0</v>
      </c>
      <c r="KGU68" s="1">
        <f t="shared" si="0"/>
        <v>0</v>
      </c>
      <c r="KGV68">
        <f t="shared" si="1"/>
        <v>0</v>
      </c>
      <c r="KGW68">
        <f t="shared" si="2"/>
        <v>0</v>
      </c>
      <c r="KGX68">
        <f t="shared" si="3"/>
        <v>0</v>
      </c>
      <c r="KGY68">
        <f t="shared" si="4"/>
        <v>0</v>
      </c>
      <c r="KGZ68">
        <f t="shared" si="5"/>
        <v>0</v>
      </c>
      <c r="KHA68">
        <f t="shared" si="6"/>
        <v>0</v>
      </c>
      <c r="KHB68">
        <f t="shared" si="7"/>
        <v>0</v>
      </c>
      <c r="KHC68">
        <f t="shared" si="8"/>
        <v>0</v>
      </c>
      <c r="KHD68">
        <f t="shared" si="9"/>
        <v>0</v>
      </c>
      <c r="KHE68">
        <f t="shared" si="10"/>
        <v>0</v>
      </c>
      <c r="KHF68">
        <f t="shared" si="11"/>
        <v>0</v>
      </c>
      <c r="KHG68">
        <f t="shared" si="12"/>
        <v>0</v>
      </c>
      <c r="KHH68">
        <f t="shared" si="13"/>
        <v>0</v>
      </c>
      <c r="KHI68">
        <f t="shared" si="14"/>
        <v>0</v>
      </c>
      <c r="KHJ68">
        <f t="shared" si="15"/>
        <v>0</v>
      </c>
      <c r="KHK68">
        <f t="shared" si="16"/>
        <v>0</v>
      </c>
      <c r="KHL68">
        <f t="shared" si="17"/>
        <v>0</v>
      </c>
      <c r="KHM68">
        <f t="shared" si="18"/>
        <v>0</v>
      </c>
      <c r="KHN68">
        <f t="shared" si="19"/>
        <v>0</v>
      </c>
      <c r="KHO68">
        <f t="shared" si="20"/>
        <v>0</v>
      </c>
      <c r="KHP68">
        <f t="shared" si="21"/>
        <v>0</v>
      </c>
      <c r="KHQ68">
        <f t="shared" si="22"/>
        <v>0</v>
      </c>
      <c r="KHR68">
        <f t="shared" si="23"/>
        <v>0</v>
      </c>
      <c r="KHS68">
        <f t="shared" si="24"/>
        <v>0</v>
      </c>
      <c r="KHT68">
        <f t="shared" si="25"/>
        <v>0</v>
      </c>
      <c r="KHU68">
        <f t="shared" si="26"/>
        <v>0</v>
      </c>
      <c r="KHV68">
        <f t="shared" si="27"/>
        <v>0</v>
      </c>
      <c r="KHW68">
        <f t="shared" si="28"/>
        <v>0</v>
      </c>
      <c r="KHX68">
        <f t="shared" si="29"/>
        <v>0</v>
      </c>
      <c r="KHY68">
        <f t="shared" si="30"/>
        <v>0</v>
      </c>
      <c r="KHZ68">
        <f t="shared" si="31"/>
        <v>0</v>
      </c>
      <c r="KIA68">
        <f t="shared" si="32"/>
        <v>0</v>
      </c>
      <c r="KIB68">
        <f t="shared" si="33"/>
        <v>0</v>
      </c>
      <c r="KIC68">
        <f t="shared" si="34"/>
        <v>0</v>
      </c>
      <c r="KID68">
        <f t="shared" si="35"/>
        <v>0</v>
      </c>
      <c r="KIE68">
        <f t="shared" si="36"/>
        <v>0</v>
      </c>
      <c r="KIF68">
        <f t="shared" si="37"/>
        <v>0</v>
      </c>
      <c r="KIG68">
        <f t="shared" si="38"/>
        <v>0</v>
      </c>
      <c r="KIH68">
        <f t="shared" si="39"/>
        <v>0</v>
      </c>
      <c r="KII68">
        <f t="shared" si="40"/>
        <v>0</v>
      </c>
      <c r="KIJ68">
        <f t="shared" si="41"/>
        <v>0</v>
      </c>
      <c r="KIK68">
        <f t="shared" si="42"/>
        <v>0</v>
      </c>
      <c r="KIL68">
        <f t="shared" si="43"/>
        <v>0</v>
      </c>
      <c r="KIM68">
        <f t="shared" si="44"/>
        <v>0</v>
      </c>
      <c r="KIN68">
        <f t="shared" si="45"/>
        <v>0</v>
      </c>
      <c r="KIO68">
        <f t="shared" si="46"/>
        <v>0</v>
      </c>
      <c r="KIP68">
        <f t="shared" si="47"/>
        <v>0</v>
      </c>
      <c r="KIQ68">
        <f t="shared" si="48"/>
        <v>0</v>
      </c>
      <c r="KIR68">
        <f t="shared" si="49"/>
        <v>0</v>
      </c>
      <c r="KIS68">
        <f t="shared" si="50"/>
        <v>0</v>
      </c>
      <c r="KIT68">
        <f t="shared" si="51"/>
        <v>0</v>
      </c>
      <c r="KIU68">
        <f t="shared" si="52"/>
        <v>0</v>
      </c>
      <c r="KIV68">
        <f t="shared" si="53"/>
        <v>0</v>
      </c>
      <c r="KIW68">
        <f t="shared" si="54"/>
        <v>0</v>
      </c>
      <c r="KIX68">
        <f t="shared" si="55"/>
        <v>0</v>
      </c>
      <c r="KIY68">
        <f t="shared" si="56"/>
        <v>0</v>
      </c>
      <c r="KIZ68">
        <f t="shared" si="57"/>
        <v>0</v>
      </c>
      <c r="KJA68">
        <f t="shared" si="58"/>
        <v>0</v>
      </c>
      <c r="KJB68">
        <f t="shared" si="59"/>
        <v>0</v>
      </c>
      <c r="KJC68">
        <f t="shared" si="60"/>
        <v>0</v>
      </c>
      <c r="KJD68">
        <f t="shared" si="61"/>
        <v>0</v>
      </c>
      <c r="KJE68">
        <f t="shared" si="62"/>
        <v>0</v>
      </c>
      <c r="KJF68">
        <f t="shared" si="63"/>
        <v>0</v>
      </c>
      <c r="KJG68">
        <f t="shared" si="64"/>
        <v>0</v>
      </c>
      <c r="KJH68">
        <f t="shared" si="65"/>
        <v>0</v>
      </c>
      <c r="KJI68">
        <f t="shared" si="66"/>
        <v>0</v>
      </c>
      <c r="KJJ68">
        <f t="shared" si="67"/>
        <v>0</v>
      </c>
      <c r="KJK68">
        <f t="shared" si="68"/>
        <v>0</v>
      </c>
      <c r="KJL68">
        <f t="shared" si="69"/>
        <v>0</v>
      </c>
      <c r="KJM68">
        <f t="shared" si="70"/>
        <v>0</v>
      </c>
      <c r="KJN68">
        <f t="shared" si="71"/>
        <v>0</v>
      </c>
      <c r="KJO68">
        <f t="shared" si="72"/>
        <v>0</v>
      </c>
      <c r="KJP68">
        <f t="shared" si="73"/>
        <v>0</v>
      </c>
      <c r="KJQ68">
        <f t="shared" si="74"/>
        <v>0</v>
      </c>
      <c r="KJR68">
        <f t="shared" si="75"/>
        <v>0</v>
      </c>
      <c r="KJS68">
        <f t="shared" si="76"/>
        <v>0</v>
      </c>
      <c r="KJT68">
        <f t="shared" si="77"/>
        <v>0</v>
      </c>
      <c r="KJU68">
        <f t="shared" si="78"/>
        <v>0</v>
      </c>
      <c r="KJV68">
        <f t="shared" si="79"/>
        <v>0</v>
      </c>
      <c r="KJW68">
        <f t="shared" si="80"/>
        <v>0</v>
      </c>
      <c r="KJX68">
        <f t="shared" si="81"/>
        <v>0</v>
      </c>
      <c r="KJY68">
        <f t="shared" si="82"/>
        <v>0</v>
      </c>
      <c r="KJZ68">
        <f t="shared" si="83"/>
        <v>0</v>
      </c>
      <c r="KKA68">
        <f t="shared" si="84"/>
        <v>0</v>
      </c>
      <c r="KKB68">
        <f t="shared" si="85"/>
        <v>0</v>
      </c>
      <c r="KKC68">
        <f t="shared" si="86"/>
        <v>0</v>
      </c>
      <c r="KKD68">
        <f t="shared" si="87"/>
        <v>0</v>
      </c>
      <c r="KKE68">
        <f t="shared" si="88"/>
        <v>0</v>
      </c>
      <c r="KKF68">
        <f t="shared" si="89"/>
        <v>0</v>
      </c>
      <c r="KKG68">
        <f t="shared" si="90"/>
        <v>0</v>
      </c>
      <c r="KKH68">
        <f t="shared" si="91"/>
        <v>0</v>
      </c>
      <c r="KKI68">
        <f t="shared" si="92"/>
        <v>0</v>
      </c>
      <c r="KKJ68">
        <f t="shared" si="93"/>
        <v>0</v>
      </c>
      <c r="KKK68">
        <f t="shared" si="94"/>
        <v>0</v>
      </c>
      <c r="KKL68">
        <f t="shared" si="95"/>
        <v>0</v>
      </c>
      <c r="KKM68">
        <f t="shared" si="96"/>
        <v>0</v>
      </c>
      <c r="KKN68">
        <f t="shared" si="97"/>
        <v>0</v>
      </c>
      <c r="KKO68">
        <f t="shared" si="98"/>
        <v>0</v>
      </c>
      <c r="KKP68">
        <f t="shared" si="99"/>
        <v>0</v>
      </c>
      <c r="KKR68">
        <f t="shared" si="100"/>
        <v>0</v>
      </c>
      <c r="KKT68">
        <f t="shared" si="100"/>
        <v>0</v>
      </c>
      <c r="KKU68">
        <f t="shared" si="101"/>
        <v>0</v>
      </c>
      <c r="KKW68">
        <f t="shared" si="101"/>
        <v>0</v>
      </c>
    </row>
    <row r="69" spans="1:790 1170:4062 4134:4142 5713:6116 6491:6565 7639:7745">
      <c r="A69" t="s">
        <v>7684</v>
      </c>
      <c r="B69">
        <v>0</v>
      </c>
      <c r="KGU69" s="1">
        <f t="shared" si="0"/>
        <v>0</v>
      </c>
      <c r="KGV69">
        <f t="shared" si="1"/>
        <v>0</v>
      </c>
      <c r="KGW69">
        <f t="shared" si="2"/>
        <v>0</v>
      </c>
      <c r="KGX69">
        <f t="shared" si="3"/>
        <v>0</v>
      </c>
      <c r="KGY69">
        <f t="shared" si="4"/>
        <v>0</v>
      </c>
      <c r="KGZ69">
        <f t="shared" si="5"/>
        <v>0</v>
      </c>
      <c r="KHA69">
        <f t="shared" si="6"/>
        <v>0</v>
      </c>
      <c r="KHB69">
        <f t="shared" si="7"/>
        <v>0</v>
      </c>
      <c r="KHC69">
        <f t="shared" si="8"/>
        <v>0</v>
      </c>
      <c r="KHD69">
        <f t="shared" si="9"/>
        <v>0</v>
      </c>
      <c r="KHE69">
        <f t="shared" si="10"/>
        <v>0</v>
      </c>
      <c r="KHF69">
        <f t="shared" si="11"/>
        <v>0</v>
      </c>
      <c r="KHG69">
        <f t="shared" si="12"/>
        <v>0</v>
      </c>
      <c r="KHH69">
        <f t="shared" si="13"/>
        <v>0</v>
      </c>
      <c r="KHI69">
        <f t="shared" si="14"/>
        <v>0</v>
      </c>
      <c r="KHJ69">
        <f t="shared" si="15"/>
        <v>0</v>
      </c>
      <c r="KHK69">
        <f t="shared" si="16"/>
        <v>0</v>
      </c>
      <c r="KHL69">
        <f t="shared" si="17"/>
        <v>0</v>
      </c>
      <c r="KHM69">
        <f t="shared" si="18"/>
        <v>0</v>
      </c>
      <c r="KHN69">
        <f t="shared" si="19"/>
        <v>0</v>
      </c>
      <c r="KHO69">
        <f t="shared" si="20"/>
        <v>0</v>
      </c>
      <c r="KHP69">
        <f t="shared" si="21"/>
        <v>0</v>
      </c>
      <c r="KHQ69">
        <f t="shared" si="22"/>
        <v>0</v>
      </c>
      <c r="KHR69">
        <f t="shared" si="23"/>
        <v>0</v>
      </c>
      <c r="KHS69">
        <f t="shared" si="24"/>
        <v>0</v>
      </c>
      <c r="KHT69">
        <f t="shared" si="25"/>
        <v>0</v>
      </c>
      <c r="KHU69">
        <f t="shared" si="26"/>
        <v>0</v>
      </c>
      <c r="KHV69">
        <f t="shared" si="27"/>
        <v>0</v>
      </c>
      <c r="KHW69">
        <f t="shared" si="28"/>
        <v>0</v>
      </c>
      <c r="KHX69">
        <f t="shared" si="29"/>
        <v>0</v>
      </c>
      <c r="KHY69">
        <f t="shared" si="30"/>
        <v>0</v>
      </c>
      <c r="KHZ69">
        <f t="shared" si="31"/>
        <v>0</v>
      </c>
      <c r="KIA69">
        <f t="shared" si="32"/>
        <v>0</v>
      </c>
      <c r="KIB69">
        <f t="shared" si="33"/>
        <v>0</v>
      </c>
      <c r="KIC69">
        <f t="shared" si="34"/>
        <v>0</v>
      </c>
      <c r="KID69">
        <f t="shared" si="35"/>
        <v>0</v>
      </c>
      <c r="KIE69">
        <f t="shared" si="36"/>
        <v>0</v>
      </c>
      <c r="KIF69">
        <f t="shared" si="37"/>
        <v>0</v>
      </c>
      <c r="KIG69">
        <f t="shared" si="38"/>
        <v>0</v>
      </c>
      <c r="KIH69">
        <f t="shared" si="39"/>
        <v>0</v>
      </c>
      <c r="KII69">
        <f t="shared" si="40"/>
        <v>0</v>
      </c>
      <c r="KIJ69">
        <f t="shared" si="41"/>
        <v>0</v>
      </c>
      <c r="KIK69">
        <f t="shared" si="42"/>
        <v>0</v>
      </c>
      <c r="KIL69">
        <f t="shared" si="43"/>
        <v>0</v>
      </c>
      <c r="KIM69">
        <f t="shared" si="44"/>
        <v>0</v>
      </c>
      <c r="KIN69">
        <f t="shared" si="45"/>
        <v>0</v>
      </c>
      <c r="KIO69">
        <f t="shared" si="46"/>
        <v>0</v>
      </c>
      <c r="KIP69">
        <f t="shared" si="47"/>
        <v>0</v>
      </c>
      <c r="KIQ69">
        <f t="shared" si="48"/>
        <v>0</v>
      </c>
      <c r="KIR69">
        <f t="shared" si="49"/>
        <v>0</v>
      </c>
      <c r="KIS69">
        <f t="shared" si="50"/>
        <v>0</v>
      </c>
      <c r="KIT69">
        <f t="shared" si="51"/>
        <v>0</v>
      </c>
      <c r="KIU69">
        <f t="shared" si="52"/>
        <v>0</v>
      </c>
      <c r="KIV69">
        <f t="shared" si="53"/>
        <v>0</v>
      </c>
      <c r="KIW69">
        <f t="shared" si="54"/>
        <v>0</v>
      </c>
      <c r="KIX69">
        <f t="shared" si="55"/>
        <v>0</v>
      </c>
      <c r="KIY69">
        <f t="shared" si="56"/>
        <v>0</v>
      </c>
      <c r="KIZ69">
        <f t="shared" si="57"/>
        <v>0</v>
      </c>
      <c r="KJA69">
        <f t="shared" si="58"/>
        <v>0</v>
      </c>
      <c r="KJB69">
        <f t="shared" si="59"/>
        <v>0</v>
      </c>
      <c r="KJC69">
        <f t="shared" si="60"/>
        <v>0</v>
      </c>
      <c r="KJD69">
        <f t="shared" si="61"/>
        <v>0</v>
      </c>
      <c r="KJE69">
        <f t="shared" si="62"/>
        <v>0</v>
      </c>
      <c r="KJF69">
        <f t="shared" si="63"/>
        <v>0</v>
      </c>
      <c r="KJG69">
        <f t="shared" si="64"/>
        <v>0</v>
      </c>
      <c r="KJH69">
        <f t="shared" si="65"/>
        <v>0</v>
      </c>
      <c r="KJI69">
        <f t="shared" si="66"/>
        <v>0</v>
      </c>
      <c r="KJJ69">
        <f t="shared" si="67"/>
        <v>0</v>
      </c>
      <c r="KJK69">
        <f t="shared" si="68"/>
        <v>0</v>
      </c>
      <c r="KJL69">
        <f t="shared" si="69"/>
        <v>0</v>
      </c>
      <c r="KJM69">
        <f t="shared" si="70"/>
        <v>0</v>
      </c>
      <c r="KJN69">
        <f t="shared" si="71"/>
        <v>0</v>
      </c>
      <c r="KJO69">
        <f t="shared" si="72"/>
        <v>0</v>
      </c>
      <c r="KJP69">
        <f t="shared" si="73"/>
        <v>0</v>
      </c>
      <c r="KJQ69">
        <f t="shared" si="74"/>
        <v>0</v>
      </c>
      <c r="KJR69">
        <f t="shared" si="75"/>
        <v>0</v>
      </c>
      <c r="KJS69">
        <f t="shared" si="76"/>
        <v>0</v>
      </c>
      <c r="KJT69">
        <f t="shared" si="77"/>
        <v>0</v>
      </c>
      <c r="KJU69">
        <f t="shared" si="78"/>
        <v>0</v>
      </c>
      <c r="KJV69">
        <f t="shared" si="79"/>
        <v>0</v>
      </c>
      <c r="KJW69">
        <f t="shared" si="80"/>
        <v>0</v>
      </c>
      <c r="KJX69">
        <f t="shared" si="81"/>
        <v>0</v>
      </c>
      <c r="KJY69">
        <f t="shared" si="82"/>
        <v>0</v>
      </c>
      <c r="KJZ69">
        <f t="shared" si="83"/>
        <v>0</v>
      </c>
      <c r="KKA69">
        <f t="shared" si="84"/>
        <v>0</v>
      </c>
      <c r="KKB69">
        <f t="shared" si="85"/>
        <v>0</v>
      </c>
      <c r="KKC69">
        <f t="shared" si="86"/>
        <v>0</v>
      </c>
      <c r="KKD69">
        <f t="shared" si="87"/>
        <v>0</v>
      </c>
      <c r="KKE69">
        <f t="shared" si="88"/>
        <v>0</v>
      </c>
      <c r="KKF69">
        <f t="shared" si="89"/>
        <v>0</v>
      </c>
      <c r="KKG69">
        <f t="shared" si="90"/>
        <v>0</v>
      </c>
      <c r="KKH69">
        <f t="shared" si="91"/>
        <v>0</v>
      </c>
      <c r="KKI69">
        <f t="shared" si="92"/>
        <v>0</v>
      </c>
      <c r="KKJ69">
        <f t="shared" si="93"/>
        <v>0</v>
      </c>
      <c r="KKK69">
        <f t="shared" si="94"/>
        <v>0</v>
      </c>
      <c r="KKL69">
        <f t="shared" si="95"/>
        <v>0</v>
      </c>
      <c r="KKM69">
        <f t="shared" si="96"/>
        <v>0</v>
      </c>
      <c r="KKN69">
        <f t="shared" si="97"/>
        <v>0</v>
      </c>
      <c r="KKO69">
        <f t="shared" si="98"/>
        <v>0</v>
      </c>
      <c r="KKP69">
        <f t="shared" si="99"/>
        <v>0</v>
      </c>
      <c r="KKR69">
        <f t="shared" si="100"/>
        <v>0</v>
      </c>
      <c r="KKT69">
        <f t="shared" si="100"/>
        <v>0</v>
      </c>
      <c r="KKU69">
        <f t="shared" si="101"/>
        <v>0</v>
      </c>
      <c r="KKW69">
        <f t="shared" si="101"/>
        <v>0</v>
      </c>
    </row>
    <row r="70" spans="1:790 1170:4062 4134:4142 5713:6116 6491:6565 7639:7745">
      <c r="A70" t="s">
        <v>21</v>
      </c>
      <c r="B70">
        <v>1</v>
      </c>
      <c r="ASH70">
        <v>1</v>
      </c>
      <c r="ASI70">
        <v>1</v>
      </c>
      <c r="ASJ70">
        <v>1</v>
      </c>
      <c r="ASK70">
        <v>1</v>
      </c>
      <c r="ASL70">
        <v>1</v>
      </c>
      <c r="ASM70">
        <v>1</v>
      </c>
      <c r="ASN70">
        <v>1</v>
      </c>
      <c r="ASO70">
        <v>1</v>
      </c>
      <c r="ASP70">
        <v>1</v>
      </c>
      <c r="ASQ70">
        <v>1</v>
      </c>
      <c r="ASR70">
        <v>1</v>
      </c>
      <c r="ASS70">
        <v>1</v>
      </c>
      <c r="AST70">
        <v>1</v>
      </c>
      <c r="ASU70">
        <v>1</v>
      </c>
      <c r="ASV70">
        <v>1</v>
      </c>
      <c r="ASW70">
        <v>1</v>
      </c>
      <c r="KGU70" s="1">
        <f t="shared" si="0"/>
        <v>16</v>
      </c>
      <c r="KGV70">
        <f t="shared" si="1"/>
        <v>0</v>
      </c>
      <c r="KGW70">
        <f t="shared" si="2"/>
        <v>0</v>
      </c>
      <c r="KGX70">
        <f t="shared" si="3"/>
        <v>0</v>
      </c>
      <c r="KGY70">
        <f t="shared" si="4"/>
        <v>0</v>
      </c>
      <c r="KGZ70">
        <f t="shared" si="5"/>
        <v>0</v>
      </c>
      <c r="KHA70">
        <f t="shared" si="6"/>
        <v>0</v>
      </c>
      <c r="KHB70">
        <f t="shared" si="7"/>
        <v>0</v>
      </c>
      <c r="KHC70">
        <f t="shared" si="8"/>
        <v>0</v>
      </c>
      <c r="KHD70">
        <f t="shared" si="9"/>
        <v>0</v>
      </c>
      <c r="KHE70">
        <f t="shared" si="10"/>
        <v>0</v>
      </c>
      <c r="KHF70">
        <f t="shared" si="11"/>
        <v>0</v>
      </c>
      <c r="KHG70">
        <f t="shared" si="12"/>
        <v>0</v>
      </c>
      <c r="KHH70">
        <f t="shared" si="13"/>
        <v>0</v>
      </c>
      <c r="KHI70">
        <f t="shared" si="14"/>
        <v>0</v>
      </c>
      <c r="KHJ70">
        <f t="shared" si="15"/>
        <v>0</v>
      </c>
      <c r="KHK70">
        <f t="shared" si="16"/>
        <v>0</v>
      </c>
      <c r="KHL70">
        <f t="shared" si="17"/>
        <v>0</v>
      </c>
      <c r="KHM70">
        <f t="shared" si="18"/>
        <v>0</v>
      </c>
      <c r="KHN70">
        <f t="shared" si="19"/>
        <v>0</v>
      </c>
      <c r="KHO70">
        <f t="shared" si="20"/>
        <v>0</v>
      </c>
      <c r="KHP70">
        <f t="shared" si="21"/>
        <v>0</v>
      </c>
      <c r="KHQ70">
        <f t="shared" si="22"/>
        <v>0</v>
      </c>
      <c r="KHR70">
        <f t="shared" si="23"/>
        <v>0</v>
      </c>
      <c r="KHS70">
        <f t="shared" si="24"/>
        <v>0</v>
      </c>
      <c r="KHT70">
        <f t="shared" si="25"/>
        <v>0</v>
      </c>
      <c r="KHU70">
        <f t="shared" si="26"/>
        <v>0</v>
      </c>
      <c r="KHV70">
        <f t="shared" si="27"/>
        <v>0</v>
      </c>
      <c r="KHW70">
        <f t="shared" si="28"/>
        <v>0</v>
      </c>
      <c r="KHX70">
        <f t="shared" si="29"/>
        <v>0</v>
      </c>
      <c r="KHY70">
        <f t="shared" si="30"/>
        <v>0</v>
      </c>
      <c r="KHZ70">
        <f t="shared" si="31"/>
        <v>0</v>
      </c>
      <c r="KIA70">
        <f t="shared" si="32"/>
        <v>0</v>
      </c>
      <c r="KIB70">
        <f t="shared" si="33"/>
        <v>0</v>
      </c>
      <c r="KIC70">
        <f t="shared" si="34"/>
        <v>0</v>
      </c>
      <c r="KID70">
        <f t="shared" si="35"/>
        <v>0</v>
      </c>
      <c r="KIE70">
        <f t="shared" si="36"/>
        <v>0</v>
      </c>
      <c r="KIF70">
        <f t="shared" si="37"/>
        <v>0</v>
      </c>
      <c r="KIG70">
        <f t="shared" si="38"/>
        <v>0</v>
      </c>
      <c r="KIH70">
        <f t="shared" si="39"/>
        <v>0</v>
      </c>
      <c r="KII70">
        <f t="shared" si="40"/>
        <v>0</v>
      </c>
      <c r="KIJ70">
        <f t="shared" si="41"/>
        <v>0</v>
      </c>
      <c r="KIK70">
        <f t="shared" si="42"/>
        <v>0</v>
      </c>
      <c r="KIL70">
        <f t="shared" si="43"/>
        <v>0</v>
      </c>
      <c r="KIM70">
        <f t="shared" si="44"/>
        <v>0</v>
      </c>
      <c r="KIN70">
        <f t="shared" si="45"/>
        <v>0</v>
      </c>
      <c r="KIO70">
        <f t="shared" si="46"/>
        <v>0</v>
      </c>
      <c r="KIP70">
        <f t="shared" si="47"/>
        <v>0</v>
      </c>
      <c r="KIQ70">
        <f t="shared" si="48"/>
        <v>0</v>
      </c>
      <c r="KIR70">
        <f t="shared" si="49"/>
        <v>0</v>
      </c>
      <c r="KIS70">
        <f t="shared" si="50"/>
        <v>0</v>
      </c>
      <c r="KIT70">
        <f t="shared" si="51"/>
        <v>0</v>
      </c>
      <c r="KIU70">
        <f t="shared" si="52"/>
        <v>0</v>
      </c>
      <c r="KIV70">
        <f t="shared" si="53"/>
        <v>0</v>
      </c>
      <c r="KIW70">
        <f t="shared" si="54"/>
        <v>0</v>
      </c>
      <c r="KIX70">
        <f t="shared" si="55"/>
        <v>0</v>
      </c>
      <c r="KIY70">
        <f t="shared" si="56"/>
        <v>0</v>
      </c>
      <c r="KIZ70">
        <f t="shared" si="57"/>
        <v>0</v>
      </c>
      <c r="KJA70">
        <f t="shared" si="58"/>
        <v>0</v>
      </c>
      <c r="KJB70">
        <f t="shared" si="59"/>
        <v>0</v>
      </c>
      <c r="KJC70">
        <f t="shared" si="60"/>
        <v>0</v>
      </c>
      <c r="KJD70">
        <f t="shared" si="61"/>
        <v>0</v>
      </c>
      <c r="KJE70">
        <f t="shared" si="62"/>
        <v>0</v>
      </c>
      <c r="KJF70">
        <f t="shared" si="63"/>
        <v>0</v>
      </c>
      <c r="KJG70">
        <f t="shared" si="64"/>
        <v>0</v>
      </c>
      <c r="KJH70">
        <f t="shared" si="65"/>
        <v>0</v>
      </c>
      <c r="KJI70">
        <f t="shared" si="66"/>
        <v>0</v>
      </c>
      <c r="KJJ70">
        <f t="shared" si="67"/>
        <v>0</v>
      </c>
      <c r="KJK70">
        <f t="shared" si="68"/>
        <v>0</v>
      </c>
      <c r="KJL70">
        <f t="shared" si="69"/>
        <v>0</v>
      </c>
      <c r="KJM70">
        <f t="shared" si="70"/>
        <v>0</v>
      </c>
      <c r="KJN70">
        <f t="shared" si="71"/>
        <v>0</v>
      </c>
      <c r="KJO70">
        <f t="shared" si="72"/>
        <v>0</v>
      </c>
      <c r="KJP70">
        <f t="shared" si="73"/>
        <v>0</v>
      </c>
      <c r="KJQ70">
        <f t="shared" si="74"/>
        <v>0</v>
      </c>
      <c r="KJR70">
        <f t="shared" si="75"/>
        <v>0</v>
      </c>
      <c r="KJS70">
        <f t="shared" si="76"/>
        <v>0</v>
      </c>
      <c r="KJT70">
        <f t="shared" si="77"/>
        <v>0</v>
      </c>
      <c r="KJU70">
        <f t="shared" si="78"/>
        <v>0</v>
      </c>
      <c r="KJV70">
        <f t="shared" si="79"/>
        <v>0</v>
      </c>
      <c r="KJW70">
        <f t="shared" si="80"/>
        <v>0</v>
      </c>
      <c r="KJX70">
        <f t="shared" si="81"/>
        <v>0</v>
      </c>
      <c r="KJY70">
        <f t="shared" si="82"/>
        <v>0</v>
      </c>
      <c r="KJZ70">
        <f t="shared" si="83"/>
        <v>0</v>
      </c>
      <c r="KKA70">
        <f t="shared" si="84"/>
        <v>0</v>
      </c>
      <c r="KKB70">
        <f t="shared" si="85"/>
        <v>0</v>
      </c>
      <c r="KKC70">
        <f t="shared" si="86"/>
        <v>0</v>
      </c>
      <c r="KKD70">
        <f t="shared" si="87"/>
        <v>0</v>
      </c>
      <c r="KKE70">
        <f t="shared" si="88"/>
        <v>0</v>
      </c>
      <c r="KKF70">
        <f t="shared" si="89"/>
        <v>0</v>
      </c>
      <c r="KKG70">
        <f t="shared" si="90"/>
        <v>0</v>
      </c>
      <c r="KKH70">
        <f t="shared" si="91"/>
        <v>0</v>
      </c>
      <c r="KKI70">
        <f t="shared" si="92"/>
        <v>0</v>
      </c>
      <c r="KKJ70">
        <f t="shared" si="93"/>
        <v>0</v>
      </c>
      <c r="KKK70">
        <f t="shared" si="94"/>
        <v>0</v>
      </c>
      <c r="KKL70">
        <f t="shared" si="95"/>
        <v>0</v>
      </c>
      <c r="KKM70">
        <f t="shared" si="96"/>
        <v>0</v>
      </c>
      <c r="KKN70">
        <f t="shared" si="97"/>
        <v>0</v>
      </c>
      <c r="KKO70">
        <f t="shared" si="98"/>
        <v>0</v>
      </c>
      <c r="KKP70">
        <f t="shared" si="99"/>
        <v>0</v>
      </c>
      <c r="KKR70">
        <f t="shared" si="100"/>
        <v>16</v>
      </c>
      <c r="KKT70">
        <f t="shared" si="100"/>
        <v>16</v>
      </c>
      <c r="KKU70">
        <f t="shared" si="101"/>
        <v>0.64</v>
      </c>
      <c r="KKW70">
        <f t="shared" si="101"/>
        <v>0.64</v>
      </c>
    </row>
    <row r="71" spans="1:790 1170:4062 4134:4142 5713:6116 6491:6565 7639:7745">
      <c r="A71" t="s">
        <v>37</v>
      </c>
      <c r="B71">
        <v>0</v>
      </c>
      <c r="KGU71" s="1">
        <f t="shared" si="0"/>
        <v>0</v>
      </c>
      <c r="KGV71">
        <f t="shared" si="1"/>
        <v>0</v>
      </c>
      <c r="KGW71">
        <f t="shared" si="2"/>
        <v>0</v>
      </c>
      <c r="KGX71">
        <f t="shared" si="3"/>
        <v>0</v>
      </c>
      <c r="KGY71">
        <f t="shared" si="4"/>
        <v>0</v>
      </c>
      <c r="KGZ71">
        <f t="shared" si="5"/>
        <v>0</v>
      </c>
      <c r="KHA71">
        <f t="shared" si="6"/>
        <v>0</v>
      </c>
      <c r="KHB71">
        <f t="shared" si="7"/>
        <v>0</v>
      </c>
      <c r="KHC71">
        <f t="shared" si="8"/>
        <v>0</v>
      </c>
      <c r="KHD71">
        <f t="shared" si="9"/>
        <v>0</v>
      </c>
      <c r="KHE71">
        <f t="shared" si="10"/>
        <v>0</v>
      </c>
      <c r="KHF71">
        <f t="shared" si="11"/>
        <v>0</v>
      </c>
      <c r="KHG71">
        <f t="shared" si="12"/>
        <v>0</v>
      </c>
      <c r="KHH71">
        <f t="shared" si="13"/>
        <v>0</v>
      </c>
      <c r="KHI71">
        <f t="shared" si="14"/>
        <v>0</v>
      </c>
      <c r="KHJ71">
        <f t="shared" si="15"/>
        <v>0</v>
      </c>
      <c r="KHK71">
        <f t="shared" si="16"/>
        <v>0</v>
      </c>
      <c r="KHL71">
        <f t="shared" si="17"/>
        <v>0</v>
      </c>
      <c r="KHM71">
        <f t="shared" si="18"/>
        <v>0</v>
      </c>
      <c r="KHN71">
        <f t="shared" si="19"/>
        <v>0</v>
      </c>
      <c r="KHO71">
        <f t="shared" si="20"/>
        <v>0</v>
      </c>
      <c r="KHP71">
        <f t="shared" si="21"/>
        <v>0</v>
      </c>
      <c r="KHQ71">
        <f t="shared" si="22"/>
        <v>0</v>
      </c>
      <c r="KHR71">
        <f t="shared" si="23"/>
        <v>0</v>
      </c>
      <c r="KHS71">
        <f t="shared" si="24"/>
        <v>0</v>
      </c>
      <c r="KHT71">
        <f t="shared" si="25"/>
        <v>0</v>
      </c>
      <c r="KHU71">
        <f t="shared" si="26"/>
        <v>0</v>
      </c>
      <c r="KHV71">
        <f t="shared" si="27"/>
        <v>0</v>
      </c>
      <c r="KHW71">
        <f t="shared" si="28"/>
        <v>0</v>
      </c>
      <c r="KHX71">
        <f t="shared" si="29"/>
        <v>0</v>
      </c>
      <c r="KHY71">
        <f t="shared" si="30"/>
        <v>0</v>
      </c>
      <c r="KHZ71">
        <f t="shared" si="31"/>
        <v>0</v>
      </c>
      <c r="KIA71">
        <f t="shared" si="32"/>
        <v>0</v>
      </c>
      <c r="KIB71">
        <f t="shared" si="33"/>
        <v>0</v>
      </c>
      <c r="KIC71">
        <f t="shared" si="34"/>
        <v>0</v>
      </c>
      <c r="KID71">
        <f t="shared" si="35"/>
        <v>0</v>
      </c>
      <c r="KIE71">
        <f t="shared" si="36"/>
        <v>0</v>
      </c>
      <c r="KIF71">
        <f t="shared" si="37"/>
        <v>0</v>
      </c>
      <c r="KIG71">
        <f t="shared" si="38"/>
        <v>0</v>
      </c>
      <c r="KIH71">
        <f t="shared" si="39"/>
        <v>0</v>
      </c>
      <c r="KII71">
        <f t="shared" si="40"/>
        <v>0</v>
      </c>
      <c r="KIJ71">
        <f t="shared" si="41"/>
        <v>0</v>
      </c>
      <c r="KIK71">
        <f t="shared" si="42"/>
        <v>0</v>
      </c>
      <c r="KIL71">
        <f t="shared" si="43"/>
        <v>0</v>
      </c>
      <c r="KIM71">
        <f t="shared" si="44"/>
        <v>0</v>
      </c>
      <c r="KIN71">
        <f t="shared" si="45"/>
        <v>0</v>
      </c>
      <c r="KIO71">
        <f t="shared" si="46"/>
        <v>0</v>
      </c>
      <c r="KIP71">
        <f t="shared" si="47"/>
        <v>0</v>
      </c>
      <c r="KIQ71">
        <f t="shared" si="48"/>
        <v>0</v>
      </c>
      <c r="KIR71">
        <f t="shared" si="49"/>
        <v>0</v>
      </c>
      <c r="KIS71">
        <f t="shared" si="50"/>
        <v>0</v>
      </c>
      <c r="KIT71">
        <f t="shared" si="51"/>
        <v>0</v>
      </c>
      <c r="KIU71">
        <f t="shared" si="52"/>
        <v>0</v>
      </c>
      <c r="KIV71">
        <f t="shared" si="53"/>
        <v>0</v>
      </c>
      <c r="KIW71">
        <f t="shared" si="54"/>
        <v>0</v>
      </c>
      <c r="KIX71">
        <f t="shared" si="55"/>
        <v>0</v>
      </c>
      <c r="KIY71">
        <f t="shared" si="56"/>
        <v>0</v>
      </c>
      <c r="KIZ71">
        <f t="shared" si="57"/>
        <v>0</v>
      </c>
      <c r="KJA71">
        <f t="shared" si="58"/>
        <v>0</v>
      </c>
      <c r="KJB71">
        <f t="shared" si="59"/>
        <v>0</v>
      </c>
      <c r="KJC71">
        <f t="shared" si="60"/>
        <v>0</v>
      </c>
      <c r="KJD71">
        <f t="shared" si="61"/>
        <v>0</v>
      </c>
      <c r="KJE71">
        <f t="shared" si="62"/>
        <v>0</v>
      </c>
      <c r="KJF71">
        <f t="shared" si="63"/>
        <v>0</v>
      </c>
      <c r="KJG71">
        <f t="shared" si="64"/>
        <v>0</v>
      </c>
      <c r="KJH71">
        <f t="shared" si="65"/>
        <v>0</v>
      </c>
      <c r="KJI71">
        <f t="shared" si="66"/>
        <v>0</v>
      </c>
      <c r="KJJ71">
        <f t="shared" si="67"/>
        <v>0</v>
      </c>
      <c r="KJK71">
        <f t="shared" si="68"/>
        <v>0</v>
      </c>
      <c r="KJL71">
        <f t="shared" si="69"/>
        <v>0</v>
      </c>
      <c r="KJM71">
        <f t="shared" si="70"/>
        <v>0</v>
      </c>
      <c r="KJN71">
        <f t="shared" si="71"/>
        <v>0</v>
      </c>
      <c r="KJO71">
        <f t="shared" si="72"/>
        <v>0</v>
      </c>
      <c r="KJP71">
        <f t="shared" si="73"/>
        <v>0</v>
      </c>
      <c r="KJQ71">
        <f t="shared" si="74"/>
        <v>0</v>
      </c>
      <c r="KJR71">
        <f t="shared" si="75"/>
        <v>0</v>
      </c>
      <c r="KJS71">
        <f t="shared" si="76"/>
        <v>0</v>
      </c>
      <c r="KJT71">
        <f t="shared" si="77"/>
        <v>0</v>
      </c>
      <c r="KJU71">
        <f t="shared" si="78"/>
        <v>0</v>
      </c>
      <c r="KJV71">
        <f t="shared" si="79"/>
        <v>0</v>
      </c>
      <c r="KJW71">
        <f t="shared" si="80"/>
        <v>0</v>
      </c>
      <c r="KJX71">
        <f t="shared" si="81"/>
        <v>0</v>
      </c>
      <c r="KJY71">
        <f t="shared" si="82"/>
        <v>0</v>
      </c>
      <c r="KJZ71">
        <f t="shared" si="83"/>
        <v>0</v>
      </c>
      <c r="KKA71">
        <f t="shared" si="84"/>
        <v>0</v>
      </c>
      <c r="KKB71">
        <f t="shared" si="85"/>
        <v>0</v>
      </c>
      <c r="KKC71">
        <f t="shared" si="86"/>
        <v>0</v>
      </c>
      <c r="KKD71">
        <f t="shared" si="87"/>
        <v>0</v>
      </c>
      <c r="KKE71">
        <f t="shared" si="88"/>
        <v>0</v>
      </c>
      <c r="KKF71">
        <f t="shared" si="89"/>
        <v>0</v>
      </c>
      <c r="KKG71">
        <f t="shared" si="90"/>
        <v>0</v>
      </c>
      <c r="KKH71">
        <f t="shared" si="91"/>
        <v>0</v>
      </c>
      <c r="KKI71">
        <f t="shared" si="92"/>
        <v>0</v>
      </c>
      <c r="KKJ71">
        <f t="shared" si="93"/>
        <v>0</v>
      </c>
      <c r="KKK71">
        <f t="shared" si="94"/>
        <v>0</v>
      </c>
      <c r="KKL71">
        <f t="shared" si="95"/>
        <v>0</v>
      </c>
      <c r="KKM71">
        <f t="shared" si="96"/>
        <v>0</v>
      </c>
      <c r="KKN71">
        <f t="shared" si="97"/>
        <v>0</v>
      </c>
      <c r="KKO71">
        <f t="shared" si="98"/>
        <v>0</v>
      </c>
      <c r="KKP71">
        <f t="shared" si="99"/>
        <v>0</v>
      </c>
      <c r="KKR71">
        <f t="shared" si="100"/>
        <v>0</v>
      </c>
      <c r="KKT71">
        <f t="shared" si="100"/>
        <v>0</v>
      </c>
      <c r="KKU71">
        <f t="shared" si="101"/>
        <v>0</v>
      </c>
      <c r="KKW71">
        <f t="shared" si="101"/>
        <v>0</v>
      </c>
    </row>
    <row r="72" spans="1:790 1170:4062 4134:4142 5713:6116 6491:6565 7639:7745">
      <c r="A72" t="s">
        <v>7685</v>
      </c>
      <c r="B72">
        <v>1</v>
      </c>
      <c r="ASH72">
        <v>1</v>
      </c>
      <c r="ASI72">
        <v>1</v>
      </c>
      <c r="ASJ72">
        <v>1</v>
      </c>
      <c r="ASK72">
        <v>1</v>
      </c>
      <c r="ASL72">
        <v>1</v>
      </c>
      <c r="ASM72">
        <v>1</v>
      </c>
      <c r="ASN72">
        <v>1</v>
      </c>
      <c r="ASO72">
        <v>1</v>
      </c>
      <c r="ASP72">
        <v>1</v>
      </c>
      <c r="ASQ72">
        <v>1</v>
      </c>
      <c r="ASR72">
        <v>1</v>
      </c>
      <c r="ASS72">
        <v>1</v>
      </c>
      <c r="AST72">
        <v>1</v>
      </c>
      <c r="ASU72">
        <v>1</v>
      </c>
      <c r="ASV72">
        <v>1</v>
      </c>
      <c r="ASW72">
        <v>1</v>
      </c>
      <c r="KGU72" s="1">
        <f t="shared" si="0"/>
        <v>16</v>
      </c>
      <c r="KGV72">
        <f t="shared" si="1"/>
        <v>0</v>
      </c>
      <c r="KGW72">
        <f t="shared" si="2"/>
        <v>0</v>
      </c>
      <c r="KGX72">
        <f t="shared" si="3"/>
        <v>0</v>
      </c>
      <c r="KGY72">
        <f t="shared" si="4"/>
        <v>0</v>
      </c>
      <c r="KGZ72">
        <f t="shared" si="5"/>
        <v>0</v>
      </c>
      <c r="KHA72">
        <f t="shared" si="6"/>
        <v>0</v>
      </c>
      <c r="KHB72">
        <f t="shared" si="7"/>
        <v>0</v>
      </c>
      <c r="KHC72">
        <f t="shared" si="8"/>
        <v>0</v>
      </c>
      <c r="KHD72">
        <f t="shared" si="9"/>
        <v>0</v>
      </c>
      <c r="KHE72">
        <f t="shared" si="10"/>
        <v>0</v>
      </c>
      <c r="KHF72">
        <f t="shared" si="11"/>
        <v>0</v>
      </c>
      <c r="KHG72">
        <f t="shared" si="12"/>
        <v>0</v>
      </c>
      <c r="KHH72">
        <f t="shared" si="13"/>
        <v>0</v>
      </c>
      <c r="KHI72">
        <f t="shared" si="14"/>
        <v>0</v>
      </c>
      <c r="KHJ72">
        <f t="shared" si="15"/>
        <v>0</v>
      </c>
      <c r="KHK72">
        <f t="shared" si="16"/>
        <v>0</v>
      </c>
      <c r="KHL72">
        <f t="shared" si="17"/>
        <v>0</v>
      </c>
      <c r="KHM72">
        <f t="shared" si="18"/>
        <v>0</v>
      </c>
      <c r="KHN72">
        <f t="shared" si="19"/>
        <v>0</v>
      </c>
      <c r="KHO72">
        <f t="shared" si="20"/>
        <v>0</v>
      </c>
      <c r="KHP72">
        <f t="shared" si="21"/>
        <v>0</v>
      </c>
      <c r="KHQ72">
        <f t="shared" si="22"/>
        <v>0</v>
      </c>
      <c r="KHR72">
        <f t="shared" si="23"/>
        <v>0</v>
      </c>
      <c r="KHS72">
        <f t="shared" si="24"/>
        <v>0</v>
      </c>
      <c r="KHT72">
        <f t="shared" si="25"/>
        <v>0</v>
      </c>
      <c r="KHU72">
        <f t="shared" si="26"/>
        <v>0</v>
      </c>
      <c r="KHV72">
        <f t="shared" si="27"/>
        <v>0</v>
      </c>
      <c r="KHW72">
        <f t="shared" si="28"/>
        <v>0</v>
      </c>
      <c r="KHX72">
        <f t="shared" si="29"/>
        <v>0</v>
      </c>
      <c r="KHY72">
        <f t="shared" si="30"/>
        <v>0</v>
      </c>
      <c r="KHZ72">
        <f t="shared" si="31"/>
        <v>0</v>
      </c>
      <c r="KIA72">
        <f t="shared" si="32"/>
        <v>0</v>
      </c>
      <c r="KIB72">
        <f t="shared" si="33"/>
        <v>0</v>
      </c>
      <c r="KIC72">
        <f t="shared" si="34"/>
        <v>0</v>
      </c>
      <c r="KID72">
        <f t="shared" si="35"/>
        <v>0</v>
      </c>
      <c r="KIE72">
        <f t="shared" si="36"/>
        <v>0</v>
      </c>
      <c r="KIF72">
        <f t="shared" si="37"/>
        <v>0</v>
      </c>
      <c r="KIG72">
        <f t="shared" si="38"/>
        <v>0</v>
      </c>
      <c r="KIH72">
        <f t="shared" si="39"/>
        <v>0</v>
      </c>
      <c r="KII72">
        <f t="shared" si="40"/>
        <v>0</v>
      </c>
      <c r="KIJ72">
        <f t="shared" si="41"/>
        <v>0</v>
      </c>
      <c r="KIK72">
        <f t="shared" si="42"/>
        <v>0</v>
      </c>
      <c r="KIL72">
        <f t="shared" si="43"/>
        <v>0</v>
      </c>
      <c r="KIM72">
        <f t="shared" si="44"/>
        <v>0</v>
      </c>
      <c r="KIN72">
        <f t="shared" si="45"/>
        <v>0</v>
      </c>
      <c r="KIO72">
        <f t="shared" si="46"/>
        <v>0</v>
      </c>
      <c r="KIP72">
        <f t="shared" si="47"/>
        <v>0</v>
      </c>
      <c r="KIQ72">
        <f t="shared" si="48"/>
        <v>0</v>
      </c>
      <c r="KIR72">
        <f t="shared" si="49"/>
        <v>0</v>
      </c>
      <c r="KIS72">
        <f t="shared" si="50"/>
        <v>0</v>
      </c>
      <c r="KIT72">
        <f t="shared" si="51"/>
        <v>0</v>
      </c>
      <c r="KIU72">
        <f t="shared" si="52"/>
        <v>0</v>
      </c>
      <c r="KIV72">
        <f t="shared" si="53"/>
        <v>0</v>
      </c>
      <c r="KIW72">
        <f t="shared" si="54"/>
        <v>0</v>
      </c>
      <c r="KIX72">
        <f t="shared" si="55"/>
        <v>0</v>
      </c>
      <c r="KIY72">
        <f t="shared" si="56"/>
        <v>0</v>
      </c>
      <c r="KIZ72">
        <f t="shared" si="57"/>
        <v>0</v>
      </c>
      <c r="KJA72">
        <f t="shared" si="58"/>
        <v>0</v>
      </c>
      <c r="KJB72">
        <f t="shared" si="59"/>
        <v>0</v>
      </c>
      <c r="KJC72">
        <f t="shared" si="60"/>
        <v>0</v>
      </c>
      <c r="KJD72">
        <f t="shared" si="61"/>
        <v>0</v>
      </c>
      <c r="KJE72">
        <f t="shared" si="62"/>
        <v>0</v>
      </c>
      <c r="KJF72">
        <f t="shared" si="63"/>
        <v>0</v>
      </c>
      <c r="KJG72">
        <f t="shared" si="64"/>
        <v>0</v>
      </c>
      <c r="KJH72">
        <f t="shared" si="65"/>
        <v>0</v>
      </c>
      <c r="KJI72">
        <f t="shared" si="66"/>
        <v>0</v>
      </c>
      <c r="KJJ72">
        <f t="shared" si="67"/>
        <v>0</v>
      </c>
      <c r="KJK72">
        <f t="shared" si="68"/>
        <v>0</v>
      </c>
      <c r="KJL72">
        <f t="shared" si="69"/>
        <v>0</v>
      </c>
      <c r="KJM72">
        <f t="shared" si="70"/>
        <v>0</v>
      </c>
      <c r="KJN72">
        <f t="shared" si="71"/>
        <v>0</v>
      </c>
      <c r="KJO72">
        <f t="shared" si="72"/>
        <v>0</v>
      </c>
      <c r="KJP72">
        <f t="shared" si="73"/>
        <v>0</v>
      </c>
      <c r="KJQ72">
        <f t="shared" si="74"/>
        <v>0</v>
      </c>
      <c r="KJR72">
        <f t="shared" si="75"/>
        <v>0</v>
      </c>
      <c r="KJS72">
        <f t="shared" si="76"/>
        <v>0</v>
      </c>
      <c r="KJT72">
        <f t="shared" si="77"/>
        <v>0</v>
      </c>
      <c r="KJU72">
        <f t="shared" si="78"/>
        <v>0</v>
      </c>
      <c r="KJV72">
        <f t="shared" si="79"/>
        <v>0</v>
      </c>
      <c r="KJW72">
        <f t="shared" si="80"/>
        <v>0</v>
      </c>
      <c r="KJX72">
        <f t="shared" si="81"/>
        <v>0</v>
      </c>
      <c r="KJY72">
        <f t="shared" si="82"/>
        <v>0</v>
      </c>
      <c r="KJZ72">
        <f t="shared" si="83"/>
        <v>0</v>
      </c>
      <c r="KKA72">
        <f t="shared" si="84"/>
        <v>0</v>
      </c>
      <c r="KKB72">
        <f t="shared" si="85"/>
        <v>0</v>
      </c>
      <c r="KKC72">
        <f t="shared" si="86"/>
        <v>0</v>
      </c>
      <c r="KKD72">
        <f t="shared" si="87"/>
        <v>0</v>
      </c>
      <c r="KKE72">
        <f t="shared" si="88"/>
        <v>0</v>
      </c>
      <c r="KKF72">
        <f t="shared" si="89"/>
        <v>0</v>
      </c>
      <c r="KKG72">
        <f t="shared" si="90"/>
        <v>0</v>
      </c>
      <c r="KKH72">
        <f t="shared" si="91"/>
        <v>0</v>
      </c>
      <c r="KKI72">
        <f t="shared" si="92"/>
        <v>0</v>
      </c>
      <c r="KKJ72">
        <f t="shared" si="93"/>
        <v>0</v>
      </c>
      <c r="KKK72">
        <f t="shared" si="94"/>
        <v>0</v>
      </c>
      <c r="KKL72">
        <f t="shared" si="95"/>
        <v>0</v>
      </c>
      <c r="KKM72">
        <f t="shared" si="96"/>
        <v>0</v>
      </c>
      <c r="KKN72">
        <f t="shared" si="97"/>
        <v>0</v>
      </c>
      <c r="KKO72">
        <f t="shared" si="98"/>
        <v>0</v>
      </c>
      <c r="KKP72">
        <f t="shared" si="99"/>
        <v>0</v>
      </c>
      <c r="KKR72">
        <f t="shared" si="100"/>
        <v>16</v>
      </c>
      <c r="KKT72">
        <f t="shared" si="100"/>
        <v>16</v>
      </c>
      <c r="KKU72">
        <f t="shared" si="101"/>
        <v>0.64</v>
      </c>
      <c r="KKW72">
        <f t="shared" si="101"/>
        <v>0.64</v>
      </c>
    </row>
    <row r="73" spans="1:790 1170:4062 4134:4142 5713:6116 6491:6565 7639:7745">
      <c r="A73" t="s">
        <v>7686</v>
      </c>
      <c r="B73">
        <v>0</v>
      </c>
      <c r="KGU73" s="1">
        <f t="shared" si="0"/>
        <v>0</v>
      </c>
      <c r="KGV73">
        <f t="shared" si="1"/>
        <v>0</v>
      </c>
      <c r="KGW73">
        <f t="shared" si="2"/>
        <v>0</v>
      </c>
      <c r="KGX73">
        <f t="shared" si="3"/>
        <v>0</v>
      </c>
      <c r="KGY73">
        <f t="shared" si="4"/>
        <v>0</v>
      </c>
      <c r="KGZ73">
        <f t="shared" si="5"/>
        <v>0</v>
      </c>
      <c r="KHA73">
        <f t="shared" si="6"/>
        <v>0</v>
      </c>
      <c r="KHB73">
        <f t="shared" si="7"/>
        <v>0</v>
      </c>
      <c r="KHC73">
        <f t="shared" si="8"/>
        <v>0</v>
      </c>
      <c r="KHD73">
        <f t="shared" si="9"/>
        <v>0</v>
      </c>
      <c r="KHE73">
        <f t="shared" si="10"/>
        <v>0</v>
      </c>
      <c r="KHF73">
        <f t="shared" si="11"/>
        <v>0</v>
      </c>
      <c r="KHG73">
        <f t="shared" si="12"/>
        <v>0</v>
      </c>
      <c r="KHH73">
        <f t="shared" si="13"/>
        <v>0</v>
      </c>
      <c r="KHI73">
        <f t="shared" si="14"/>
        <v>0</v>
      </c>
      <c r="KHJ73">
        <f t="shared" si="15"/>
        <v>0</v>
      </c>
      <c r="KHK73">
        <f t="shared" si="16"/>
        <v>0</v>
      </c>
      <c r="KHL73">
        <f t="shared" si="17"/>
        <v>0</v>
      </c>
      <c r="KHM73">
        <f t="shared" si="18"/>
        <v>0</v>
      </c>
      <c r="KHN73">
        <f t="shared" si="19"/>
        <v>0</v>
      </c>
      <c r="KHO73">
        <f t="shared" si="20"/>
        <v>0</v>
      </c>
      <c r="KHP73">
        <f t="shared" si="21"/>
        <v>0</v>
      </c>
      <c r="KHQ73">
        <f t="shared" si="22"/>
        <v>0</v>
      </c>
      <c r="KHR73">
        <f t="shared" si="23"/>
        <v>0</v>
      </c>
      <c r="KHS73">
        <f t="shared" si="24"/>
        <v>0</v>
      </c>
      <c r="KHT73">
        <f t="shared" si="25"/>
        <v>0</v>
      </c>
      <c r="KHU73">
        <f t="shared" si="26"/>
        <v>0</v>
      </c>
      <c r="KHV73">
        <f t="shared" si="27"/>
        <v>0</v>
      </c>
      <c r="KHW73">
        <f t="shared" si="28"/>
        <v>0</v>
      </c>
      <c r="KHX73">
        <f t="shared" si="29"/>
        <v>0</v>
      </c>
      <c r="KHY73">
        <f t="shared" si="30"/>
        <v>0</v>
      </c>
      <c r="KHZ73">
        <f t="shared" si="31"/>
        <v>0</v>
      </c>
      <c r="KIA73">
        <f t="shared" si="32"/>
        <v>0</v>
      </c>
      <c r="KIB73">
        <f t="shared" si="33"/>
        <v>0</v>
      </c>
      <c r="KIC73">
        <f t="shared" si="34"/>
        <v>0</v>
      </c>
      <c r="KID73">
        <f t="shared" si="35"/>
        <v>0</v>
      </c>
      <c r="KIE73">
        <f t="shared" si="36"/>
        <v>0</v>
      </c>
      <c r="KIF73">
        <f t="shared" si="37"/>
        <v>0</v>
      </c>
      <c r="KIG73">
        <f t="shared" si="38"/>
        <v>0</v>
      </c>
      <c r="KIH73">
        <f t="shared" si="39"/>
        <v>0</v>
      </c>
      <c r="KII73">
        <f t="shared" si="40"/>
        <v>0</v>
      </c>
      <c r="KIJ73">
        <f t="shared" si="41"/>
        <v>0</v>
      </c>
      <c r="KIK73">
        <f t="shared" si="42"/>
        <v>0</v>
      </c>
      <c r="KIL73">
        <f t="shared" si="43"/>
        <v>0</v>
      </c>
      <c r="KIM73">
        <f t="shared" si="44"/>
        <v>0</v>
      </c>
      <c r="KIN73">
        <f t="shared" si="45"/>
        <v>0</v>
      </c>
      <c r="KIO73">
        <f t="shared" si="46"/>
        <v>0</v>
      </c>
      <c r="KIP73">
        <f t="shared" si="47"/>
        <v>0</v>
      </c>
      <c r="KIQ73">
        <f t="shared" si="48"/>
        <v>0</v>
      </c>
      <c r="KIR73">
        <f t="shared" si="49"/>
        <v>0</v>
      </c>
      <c r="KIS73">
        <f t="shared" si="50"/>
        <v>0</v>
      </c>
      <c r="KIT73">
        <f t="shared" si="51"/>
        <v>0</v>
      </c>
      <c r="KIU73">
        <f t="shared" si="52"/>
        <v>0</v>
      </c>
      <c r="KIV73">
        <f t="shared" si="53"/>
        <v>0</v>
      </c>
      <c r="KIW73">
        <f t="shared" si="54"/>
        <v>0</v>
      </c>
      <c r="KIX73">
        <f t="shared" si="55"/>
        <v>0</v>
      </c>
      <c r="KIY73">
        <f t="shared" si="56"/>
        <v>0</v>
      </c>
      <c r="KIZ73">
        <f t="shared" si="57"/>
        <v>0</v>
      </c>
      <c r="KJA73">
        <f t="shared" si="58"/>
        <v>0</v>
      </c>
      <c r="KJB73">
        <f t="shared" si="59"/>
        <v>0</v>
      </c>
      <c r="KJC73">
        <f t="shared" si="60"/>
        <v>0</v>
      </c>
      <c r="KJD73">
        <f t="shared" si="61"/>
        <v>0</v>
      </c>
      <c r="KJE73">
        <f t="shared" si="62"/>
        <v>0</v>
      </c>
      <c r="KJF73">
        <f t="shared" si="63"/>
        <v>0</v>
      </c>
      <c r="KJG73">
        <f t="shared" si="64"/>
        <v>0</v>
      </c>
      <c r="KJH73">
        <f t="shared" si="65"/>
        <v>0</v>
      </c>
      <c r="KJI73">
        <f t="shared" si="66"/>
        <v>0</v>
      </c>
      <c r="KJJ73">
        <f t="shared" si="67"/>
        <v>0</v>
      </c>
      <c r="KJK73">
        <f t="shared" si="68"/>
        <v>0</v>
      </c>
      <c r="KJL73">
        <f t="shared" si="69"/>
        <v>0</v>
      </c>
      <c r="KJM73">
        <f t="shared" si="70"/>
        <v>0</v>
      </c>
      <c r="KJN73">
        <f t="shared" si="71"/>
        <v>0</v>
      </c>
      <c r="KJO73">
        <f t="shared" si="72"/>
        <v>0</v>
      </c>
      <c r="KJP73">
        <f t="shared" si="73"/>
        <v>0</v>
      </c>
      <c r="KJQ73">
        <f t="shared" si="74"/>
        <v>0</v>
      </c>
      <c r="KJR73">
        <f t="shared" si="75"/>
        <v>0</v>
      </c>
      <c r="KJS73">
        <f t="shared" si="76"/>
        <v>0</v>
      </c>
      <c r="KJT73">
        <f t="shared" si="77"/>
        <v>0</v>
      </c>
      <c r="KJU73">
        <f t="shared" si="78"/>
        <v>0</v>
      </c>
      <c r="KJV73">
        <f t="shared" si="79"/>
        <v>0</v>
      </c>
      <c r="KJW73">
        <f t="shared" si="80"/>
        <v>0</v>
      </c>
      <c r="KJX73">
        <f t="shared" si="81"/>
        <v>0</v>
      </c>
      <c r="KJY73">
        <f t="shared" si="82"/>
        <v>0</v>
      </c>
      <c r="KJZ73">
        <f t="shared" si="83"/>
        <v>0</v>
      </c>
      <c r="KKA73">
        <f t="shared" si="84"/>
        <v>0</v>
      </c>
      <c r="KKB73">
        <f t="shared" si="85"/>
        <v>0</v>
      </c>
      <c r="KKC73">
        <f t="shared" si="86"/>
        <v>0</v>
      </c>
      <c r="KKD73">
        <f t="shared" si="87"/>
        <v>0</v>
      </c>
      <c r="KKE73">
        <f t="shared" si="88"/>
        <v>0</v>
      </c>
      <c r="KKF73">
        <f t="shared" si="89"/>
        <v>0</v>
      </c>
      <c r="KKG73">
        <f t="shared" si="90"/>
        <v>0</v>
      </c>
      <c r="KKH73">
        <f t="shared" si="91"/>
        <v>0</v>
      </c>
      <c r="KKI73">
        <f t="shared" si="92"/>
        <v>0</v>
      </c>
      <c r="KKJ73">
        <f t="shared" si="93"/>
        <v>0</v>
      </c>
      <c r="KKK73">
        <f t="shared" si="94"/>
        <v>0</v>
      </c>
      <c r="KKL73">
        <f t="shared" si="95"/>
        <v>0</v>
      </c>
      <c r="KKM73">
        <f t="shared" si="96"/>
        <v>0</v>
      </c>
      <c r="KKN73">
        <f t="shared" si="97"/>
        <v>0</v>
      </c>
      <c r="KKO73">
        <f t="shared" si="98"/>
        <v>0</v>
      </c>
      <c r="KKP73">
        <f t="shared" si="99"/>
        <v>0</v>
      </c>
      <c r="KKR73">
        <f t="shared" si="100"/>
        <v>0</v>
      </c>
      <c r="KKT73">
        <f t="shared" si="100"/>
        <v>0</v>
      </c>
      <c r="KKU73">
        <f t="shared" si="101"/>
        <v>0</v>
      </c>
      <c r="KKW73">
        <f t="shared" si="101"/>
        <v>0</v>
      </c>
    </row>
    <row r="74" spans="1:790 1170:4062 4134:4142 5713:6116 6491:6565 7639:7745">
      <c r="A74" t="s">
        <v>22</v>
      </c>
      <c r="B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KGU74" s="1">
        <f t="shared" si="0"/>
        <v>11</v>
      </c>
      <c r="KGV74">
        <f t="shared" si="1"/>
        <v>0</v>
      </c>
      <c r="KGW74">
        <f t="shared" si="2"/>
        <v>0</v>
      </c>
      <c r="KGX74">
        <f t="shared" si="3"/>
        <v>0</v>
      </c>
      <c r="KGY74">
        <f t="shared" si="4"/>
        <v>0</v>
      </c>
      <c r="KGZ74">
        <f t="shared" si="5"/>
        <v>0</v>
      </c>
      <c r="KHA74">
        <f t="shared" si="6"/>
        <v>0</v>
      </c>
      <c r="KHB74">
        <f t="shared" si="7"/>
        <v>0</v>
      </c>
      <c r="KHC74">
        <f t="shared" si="8"/>
        <v>0</v>
      </c>
      <c r="KHD74">
        <f t="shared" si="9"/>
        <v>0</v>
      </c>
      <c r="KHE74">
        <f t="shared" si="10"/>
        <v>0</v>
      </c>
      <c r="KHF74">
        <f t="shared" si="11"/>
        <v>0</v>
      </c>
      <c r="KHG74">
        <f t="shared" si="12"/>
        <v>0</v>
      </c>
      <c r="KHH74">
        <f t="shared" si="13"/>
        <v>0</v>
      </c>
      <c r="KHI74">
        <f t="shared" si="14"/>
        <v>0</v>
      </c>
      <c r="KHJ74">
        <f t="shared" si="15"/>
        <v>0</v>
      </c>
      <c r="KHK74">
        <f t="shared" si="16"/>
        <v>0</v>
      </c>
      <c r="KHL74">
        <f t="shared" si="17"/>
        <v>0</v>
      </c>
      <c r="KHM74">
        <f t="shared" si="18"/>
        <v>0</v>
      </c>
      <c r="KHN74">
        <f t="shared" si="19"/>
        <v>0</v>
      </c>
      <c r="KHO74">
        <f t="shared" si="20"/>
        <v>0</v>
      </c>
      <c r="KHP74">
        <f t="shared" si="21"/>
        <v>0</v>
      </c>
      <c r="KHQ74">
        <f t="shared" si="22"/>
        <v>0</v>
      </c>
      <c r="KHR74">
        <f t="shared" si="23"/>
        <v>0</v>
      </c>
      <c r="KHS74">
        <f t="shared" si="24"/>
        <v>0</v>
      </c>
      <c r="KHT74">
        <f t="shared" si="25"/>
        <v>0</v>
      </c>
      <c r="KHU74">
        <f t="shared" si="26"/>
        <v>0</v>
      </c>
      <c r="KHV74">
        <f t="shared" si="27"/>
        <v>0</v>
      </c>
      <c r="KHW74">
        <f t="shared" si="28"/>
        <v>0</v>
      </c>
      <c r="KHX74">
        <f t="shared" si="29"/>
        <v>0</v>
      </c>
      <c r="KHY74">
        <f t="shared" si="30"/>
        <v>0</v>
      </c>
      <c r="KHZ74">
        <f t="shared" si="31"/>
        <v>0</v>
      </c>
      <c r="KIA74">
        <f t="shared" si="32"/>
        <v>0</v>
      </c>
      <c r="KIB74">
        <f t="shared" si="33"/>
        <v>0</v>
      </c>
      <c r="KIC74">
        <f t="shared" si="34"/>
        <v>0</v>
      </c>
      <c r="KID74">
        <f t="shared" si="35"/>
        <v>0</v>
      </c>
      <c r="KIE74">
        <f t="shared" si="36"/>
        <v>0</v>
      </c>
      <c r="KIF74">
        <f t="shared" si="37"/>
        <v>0</v>
      </c>
      <c r="KIG74">
        <f t="shared" si="38"/>
        <v>0</v>
      </c>
      <c r="KIH74">
        <f t="shared" si="39"/>
        <v>0</v>
      </c>
      <c r="KII74">
        <f t="shared" si="40"/>
        <v>0</v>
      </c>
      <c r="KIJ74">
        <f t="shared" si="41"/>
        <v>0</v>
      </c>
      <c r="KIK74">
        <f t="shared" si="42"/>
        <v>0</v>
      </c>
      <c r="KIL74">
        <f t="shared" si="43"/>
        <v>0</v>
      </c>
      <c r="KIM74">
        <f t="shared" si="44"/>
        <v>0</v>
      </c>
      <c r="KIN74">
        <f t="shared" si="45"/>
        <v>0</v>
      </c>
      <c r="KIO74">
        <f t="shared" si="46"/>
        <v>0</v>
      </c>
      <c r="KIP74">
        <f t="shared" si="47"/>
        <v>0</v>
      </c>
      <c r="KIQ74">
        <f t="shared" si="48"/>
        <v>0</v>
      </c>
      <c r="KIR74">
        <f t="shared" si="49"/>
        <v>0</v>
      </c>
      <c r="KIS74">
        <f t="shared" si="50"/>
        <v>0</v>
      </c>
      <c r="KIT74">
        <f t="shared" si="51"/>
        <v>0</v>
      </c>
      <c r="KIU74">
        <f t="shared" si="52"/>
        <v>0</v>
      </c>
      <c r="KIV74">
        <f t="shared" si="53"/>
        <v>0</v>
      </c>
      <c r="KIW74">
        <f t="shared" si="54"/>
        <v>0</v>
      </c>
      <c r="KIX74">
        <f t="shared" si="55"/>
        <v>0</v>
      </c>
      <c r="KIY74">
        <f t="shared" si="56"/>
        <v>0</v>
      </c>
      <c r="KIZ74">
        <f t="shared" si="57"/>
        <v>0</v>
      </c>
      <c r="KJA74">
        <f t="shared" si="58"/>
        <v>0</v>
      </c>
      <c r="KJB74">
        <f t="shared" si="59"/>
        <v>0</v>
      </c>
      <c r="KJC74">
        <f t="shared" si="60"/>
        <v>0</v>
      </c>
      <c r="KJD74">
        <f t="shared" si="61"/>
        <v>0</v>
      </c>
      <c r="KJE74">
        <f t="shared" si="62"/>
        <v>0</v>
      </c>
      <c r="KJF74">
        <f t="shared" si="63"/>
        <v>0</v>
      </c>
      <c r="KJG74">
        <f t="shared" si="64"/>
        <v>0</v>
      </c>
      <c r="KJH74">
        <f t="shared" si="65"/>
        <v>0</v>
      </c>
      <c r="KJI74">
        <f t="shared" si="66"/>
        <v>0</v>
      </c>
      <c r="KJJ74">
        <f t="shared" si="67"/>
        <v>0</v>
      </c>
      <c r="KJK74">
        <f t="shared" si="68"/>
        <v>0</v>
      </c>
      <c r="KJL74">
        <f t="shared" si="69"/>
        <v>0</v>
      </c>
      <c r="KJM74">
        <f t="shared" si="70"/>
        <v>0</v>
      </c>
      <c r="KJN74">
        <f t="shared" si="71"/>
        <v>0</v>
      </c>
      <c r="KJO74">
        <f t="shared" si="72"/>
        <v>0</v>
      </c>
      <c r="KJP74">
        <f t="shared" si="73"/>
        <v>0</v>
      </c>
      <c r="KJQ74">
        <f t="shared" si="74"/>
        <v>0</v>
      </c>
      <c r="KJR74">
        <f t="shared" si="75"/>
        <v>0</v>
      </c>
      <c r="KJS74">
        <f t="shared" si="76"/>
        <v>0</v>
      </c>
      <c r="KJT74">
        <f t="shared" si="77"/>
        <v>0</v>
      </c>
      <c r="KJU74">
        <f t="shared" si="78"/>
        <v>0</v>
      </c>
      <c r="KJV74">
        <f t="shared" si="79"/>
        <v>0</v>
      </c>
      <c r="KJW74">
        <f t="shared" si="80"/>
        <v>0</v>
      </c>
      <c r="KJX74">
        <f t="shared" si="81"/>
        <v>0</v>
      </c>
      <c r="KJY74">
        <f t="shared" si="82"/>
        <v>0</v>
      </c>
      <c r="KJZ74">
        <f t="shared" si="83"/>
        <v>0</v>
      </c>
      <c r="KKA74">
        <f t="shared" si="84"/>
        <v>0</v>
      </c>
      <c r="KKB74">
        <f t="shared" si="85"/>
        <v>0</v>
      </c>
      <c r="KKC74">
        <f t="shared" si="86"/>
        <v>0</v>
      </c>
      <c r="KKD74">
        <f t="shared" si="87"/>
        <v>0</v>
      </c>
      <c r="KKE74">
        <f t="shared" si="88"/>
        <v>0</v>
      </c>
      <c r="KKF74">
        <f t="shared" si="89"/>
        <v>0</v>
      </c>
      <c r="KKG74">
        <f t="shared" si="90"/>
        <v>0</v>
      </c>
      <c r="KKH74">
        <f t="shared" si="91"/>
        <v>0</v>
      </c>
      <c r="KKI74">
        <f t="shared" si="92"/>
        <v>0</v>
      </c>
      <c r="KKJ74">
        <f t="shared" si="93"/>
        <v>0</v>
      </c>
      <c r="KKK74">
        <f t="shared" si="94"/>
        <v>0</v>
      </c>
      <c r="KKL74">
        <f t="shared" si="95"/>
        <v>0</v>
      </c>
      <c r="KKM74">
        <f t="shared" si="96"/>
        <v>0</v>
      </c>
      <c r="KKN74">
        <f t="shared" si="97"/>
        <v>0</v>
      </c>
      <c r="KKO74">
        <f t="shared" si="98"/>
        <v>0</v>
      </c>
      <c r="KKP74">
        <f t="shared" si="99"/>
        <v>0</v>
      </c>
      <c r="KKR74">
        <f t="shared" si="100"/>
        <v>11</v>
      </c>
      <c r="KKT74">
        <f t="shared" si="100"/>
        <v>11</v>
      </c>
      <c r="KKU74">
        <f t="shared" si="101"/>
        <v>0.44</v>
      </c>
      <c r="KKW74">
        <f t="shared" si="101"/>
        <v>0.44</v>
      </c>
    </row>
    <row r="75" spans="1:790 1170:4062 4134:4142 5713:6116 6491:6565 7639:7745">
      <c r="A75" t="s">
        <v>38</v>
      </c>
      <c r="B75">
        <v>0</v>
      </c>
      <c r="KGU75" s="1">
        <f t="shared" si="0"/>
        <v>0</v>
      </c>
      <c r="KGV75">
        <f t="shared" si="1"/>
        <v>0</v>
      </c>
      <c r="KGW75">
        <f t="shared" si="2"/>
        <v>0</v>
      </c>
      <c r="KGX75">
        <f t="shared" si="3"/>
        <v>0</v>
      </c>
      <c r="KGY75">
        <f t="shared" si="4"/>
        <v>0</v>
      </c>
      <c r="KGZ75">
        <f t="shared" si="5"/>
        <v>0</v>
      </c>
      <c r="KHA75">
        <f t="shared" si="6"/>
        <v>0</v>
      </c>
      <c r="KHB75">
        <f t="shared" si="7"/>
        <v>0</v>
      </c>
      <c r="KHC75">
        <f t="shared" si="8"/>
        <v>0</v>
      </c>
      <c r="KHD75">
        <f t="shared" si="9"/>
        <v>0</v>
      </c>
      <c r="KHE75">
        <f t="shared" si="10"/>
        <v>0</v>
      </c>
      <c r="KHF75">
        <f t="shared" si="11"/>
        <v>0</v>
      </c>
      <c r="KHG75">
        <f t="shared" si="12"/>
        <v>0</v>
      </c>
      <c r="KHH75">
        <f t="shared" si="13"/>
        <v>0</v>
      </c>
      <c r="KHI75">
        <f t="shared" si="14"/>
        <v>0</v>
      </c>
      <c r="KHJ75">
        <f t="shared" si="15"/>
        <v>0</v>
      </c>
      <c r="KHK75">
        <f t="shared" si="16"/>
        <v>0</v>
      </c>
      <c r="KHL75">
        <f t="shared" si="17"/>
        <v>0</v>
      </c>
      <c r="KHM75">
        <f t="shared" si="18"/>
        <v>0</v>
      </c>
      <c r="KHN75">
        <f t="shared" si="19"/>
        <v>0</v>
      </c>
      <c r="KHO75">
        <f t="shared" si="20"/>
        <v>0</v>
      </c>
      <c r="KHP75">
        <f t="shared" si="21"/>
        <v>0</v>
      </c>
      <c r="KHQ75">
        <f t="shared" si="22"/>
        <v>0</v>
      </c>
      <c r="KHR75">
        <f t="shared" si="23"/>
        <v>0</v>
      </c>
      <c r="KHS75">
        <f t="shared" si="24"/>
        <v>0</v>
      </c>
      <c r="KHT75">
        <f t="shared" si="25"/>
        <v>0</v>
      </c>
      <c r="KHU75">
        <f t="shared" si="26"/>
        <v>0</v>
      </c>
      <c r="KHV75">
        <f t="shared" si="27"/>
        <v>0</v>
      </c>
      <c r="KHW75">
        <f t="shared" si="28"/>
        <v>0</v>
      </c>
      <c r="KHX75">
        <f t="shared" si="29"/>
        <v>0</v>
      </c>
      <c r="KHY75">
        <f t="shared" si="30"/>
        <v>0</v>
      </c>
      <c r="KHZ75">
        <f t="shared" si="31"/>
        <v>0</v>
      </c>
      <c r="KIA75">
        <f t="shared" si="32"/>
        <v>0</v>
      </c>
      <c r="KIB75">
        <f t="shared" si="33"/>
        <v>0</v>
      </c>
      <c r="KIC75">
        <f t="shared" si="34"/>
        <v>0</v>
      </c>
      <c r="KID75">
        <f t="shared" si="35"/>
        <v>0</v>
      </c>
      <c r="KIE75">
        <f t="shared" si="36"/>
        <v>0</v>
      </c>
      <c r="KIF75">
        <f t="shared" si="37"/>
        <v>0</v>
      </c>
      <c r="KIG75">
        <f t="shared" si="38"/>
        <v>0</v>
      </c>
      <c r="KIH75">
        <f t="shared" si="39"/>
        <v>0</v>
      </c>
      <c r="KII75">
        <f t="shared" si="40"/>
        <v>0</v>
      </c>
      <c r="KIJ75">
        <f t="shared" si="41"/>
        <v>0</v>
      </c>
      <c r="KIK75">
        <f t="shared" si="42"/>
        <v>0</v>
      </c>
      <c r="KIL75">
        <f t="shared" si="43"/>
        <v>0</v>
      </c>
      <c r="KIM75">
        <f t="shared" si="44"/>
        <v>0</v>
      </c>
      <c r="KIN75">
        <f t="shared" si="45"/>
        <v>0</v>
      </c>
      <c r="KIO75">
        <f t="shared" si="46"/>
        <v>0</v>
      </c>
      <c r="KIP75">
        <f t="shared" si="47"/>
        <v>0</v>
      </c>
      <c r="KIQ75">
        <f t="shared" si="48"/>
        <v>0</v>
      </c>
      <c r="KIR75">
        <f t="shared" si="49"/>
        <v>0</v>
      </c>
      <c r="KIS75">
        <f t="shared" si="50"/>
        <v>0</v>
      </c>
      <c r="KIT75">
        <f t="shared" si="51"/>
        <v>0</v>
      </c>
      <c r="KIU75">
        <f t="shared" si="52"/>
        <v>0</v>
      </c>
      <c r="KIV75">
        <f t="shared" si="53"/>
        <v>0</v>
      </c>
      <c r="KIW75">
        <f t="shared" si="54"/>
        <v>0</v>
      </c>
      <c r="KIX75">
        <f t="shared" si="55"/>
        <v>0</v>
      </c>
      <c r="KIY75">
        <f t="shared" si="56"/>
        <v>0</v>
      </c>
      <c r="KIZ75">
        <f t="shared" si="57"/>
        <v>0</v>
      </c>
      <c r="KJA75">
        <f t="shared" si="58"/>
        <v>0</v>
      </c>
      <c r="KJB75">
        <f t="shared" si="59"/>
        <v>0</v>
      </c>
      <c r="KJC75">
        <f t="shared" si="60"/>
        <v>0</v>
      </c>
      <c r="KJD75">
        <f t="shared" si="61"/>
        <v>0</v>
      </c>
      <c r="KJE75">
        <f t="shared" si="62"/>
        <v>0</v>
      </c>
      <c r="KJF75">
        <f t="shared" si="63"/>
        <v>0</v>
      </c>
      <c r="KJG75">
        <f t="shared" si="64"/>
        <v>0</v>
      </c>
      <c r="KJH75">
        <f t="shared" si="65"/>
        <v>0</v>
      </c>
      <c r="KJI75">
        <f t="shared" si="66"/>
        <v>0</v>
      </c>
      <c r="KJJ75">
        <f t="shared" si="67"/>
        <v>0</v>
      </c>
      <c r="KJK75">
        <f t="shared" si="68"/>
        <v>0</v>
      </c>
      <c r="KJL75">
        <f t="shared" si="69"/>
        <v>0</v>
      </c>
      <c r="KJM75">
        <f t="shared" si="70"/>
        <v>0</v>
      </c>
      <c r="KJN75">
        <f t="shared" si="71"/>
        <v>0</v>
      </c>
      <c r="KJO75">
        <f t="shared" si="72"/>
        <v>0</v>
      </c>
      <c r="KJP75">
        <f t="shared" si="73"/>
        <v>0</v>
      </c>
      <c r="KJQ75">
        <f t="shared" si="74"/>
        <v>0</v>
      </c>
      <c r="KJR75">
        <f t="shared" si="75"/>
        <v>0</v>
      </c>
      <c r="KJS75">
        <f t="shared" si="76"/>
        <v>0</v>
      </c>
      <c r="KJT75">
        <f t="shared" si="77"/>
        <v>0</v>
      </c>
      <c r="KJU75">
        <f t="shared" si="78"/>
        <v>0</v>
      </c>
      <c r="KJV75">
        <f t="shared" si="79"/>
        <v>0</v>
      </c>
      <c r="KJW75">
        <f t="shared" si="80"/>
        <v>0</v>
      </c>
      <c r="KJX75">
        <f t="shared" si="81"/>
        <v>0</v>
      </c>
      <c r="KJY75">
        <f t="shared" si="82"/>
        <v>0</v>
      </c>
      <c r="KJZ75">
        <f t="shared" si="83"/>
        <v>0</v>
      </c>
      <c r="KKA75">
        <f t="shared" si="84"/>
        <v>0</v>
      </c>
      <c r="KKB75">
        <f t="shared" si="85"/>
        <v>0</v>
      </c>
      <c r="KKC75">
        <f t="shared" si="86"/>
        <v>0</v>
      </c>
      <c r="KKD75">
        <f t="shared" si="87"/>
        <v>0</v>
      </c>
      <c r="KKE75">
        <f t="shared" si="88"/>
        <v>0</v>
      </c>
      <c r="KKF75">
        <f t="shared" si="89"/>
        <v>0</v>
      </c>
      <c r="KKG75">
        <f t="shared" si="90"/>
        <v>0</v>
      </c>
      <c r="KKH75">
        <f t="shared" si="91"/>
        <v>0</v>
      </c>
      <c r="KKI75">
        <f t="shared" si="92"/>
        <v>0</v>
      </c>
      <c r="KKJ75">
        <f t="shared" si="93"/>
        <v>0</v>
      </c>
      <c r="KKK75">
        <f t="shared" si="94"/>
        <v>0</v>
      </c>
      <c r="KKL75">
        <f t="shared" si="95"/>
        <v>0</v>
      </c>
      <c r="KKM75">
        <f t="shared" si="96"/>
        <v>0</v>
      </c>
      <c r="KKN75">
        <f t="shared" si="97"/>
        <v>0</v>
      </c>
      <c r="KKO75">
        <f t="shared" si="98"/>
        <v>0</v>
      </c>
      <c r="KKP75">
        <f t="shared" si="99"/>
        <v>0</v>
      </c>
      <c r="KKR75">
        <f t="shared" si="100"/>
        <v>0</v>
      </c>
      <c r="KKT75">
        <f t="shared" si="100"/>
        <v>0</v>
      </c>
      <c r="KKU75">
        <f t="shared" si="101"/>
        <v>0</v>
      </c>
      <c r="KKW75">
        <f t="shared" si="101"/>
        <v>0</v>
      </c>
    </row>
    <row r="76" spans="1:790 1170:4062 4134:4142 5713:6116 6491:6565 7639:7745">
      <c r="A76" t="s">
        <v>7687</v>
      </c>
      <c r="B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KGU76" s="1">
        <f t="shared" si="0"/>
        <v>11</v>
      </c>
      <c r="KGV76">
        <f t="shared" si="1"/>
        <v>0</v>
      </c>
      <c r="KGW76">
        <f t="shared" si="2"/>
        <v>0</v>
      </c>
      <c r="KGX76">
        <f t="shared" si="3"/>
        <v>0</v>
      </c>
      <c r="KGY76">
        <f t="shared" si="4"/>
        <v>0</v>
      </c>
      <c r="KGZ76">
        <f t="shared" si="5"/>
        <v>0</v>
      </c>
      <c r="KHA76">
        <f t="shared" si="6"/>
        <v>0</v>
      </c>
      <c r="KHB76">
        <f t="shared" si="7"/>
        <v>0</v>
      </c>
      <c r="KHC76">
        <f t="shared" si="8"/>
        <v>0</v>
      </c>
      <c r="KHD76">
        <f t="shared" si="9"/>
        <v>0</v>
      </c>
      <c r="KHE76">
        <f t="shared" si="10"/>
        <v>0</v>
      </c>
      <c r="KHF76">
        <f t="shared" si="11"/>
        <v>0</v>
      </c>
      <c r="KHG76">
        <f t="shared" si="12"/>
        <v>0</v>
      </c>
      <c r="KHH76">
        <f t="shared" si="13"/>
        <v>0</v>
      </c>
      <c r="KHI76">
        <f t="shared" si="14"/>
        <v>0</v>
      </c>
      <c r="KHJ76">
        <f t="shared" si="15"/>
        <v>0</v>
      </c>
      <c r="KHK76">
        <f t="shared" si="16"/>
        <v>0</v>
      </c>
      <c r="KHL76">
        <f t="shared" si="17"/>
        <v>0</v>
      </c>
      <c r="KHM76">
        <f t="shared" si="18"/>
        <v>0</v>
      </c>
      <c r="KHN76">
        <f t="shared" si="19"/>
        <v>0</v>
      </c>
      <c r="KHO76">
        <f t="shared" si="20"/>
        <v>0</v>
      </c>
      <c r="KHP76">
        <f t="shared" si="21"/>
        <v>0</v>
      </c>
      <c r="KHQ76">
        <f t="shared" si="22"/>
        <v>0</v>
      </c>
      <c r="KHR76">
        <f t="shared" si="23"/>
        <v>0</v>
      </c>
      <c r="KHS76">
        <f t="shared" si="24"/>
        <v>0</v>
      </c>
      <c r="KHT76">
        <f t="shared" si="25"/>
        <v>0</v>
      </c>
      <c r="KHU76">
        <f t="shared" si="26"/>
        <v>0</v>
      </c>
      <c r="KHV76">
        <f t="shared" si="27"/>
        <v>0</v>
      </c>
      <c r="KHW76">
        <f t="shared" si="28"/>
        <v>0</v>
      </c>
      <c r="KHX76">
        <f t="shared" si="29"/>
        <v>0</v>
      </c>
      <c r="KHY76">
        <f t="shared" si="30"/>
        <v>0</v>
      </c>
      <c r="KHZ76">
        <f t="shared" si="31"/>
        <v>0</v>
      </c>
      <c r="KIA76">
        <f t="shared" si="32"/>
        <v>0</v>
      </c>
      <c r="KIB76">
        <f t="shared" si="33"/>
        <v>0</v>
      </c>
      <c r="KIC76">
        <f t="shared" si="34"/>
        <v>0</v>
      </c>
      <c r="KID76">
        <f t="shared" si="35"/>
        <v>0</v>
      </c>
      <c r="KIE76">
        <f t="shared" si="36"/>
        <v>0</v>
      </c>
      <c r="KIF76">
        <f t="shared" si="37"/>
        <v>0</v>
      </c>
      <c r="KIG76">
        <f t="shared" si="38"/>
        <v>0</v>
      </c>
      <c r="KIH76">
        <f t="shared" si="39"/>
        <v>0</v>
      </c>
      <c r="KII76">
        <f t="shared" si="40"/>
        <v>0</v>
      </c>
      <c r="KIJ76">
        <f t="shared" si="41"/>
        <v>0</v>
      </c>
      <c r="KIK76">
        <f t="shared" si="42"/>
        <v>0</v>
      </c>
      <c r="KIL76">
        <f t="shared" si="43"/>
        <v>0</v>
      </c>
      <c r="KIM76">
        <f t="shared" si="44"/>
        <v>0</v>
      </c>
      <c r="KIN76">
        <f t="shared" si="45"/>
        <v>0</v>
      </c>
      <c r="KIO76">
        <f t="shared" si="46"/>
        <v>0</v>
      </c>
      <c r="KIP76">
        <f t="shared" si="47"/>
        <v>0</v>
      </c>
      <c r="KIQ76">
        <f t="shared" si="48"/>
        <v>0</v>
      </c>
      <c r="KIR76">
        <f t="shared" si="49"/>
        <v>0</v>
      </c>
      <c r="KIS76">
        <f t="shared" si="50"/>
        <v>0</v>
      </c>
      <c r="KIT76">
        <f t="shared" si="51"/>
        <v>0</v>
      </c>
      <c r="KIU76">
        <f t="shared" si="52"/>
        <v>0</v>
      </c>
      <c r="KIV76">
        <f t="shared" si="53"/>
        <v>0</v>
      </c>
      <c r="KIW76">
        <f t="shared" si="54"/>
        <v>0</v>
      </c>
      <c r="KIX76">
        <f t="shared" si="55"/>
        <v>0</v>
      </c>
      <c r="KIY76">
        <f t="shared" si="56"/>
        <v>0</v>
      </c>
      <c r="KIZ76">
        <f t="shared" si="57"/>
        <v>0</v>
      </c>
      <c r="KJA76">
        <f t="shared" si="58"/>
        <v>0</v>
      </c>
      <c r="KJB76">
        <f t="shared" si="59"/>
        <v>0</v>
      </c>
      <c r="KJC76">
        <f t="shared" si="60"/>
        <v>0</v>
      </c>
      <c r="KJD76">
        <f t="shared" si="61"/>
        <v>0</v>
      </c>
      <c r="KJE76">
        <f t="shared" si="62"/>
        <v>0</v>
      </c>
      <c r="KJF76">
        <f t="shared" si="63"/>
        <v>0</v>
      </c>
      <c r="KJG76">
        <f t="shared" si="64"/>
        <v>0</v>
      </c>
      <c r="KJH76">
        <f t="shared" si="65"/>
        <v>0</v>
      </c>
      <c r="KJI76">
        <f t="shared" si="66"/>
        <v>0</v>
      </c>
      <c r="KJJ76">
        <f t="shared" si="67"/>
        <v>0</v>
      </c>
      <c r="KJK76">
        <f t="shared" si="68"/>
        <v>0</v>
      </c>
      <c r="KJL76">
        <f t="shared" si="69"/>
        <v>0</v>
      </c>
      <c r="KJM76">
        <f t="shared" si="70"/>
        <v>0</v>
      </c>
      <c r="KJN76">
        <f t="shared" si="71"/>
        <v>0</v>
      </c>
      <c r="KJO76">
        <f t="shared" si="72"/>
        <v>0</v>
      </c>
      <c r="KJP76">
        <f t="shared" si="73"/>
        <v>0</v>
      </c>
      <c r="KJQ76">
        <f t="shared" si="74"/>
        <v>0</v>
      </c>
      <c r="KJR76">
        <f t="shared" si="75"/>
        <v>0</v>
      </c>
      <c r="KJS76">
        <f t="shared" si="76"/>
        <v>0</v>
      </c>
      <c r="KJT76">
        <f t="shared" si="77"/>
        <v>0</v>
      </c>
      <c r="KJU76">
        <f t="shared" si="78"/>
        <v>0</v>
      </c>
      <c r="KJV76">
        <f t="shared" si="79"/>
        <v>0</v>
      </c>
      <c r="KJW76">
        <f t="shared" si="80"/>
        <v>0</v>
      </c>
      <c r="KJX76">
        <f t="shared" si="81"/>
        <v>0</v>
      </c>
      <c r="KJY76">
        <f t="shared" si="82"/>
        <v>0</v>
      </c>
      <c r="KJZ76">
        <f t="shared" si="83"/>
        <v>0</v>
      </c>
      <c r="KKA76">
        <f t="shared" si="84"/>
        <v>0</v>
      </c>
      <c r="KKB76">
        <f t="shared" si="85"/>
        <v>0</v>
      </c>
      <c r="KKC76">
        <f t="shared" si="86"/>
        <v>0</v>
      </c>
      <c r="KKD76">
        <f t="shared" si="87"/>
        <v>0</v>
      </c>
      <c r="KKE76">
        <f t="shared" si="88"/>
        <v>0</v>
      </c>
      <c r="KKF76">
        <f t="shared" si="89"/>
        <v>0</v>
      </c>
      <c r="KKG76">
        <f t="shared" si="90"/>
        <v>0</v>
      </c>
      <c r="KKH76">
        <f t="shared" si="91"/>
        <v>0</v>
      </c>
      <c r="KKI76">
        <f t="shared" si="92"/>
        <v>0</v>
      </c>
      <c r="KKJ76">
        <f t="shared" si="93"/>
        <v>0</v>
      </c>
      <c r="KKK76">
        <f t="shared" si="94"/>
        <v>0</v>
      </c>
      <c r="KKL76">
        <f t="shared" si="95"/>
        <v>0</v>
      </c>
      <c r="KKM76">
        <f t="shared" si="96"/>
        <v>0</v>
      </c>
      <c r="KKN76">
        <f t="shared" si="97"/>
        <v>0</v>
      </c>
      <c r="KKO76">
        <f t="shared" si="98"/>
        <v>0</v>
      </c>
      <c r="KKP76">
        <f t="shared" si="99"/>
        <v>0</v>
      </c>
      <c r="KKR76">
        <f t="shared" si="100"/>
        <v>11</v>
      </c>
      <c r="KKT76">
        <f t="shared" si="100"/>
        <v>11</v>
      </c>
      <c r="KKU76">
        <f t="shared" si="101"/>
        <v>0.44</v>
      </c>
      <c r="KKW76">
        <f t="shared" si="101"/>
        <v>0.44</v>
      </c>
    </row>
    <row r="77" spans="1:790 1170:4062 4134:4142 5713:6116 6491:6565 7639:7745">
      <c r="A77" t="s">
        <v>7688</v>
      </c>
      <c r="B77">
        <v>0</v>
      </c>
      <c r="KGU77" s="1">
        <f t="shared" si="0"/>
        <v>0</v>
      </c>
      <c r="KGV77">
        <f t="shared" si="1"/>
        <v>0</v>
      </c>
      <c r="KGW77">
        <f t="shared" si="2"/>
        <v>0</v>
      </c>
      <c r="KGX77">
        <f t="shared" si="3"/>
        <v>0</v>
      </c>
      <c r="KGY77">
        <f t="shared" si="4"/>
        <v>0</v>
      </c>
      <c r="KGZ77">
        <f t="shared" si="5"/>
        <v>0</v>
      </c>
      <c r="KHA77">
        <f t="shared" si="6"/>
        <v>0</v>
      </c>
      <c r="KHB77">
        <f t="shared" si="7"/>
        <v>0</v>
      </c>
      <c r="KHC77">
        <f t="shared" si="8"/>
        <v>0</v>
      </c>
      <c r="KHD77">
        <f t="shared" si="9"/>
        <v>0</v>
      </c>
      <c r="KHE77">
        <f t="shared" si="10"/>
        <v>0</v>
      </c>
      <c r="KHF77">
        <f t="shared" si="11"/>
        <v>0</v>
      </c>
      <c r="KHG77">
        <f t="shared" si="12"/>
        <v>0</v>
      </c>
      <c r="KHH77">
        <f t="shared" si="13"/>
        <v>0</v>
      </c>
      <c r="KHI77">
        <f t="shared" si="14"/>
        <v>0</v>
      </c>
      <c r="KHJ77">
        <f t="shared" si="15"/>
        <v>0</v>
      </c>
      <c r="KHK77">
        <f t="shared" si="16"/>
        <v>0</v>
      </c>
      <c r="KHL77">
        <f t="shared" si="17"/>
        <v>0</v>
      </c>
      <c r="KHM77">
        <f t="shared" si="18"/>
        <v>0</v>
      </c>
      <c r="KHN77">
        <f t="shared" si="19"/>
        <v>0</v>
      </c>
      <c r="KHO77">
        <f t="shared" si="20"/>
        <v>0</v>
      </c>
      <c r="KHP77">
        <f t="shared" si="21"/>
        <v>0</v>
      </c>
      <c r="KHQ77">
        <f t="shared" si="22"/>
        <v>0</v>
      </c>
      <c r="KHR77">
        <f t="shared" si="23"/>
        <v>0</v>
      </c>
      <c r="KHS77">
        <f t="shared" si="24"/>
        <v>0</v>
      </c>
      <c r="KHT77">
        <f t="shared" si="25"/>
        <v>0</v>
      </c>
      <c r="KHU77">
        <f t="shared" si="26"/>
        <v>0</v>
      </c>
      <c r="KHV77">
        <f t="shared" si="27"/>
        <v>0</v>
      </c>
      <c r="KHW77">
        <f t="shared" si="28"/>
        <v>0</v>
      </c>
      <c r="KHX77">
        <f t="shared" si="29"/>
        <v>0</v>
      </c>
      <c r="KHY77">
        <f t="shared" si="30"/>
        <v>0</v>
      </c>
      <c r="KHZ77">
        <f t="shared" si="31"/>
        <v>0</v>
      </c>
      <c r="KIA77">
        <f t="shared" si="32"/>
        <v>0</v>
      </c>
      <c r="KIB77">
        <f t="shared" si="33"/>
        <v>0</v>
      </c>
      <c r="KIC77">
        <f t="shared" si="34"/>
        <v>0</v>
      </c>
      <c r="KID77">
        <f t="shared" si="35"/>
        <v>0</v>
      </c>
      <c r="KIE77">
        <f t="shared" si="36"/>
        <v>0</v>
      </c>
      <c r="KIF77">
        <f t="shared" si="37"/>
        <v>0</v>
      </c>
      <c r="KIG77">
        <f t="shared" si="38"/>
        <v>0</v>
      </c>
      <c r="KIH77">
        <f t="shared" si="39"/>
        <v>0</v>
      </c>
      <c r="KII77">
        <f t="shared" si="40"/>
        <v>0</v>
      </c>
      <c r="KIJ77">
        <f t="shared" si="41"/>
        <v>0</v>
      </c>
      <c r="KIK77">
        <f t="shared" si="42"/>
        <v>0</v>
      </c>
      <c r="KIL77">
        <f t="shared" si="43"/>
        <v>0</v>
      </c>
      <c r="KIM77">
        <f t="shared" si="44"/>
        <v>0</v>
      </c>
      <c r="KIN77">
        <f t="shared" si="45"/>
        <v>0</v>
      </c>
      <c r="KIO77">
        <f t="shared" si="46"/>
        <v>0</v>
      </c>
      <c r="KIP77">
        <f t="shared" si="47"/>
        <v>0</v>
      </c>
      <c r="KIQ77">
        <f t="shared" si="48"/>
        <v>0</v>
      </c>
      <c r="KIR77">
        <f t="shared" si="49"/>
        <v>0</v>
      </c>
      <c r="KIS77">
        <f t="shared" si="50"/>
        <v>0</v>
      </c>
      <c r="KIT77">
        <f t="shared" si="51"/>
        <v>0</v>
      </c>
      <c r="KIU77">
        <f t="shared" si="52"/>
        <v>0</v>
      </c>
      <c r="KIV77">
        <f t="shared" si="53"/>
        <v>0</v>
      </c>
      <c r="KIW77">
        <f t="shared" si="54"/>
        <v>0</v>
      </c>
      <c r="KIX77">
        <f t="shared" si="55"/>
        <v>0</v>
      </c>
      <c r="KIY77">
        <f t="shared" si="56"/>
        <v>0</v>
      </c>
      <c r="KIZ77">
        <f t="shared" si="57"/>
        <v>0</v>
      </c>
      <c r="KJA77">
        <f t="shared" si="58"/>
        <v>0</v>
      </c>
      <c r="KJB77">
        <f t="shared" si="59"/>
        <v>0</v>
      </c>
      <c r="KJC77">
        <f t="shared" si="60"/>
        <v>0</v>
      </c>
      <c r="KJD77">
        <f t="shared" si="61"/>
        <v>0</v>
      </c>
      <c r="KJE77">
        <f t="shared" si="62"/>
        <v>0</v>
      </c>
      <c r="KJF77">
        <f t="shared" si="63"/>
        <v>0</v>
      </c>
      <c r="KJG77">
        <f t="shared" si="64"/>
        <v>0</v>
      </c>
      <c r="KJH77">
        <f t="shared" si="65"/>
        <v>0</v>
      </c>
      <c r="KJI77">
        <f t="shared" si="66"/>
        <v>0</v>
      </c>
      <c r="KJJ77">
        <f t="shared" si="67"/>
        <v>0</v>
      </c>
      <c r="KJK77">
        <f t="shared" si="68"/>
        <v>0</v>
      </c>
      <c r="KJL77">
        <f t="shared" si="69"/>
        <v>0</v>
      </c>
      <c r="KJM77">
        <f t="shared" si="70"/>
        <v>0</v>
      </c>
      <c r="KJN77">
        <f t="shared" si="71"/>
        <v>0</v>
      </c>
      <c r="KJO77">
        <f t="shared" si="72"/>
        <v>0</v>
      </c>
      <c r="KJP77">
        <f t="shared" si="73"/>
        <v>0</v>
      </c>
      <c r="KJQ77">
        <f t="shared" si="74"/>
        <v>0</v>
      </c>
      <c r="KJR77">
        <f t="shared" si="75"/>
        <v>0</v>
      </c>
      <c r="KJS77">
        <f t="shared" si="76"/>
        <v>0</v>
      </c>
      <c r="KJT77">
        <f t="shared" si="77"/>
        <v>0</v>
      </c>
      <c r="KJU77">
        <f t="shared" si="78"/>
        <v>0</v>
      </c>
      <c r="KJV77">
        <f t="shared" si="79"/>
        <v>0</v>
      </c>
      <c r="KJW77">
        <f t="shared" si="80"/>
        <v>0</v>
      </c>
      <c r="KJX77">
        <f t="shared" si="81"/>
        <v>0</v>
      </c>
      <c r="KJY77">
        <f t="shared" si="82"/>
        <v>0</v>
      </c>
      <c r="KJZ77">
        <f t="shared" si="83"/>
        <v>0</v>
      </c>
      <c r="KKA77">
        <f t="shared" si="84"/>
        <v>0</v>
      </c>
      <c r="KKB77">
        <f t="shared" si="85"/>
        <v>0</v>
      </c>
      <c r="KKC77">
        <f t="shared" si="86"/>
        <v>0</v>
      </c>
      <c r="KKD77">
        <f t="shared" si="87"/>
        <v>0</v>
      </c>
      <c r="KKE77">
        <f t="shared" si="88"/>
        <v>0</v>
      </c>
      <c r="KKF77">
        <f t="shared" si="89"/>
        <v>0</v>
      </c>
      <c r="KKG77">
        <f t="shared" si="90"/>
        <v>0</v>
      </c>
      <c r="KKH77">
        <f t="shared" si="91"/>
        <v>0</v>
      </c>
      <c r="KKI77">
        <f t="shared" si="92"/>
        <v>0</v>
      </c>
      <c r="KKJ77">
        <f t="shared" si="93"/>
        <v>0</v>
      </c>
      <c r="KKK77">
        <f t="shared" si="94"/>
        <v>0</v>
      </c>
      <c r="KKL77">
        <f t="shared" si="95"/>
        <v>0</v>
      </c>
      <c r="KKM77">
        <f t="shared" si="96"/>
        <v>0</v>
      </c>
      <c r="KKN77">
        <f t="shared" si="97"/>
        <v>0</v>
      </c>
      <c r="KKO77">
        <f t="shared" si="98"/>
        <v>0</v>
      </c>
      <c r="KKP77">
        <f t="shared" si="99"/>
        <v>0</v>
      </c>
      <c r="KKR77">
        <f t="shared" si="100"/>
        <v>0</v>
      </c>
      <c r="KKT77">
        <f t="shared" si="100"/>
        <v>0</v>
      </c>
      <c r="KKU77">
        <f t="shared" si="101"/>
        <v>0</v>
      </c>
      <c r="KKW77">
        <f t="shared" si="101"/>
        <v>0</v>
      </c>
    </row>
    <row r="78" spans="1:790 1170:4062 4134:4142 5713:6116 6491:6565 7639:7745">
      <c r="A78" t="s">
        <v>39</v>
      </c>
      <c r="B78">
        <v>25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HY78">
        <v>2</v>
      </c>
      <c r="HZ78">
        <v>2</v>
      </c>
      <c r="IA78">
        <v>2</v>
      </c>
      <c r="IB78">
        <v>2</v>
      </c>
      <c r="IC78">
        <v>2</v>
      </c>
      <c r="ID78">
        <v>2</v>
      </c>
      <c r="IE78">
        <v>2</v>
      </c>
      <c r="IF78">
        <v>2</v>
      </c>
      <c r="IG78">
        <v>2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2</v>
      </c>
      <c r="IN78">
        <v>2</v>
      </c>
      <c r="IO78">
        <v>2</v>
      </c>
      <c r="IP78">
        <v>2</v>
      </c>
      <c r="IQ78">
        <v>2</v>
      </c>
      <c r="IR78">
        <v>2</v>
      </c>
      <c r="IS78">
        <v>2</v>
      </c>
      <c r="IT78">
        <v>2</v>
      </c>
      <c r="IU78">
        <v>2</v>
      </c>
      <c r="IV78">
        <v>2</v>
      </c>
      <c r="IW78">
        <v>2</v>
      </c>
      <c r="IX78">
        <v>2</v>
      </c>
      <c r="IY78">
        <v>2</v>
      </c>
      <c r="IZ78">
        <v>2</v>
      </c>
      <c r="JA78">
        <v>2</v>
      </c>
      <c r="JB78">
        <v>2</v>
      </c>
      <c r="JC78">
        <v>2</v>
      </c>
      <c r="JD78">
        <v>2</v>
      </c>
      <c r="QK78">
        <v>3</v>
      </c>
      <c r="QL78">
        <v>3</v>
      </c>
      <c r="QM78">
        <v>3</v>
      </c>
      <c r="QN78">
        <v>3</v>
      </c>
      <c r="QO78">
        <v>3</v>
      </c>
      <c r="QP78">
        <v>3</v>
      </c>
      <c r="QQ78">
        <v>3</v>
      </c>
      <c r="QR78">
        <v>3</v>
      </c>
      <c r="QS78">
        <v>3</v>
      </c>
      <c r="QT78">
        <v>3</v>
      </c>
      <c r="QU78">
        <v>3</v>
      </c>
      <c r="QV78">
        <v>3</v>
      </c>
      <c r="QW78">
        <v>3</v>
      </c>
      <c r="QX78">
        <v>3</v>
      </c>
      <c r="QY78">
        <v>3</v>
      </c>
      <c r="QZ78">
        <v>3</v>
      </c>
      <c r="RA78">
        <v>3</v>
      </c>
      <c r="RB78">
        <v>3</v>
      </c>
      <c r="RC78">
        <v>3</v>
      </c>
      <c r="RD78">
        <v>3</v>
      </c>
      <c r="RE78">
        <v>3</v>
      </c>
      <c r="RF78">
        <v>3</v>
      </c>
      <c r="RG78">
        <v>3</v>
      </c>
      <c r="RH78">
        <v>3</v>
      </c>
      <c r="RI78">
        <v>3</v>
      </c>
      <c r="RJ78">
        <v>3</v>
      </c>
      <c r="RK78">
        <v>3</v>
      </c>
      <c r="RL78">
        <v>3</v>
      </c>
      <c r="RM78">
        <v>3</v>
      </c>
      <c r="RN78">
        <v>3</v>
      </c>
      <c r="RO78">
        <v>3</v>
      </c>
      <c r="RP78">
        <v>3</v>
      </c>
      <c r="RQ78">
        <v>3</v>
      </c>
      <c r="RR78">
        <v>3</v>
      </c>
      <c r="RS78">
        <v>3</v>
      </c>
      <c r="VJ78">
        <v>4</v>
      </c>
      <c r="VK78">
        <v>4</v>
      </c>
      <c r="VL78">
        <v>4</v>
      </c>
      <c r="VM78">
        <v>4</v>
      </c>
      <c r="VN78">
        <v>4</v>
      </c>
      <c r="VO78">
        <v>4</v>
      </c>
      <c r="VP78">
        <v>4</v>
      </c>
      <c r="VQ78">
        <v>4</v>
      </c>
      <c r="VR78">
        <v>4</v>
      </c>
      <c r="VZ78">
        <v>5</v>
      </c>
      <c r="WA78">
        <v>5</v>
      </c>
      <c r="WB78">
        <v>5</v>
      </c>
      <c r="WC78">
        <v>5</v>
      </c>
      <c r="WD78">
        <v>5</v>
      </c>
      <c r="WE78">
        <v>5</v>
      </c>
      <c r="WF78">
        <v>5</v>
      </c>
      <c r="WG78">
        <v>5</v>
      </c>
      <c r="WH78">
        <v>5</v>
      </c>
      <c r="WI78">
        <v>5</v>
      </c>
      <c r="WJ78">
        <v>5</v>
      </c>
      <c r="WK78">
        <v>5</v>
      </c>
      <c r="WL78">
        <v>5</v>
      </c>
      <c r="WM78">
        <v>5</v>
      </c>
      <c r="WN78">
        <v>5</v>
      </c>
      <c r="WO78">
        <v>5</v>
      </c>
      <c r="WP78">
        <v>5</v>
      </c>
      <c r="WQ78">
        <v>5</v>
      </c>
      <c r="WR78">
        <v>5</v>
      </c>
      <c r="WS78">
        <v>5</v>
      </c>
      <c r="WT78">
        <v>5</v>
      </c>
      <c r="WU78">
        <v>5</v>
      </c>
      <c r="WV78">
        <v>5</v>
      </c>
      <c r="WW78">
        <v>5</v>
      </c>
      <c r="WX78">
        <v>5</v>
      </c>
      <c r="WY78">
        <v>5</v>
      </c>
      <c r="WZ78">
        <v>5</v>
      </c>
      <c r="XA78">
        <v>5</v>
      </c>
      <c r="XB78">
        <v>5</v>
      </c>
      <c r="XC78">
        <v>5</v>
      </c>
      <c r="XD78">
        <v>5</v>
      </c>
      <c r="XE78">
        <v>5</v>
      </c>
      <c r="XF78">
        <v>5</v>
      </c>
      <c r="XG78">
        <v>5</v>
      </c>
      <c r="XH78">
        <v>5</v>
      </c>
      <c r="XI78">
        <v>5</v>
      </c>
      <c r="XJ78">
        <v>5</v>
      </c>
      <c r="XK78">
        <v>5</v>
      </c>
      <c r="XL78">
        <v>5</v>
      </c>
      <c r="XM78">
        <v>5</v>
      </c>
      <c r="XN78">
        <v>5</v>
      </c>
      <c r="XO78">
        <v>5</v>
      </c>
      <c r="XP78">
        <v>5</v>
      </c>
      <c r="XQ78">
        <v>5</v>
      </c>
      <c r="XR78">
        <v>5</v>
      </c>
      <c r="XS78">
        <v>5</v>
      </c>
      <c r="XT78">
        <v>5</v>
      </c>
      <c r="XU78">
        <v>5</v>
      </c>
      <c r="XV78">
        <v>5</v>
      </c>
      <c r="YK78">
        <v>6</v>
      </c>
      <c r="YL78">
        <v>6</v>
      </c>
      <c r="YM78">
        <v>6</v>
      </c>
      <c r="YN78">
        <v>6</v>
      </c>
      <c r="YO78">
        <v>6</v>
      </c>
      <c r="YP78">
        <v>6</v>
      </c>
      <c r="YQ78">
        <v>6</v>
      </c>
      <c r="YR78">
        <v>6</v>
      </c>
      <c r="YS78">
        <v>6</v>
      </c>
      <c r="YT78">
        <v>6</v>
      </c>
      <c r="YU78">
        <v>6</v>
      </c>
      <c r="YV78">
        <v>6</v>
      </c>
      <c r="YW78">
        <v>6</v>
      </c>
      <c r="YX78">
        <v>6</v>
      </c>
      <c r="YY78">
        <v>6</v>
      </c>
      <c r="YZ78">
        <v>6</v>
      </c>
      <c r="ZA78">
        <v>6</v>
      </c>
      <c r="ZB78">
        <v>6</v>
      </c>
      <c r="ZC78">
        <v>6</v>
      </c>
      <c r="ZD78">
        <v>6</v>
      </c>
      <c r="ZE78">
        <v>6</v>
      </c>
      <c r="ZF78">
        <v>6</v>
      </c>
      <c r="ZG78">
        <v>6</v>
      </c>
      <c r="ZH78">
        <v>6</v>
      </c>
      <c r="ZI78">
        <v>6</v>
      </c>
      <c r="ZJ78">
        <v>6</v>
      </c>
      <c r="ZK78">
        <v>6</v>
      </c>
      <c r="ZL78">
        <v>6</v>
      </c>
      <c r="ZM78">
        <v>6</v>
      </c>
      <c r="AAB78">
        <v>7</v>
      </c>
      <c r="AAC78">
        <v>7</v>
      </c>
      <c r="AAD78">
        <v>7</v>
      </c>
      <c r="AAE78">
        <v>7</v>
      </c>
      <c r="AAF78">
        <v>7</v>
      </c>
      <c r="AAG78">
        <v>7</v>
      </c>
      <c r="AAH78">
        <v>7</v>
      </c>
      <c r="AAI78">
        <v>7</v>
      </c>
      <c r="AAJ78">
        <v>7</v>
      </c>
      <c r="AAK78">
        <v>7</v>
      </c>
      <c r="AAL78">
        <v>7</v>
      </c>
      <c r="AAM78">
        <v>7</v>
      </c>
      <c r="ABE78">
        <v>8</v>
      </c>
      <c r="ABF78">
        <v>8</v>
      </c>
      <c r="ABG78">
        <v>8</v>
      </c>
      <c r="ABH78">
        <v>8</v>
      </c>
      <c r="ABI78">
        <v>8</v>
      </c>
      <c r="ABJ78">
        <v>8</v>
      </c>
      <c r="ABK78">
        <v>8</v>
      </c>
      <c r="ABL78">
        <v>8</v>
      </c>
      <c r="ABM78">
        <v>8</v>
      </c>
      <c r="ABN78">
        <v>8</v>
      </c>
      <c r="ABO78">
        <v>8</v>
      </c>
      <c r="ABP78">
        <v>8</v>
      </c>
      <c r="ABQ78">
        <v>8</v>
      </c>
      <c r="ABR78">
        <v>8</v>
      </c>
      <c r="ABS78">
        <v>8</v>
      </c>
      <c r="ABT78">
        <v>8</v>
      </c>
      <c r="ABU78">
        <v>8</v>
      </c>
      <c r="ABV78">
        <v>8</v>
      </c>
      <c r="ABW78">
        <v>8</v>
      </c>
      <c r="ABX78">
        <v>8</v>
      </c>
      <c r="ABY78">
        <v>8</v>
      </c>
      <c r="ABZ78">
        <v>8</v>
      </c>
      <c r="ACA78">
        <v>8</v>
      </c>
      <c r="ACB78">
        <v>8</v>
      </c>
      <c r="ACC78">
        <v>8</v>
      </c>
      <c r="ACD78">
        <v>8</v>
      </c>
      <c r="ACE78">
        <v>8</v>
      </c>
      <c r="ACF78">
        <v>8</v>
      </c>
      <c r="ACG78">
        <v>8</v>
      </c>
      <c r="ACH78">
        <v>8</v>
      </c>
      <c r="ACI78">
        <v>8</v>
      </c>
      <c r="ACJ78">
        <v>8</v>
      </c>
      <c r="ACK78">
        <v>8</v>
      </c>
      <c r="ACL78">
        <v>8</v>
      </c>
      <c r="ACM78">
        <v>8</v>
      </c>
      <c r="ACN78">
        <v>8</v>
      </c>
      <c r="ACO78">
        <v>8</v>
      </c>
      <c r="ACP78">
        <v>8</v>
      </c>
      <c r="ACQ78">
        <v>8</v>
      </c>
      <c r="ACR78">
        <v>8</v>
      </c>
      <c r="ACS78">
        <v>8</v>
      </c>
      <c r="ACT78">
        <v>8</v>
      </c>
      <c r="ACU78">
        <v>8</v>
      </c>
      <c r="ACV78">
        <v>8</v>
      </c>
      <c r="ACW78">
        <v>8</v>
      </c>
      <c r="ACX78">
        <v>8</v>
      </c>
      <c r="ACY78">
        <v>8</v>
      </c>
      <c r="ACZ78">
        <v>8</v>
      </c>
      <c r="ADA78">
        <v>8</v>
      </c>
      <c r="ADB78">
        <v>8</v>
      </c>
      <c r="ADC78">
        <v>8</v>
      </c>
      <c r="ADD78">
        <v>8</v>
      </c>
      <c r="ADE78">
        <v>8</v>
      </c>
      <c r="ADF78">
        <v>8</v>
      </c>
      <c r="ADG78">
        <v>8</v>
      </c>
      <c r="ADH78">
        <v>8</v>
      </c>
      <c r="ADI78">
        <v>8</v>
      </c>
      <c r="ADJ78">
        <v>8</v>
      </c>
      <c r="ARZ78">
        <v>9</v>
      </c>
      <c r="ASA78">
        <v>9</v>
      </c>
      <c r="ASB78">
        <v>9</v>
      </c>
      <c r="ASC78">
        <v>9</v>
      </c>
      <c r="ASD78">
        <v>9</v>
      </c>
      <c r="ASE78">
        <v>9</v>
      </c>
      <c r="ASF78">
        <v>9</v>
      </c>
      <c r="ASG78">
        <v>9</v>
      </c>
      <c r="AUG78">
        <v>10</v>
      </c>
      <c r="AUH78">
        <v>10</v>
      </c>
      <c r="AUI78">
        <v>10</v>
      </c>
      <c r="AUJ78">
        <v>10</v>
      </c>
      <c r="AUK78">
        <v>10</v>
      </c>
      <c r="AUL78">
        <v>10</v>
      </c>
      <c r="AUM78">
        <v>10</v>
      </c>
      <c r="AUN78">
        <v>10</v>
      </c>
      <c r="AUO78">
        <v>10</v>
      </c>
      <c r="AUP78">
        <v>10</v>
      </c>
      <c r="AUQ78">
        <v>10</v>
      </c>
      <c r="AUR78">
        <v>10</v>
      </c>
      <c r="AUS78">
        <v>10</v>
      </c>
      <c r="AUT78">
        <v>10</v>
      </c>
      <c r="AUU78">
        <v>10</v>
      </c>
      <c r="AUV78">
        <v>10</v>
      </c>
      <c r="AUW78">
        <v>10</v>
      </c>
      <c r="AUX78">
        <v>10</v>
      </c>
      <c r="AUY78">
        <v>10</v>
      </c>
      <c r="AUZ78">
        <v>10</v>
      </c>
      <c r="AVA78">
        <v>10</v>
      </c>
      <c r="AVB78">
        <v>10</v>
      </c>
      <c r="AVC78">
        <v>10</v>
      </c>
      <c r="AVD78">
        <v>10</v>
      </c>
      <c r="AVE78">
        <v>10</v>
      </c>
      <c r="AVF78">
        <v>10</v>
      </c>
      <c r="AVG78">
        <v>10</v>
      </c>
      <c r="AVH78">
        <v>10</v>
      </c>
      <c r="AVI78">
        <v>10</v>
      </c>
      <c r="AVJ78">
        <v>10</v>
      </c>
      <c r="AVK78">
        <v>10</v>
      </c>
      <c r="AVL78">
        <v>10</v>
      </c>
      <c r="AVM78">
        <v>10</v>
      </c>
      <c r="AVN78">
        <v>10</v>
      </c>
      <c r="BVE78">
        <v>11</v>
      </c>
      <c r="BVF78">
        <v>11</v>
      </c>
      <c r="BVG78">
        <v>11</v>
      </c>
      <c r="BVH78">
        <v>11</v>
      </c>
      <c r="BVI78">
        <v>11</v>
      </c>
      <c r="BVJ78">
        <v>11</v>
      </c>
      <c r="BVK78">
        <v>11</v>
      </c>
      <c r="BVL78">
        <v>11</v>
      </c>
      <c r="BVM78">
        <v>11</v>
      </c>
      <c r="BVN78">
        <v>11</v>
      </c>
      <c r="BVO78">
        <v>11</v>
      </c>
      <c r="BVP78">
        <v>11</v>
      </c>
      <c r="BVQ78">
        <v>11</v>
      </c>
      <c r="BVR78">
        <v>11</v>
      </c>
      <c r="BVS78">
        <v>11</v>
      </c>
      <c r="BVT78">
        <v>11</v>
      </c>
      <c r="BVU78">
        <v>11</v>
      </c>
      <c r="BVV78">
        <v>11</v>
      </c>
      <c r="BVW78">
        <v>11</v>
      </c>
      <c r="BVX78">
        <v>11</v>
      </c>
      <c r="BVY78">
        <v>11</v>
      </c>
      <c r="BVZ78">
        <v>11</v>
      </c>
      <c r="BWA78">
        <v>11</v>
      </c>
      <c r="BWB78">
        <v>11</v>
      </c>
      <c r="BWC78">
        <v>11</v>
      </c>
      <c r="BWD78">
        <v>11</v>
      </c>
      <c r="BWE78">
        <v>11</v>
      </c>
      <c r="BWF78">
        <v>11</v>
      </c>
      <c r="BWG78">
        <v>11</v>
      </c>
      <c r="BWH78">
        <v>11</v>
      </c>
      <c r="BWI78">
        <v>11</v>
      </c>
      <c r="BWJ78">
        <v>11</v>
      </c>
      <c r="BWK78">
        <v>11</v>
      </c>
      <c r="BWL78">
        <v>11</v>
      </c>
      <c r="BWM78">
        <v>11</v>
      </c>
      <c r="BWN78">
        <v>11</v>
      </c>
      <c r="BWO78">
        <v>11</v>
      </c>
      <c r="CHU78">
        <v>12</v>
      </c>
      <c r="CHV78">
        <v>12</v>
      </c>
      <c r="CHW78">
        <v>12</v>
      </c>
      <c r="CHX78">
        <v>12</v>
      </c>
      <c r="CHY78">
        <v>12</v>
      </c>
      <c r="CHZ78">
        <v>12</v>
      </c>
      <c r="CIA78">
        <v>12</v>
      </c>
      <c r="CIB78">
        <v>12</v>
      </c>
      <c r="CIC78">
        <v>12</v>
      </c>
      <c r="CID78">
        <v>12</v>
      </c>
      <c r="CIE78">
        <v>12</v>
      </c>
      <c r="CIF78">
        <v>12</v>
      </c>
      <c r="CPE78">
        <v>13</v>
      </c>
      <c r="CPF78">
        <v>13</v>
      </c>
      <c r="CPG78">
        <v>13</v>
      </c>
      <c r="CPH78">
        <v>13</v>
      </c>
      <c r="CPI78">
        <v>13</v>
      </c>
      <c r="CPJ78">
        <v>13</v>
      </c>
      <c r="CPK78">
        <v>13</v>
      </c>
      <c r="CPL78">
        <v>13</v>
      </c>
      <c r="CPM78">
        <v>13</v>
      </c>
      <c r="CPN78">
        <v>13</v>
      </c>
      <c r="CPO78">
        <v>13</v>
      </c>
      <c r="CPP78">
        <v>13</v>
      </c>
      <c r="CPQ78">
        <v>13</v>
      </c>
      <c r="CPR78">
        <v>13</v>
      </c>
      <c r="CPS78">
        <v>13</v>
      </c>
      <c r="CPT78">
        <v>13</v>
      </c>
      <c r="CPU78">
        <v>13</v>
      </c>
      <c r="CPV78">
        <v>13</v>
      </c>
      <c r="CPW78">
        <v>13</v>
      </c>
      <c r="CPX78">
        <v>13</v>
      </c>
      <c r="CPY78">
        <v>13</v>
      </c>
      <c r="CPZ78">
        <v>13</v>
      </c>
      <c r="CYY78">
        <v>14</v>
      </c>
      <c r="CYZ78">
        <v>14</v>
      </c>
      <c r="CZA78">
        <v>14</v>
      </c>
      <c r="CZB78">
        <v>14</v>
      </c>
      <c r="CZC78">
        <v>14</v>
      </c>
      <c r="CZD78">
        <v>14</v>
      </c>
      <c r="CZE78">
        <v>14</v>
      </c>
      <c r="CZF78">
        <v>14</v>
      </c>
      <c r="CZG78">
        <v>14</v>
      </c>
      <c r="CZH78">
        <v>14</v>
      </c>
      <c r="CZI78">
        <v>14</v>
      </c>
      <c r="CZJ78">
        <v>14</v>
      </c>
      <c r="CZK78">
        <v>14</v>
      </c>
      <c r="CZL78">
        <v>14</v>
      </c>
      <c r="CZM78">
        <v>14</v>
      </c>
      <c r="CZN78">
        <v>14</v>
      </c>
      <c r="CZX78">
        <v>15</v>
      </c>
      <c r="CZY78">
        <v>15</v>
      </c>
      <c r="CZZ78">
        <v>15</v>
      </c>
      <c r="DAA78">
        <v>15</v>
      </c>
      <c r="DAB78">
        <v>15</v>
      </c>
      <c r="DAC78">
        <v>15</v>
      </c>
      <c r="DAD78">
        <v>15</v>
      </c>
      <c r="DAE78">
        <v>15</v>
      </c>
      <c r="DIN78">
        <v>16</v>
      </c>
      <c r="DIO78">
        <v>16</v>
      </c>
      <c r="DIP78">
        <v>16</v>
      </c>
      <c r="DIQ78">
        <v>16</v>
      </c>
      <c r="DIR78">
        <v>16</v>
      </c>
      <c r="DIS78">
        <v>16</v>
      </c>
      <c r="DIT78">
        <v>16</v>
      </c>
      <c r="DIU78">
        <v>16</v>
      </c>
      <c r="DIV78">
        <v>16</v>
      </c>
      <c r="DIW78">
        <v>16</v>
      </c>
      <c r="DIX78">
        <v>16</v>
      </c>
      <c r="DIY78">
        <v>16</v>
      </c>
      <c r="DIZ78">
        <v>16</v>
      </c>
      <c r="DJA78">
        <v>16</v>
      </c>
      <c r="DJB78">
        <v>16</v>
      </c>
      <c r="DJC78">
        <v>16</v>
      </c>
      <c r="DJD78">
        <v>16</v>
      </c>
      <c r="DJE78">
        <v>16</v>
      </c>
      <c r="DJF78">
        <v>16</v>
      </c>
      <c r="DJG78">
        <v>16</v>
      </c>
      <c r="DJH78">
        <v>16</v>
      </c>
      <c r="DJI78">
        <v>16</v>
      </c>
      <c r="DJJ78">
        <v>16</v>
      </c>
      <c r="DJK78">
        <v>16</v>
      </c>
      <c r="DJL78">
        <v>16</v>
      </c>
      <c r="DJM78">
        <v>16</v>
      </c>
      <c r="DJN78">
        <v>16</v>
      </c>
      <c r="DJO78">
        <v>16</v>
      </c>
      <c r="DJP78">
        <v>16</v>
      </c>
      <c r="DJQ78">
        <v>16</v>
      </c>
      <c r="DJR78">
        <v>16</v>
      </c>
      <c r="DJS78">
        <v>16</v>
      </c>
      <c r="DJT78">
        <v>16</v>
      </c>
      <c r="DJU78">
        <v>16</v>
      </c>
      <c r="DJV78">
        <v>16</v>
      </c>
      <c r="DJW78">
        <v>16</v>
      </c>
      <c r="DJX78">
        <v>16</v>
      </c>
      <c r="DJY78">
        <v>16</v>
      </c>
      <c r="DJZ78">
        <v>16</v>
      </c>
      <c r="DKA78">
        <v>16</v>
      </c>
      <c r="DKB78">
        <v>16</v>
      </c>
      <c r="DKC78">
        <v>16</v>
      </c>
      <c r="DKD78">
        <v>16</v>
      </c>
      <c r="DKE78">
        <v>16</v>
      </c>
      <c r="DKF78">
        <v>16</v>
      </c>
      <c r="DKG78">
        <v>16</v>
      </c>
      <c r="DKH78">
        <v>16</v>
      </c>
      <c r="DKI78">
        <v>16</v>
      </c>
      <c r="DKJ78">
        <v>16</v>
      </c>
      <c r="DKK78">
        <v>16</v>
      </c>
      <c r="DMR78">
        <v>17</v>
      </c>
      <c r="DMS78">
        <v>17</v>
      </c>
      <c r="DMT78">
        <v>17</v>
      </c>
      <c r="DMU78">
        <v>17</v>
      </c>
      <c r="DMV78">
        <v>17</v>
      </c>
      <c r="DMW78">
        <v>17</v>
      </c>
      <c r="DMX78">
        <v>17</v>
      </c>
      <c r="DMY78">
        <v>17</v>
      </c>
      <c r="DMZ78">
        <v>17</v>
      </c>
      <c r="DNA78">
        <v>17</v>
      </c>
      <c r="DNB78">
        <v>17</v>
      </c>
      <c r="DNC78">
        <v>17</v>
      </c>
      <c r="DND78">
        <v>17</v>
      </c>
      <c r="DNE78">
        <v>17</v>
      </c>
      <c r="DNF78">
        <v>17</v>
      </c>
      <c r="DNG78">
        <v>17</v>
      </c>
      <c r="DNX78">
        <v>18</v>
      </c>
      <c r="DNY78">
        <v>18</v>
      </c>
      <c r="DNZ78">
        <v>18</v>
      </c>
      <c r="DOA78">
        <v>18</v>
      </c>
      <c r="DOB78">
        <v>18</v>
      </c>
      <c r="DOC78">
        <v>18</v>
      </c>
      <c r="DOD78">
        <v>18</v>
      </c>
      <c r="DOE78">
        <v>18</v>
      </c>
      <c r="DOF78">
        <v>18</v>
      </c>
      <c r="DOG78">
        <v>18</v>
      </c>
      <c r="DOH78">
        <v>18</v>
      </c>
      <c r="DOI78">
        <v>18</v>
      </c>
      <c r="DOJ78">
        <v>18</v>
      </c>
      <c r="DOK78">
        <v>18</v>
      </c>
      <c r="DOL78">
        <v>18</v>
      </c>
      <c r="DOM78">
        <v>18</v>
      </c>
      <c r="DON78">
        <v>18</v>
      </c>
      <c r="DOO78">
        <v>18</v>
      </c>
      <c r="DOP78">
        <v>18</v>
      </c>
      <c r="DOQ78">
        <v>18</v>
      </c>
      <c r="DOR78">
        <v>18</v>
      </c>
      <c r="DOS78">
        <v>18</v>
      </c>
      <c r="DOT78">
        <v>18</v>
      </c>
      <c r="DOU78">
        <v>18</v>
      </c>
      <c r="DOV78">
        <v>18</v>
      </c>
      <c r="DOW78">
        <v>18</v>
      </c>
      <c r="DOX78">
        <v>18</v>
      </c>
      <c r="DOY78">
        <v>18</v>
      </c>
      <c r="DOZ78">
        <v>18</v>
      </c>
      <c r="DPA78">
        <v>18</v>
      </c>
      <c r="DPB78">
        <v>18</v>
      </c>
      <c r="DPC78">
        <v>18</v>
      </c>
      <c r="DPD78">
        <v>18</v>
      </c>
      <c r="DPE78">
        <v>18</v>
      </c>
      <c r="DPF78">
        <v>18</v>
      </c>
      <c r="DPG78">
        <v>18</v>
      </c>
      <c r="DPH78">
        <v>18</v>
      </c>
      <c r="DPI78">
        <v>18</v>
      </c>
      <c r="DPJ78">
        <v>18</v>
      </c>
      <c r="DPK78">
        <v>18</v>
      </c>
      <c r="DPL78">
        <v>18</v>
      </c>
      <c r="DPM78">
        <v>18</v>
      </c>
      <c r="DPN78">
        <v>18</v>
      </c>
      <c r="DPO78">
        <v>18</v>
      </c>
      <c r="DPP78">
        <v>18</v>
      </c>
      <c r="DPQ78">
        <v>18</v>
      </c>
      <c r="DPR78">
        <v>18</v>
      </c>
      <c r="DPS78">
        <v>18</v>
      </c>
      <c r="DPT78">
        <v>18</v>
      </c>
      <c r="DPU78">
        <v>18</v>
      </c>
      <c r="DPV78">
        <v>18</v>
      </c>
      <c r="DPW78">
        <v>18</v>
      </c>
      <c r="DPX78">
        <v>18</v>
      </c>
      <c r="DPY78">
        <v>18</v>
      </c>
      <c r="DPZ78">
        <v>18</v>
      </c>
      <c r="DQA78">
        <v>18</v>
      </c>
      <c r="DQB78">
        <v>18</v>
      </c>
      <c r="DQC78">
        <v>18</v>
      </c>
      <c r="DQD78">
        <v>18</v>
      </c>
      <c r="DQE78">
        <v>18</v>
      </c>
      <c r="DQF78">
        <v>18</v>
      </c>
      <c r="DQG78">
        <v>18</v>
      </c>
      <c r="DQM78">
        <v>19</v>
      </c>
      <c r="DQN78">
        <v>19</v>
      </c>
      <c r="DQO78">
        <v>19</v>
      </c>
      <c r="DQP78">
        <v>19</v>
      </c>
      <c r="DQQ78">
        <v>19</v>
      </c>
      <c r="DQR78">
        <v>19</v>
      </c>
      <c r="DQS78">
        <v>19</v>
      </c>
      <c r="DQT78">
        <v>19</v>
      </c>
      <c r="DQU78">
        <v>19</v>
      </c>
      <c r="DQV78">
        <v>19</v>
      </c>
      <c r="DQW78">
        <v>19</v>
      </c>
      <c r="EEE78">
        <v>20</v>
      </c>
      <c r="EEF78">
        <v>20</v>
      </c>
      <c r="EEG78">
        <v>20</v>
      </c>
      <c r="EEH78">
        <v>20</v>
      </c>
      <c r="EEI78">
        <v>20</v>
      </c>
      <c r="EEJ78">
        <v>20</v>
      </c>
      <c r="EEK78">
        <v>20</v>
      </c>
      <c r="EEL78">
        <v>20</v>
      </c>
      <c r="EEM78">
        <v>20</v>
      </c>
      <c r="EEN78">
        <v>20</v>
      </c>
      <c r="EEO78">
        <v>20</v>
      </c>
      <c r="EEP78">
        <v>20</v>
      </c>
      <c r="EEQ78">
        <v>20</v>
      </c>
      <c r="EER78">
        <v>20</v>
      </c>
      <c r="EES78">
        <v>20</v>
      </c>
      <c r="EJV78">
        <v>21</v>
      </c>
      <c r="EJW78">
        <v>21</v>
      </c>
      <c r="EJX78">
        <v>21</v>
      </c>
      <c r="EJY78">
        <v>21</v>
      </c>
      <c r="EJZ78">
        <v>21</v>
      </c>
      <c r="EKA78">
        <v>21</v>
      </c>
      <c r="EKB78">
        <v>21</v>
      </c>
      <c r="EKC78">
        <v>21</v>
      </c>
      <c r="EKD78">
        <v>21</v>
      </c>
      <c r="EKE78">
        <v>21</v>
      </c>
      <c r="EKF78">
        <v>21</v>
      </c>
      <c r="EKG78">
        <v>21</v>
      </c>
      <c r="EKH78">
        <v>21</v>
      </c>
      <c r="EKI78">
        <v>21</v>
      </c>
      <c r="EKJ78">
        <v>21</v>
      </c>
      <c r="EKK78">
        <v>21</v>
      </c>
      <c r="EKL78">
        <v>21</v>
      </c>
      <c r="EKM78">
        <v>21</v>
      </c>
      <c r="EKN78">
        <v>21</v>
      </c>
      <c r="EKO78">
        <v>21</v>
      </c>
      <c r="EKP78">
        <v>21</v>
      </c>
      <c r="EKQ78">
        <v>21</v>
      </c>
      <c r="EKR78">
        <v>21</v>
      </c>
      <c r="EKS78">
        <v>21</v>
      </c>
      <c r="EKT78">
        <v>21</v>
      </c>
      <c r="EKU78">
        <v>21</v>
      </c>
      <c r="EKV78">
        <v>21</v>
      </c>
      <c r="EKW78">
        <v>21</v>
      </c>
      <c r="EKX78">
        <v>21</v>
      </c>
      <c r="EKY78">
        <v>21</v>
      </c>
      <c r="EKZ78">
        <v>21</v>
      </c>
      <c r="ELA78">
        <v>21</v>
      </c>
      <c r="ELB78">
        <v>21</v>
      </c>
      <c r="ELC78">
        <v>21</v>
      </c>
      <c r="ELD78">
        <v>21</v>
      </c>
      <c r="ENB78">
        <v>22</v>
      </c>
      <c r="ENC78">
        <v>22</v>
      </c>
      <c r="END78">
        <v>22</v>
      </c>
      <c r="ENE78">
        <v>22</v>
      </c>
      <c r="ENF78">
        <v>22</v>
      </c>
      <c r="ENG78">
        <v>22</v>
      </c>
      <c r="ENH78">
        <v>22</v>
      </c>
      <c r="ENI78">
        <v>22</v>
      </c>
      <c r="ENJ78">
        <v>22</v>
      </c>
      <c r="ENK78">
        <v>22</v>
      </c>
      <c r="ENL78">
        <v>22</v>
      </c>
      <c r="ENM78">
        <v>22</v>
      </c>
      <c r="ENN78">
        <v>22</v>
      </c>
      <c r="ENO78">
        <v>22</v>
      </c>
      <c r="ENP78">
        <v>22</v>
      </c>
      <c r="ENQ78">
        <v>22</v>
      </c>
      <c r="ENR78">
        <v>22</v>
      </c>
      <c r="ENS78">
        <v>22</v>
      </c>
      <c r="ENT78">
        <v>22</v>
      </c>
      <c r="ENU78">
        <v>22</v>
      </c>
      <c r="ENV78">
        <v>22</v>
      </c>
      <c r="ENW78">
        <v>22</v>
      </c>
      <c r="ENX78">
        <v>22</v>
      </c>
      <c r="ENY78">
        <v>22</v>
      </c>
      <c r="ENZ78">
        <v>22</v>
      </c>
      <c r="EOA78">
        <v>22</v>
      </c>
      <c r="EOB78">
        <v>22</v>
      </c>
      <c r="EOC78">
        <v>22</v>
      </c>
      <c r="EOD78">
        <v>22</v>
      </c>
      <c r="EOE78">
        <v>22</v>
      </c>
      <c r="EOF78">
        <v>22</v>
      </c>
      <c r="EOG78">
        <v>22</v>
      </c>
      <c r="EOH78">
        <v>22</v>
      </c>
      <c r="EOI78">
        <v>22</v>
      </c>
      <c r="EOJ78">
        <v>22</v>
      </c>
      <c r="EOK78">
        <v>22</v>
      </c>
      <c r="EOL78">
        <v>22</v>
      </c>
      <c r="EOM78">
        <v>22</v>
      </c>
      <c r="EON78">
        <v>22</v>
      </c>
      <c r="EOO78">
        <v>22</v>
      </c>
      <c r="EOP78">
        <v>22</v>
      </c>
      <c r="EOQ78">
        <v>22</v>
      </c>
      <c r="EOR78">
        <v>22</v>
      </c>
      <c r="EOS78">
        <v>22</v>
      </c>
      <c r="EOT78">
        <v>22</v>
      </c>
      <c r="EOU78">
        <v>22</v>
      </c>
      <c r="EVG78">
        <v>23</v>
      </c>
      <c r="EVH78">
        <v>23</v>
      </c>
      <c r="EVI78">
        <v>23</v>
      </c>
      <c r="EVJ78">
        <v>23</v>
      </c>
      <c r="EVK78">
        <v>23</v>
      </c>
      <c r="EVL78">
        <v>23</v>
      </c>
      <c r="EVM78">
        <v>23</v>
      </c>
      <c r="EVN78">
        <v>23</v>
      </c>
      <c r="EVO78">
        <v>23</v>
      </c>
      <c r="EVP78">
        <v>23</v>
      </c>
      <c r="EVQ78">
        <v>23</v>
      </c>
      <c r="EVR78">
        <v>23</v>
      </c>
      <c r="EVS78">
        <v>23</v>
      </c>
      <c r="EVT78">
        <v>23</v>
      </c>
      <c r="EVU78">
        <v>23</v>
      </c>
      <c r="EVV78">
        <v>23</v>
      </c>
      <c r="EVW78">
        <v>23</v>
      </c>
      <c r="EVX78">
        <v>23</v>
      </c>
      <c r="EVY78">
        <v>23</v>
      </c>
      <c r="EVZ78">
        <v>23</v>
      </c>
      <c r="EWA78">
        <v>23</v>
      </c>
      <c r="EWB78">
        <v>23</v>
      </c>
      <c r="EWC78">
        <v>23</v>
      </c>
      <c r="EWD78">
        <v>23</v>
      </c>
      <c r="EWE78">
        <v>23</v>
      </c>
      <c r="EWF78">
        <v>23</v>
      </c>
      <c r="EWG78">
        <v>23</v>
      </c>
      <c r="EWH78">
        <v>23</v>
      </c>
      <c r="EWI78">
        <v>23</v>
      </c>
      <c r="EWJ78">
        <v>23</v>
      </c>
      <c r="EWK78">
        <v>23</v>
      </c>
      <c r="EWL78">
        <v>23</v>
      </c>
      <c r="EWM78">
        <v>23</v>
      </c>
      <c r="EWN78">
        <v>23</v>
      </c>
      <c r="EWO78">
        <v>23</v>
      </c>
      <c r="EWP78">
        <v>23</v>
      </c>
      <c r="EWQ78">
        <v>23</v>
      </c>
      <c r="EWR78">
        <v>23</v>
      </c>
      <c r="EWS78">
        <v>23</v>
      </c>
      <c r="EWT78">
        <v>23</v>
      </c>
      <c r="EWU78">
        <v>23</v>
      </c>
      <c r="EWV78">
        <v>23</v>
      </c>
      <c r="EWW78">
        <v>23</v>
      </c>
      <c r="EWX78">
        <v>23</v>
      </c>
      <c r="EWY78">
        <v>23</v>
      </c>
      <c r="EWZ78">
        <v>23</v>
      </c>
      <c r="EXA78">
        <v>23</v>
      </c>
      <c r="EXB78">
        <v>23</v>
      </c>
      <c r="EXC78">
        <v>23</v>
      </c>
      <c r="EXD78">
        <v>23</v>
      </c>
      <c r="EXE78">
        <v>23</v>
      </c>
      <c r="EXF78">
        <v>23</v>
      </c>
      <c r="EXG78">
        <v>23</v>
      </c>
      <c r="EXH78">
        <v>23</v>
      </c>
      <c r="EXI78">
        <v>23</v>
      </c>
      <c r="EXJ78">
        <v>23</v>
      </c>
      <c r="EXK78">
        <v>23</v>
      </c>
      <c r="EXL78">
        <v>23</v>
      </c>
      <c r="EXM78">
        <v>23</v>
      </c>
      <c r="EXN78">
        <v>23</v>
      </c>
      <c r="EXO78">
        <v>23</v>
      </c>
      <c r="EXP78">
        <v>23</v>
      </c>
      <c r="EXQ78">
        <v>23</v>
      </c>
      <c r="EXR78">
        <v>23</v>
      </c>
      <c r="EXS78">
        <v>23</v>
      </c>
      <c r="EXT78">
        <v>23</v>
      </c>
      <c r="EXU78">
        <v>23</v>
      </c>
      <c r="EXV78">
        <v>23</v>
      </c>
      <c r="EXW78">
        <v>23</v>
      </c>
      <c r="EXX78">
        <v>23</v>
      </c>
      <c r="EXY78">
        <v>23</v>
      </c>
      <c r="EXZ78">
        <v>23</v>
      </c>
      <c r="EYA78">
        <v>23</v>
      </c>
      <c r="EYB78">
        <v>23</v>
      </c>
      <c r="EYC78">
        <v>23</v>
      </c>
      <c r="EYD78">
        <v>23</v>
      </c>
      <c r="EYE78">
        <v>23</v>
      </c>
      <c r="EYF78">
        <v>23</v>
      </c>
      <c r="EYG78">
        <v>23</v>
      </c>
      <c r="EYH78">
        <v>23</v>
      </c>
      <c r="EYI78">
        <v>23</v>
      </c>
      <c r="EYJ78">
        <v>23</v>
      </c>
      <c r="EYK78">
        <v>23</v>
      </c>
      <c r="EYL78">
        <v>23</v>
      </c>
      <c r="EYM78">
        <v>23</v>
      </c>
      <c r="EYN78">
        <v>23</v>
      </c>
      <c r="EYO78">
        <v>23</v>
      </c>
      <c r="EYP78">
        <v>23</v>
      </c>
      <c r="EYQ78">
        <v>23</v>
      </c>
      <c r="EYR78">
        <v>23</v>
      </c>
      <c r="EYS78">
        <v>23</v>
      </c>
      <c r="EYT78">
        <v>23</v>
      </c>
      <c r="EYU78">
        <v>23</v>
      </c>
      <c r="EYV78">
        <v>23</v>
      </c>
      <c r="EYW78">
        <v>23</v>
      </c>
      <c r="EYX78">
        <v>23</v>
      </c>
      <c r="EYY78">
        <v>23</v>
      </c>
      <c r="EYZ78">
        <v>23</v>
      </c>
      <c r="EZA78">
        <v>23</v>
      </c>
      <c r="EZB78">
        <v>23</v>
      </c>
      <c r="EZC78">
        <v>23</v>
      </c>
      <c r="EZD78">
        <v>23</v>
      </c>
      <c r="EZE78">
        <v>23</v>
      </c>
      <c r="EZF78">
        <v>23</v>
      </c>
      <c r="FBZ78">
        <v>24</v>
      </c>
      <c r="FCA78">
        <v>24</v>
      </c>
      <c r="FCB78">
        <v>24</v>
      </c>
      <c r="FCC78">
        <v>24</v>
      </c>
      <c r="FCD78">
        <v>24</v>
      </c>
      <c r="FCE78">
        <v>24</v>
      </c>
      <c r="FCF78">
        <v>24</v>
      </c>
      <c r="FCG78">
        <v>24</v>
      </c>
      <c r="FCH78">
        <v>24</v>
      </c>
      <c r="HKS78">
        <v>25</v>
      </c>
      <c r="HKT78">
        <v>25</v>
      </c>
      <c r="HKU78">
        <v>25</v>
      </c>
      <c r="HKV78">
        <v>25</v>
      </c>
      <c r="HKW78">
        <v>25</v>
      </c>
      <c r="HKX78">
        <v>25</v>
      </c>
      <c r="HKY78">
        <v>25</v>
      </c>
      <c r="HKZ78">
        <v>25</v>
      </c>
      <c r="HLA78">
        <v>25</v>
      </c>
      <c r="HLB78">
        <v>25</v>
      </c>
      <c r="HLC78">
        <v>25</v>
      </c>
      <c r="HLD78">
        <v>25</v>
      </c>
      <c r="KGU78" s="1">
        <f t="shared" si="0"/>
        <v>23</v>
      </c>
      <c r="KGV78">
        <f t="shared" si="1"/>
        <v>32</v>
      </c>
      <c r="KGW78">
        <f t="shared" si="2"/>
        <v>35</v>
      </c>
      <c r="KGX78">
        <f t="shared" si="3"/>
        <v>9</v>
      </c>
      <c r="KGY78">
        <f t="shared" si="4"/>
        <v>49</v>
      </c>
      <c r="KGZ78">
        <f t="shared" si="5"/>
        <v>29</v>
      </c>
      <c r="KHA78">
        <f t="shared" si="6"/>
        <v>12</v>
      </c>
      <c r="KHB78">
        <f t="shared" si="7"/>
        <v>58</v>
      </c>
      <c r="KHC78">
        <f t="shared" si="8"/>
        <v>8</v>
      </c>
      <c r="KHD78">
        <f t="shared" si="9"/>
        <v>34</v>
      </c>
      <c r="KHE78">
        <f t="shared" si="10"/>
        <v>37</v>
      </c>
      <c r="KHF78">
        <f t="shared" si="11"/>
        <v>12</v>
      </c>
      <c r="KHG78">
        <f t="shared" si="12"/>
        <v>22</v>
      </c>
      <c r="KHH78">
        <f t="shared" si="13"/>
        <v>16</v>
      </c>
      <c r="KHI78">
        <f t="shared" si="14"/>
        <v>8</v>
      </c>
      <c r="KHJ78">
        <f t="shared" si="15"/>
        <v>50</v>
      </c>
      <c r="KHK78">
        <f t="shared" si="16"/>
        <v>16</v>
      </c>
      <c r="KHL78">
        <f t="shared" si="17"/>
        <v>62</v>
      </c>
      <c r="KHM78">
        <f t="shared" si="18"/>
        <v>11</v>
      </c>
      <c r="KHN78">
        <f t="shared" si="19"/>
        <v>15</v>
      </c>
      <c r="KHO78">
        <f t="shared" si="20"/>
        <v>35</v>
      </c>
      <c r="KHP78">
        <f t="shared" si="21"/>
        <v>46</v>
      </c>
      <c r="KHQ78">
        <f t="shared" si="22"/>
        <v>104</v>
      </c>
      <c r="KHR78">
        <f t="shared" si="23"/>
        <v>9</v>
      </c>
      <c r="KHS78">
        <f t="shared" si="24"/>
        <v>12</v>
      </c>
      <c r="KHT78">
        <f t="shared" si="25"/>
        <v>0</v>
      </c>
      <c r="KHU78">
        <f t="shared" si="26"/>
        <v>0</v>
      </c>
      <c r="KHV78">
        <f t="shared" si="27"/>
        <v>0</v>
      </c>
      <c r="KHW78">
        <f t="shared" si="28"/>
        <v>0</v>
      </c>
      <c r="KHX78">
        <f t="shared" si="29"/>
        <v>0</v>
      </c>
      <c r="KHY78">
        <f t="shared" si="30"/>
        <v>0</v>
      </c>
      <c r="KHZ78">
        <f t="shared" si="31"/>
        <v>0</v>
      </c>
      <c r="KIA78">
        <f t="shared" si="32"/>
        <v>0</v>
      </c>
      <c r="KIB78">
        <f t="shared" si="33"/>
        <v>0</v>
      </c>
      <c r="KIC78">
        <f t="shared" si="34"/>
        <v>0</v>
      </c>
      <c r="KID78">
        <f t="shared" si="35"/>
        <v>0</v>
      </c>
      <c r="KIE78">
        <f t="shared" si="36"/>
        <v>0</v>
      </c>
      <c r="KIF78">
        <f t="shared" si="37"/>
        <v>0</v>
      </c>
      <c r="KIG78">
        <f t="shared" si="38"/>
        <v>0</v>
      </c>
      <c r="KIH78">
        <f t="shared" si="39"/>
        <v>0</v>
      </c>
      <c r="KII78">
        <f t="shared" si="40"/>
        <v>0</v>
      </c>
      <c r="KIJ78">
        <f t="shared" si="41"/>
        <v>0</v>
      </c>
      <c r="KIK78">
        <f t="shared" si="42"/>
        <v>0</v>
      </c>
      <c r="KIL78">
        <f t="shared" si="43"/>
        <v>0</v>
      </c>
      <c r="KIM78">
        <f t="shared" si="44"/>
        <v>0</v>
      </c>
      <c r="KIN78">
        <f t="shared" si="45"/>
        <v>0</v>
      </c>
      <c r="KIO78">
        <f t="shared" si="46"/>
        <v>0</v>
      </c>
      <c r="KIP78">
        <f t="shared" si="47"/>
        <v>0</v>
      </c>
      <c r="KIQ78">
        <f t="shared" si="48"/>
        <v>0</v>
      </c>
      <c r="KIR78">
        <f t="shared" si="49"/>
        <v>0</v>
      </c>
      <c r="KIS78">
        <f t="shared" si="50"/>
        <v>0</v>
      </c>
      <c r="KIT78">
        <f t="shared" si="51"/>
        <v>0</v>
      </c>
      <c r="KIU78">
        <f t="shared" si="52"/>
        <v>0</v>
      </c>
      <c r="KIV78">
        <f t="shared" si="53"/>
        <v>0</v>
      </c>
      <c r="KIW78">
        <f t="shared" si="54"/>
        <v>0</v>
      </c>
      <c r="KIX78">
        <f t="shared" si="55"/>
        <v>0</v>
      </c>
      <c r="KIY78">
        <f t="shared" si="56"/>
        <v>0</v>
      </c>
      <c r="KIZ78">
        <f t="shared" si="57"/>
        <v>0</v>
      </c>
      <c r="KJA78">
        <f t="shared" si="58"/>
        <v>0</v>
      </c>
      <c r="KJB78">
        <f t="shared" si="59"/>
        <v>0</v>
      </c>
      <c r="KJC78">
        <f t="shared" si="60"/>
        <v>0</v>
      </c>
      <c r="KJD78">
        <f t="shared" si="61"/>
        <v>0</v>
      </c>
      <c r="KJE78">
        <f t="shared" si="62"/>
        <v>0</v>
      </c>
      <c r="KJF78">
        <f t="shared" si="63"/>
        <v>0</v>
      </c>
      <c r="KJG78">
        <f t="shared" si="64"/>
        <v>0</v>
      </c>
      <c r="KJH78">
        <f t="shared" si="65"/>
        <v>0</v>
      </c>
      <c r="KJI78">
        <f t="shared" si="66"/>
        <v>0</v>
      </c>
      <c r="KJJ78">
        <f t="shared" si="67"/>
        <v>0</v>
      </c>
      <c r="KJK78">
        <f t="shared" si="68"/>
        <v>0</v>
      </c>
      <c r="KJL78">
        <f t="shared" si="69"/>
        <v>0</v>
      </c>
      <c r="KJM78">
        <f t="shared" si="70"/>
        <v>0</v>
      </c>
      <c r="KJN78">
        <f t="shared" si="71"/>
        <v>0</v>
      </c>
      <c r="KJO78">
        <f t="shared" si="72"/>
        <v>0</v>
      </c>
      <c r="KJP78">
        <f t="shared" si="73"/>
        <v>0</v>
      </c>
      <c r="KJQ78">
        <f t="shared" si="74"/>
        <v>0</v>
      </c>
      <c r="KJR78">
        <f t="shared" si="75"/>
        <v>0</v>
      </c>
      <c r="KJS78">
        <f t="shared" si="76"/>
        <v>0</v>
      </c>
      <c r="KJT78">
        <f t="shared" si="77"/>
        <v>0</v>
      </c>
      <c r="KJU78">
        <f t="shared" si="78"/>
        <v>0</v>
      </c>
      <c r="KJV78">
        <f t="shared" si="79"/>
        <v>0</v>
      </c>
      <c r="KJW78">
        <f t="shared" si="80"/>
        <v>0</v>
      </c>
      <c r="KJX78">
        <f t="shared" si="81"/>
        <v>0</v>
      </c>
      <c r="KJY78">
        <f t="shared" si="82"/>
        <v>0</v>
      </c>
      <c r="KJZ78">
        <f t="shared" si="83"/>
        <v>0</v>
      </c>
      <c r="KKA78">
        <f t="shared" si="84"/>
        <v>0</v>
      </c>
      <c r="KKB78">
        <f t="shared" si="85"/>
        <v>0</v>
      </c>
      <c r="KKC78">
        <f t="shared" si="86"/>
        <v>0</v>
      </c>
      <c r="KKD78">
        <f t="shared" si="87"/>
        <v>0</v>
      </c>
      <c r="KKE78">
        <f t="shared" si="88"/>
        <v>0</v>
      </c>
      <c r="KKF78">
        <f t="shared" si="89"/>
        <v>0</v>
      </c>
      <c r="KKG78">
        <f t="shared" si="90"/>
        <v>0</v>
      </c>
      <c r="KKH78">
        <f t="shared" si="91"/>
        <v>0</v>
      </c>
      <c r="KKI78">
        <f t="shared" si="92"/>
        <v>0</v>
      </c>
      <c r="KKJ78">
        <f t="shared" si="93"/>
        <v>0</v>
      </c>
      <c r="KKK78">
        <f t="shared" si="94"/>
        <v>0</v>
      </c>
      <c r="KKL78">
        <f t="shared" si="95"/>
        <v>0</v>
      </c>
      <c r="KKM78">
        <f t="shared" si="96"/>
        <v>0</v>
      </c>
      <c r="KKN78">
        <f t="shared" si="97"/>
        <v>0</v>
      </c>
      <c r="KKO78">
        <f t="shared" si="98"/>
        <v>0</v>
      </c>
      <c r="KKP78">
        <f t="shared" si="99"/>
        <v>0</v>
      </c>
      <c r="KKR78">
        <f t="shared" si="100"/>
        <v>744</v>
      </c>
      <c r="KKT78">
        <f t="shared" si="100"/>
        <v>744</v>
      </c>
      <c r="KKU78">
        <f t="shared" si="101"/>
        <v>29.76</v>
      </c>
      <c r="KKW78">
        <f t="shared" si="101"/>
        <v>29.76</v>
      </c>
    </row>
    <row r="79" spans="1:790 1170:4062 4134:4142 5713:6116 6491:6565 7639:7745">
      <c r="A79" t="s">
        <v>40</v>
      </c>
      <c r="B79">
        <v>4</v>
      </c>
      <c r="BYV79">
        <v>1</v>
      </c>
      <c r="BYW79">
        <v>1</v>
      </c>
      <c r="BYX79">
        <v>1</v>
      </c>
      <c r="BYY79">
        <v>1</v>
      </c>
      <c r="BYZ79">
        <v>1</v>
      </c>
      <c r="BZA79">
        <v>1</v>
      </c>
      <c r="BZB79">
        <v>1</v>
      </c>
      <c r="BZC79">
        <v>1</v>
      </c>
      <c r="BZD79">
        <v>1</v>
      </c>
      <c r="BZE79">
        <v>1</v>
      </c>
      <c r="BZF79">
        <v>1</v>
      </c>
      <c r="BZG79">
        <v>1</v>
      </c>
      <c r="BZH79">
        <v>1</v>
      </c>
      <c r="BZI79">
        <v>1</v>
      </c>
      <c r="BZJ79">
        <v>1</v>
      </c>
      <c r="BZK79">
        <v>1</v>
      </c>
      <c r="BZL79">
        <v>1</v>
      </c>
      <c r="BZM79">
        <v>1</v>
      </c>
      <c r="BZN79">
        <v>1</v>
      </c>
      <c r="BZO79">
        <v>1</v>
      </c>
      <c r="BZP79">
        <v>1</v>
      </c>
      <c r="BZQ79">
        <v>1</v>
      </c>
      <c r="BZR79">
        <v>1</v>
      </c>
      <c r="BZS79">
        <v>1</v>
      </c>
      <c r="BZT79">
        <v>1</v>
      </c>
      <c r="BZU79">
        <v>1</v>
      </c>
      <c r="BZV79">
        <v>1</v>
      </c>
      <c r="BZW79">
        <v>1</v>
      </c>
      <c r="BZX79">
        <v>1</v>
      </c>
      <c r="BZY79">
        <v>1</v>
      </c>
      <c r="BZZ79">
        <v>1</v>
      </c>
      <c r="CAA79">
        <v>1</v>
      </c>
      <c r="CAB79">
        <v>1</v>
      </c>
      <c r="CAC79">
        <v>1</v>
      </c>
      <c r="CAD79">
        <v>1</v>
      </c>
      <c r="CAE79">
        <v>1</v>
      </c>
      <c r="CAF79">
        <v>1</v>
      </c>
      <c r="CAG79">
        <v>1</v>
      </c>
      <c r="DCX79">
        <v>2</v>
      </c>
      <c r="DCY79">
        <v>2</v>
      </c>
      <c r="DCZ79">
        <v>2</v>
      </c>
      <c r="DDA79">
        <v>2</v>
      </c>
      <c r="DDB79">
        <v>2</v>
      </c>
      <c r="DDC79">
        <v>2</v>
      </c>
      <c r="DDD79">
        <v>2</v>
      </c>
      <c r="DDE79">
        <v>2</v>
      </c>
      <c r="DDF79">
        <v>2</v>
      </c>
      <c r="DDG79">
        <v>2</v>
      </c>
      <c r="DDH79">
        <v>2</v>
      </c>
      <c r="DDI79">
        <v>2</v>
      </c>
      <c r="DDJ79">
        <v>2</v>
      </c>
      <c r="DDK79">
        <v>2</v>
      </c>
      <c r="DDL79">
        <v>2</v>
      </c>
      <c r="DDM79">
        <v>2</v>
      </c>
      <c r="DRP79">
        <v>3</v>
      </c>
      <c r="DRQ79">
        <v>3</v>
      </c>
      <c r="DRR79">
        <v>3</v>
      </c>
      <c r="DRS79">
        <v>3</v>
      </c>
      <c r="DRT79">
        <v>3</v>
      </c>
      <c r="DRU79">
        <v>3</v>
      </c>
      <c r="DRV79">
        <v>3</v>
      </c>
      <c r="DRW79">
        <v>3</v>
      </c>
      <c r="DRX79">
        <v>3</v>
      </c>
      <c r="DRY79">
        <v>3</v>
      </c>
      <c r="DRZ79">
        <v>3</v>
      </c>
      <c r="DSA79">
        <v>3</v>
      </c>
      <c r="DSB79">
        <v>3</v>
      </c>
      <c r="EIV79">
        <v>4</v>
      </c>
      <c r="EIW79">
        <v>4</v>
      </c>
      <c r="EIX79">
        <v>4</v>
      </c>
      <c r="EIY79">
        <v>4</v>
      </c>
      <c r="EIZ79">
        <v>4</v>
      </c>
      <c r="EJA79">
        <v>4</v>
      </c>
      <c r="KGU79" s="1">
        <f t="shared" si="0"/>
        <v>38</v>
      </c>
      <c r="KGV79">
        <f t="shared" si="1"/>
        <v>16</v>
      </c>
      <c r="KGW79">
        <f t="shared" si="2"/>
        <v>13</v>
      </c>
      <c r="KGX79">
        <f t="shared" si="3"/>
        <v>6</v>
      </c>
      <c r="KGY79">
        <f t="shared" si="4"/>
        <v>0</v>
      </c>
      <c r="KGZ79">
        <f t="shared" si="5"/>
        <v>0</v>
      </c>
      <c r="KHA79">
        <f t="shared" si="6"/>
        <v>0</v>
      </c>
      <c r="KHB79">
        <f t="shared" si="7"/>
        <v>0</v>
      </c>
      <c r="KHC79">
        <f t="shared" si="8"/>
        <v>0</v>
      </c>
      <c r="KHD79">
        <f t="shared" si="9"/>
        <v>0</v>
      </c>
      <c r="KHE79">
        <f t="shared" si="10"/>
        <v>0</v>
      </c>
      <c r="KHF79">
        <f t="shared" si="11"/>
        <v>0</v>
      </c>
      <c r="KHG79">
        <f t="shared" si="12"/>
        <v>0</v>
      </c>
      <c r="KHH79">
        <f t="shared" si="13"/>
        <v>0</v>
      </c>
      <c r="KHI79">
        <f t="shared" si="14"/>
        <v>0</v>
      </c>
      <c r="KHJ79">
        <f t="shared" si="15"/>
        <v>0</v>
      </c>
      <c r="KHK79">
        <f t="shared" si="16"/>
        <v>0</v>
      </c>
      <c r="KHL79">
        <f t="shared" si="17"/>
        <v>0</v>
      </c>
      <c r="KHM79">
        <f t="shared" si="18"/>
        <v>0</v>
      </c>
      <c r="KHN79">
        <f t="shared" si="19"/>
        <v>0</v>
      </c>
      <c r="KHO79">
        <f t="shared" si="20"/>
        <v>0</v>
      </c>
      <c r="KHP79">
        <f t="shared" si="21"/>
        <v>0</v>
      </c>
      <c r="KHQ79">
        <f t="shared" si="22"/>
        <v>0</v>
      </c>
      <c r="KHR79">
        <f t="shared" si="23"/>
        <v>0</v>
      </c>
      <c r="KHS79">
        <f t="shared" si="24"/>
        <v>0</v>
      </c>
      <c r="KHT79">
        <f t="shared" si="25"/>
        <v>0</v>
      </c>
      <c r="KHU79">
        <f t="shared" si="26"/>
        <v>0</v>
      </c>
      <c r="KHV79">
        <f t="shared" si="27"/>
        <v>0</v>
      </c>
      <c r="KHW79">
        <f t="shared" si="28"/>
        <v>0</v>
      </c>
      <c r="KHX79">
        <f t="shared" si="29"/>
        <v>0</v>
      </c>
      <c r="KHY79">
        <f t="shared" si="30"/>
        <v>0</v>
      </c>
      <c r="KHZ79">
        <f t="shared" si="31"/>
        <v>0</v>
      </c>
      <c r="KIA79">
        <f t="shared" si="32"/>
        <v>0</v>
      </c>
      <c r="KIB79">
        <f t="shared" si="33"/>
        <v>0</v>
      </c>
      <c r="KIC79">
        <f t="shared" si="34"/>
        <v>0</v>
      </c>
      <c r="KID79">
        <f t="shared" si="35"/>
        <v>0</v>
      </c>
      <c r="KIE79">
        <f t="shared" si="36"/>
        <v>0</v>
      </c>
      <c r="KIF79">
        <f t="shared" si="37"/>
        <v>0</v>
      </c>
      <c r="KIG79">
        <f t="shared" si="38"/>
        <v>0</v>
      </c>
      <c r="KIH79">
        <f t="shared" si="39"/>
        <v>0</v>
      </c>
      <c r="KII79">
        <f t="shared" si="40"/>
        <v>0</v>
      </c>
      <c r="KIJ79">
        <f t="shared" si="41"/>
        <v>0</v>
      </c>
      <c r="KIK79">
        <f t="shared" si="42"/>
        <v>0</v>
      </c>
      <c r="KIL79">
        <f t="shared" si="43"/>
        <v>0</v>
      </c>
      <c r="KIM79">
        <f t="shared" si="44"/>
        <v>0</v>
      </c>
      <c r="KIN79">
        <f t="shared" si="45"/>
        <v>0</v>
      </c>
      <c r="KIO79">
        <f t="shared" si="46"/>
        <v>0</v>
      </c>
      <c r="KIP79">
        <f t="shared" si="47"/>
        <v>0</v>
      </c>
      <c r="KIQ79">
        <f t="shared" si="48"/>
        <v>0</v>
      </c>
      <c r="KIR79">
        <f t="shared" si="49"/>
        <v>0</v>
      </c>
      <c r="KIS79">
        <f t="shared" si="50"/>
        <v>0</v>
      </c>
      <c r="KIT79">
        <f t="shared" si="51"/>
        <v>0</v>
      </c>
      <c r="KIU79">
        <f t="shared" si="52"/>
        <v>0</v>
      </c>
      <c r="KIV79">
        <f t="shared" si="53"/>
        <v>0</v>
      </c>
      <c r="KIW79">
        <f t="shared" si="54"/>
        <v>0</v>
      </c>
      <c r="KIX79">
        <f t="shared" si="55"/>
        <v>0</v>
      </c>
      <c r="KIY79">
        <f t="shared" si="56"/>
        <v>0</v>
      </c>
      <c r="KIZ79">
        <f t="shared" si="57"/>
        <v>0</v>
      </c>
      <c r="KJA79">
        <f t="shared" si="58"/>
        <v>0</v>
      </c>
      <c r="KJB79">
        <f t="shared" si="59"/>
        <v>0</v>
      </c>
      <c r="KJC79">
        <f t="shared" si="60"/>
        <v>0</v>
      </c>
      <c r="KJD79">
        <f t="shared" si="61"/>
        <v>0</v>
      </c>
      <c r="KJE79">
        <f t="shared" si="62"/>
        <v>0</v>
      </c>
      <c r="KJF79">
        <f t="shared" si="63"/>
        <v>0</v>
      </c>
      <c r="KJG79">
        <f t="shared" si="64"/>
        <v>0</v>
      </c>
      <c r="KJH79">
        <f t="shared" si="65"/>
        <v>0</v>
      </c>
      <c r="KJI79">
        <f t="shared" si="66"/>
        <v>0</v>
      </c>
      <c r="KJJ79">
        <f t="shared" si="67"/>
        <v>0</v>
      </c>
      <c r="KJK79">
        <f t="shared" si="68"/>
        <v>0</v>
      </c>
      <c r="KJL79">
        <f t="shared" si="69"/>
        <v>0</v>
      </c>
      <c r="KJM79">
        <f t="shared" si="70"/>
        <v>0</v>
      </c>
      <c r="KJN79">
        <f t="shared" si="71"/>
        <v>0</v>
      </c>
      <c r="KJO79">
        <f t="shared" si="72"/>
        <v>0</v>
      </c>
      <c r="KJP79">
        <f t="shared" si="73"/>
        <v>0</v>
      </c>
      <c r="KJQ79">
        <f t="shared" si="74"/>
        <v>0</v>
      </c>
      <c r="KJR79">
        <f t="shared" si="75"/>
        <v>0</v>
      </c>
      <c r="KJS79">
        <f t="shared" si="76"/>
        <v>0</v>
      </c>
      <c r="KJT79">
        <f t="shared" si="77"/>
        <v>0</v>
      </c>
      <c r="KJU79">
        <f t="shared" si="78"/>
        <v>0</v>
      </c>
      <c r="KJV79">
        <f t="shared" si="79"/>
        <v>0</v>
      </c>
      <c r="KJW79">
        <f t="shared" si="80"/>
        <v>0</v>
      </c>
      <c r="KJX79">
        <f t="shared" si="81"/>
        <v>0</v>
      </c>
      <c r="KJY79">
        <f t="shared" si="82"/>
        <v>0</v>
      </c>
      <c r="KJZ79">
        <f t="shared" si="83"/>
        <v>0</v>
      </c>
      <c r="KKA79">
        <f t="shared" si="84"/>
        <v>0</v>
      </c>
      <c r="KKB79">
        <f t="shared" si="85"/>
        <v>0</v>
      </c>
      <c r="KKC79">
        <f t="shared" si="86"/>
        <v>0</v>
      </c>
      <c r="KKD79">
        <f t="shared" si="87"/>
        <v>0</v>
      </c>
      <c r="KKE79">
        <f t="shared" si="88"/>
        <v>0</v>
      </c>
      <c r="KKF79">
        <f t="shared" si="89"/>
        <v>0</v>
      </c>
      <c r="KKG79">
        <f t="shared" si="90"/>
        <v>0</v>
      </c>
      <c r="KKH79">
        <f t="shared" si="91"/>
        <v>0</v>
      </c>
      <c r="KKI79">
        <f t="shared" si="92"/>
        <v>0</v>
      </c>
      <c r="KKJ79">
        <f t="shared" si="93"/>
        <v>0</v>
      </c>
      <c r="KKK79">
        <f t="shared" si="94"/>
        <v>0</v>
      </c>
      <c r="KKL79">
        <f t="shared" si="95"/>
        <v>0</v>
      </c>
      <c r="KKM79">
        <f t="shared" si="96"/>
        <v>0</v>
      </c>
      <c r="KKN79">
        <f t="shared" si="97"/>
        <v>0</v>
      </c>
      <c r="KKO79">
        <f t="shared" si="98"/>
        <v>0</v>
      </c>
      <c r="KKP79">
        <f t="shared" si="99"/>
        <v>0</v>
      </c>
      <c r="KKR79">
        <f t="shared" si="100"/>
        <v>73</v>
      </c>
      <c r="KKT79">
        <f t="shared" si="100"/>
        <v>73</v>
      </c>
      <c r="KKU79">
        <f t="shared" si="101"/>
        <v>2.92</v>
      </c>
      <c r="KKW79">
        <f t="shared" si="101"/>
        <v>2.92</v>
      </c>
    </row>
    <row r="80" spans="1:790 1170:4062 4134:4142 5713:6116 6491:6565 7639:7745">
      <c r="A80" t="s">
        <v>46</v>
      </c>
      <c r="B80">
        <v>5</v>
      </c>
      <c r="AVO80">
        <v>1</v>
      </c>
      <c r="AVP80">
        <v>1</v>
      </c>
      <c r="AVQ80">
        <v>1</v>
      </c>
      <c r="AVR80">
        <v>1</v>
      </c>
      <c r="AVS80">
        <v>1</v>
      </c>
      <c r="AVT80">
        <v>1</v>
      </c>
      <c r="AVU80">
        <v>1</v>
      </c>
      <c r="AVV80">
        <v>1</v>
      </c>
      <c r="AVW80">
        <v>1</v>
      </c>
      <c r="AVX80">
        <v>1</v>
      </c>
      <c r="AVY80">
        <v>1</v>
      </c>
      <c r="AVZ80">
        <v>1</v>
      </c>
      <c r="AWA80">
        <v>1</v>
      </c>
      <c r="AWB80">
        <v>1</v>
      </c>
      <c r="AWC80">
        <v>1</v>
      </c>
      <c r="AWD80">
        <v>1</v>
      </c>
      <c r="AWE80">
        <v>1</v>
      </c>
      <c r="AWF80">
        <v>1</v>
      </c>
      <c r="AWG80">
        <v>1</v>
      </c>
      <c r="AWH80">
        <v>1</v>
      </c>
      <c r="AWI80">
        <v>1</v>
      </c>
      <c r="AWJ80">
        <v>1</v>
      </c>
      <c r="AWK80">
        <v>1</v>
      </c>
      <c r="AWL80">
        <v>1</v>
      </c>
      <c r="AWM80">
        <v>1</v>
      </c>
      <c r="AWN80">
        <v>1</v>
      </c>
      <c r="AWO80">
        <v>1</v>
      </c>
      <c r="AWP80">
        <v>1</v>
      </c>
      <c r="AWQ80">
        <v>1</v>
      </c>
      <c r="AWR80">
        <v>1</v>
      </c>
      <c r="AWS80">
        <v>1</v>
      </c>
      <c r="AWT80">
        <v>1</v>
      </c>
      <c r="AWU80">
        <v>1</v>
      </c>
      <c r="AWV80">
        <v>1</v>
      </c>
      <c r="AWW80">
        <v>1</v>
      </c>
      <c r="AWX80">
        <v>1</v>
      </c>
      <c r="AWY80">
        <v>1</v>
      </c>
      <c r="AWZ80">
        <v>1</v>
      </c>
      <c r="AXA80">
        <v>1</v>
      </c>
      <c r="AXB80">
        <v>1</v>
      </c>
      <c r="AXC80">
        <v>1</v>
      </c>
      <c r="AXD80">
        <v>1</v>
      </c>
      <c r="AXE80">
        <v>1</v>
      </c>
      <c r="AXF80">
        <v>1</v>
      </c>
      <c r="AXG80">
        <v>1</v>
      </c>
      <c r="BCJ80">
        <v>2</v>
      </c>
      <c r="BCK80">
        <v>2</v>
      </c>
      <c r="BCL80">
        <v>2</v>
      </c>
      <c r="BCM80">
        <v>2</v>
      </c>
      <c r="BCN80">
        <v>2</v>
      </c>
      <c r="BCO80">
        <v>2</v>
      </c>
      <c r="BJW80">
        <v>3</v>
      </c>
      <c r="BJX80">
        <v>3</v>
      </c>
      <c r="BJY80">
        <v>3</v>
      </c>
      <c r="BJZ80">
        <v>3</v>
      </c>
      <c r="BKA80">
        <v>3</v>
      </c>
      <c r="BKB80">
        <v>3</v>
      </c>
      <c r="BKC80">
        <v>3</v>
      </c>
      <c r="BKD80">
        <v>3</v>
      </c>
      <c r="BKE80">
        <v>3</v>
      </c>
      <c r="BKF80">
        <v>3</v>
      </c>
      <c r="BKG80">
        <v>3</v>
      </c>
      <c r="BKH80">
        <v>3</v>
      </c>
      <c r="BKI80">
        <v>3</v>
      </c>
      <c r="BKJ80">
        <v>3</v>
      </c>
      <c r="BKK80">
        <v>3</v>
      </c>
      <c r="BKL80">
        <v>3</v>
      </c>
      <c r="BKM80">
        <v>3</v>
      </c>
      <c r="BKN80">
        <v>3</v>
      </c>
      <c r="BKO80">
        <v>3</v>
      </c>
      <c r="BKP80">
        <v>3</v>
      </c>
      <c r="BKQ80">
        <v>3</v>
      </c>
      <c r="BKR80">
        <v>3</v>
      </c>
      <c r="BKS80">
        <v>3</v>
      </c>
      <c r="BKT80">
        <v>3</v>
      </c>
      <c r="BKU80">
        <v>3</v>
      </c>
      <c r="BKV80">
        <v>3</v>
      </c>
      <c r="BKW80">
        <v>3</v>
      </c>
      <c r="BKX80">
        <v>3</v>
      </c>
      <c r="BKY80">
        <v>3</v>
      </c>
      <c r="BKZ80">
        <v>3</v>
      </c>
      <c r="BLA80">
        <v>3</v>
      </c>
      <c r="BLB80">
        <v>3</v>
      </c>
      <c r="BLC80">
        <v>3</v>
      </c>
      <c r="BLD80">
        <v>3</v>
      </c>
      <c r="BLE80">
        <v>3</v>
      </c>
      <c r="BLF80">
        <v>3</v>
      </c>
      <c r="BLG80">
        <v>3</v>
      </c>
      <c r="BLH80">
        <v>3</v>
      </c>
      <c r="BLI80">
        <v>3</v>
      </c>
      <c r="BLJ80">
        <v>3</v>
      </c>
      <c r="BLK80">
        <v>3</v>
      </c>
      <c r="BLL80">
        <v>3</v>
      </c>
      <c r="BLM80">
        <v>3</v>
      </c>
      <c r="BLN80">
        <v>3</v>
      </c>
      <c r="BLO80">
        <v>3</v>
      </c>
      <c r="BLP80">
        <v>3</v>
      </c>
      <c r="BLQ80">
        <v>3</v>
      </c>
      <c r="BLR80">
        <v>3</v>
      </c>
      <c r="BLS80">
        <v>3</v>
      </c>
      <c r="BLT80">
        <v>3</v>
      </c>
      <c r="BLU80">
        <v>3</v>
      </c>
      <c r="BLV80">
        <v>3</v>
      </c>
      <c r="BLW80">
        <v>3</v>
      </c>
      <c r="BLX80">
        <v>3</v>
      </c>
      <c r="BLY80">
        <v>3</v>
      </c>
      <c r="BLZ80">
        <v>3</v>
      </c>
      <c r="BMA80">
        <v>3</v>
      </c>
      <c r="BMB80">
        <v>3</v>
      </c>
      <c r="BMC80">
        <v>3</v>
      </c>
      <c r="BMD80">
        <v>3</v>
      </c>
      <c r="BME80">
        <v>3</v>
      </c>
      <c r="BMF80">
        <v>3</v>
      </c>
      <c r="BMG80">
        <v>3</v>
      </c>
      <c r="BMH80">
        <v>3</v>
      </c>
      <c r="BMI80">
        <v>3</v>
      </c>
      <c r="BMJ80">
        <v>3</v>
      </c>
      <c r="BMK80">
        <v>3</v>
      </c>
      <c r="EQZ80">
        <v>4</v>
      </c>
      <c r="ERA80">
        <v>4</v>
      </c>
      <c r="ERB80">
        <v>4</v>
      </c>
      <c r="ERC80">
        <v>4</v>
      </c>
      <c r="ERD80">
        <v>4</v>
      </c>
      <c r="ERE80">
        <v>4</v>
      </c>
      <c r="ERF80">
        <v>4</v>
      </c>
      <c r="ERG80">
        <v>4</v>
      </c>
      <c r="ERH80">
        <v>4</v>
      </c>
      <c r="ERI80">
        <v>4</v>
      </c>
      <c r="ERJ80">
        <v>4</v>
      </c>
      <c r="ERK80">
        <v>4</v>
      </c>
      <c r="ERL80">
        <v>4</v>
      </c>
      <c r="ERM80">
        <v>4</v>
      </c>
      <c r="ERN80">
        <v>4</v>
      </c>
      <c r="ERO80">
        <v>4</v>
      </c>
      <c r="ERP80">
        <v>4</v>
      </c>
      <c r="ERQ80">
        <v>4</v>
      </c>
      <c r="ERR80">
        <v>4</v>
      </c>
      <c r="ERS80">
        <v>4</v>
      </c>
      <c r="ERT80">
        <v>4</v>
      </c>
      <c r="HZT80">
        <v>5</v>
      </c>
      <c r="HZU80">
        <v>5</v>
      </c>
      <c r="HZV80">
        <v>5</v>
      </c>
      <c r="HZW80">
        <v>5</v>
      </c>
      <c r="HZX80">
        <v>5</v>
      </c>
      <c r="HZY80">
        <v>5</v>
      </c>
      <c r="HZZ80">
        <v>5</v>
      </c>
      <c r="IAA80">
        <v>5</v>
      </c>
      <c r="IAB80">
        <v>5</v>
      </c>
      <c r="IAC80">
        <v>5</v>
      </c>
      <c r="IAD80">
        <v>5</v>
      </c>
      <c r="IAE80">
        <v>5</v>
      </c>
      <c r="IAF80">
        <v>5</v>
      </c>
      <c r="KGU80" s="1">
        <f t="shared" si="0"/>
        <v>45</v>
      </c>
      <c r="KGV80">
        <f t="shared" si="1"/>
        <v>6</v>
      </c>
      <c r="KGW80">
        <f t="shared" si="2"/>
        <v>67</v>
      </c>
      <c r="KGX80">
        <f t="shared" si="3"/>
        <v>21</v>
      </c>
      <c r="KGY80">
        <f t="shared" si="4"/>
        <v>13</v>
      </c>
      <c r="KGZ80">
        <f t="shared" si="5"/>
        <v>0</v>
      </c>
      <c r="KHA80">
        <f t="shared" si="6"/>
        <v>0</v>
      </c>
      <c r="KHB80">
        <f t="shared" si="7"/>
        <v>0</v>
      </c>
      <c r="KHC80">
        <f t="shared" si="8"/>
        <v>0</v>
      </c>
      <c r="KHD80">
        <f t="shared" si="9"/>
        <v>0</v>
      </c>
      <c r="KHE80">
        <f t="shared" si="10"/>
        <v>0</v>
      </c>
      <c r="KHF80">
        <f t="shared" si="11"/>
        <v>0</v>
      </c>
      <c r="KHG80">
        <f t="shared" si="12"/>
        <v>0</v>
      </c>
      <c r="KHH80">
        <f t="shared" si="13"/>
        <v>0</v>
      </c>
      <c r="KHI80">
        <f t="shared" si="14"/>
        <v>0</v>
      </c>
      <c r="KHJ80">
        <f t="shared" si="15"/>
        <v>0</v>
      </c>
      <c r="KHK80">
        <f t="shared" si="16"/>
        <v>0</v>
      </c>
      <c r="KHL80">
        <f t="shared" si="17"/>
        <v>0</v>
      </c>
      <c r="KHM80">
        <f t="shared" si="18"/>
        <v>0</v>
      </c>
      <c r="KHN80">
        <f t="shared" si="19"/>
        <v>0</v>
      </c>
      <c r="KHO80">
        <f t="shared" si="20"/>
        <v>0</v>
      </c>
      <c r="KHP80">
        <f t="shared" si="21"/>
        <v>0</v>
      </c>
      <c r="KHQ80">
        <f t="shared" si="22"/>
        <v>0</v>
      </c>
      <c r="KHR80">
        <f t="shared" si="23"/>
        <v>0</v>
      </c>
      <c r="KHS80">
        <f t="shared" si="24"/>
        <v>0</v>
      </c>
      <c r="KHT80">
        <f t="shared" si="25"/>
        <v>0</v>
      </c>
      <c r="KHU80">
        <f t="shared" si="26"/>
        <v>0</v>
      </c>
      <c r="KHV80">
        <f t="shared" si="27"/>
        <v>0</v>
      </c>
      <c r="KHW80">
        <f t="shared" si="28"/>
        <v>0</v>
      </c>
      <c r="KHX80">
        <f t="shared" si="29"/>
        <v>0</v>
      </c>
      <c r="KHY80">
        <f t="shared" si="30"/>
        <v>0</v>
      </c>
      <c r="KHZ80">
        <f t="shared" si="31"/>
        <v>0</v>
      </c>
      <c r="KIA80">
        <f t="shared" si="32"/>
        <v>0</v>
      </c>
      <c r="KIB80">
        <f t="shared" si="33"/>
        <v>0</v>
      </c>
      <c r="KIC80">
        <f t="shared" si="34"/>
        <v>0</v>
      </c>
      <c r="KID80">
        <f t="shared" si="35"/>
        <v>0</v>
      </c>
      <c r="KIE80">
        <f t="shared" si="36"/>
        <v>0</v>
      </c>
      <c r="KIF80">
        <f t="shared" si="37"/>
        <v>0</v>
      </c>
      <c r="KIG80">
        <f t="shared" si="38"/>
        <v>0</v>
      </c>
      <c r="KIH80">
        <f t="shared" si="39"/>
        <v>0</v>
      </c>
      <c r="KII80">
        <f t="shared" si="40"/>
        <v>0</v>
      </c>
      <c r="KIJ80">
        <f t="shared" si="41"/>
        <v>0</v>
      </c>
      <c r="KIK80">
        <f t="shared" si="42"/>
        <v>0</v>
      </c>
      <c r="KIL80">
        <f t="shared" si="43"/>
        <v>0</v>
      </c>
      <c r="KIM80">
        <f t="shared" si="44"/>
        <v>0</v>
      </c>
      <c r="KIN80">
        <f t="shared" si="45"/>
        <v>0</v>
      </c>
      <c r="KIO80">
        <f t="shared" si="46"/>
        <v>0</v>
      </c>
      <c r="KIP80">
        <f t="shared" si="47"/>
        <v>0</v>
      </c>
      <c r="KIQ80">
        <f t="shared" si="48"/>
        <v>0</v>
      </c>
      <c r="KIR80">
        <f t="shared" si="49"/>
        <v>0</v>
      </c>
      <c r="KIS80">
        <f t="shared" si="50"/>
        <v>0</v>
      </c>
      <c r="KIT80">
        <f t="shared" si="51"/>
        <v>0</v>
      </c>
      <c r="KIU80">
        <f t="shared" si="52"/>
        <v>0</v>
      </c>
      <c r="KIV80">
        <f t="shared" si="53"/>
        <v>0</v>
      </c>
      <c r="KIW80">
        <f t="shared" si="54"/>
        <v>0</v>
      </c>
      <c r="KIX80">
        <f t="shared" si="55"/>
        <v>0</v>
      </c>
      <c r="KIY80">
        <f t="shared" si="56"/>
        <v>0</v>
      </c>
      <c r="KIZ80">
        <f t="shared" si="57"/>
        <v>0</v>
      </c>
      <c r="KJA80">
        <f t="shared" si="58"/>
        <v>0</v>
      </c>
      <c r="KJB80">
        <f t="shared" si="59"/>
        <v>0</v>
      </c>
      <c r="KJC80">
        <f t="shared" si="60"/>
        <v>0</v>
      </c>
      <c r="KJD80">
        <f t="shared" si="61"/>
        <v>0</v>
      </c>
      <c r="KJE80">
        <f t="shared" si="62"/>
        <v>0</v>
      </c>
      <c r="KJF80">
        <f t="shared" si="63"/>
        <v>0</v>
      </c>
      <c r="KJG80">
        <f t="shared" si="64"/>
        <v>0</v>
      </c>
      <c r="KJH80">
        <f t="shared" si="65"/>
        <v>0</v>
      </c>
      <c r="KJI80">
        <f t="shared" si="66"/>
        <v>0</v>
      </c>
      <c r="KJJ80">
        <f t="shared" si="67"/>
        <v>0</v>
      </c>
      <c r="KJK80">
        <f t="shared" si="68"/>
        <v>0</v>
      </c>
      <c r="KJL80">
        <f t="shared" si="69"/>
        <v>0</v>
      </c>
      <c r="KJM80">
        <f t="shared" si="70"/>
        <v>0</v>
      </c>
      <c r="KJN80">
        <f t="shared" si="71"/>
        <v>0</v>
      </c>
      <c r="KJO80">
        <f t="shared" si="72"/>
        <v>0</v>
      </c>
      <c r="KJP80">
        <f t="shared" si="73"/>
        <v>0</v>
      </c>
      <c r="KJQ80">
        <f t="shared" si="74"/>
        <v>0</v>
      </c>
      <c r="KJR80">
        <f t="shared" si="75"/>
        <v>0</v>
      </c>
      <c r="KJS80">
        <f t="shared" si="76"/>
        <v>0</v>
      </c>
      <c r="KJT80">
        <f t="shared" si="77"/>
        <v>0</v>
      </c>
      <c r="KJU80">
        <f t="shared" si="78"/>
        <v>0</v>
      </c>
      <c r="KJV80">
        <f t="shared" si="79"/>
        <v>0</v>
      </c>
      <c r="KJW80">
        <f t="shared" si="80"/>
        <v>0</v>
      </c>
      <c r="KJX80">
        <f t="shared" si="81"/>
        <v>0</v>
      </c>
      <c r="KJY80">
        <f t="shared" si="82"/>
        <v>0</v>
      </c>
      <c r="KJZ80">
        <f t="shared" si="83"/>
        <v>0</v>
      </c>
      <c r="KKA80">
        <f t="shared" si="84"/>
        <v>0</v>
      </c>
      <c r="KKB80">
        <f t="shared" si="85"/>
        <v>0</v>
      </c>
      <c r="KKC80">
        <f t="shared" si="86"/>
        <v>0</v>
      </c>
      <c r="KKD80">
        <f t="shared" si="87"/>
        <v>0</v>
      </c>
      <c r="KKE80">
        <f t="shared" si="88"/>
        <v>0</v>
      </c>
      <c r="KKF80">
        <f t="shared" si="89"/>
        <v>0</v>
      </c>
      <c r="KKG80">
        <f t="shared" si="90"/>
        <v>0</v>
      </c>
      <c r="KKH80">
        <f t="shared" si="91"/>
        <v>0</v>
      </c>
      <c r="KKI80">
        <f t="shared" si="92"/>
        <v>0</v>
      </c>
      <c r="KKJ80">
        <f t="shared" si="93"/>
        <v>0</v>
      </c>
      <c r="KKK80">
        <f t="shared" si="94"/>
        <v>0</v>
      </c>
      <c r="KKL80">
        <f t="shared" si="95"/>
        <v>0</v>
      </c>
      <c r="KKM80">
        <f t="shared" si="96"/>
        <v>0</v>
      </c>
      <c r="KKN80">
        <f t="shared" si="97"/>
        <v>0</v>
      </c>
      <c r="KKO80">
        <f t="shared" si="98"/>
        <v>0</v>
      </c>
      <c r="KKP80">
        <f t="shared" si="99"/>
        <v>0</v>
      </c>
      <c r="KKR80">
        <f t="shared" si="100"/>
        <v>152</v>
      </c>
      <c r="KKT80">
        <f t="shared" si="100"/>
        <v>152</v>
      </c>
      <c r="KKU80">
        <f t="shared" si="101"/>
        <v>6.08</v>
      </c>
      <c r="KKW80">
        <f t="shared" si="101"/>
        <v>6.08</v>
      </c>
    </row>
    <row r="81" spans="1:7745">
      <c r="A81" t="s">
        <v>7593</v>
      </c>
      <c r="B81">
        <v>23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NG81">
        <v>2</v>
      </c>
      <c r="AFM81">
        <v>3</v>
      </c>
      <c r="AFN81">
        <v>3</v>
      </c>
      <c r="AFO81">
        <v>3</v>
      </c>
      <c r="AFP81">
        <v>3</v>
      </c>
      <c r="AFQ81">
        <v>3</v>
      </c>
      <c r="AFR81">
        <v>3</v>
      </c>
      <c r="AFS81">
        <v>3</v>
      </c>
      <c r="AFT81">
        <v>3</v>
      </c>
      <c r="AFU81">
        <v>3</v>
      </c>
      <c r="AFV81">
        <v>3</v>
      </c>
      <c r="AFW81">
        <v>3</v>
      </c>
      <c r="AHB81">
        <v>4</v>
      </c>
      <c r="AHC81">
        <v>4</v>
      </c>
      <c r="AHD81">
        <v>4</v>
      </c>
      <c r="AHE81">
        <v>4</v>
      </c>
      <c r="AHF81">
        <v>4</v>
      </c>
      <c r="AHG81">
        <v>4</v>
      </c>
      <c r="AHH81">
        <v>4</v>
      </c>
      <c r="AHI81">
        <v>4</v>
      </c>
      <c r="AHJ81">
        <v>4</v>
      </c>
      <c r="AHK81">
        <v>4</v>
      </c>
      <c r="AHL81">
        <v>4</v>
      </c>
      <c r="AHM81">
        <v>4</v>
      </c>
      <c r="AHN81">
        <v>4</v>
      </c>
      <c r="AHO81">
        <v>4</v>
      </c>
      <c r="AKD81">
        <v>5</v>
      </c>
      <c r="AKE81">
        <v>5</v>
      </c>
      <c r="AKF81">
        <v>5</v>
      </c>
      <c r="AKG81">
        <v>5</v>
      </c>
      <c r="AKH81">
        <v>5</v>
      </c>
      <c r="AKI81">
        <v>5</v>
      </c>
      <c r="AKJ81">
        <v>5</v>
      </c>
      <c r="AKK81">
        <v>5</v>
      </c>
      <c r="AKL81">
        <v>5</v>
      </c>
      <c r="AKM81">
        <v>5</v>
      </c>
      <c r="AKN81">
        <v>5</v>
      </c>
      <c r="AKO81">
        <v>5</v>
      </c>
      <c r="AKP81">
        <v>5</v>
      </c>
      <c r="AKQ81">
        <v>5</v>
      </c>
      <c r="AKR81">
        <v>5</v>
      </c>
      <c r="ALS81">
        <v>6</v>
      </c>
      <c r="ALT81">
        <v>6</v>
      </c>
      <c r="ALU81">
        <v>6</v>
      </c>
      <c r="ALV81">
        <v>6</v>
      </c>
      <c r="ALW81">
        <v>6</v>
      </c>
      <c r="ALX81">
        <v>6</v>
      </c>
      <c r="ALY81">
        <v>6</v>
      </c>
      <c r="ALZ81">
        <v>6</v>
      </c>
      <c r="AMA81">
        <v>6</v>
      </c>
      <c r="AMB81">
        <v>6</v>
      </c>
      <c r="AMC81">
        <v>6</v>
      </c>
      <c r="AMD81">
        <v>6</v>
      </c>
      <c r="AME81">
        <v>6</v>
      </c>
      <c r="AMF81">
        <v>6</v>
      </c>
      <c r="AOU81">
        <v>7</v>
      </c>
      <c r="AOV81">
        <v>7</v>
      </c>
      <c r="AOW81">
        <v>7</v>
      </c>
      <c r="AOX81">
        <v>7</v>
      </c>
      <c r="AOY81">
        <v>7</v>
      </c>
      <c r="AOZ81">
        <v>7</v>
      </c>
      <c r="APA81">
        <v>7</v>
      </c>
      <c r="APB81">
        <v>7</v>
      </c>
      <c r="APC81">
        <v>7</v>
      </c>
      <c r="APD81">
        <v>7</v>
      </c>
      <c r="APE81">
        <v>7</v>
      </c>
      <c r="APF81">
        <v>7</v>
      </c>
      <c r="ATG81">
        <v>8</v>
      </c>
      <c r="ATH81">
        <v>8</v>
      </c>
      <c r="ATI81">
        <v>8</v>
      </c>
      <c r="ATJ81">
        <v>8</v>
      </c>
      <c r="ATK81">
        <v>8</v>
      </c>
      <c r="ATL81">
        <v>8</v>
      </c>
      <c r="ATM81">
        <v>8</v>
      </c>
      <c r="ATN81">
        <v>8</v>
      </c>
      <c r="ATO81">
        <v>8</v>
      </c>
      <c r="ATP81">
        <v>8</v>
      </c>
      <c r="ATQ81">
        <v>8</v>
      </c>
      <c r="AYX81">
        <v>9</v>
      </c>
      <c r="AYY81">
        <v>9</v>
      </c>
      <c r="AYZ81">
        <v>9</v>
      </c>
      <c r="AZA81">
        <v>9</v>
      </c>
      <c r="AZB81">
        <v>9</v>
      </c>
      <c r="AZC81">
        <v>9</v>
      </c>
      <c r="AZD81">
        <v>9</v>
      </c>
      <c r="AZE81">
        <v>9</v>
      </c>
      <c r="AZF81">
        <v>9</v>
      </c>
      <c r="BAT81">
        <v>10</v>
      </c>
      <c r="BAU81">
        <v>10</v>
      </c>
      <c r="BAV81">
        <v>10</v>
      </c>
      <c r="BAW81">
        <v>10</v>
      </c>
      <c r="BAX81">
        <v>10</v>
      </c>
      <c r="BAY81">
        <v>10</v>
      </c>
      <c r="BAZ81">
        <v>10</v>
      </c>
      <c r="BBA81">
        <v>10</v>
      </c>
      <c r="BBB81">
        <v>10</v>
      </c>
      <c r="BBC81">
        <v>10</v>
      </c>
      <c r="BBD81">
        <v>10</v>
      </c>
      <c r="BBN81">
        <v>11</v>
      </c>
      <c r="BBO81">
        <v>11</v>
      </c>
      <c r="CGM81">
        <v>12</v>
      </c>
      <c r="CGN81">
        <v>12</v>
      </c>
      <c r="CGO81">
        <v>12</v>
      </c>
      <c r="CGP81">
        <v>12</v>
      </c>
      <c r="CGQ81">
        <v>12</v>
      </c>
      <c r="CGR81">
        <v>12</v>
      </c>
      <c r="CGS81">
        <v>12</v>
      </c>
      <c r="CGT81">
        <v>12</v>
      </c>
      <c r="CGU81">
        <v>12</v>
      </c>
      <c r="CGV81">
        <v>12</v>
      </c>
      <c r="CGW81">
        <v>12</v>
      </c>
      <c r="CGX81">
        <v>12</v>
      </c>
      <c r="CUC81">
        <v>13</v>
      </c>
      <c r="CUD81">
        <v>13</v>
      </c>
      <c r="CUE81">
        <v>13</v>
      </c>
      <c r="CUF81">
        <v>13</v>
      </c>
      <c r="CUG81">
        <v>13</v>
      </c>
      <c r="CUH81">
        <v>13</v>
      </c>
      <c r="CUI81">
        <v>13</v>
      </c>
      <c r="CUJ81">
        <v>13</v>
      </c>
      <c r="CUK81">
        <v>13</v>
      </c>
      <c r="CUL81">
        <v>13</v>
      </c>
      <c r="CUM81">
        <v>13</v>
      </c>
      <c r="CUN81">
        <v>13</v>
      </c>
      <c r="CWM81">
        <v>14</v>
      </c>
      <c r="CWN81">
        <v>14</v>
      </c>
      <c r="DWQ81">
        <v>15</v>
      </c>
      <c r="DWR81">
        <v>15</v>
      </c>
      <c r="DWS81">
        <v>15</v>
      </c>
      <c r="DWT81">
        <v>15</v>
      </c>
      <c r="DWU81">
        <v>15</v>
      </c>
      <c r="DWV81">
        <v>15</v>
      </c>
      <c r="DWW81">
        <v>15</v>
      </c>
      <c r="DWX81">
        <v>15</v>
      </c>
      <c r="DWY81">
        <v>15</v>
      </c>
      <c r="DWZ81">
        <v>15</v>
      </c>
      <c r="DXA81">
        <v>15</v>
      </c>
      <c r="EAJ81">
        <v>16</v>
      </c>
      <c r="EAK81">
        <v>16</v>
      </c>
      <c r="EAL81">
        <v>16</v>
      </c>
      <c r="EAM81">
        <v>16</v>
      </c>
      <c r="EAN81">
        <v>16</v>
      </c>
      <c r="EAO81">
        <v>16</v>
      </c>
      <c r="EAP81">
        <v>16</v>
      </c>
      <c r="EAQ81">
        <v>16</v>
      </c>
      <c r="EAR81">
        <v>16</v>
      </c>
      <c r="EAS81">
        <v>16</v>
      </c>
      <c r="EAT81">
        <v>16</v>
      </c>
      <c r="EAU81">
        <v>16</v>
      </c>
      <c r="ECO81">
        <v>17</v>
      </c>
      <c r="ECP81">
        <v>17</v>
      </c>
      <c r="ECQ81">
        <v>17</v>
      </c>
      <c r="ECR81">
        <v>17</v>
      </c>
      <c r="ECS81">
        <v>17</v>
      </c>
      <c r="EQW81">
        <v>18</v>
      </c>
      <c r="EQX81">
        <v>18</v>
      </c>
      <c r="EQY81">
        <v>18</v>
      </c>
      <c r="GWJ81">
        <v>19</v>
      </c>
      <c r="GWK81">
        <v>19</v>
      </c>
      <c r="GWL81">
        <v>19</v>
      </c>
      <c r="GWM81">
        <v>19</v>
      </c>
      <c r="GWN81">
        <v>19</v>
      </c>
      <c r="GWO81">
        <v>19</v>
      </c>
      <c r="IBI81">
        <v>20</v>
      </c>
      <c r="IBJ81">
        <v>20</v>
      </c>
      <c r="IBK81">
        <v>20</v>
      </c>
      <c r="IBL81">
        <v>20</v>
      </c>
      <c r="IJV81">
        <v>21</v>
      </c>
      <c r="IJW81">
        <v>21</v>
      </c>
      <c r="IJX81">
        <v>21</v>
      </c>
      <c r="IJY81">
        <v>21</v>
      </c>
      <c r="IZD81">
        <v>22</v>
      </c>
      <c r="JBO81">
        <v>23</v>
      </c>
      <c r="JBP81">
        <v>23</v>
      </c>
      <c r="JBQ81">
        <v>23</v>
      </c>
      <c r="JBR81">
        <v>23</v>
      </c>
      <c r="JBS81">
        <v>23</v>
      </c>
      <c r="JBT81">
        <v>23</v>
      </c>
      <c r="JBU81">
        <v>23</v>
      </c>
      <c r="JBV81">
        <v>23</v>
      </c>
      <c r="JBW81">
        <v>23</v>
      </c>
      <c r="JBX81">
        <v>23</v>
      </c>
      <c r="JBY81">
        <v>23</v>
      </c>
      <c r="JBZ81">
        <v>23</v>
      </c>
      <c r="JCA81">
        <v>23</v>
      </c>
      <c r="JCB81">
        <v>23</v>
      </c>
      <c r="KGU81" s="1">
        <f t="shared" si="0"/>
        <v>8</v>
      </c>
      <c r="KGV81">
        <f t="shared" si="1"/>
        <v>1</v>
      </c>
      <c r="KGW81">
        <f t="shared" si="2"/>
        <v>11</v>
      </c>
      <c r="KGX81">
        <f t="shared" si="3"/>
        <v>14</v>
      </c>
      <c r="KGY81">
        <f t="shared" si="4"/>
        <v>15</v>
      </c>
      <c r="KGZ81">
        <f t="shared" si="5"/>
        <v>14</v>
      </c>
      <c r="KHA81">
        <f t="shared" si="6"/>
        <v>12</v>
      </c>
      <c r="KHB81">
        <f t="shared" si="7"/>
        <v>11</v>
      </c>
      <c r="KHC81">
        <f t="shared" si="8"/>
        <v>9</v>
      </c>
      <c r="KHD81">
        <f t="shared" si="9"/>
        <v>11</v>
      </c>
      <c r="KHE81">
        <f t="shared" si="10"/>
        <v>2</v>
      </c>
      <c r="KHF81">
        <f t="shared" si="11"/>
        <v>12</v>
      </c>
      <c r="KHG81">
        <f t="shared" si="12"/>
        <v>12</v>
      </c>
      <c r="KHH81">
        <f t="shared" si="13"/>
        <v>2</v>
      </c>
      <c r="KHI81">
        <f t="shared" si="14"/>
        <v>11</v>
      </c>
      <c r="KHJ81">
        <f t="shared" si="15"/>
        <v>12</v>
      </c>
      <c r="KHK81">
        <f t="shared" si="16"/>
        <v>5</v>
      </c>
      <c r="KHL81">
        <f t="shared" si="17"/>
        <v>3</v>
      </c>
      <c r="KHM81">
        <f t="shared" si="18"/>
        <v>6</v>
      </c>
      <c r="KHN81">
        <f t="shared" si="19"/>
        <v>4</v>
      </c>
      <c r="KHO81">
        <f t="shared" si="20"/>
        <v>4</v>
      </c>
      <c r="KHP81">
        <f t="shared" si="21"/>
        <v>1</v>
      </c>
      <c r="KHQ81">
        <f t="shared" si="22"/>
        <v>14</v>
      </c>
      <c r="KHR81">
        <f t="shared" si="23"/>
        <v>0</v>
      </c>
      <c r="KHS81">
        <f t="shared" si="24"/>
        <v>0</v>
      </c>
      <c r="KHT81">
        <f t="shared" si="25"/>
        <v>0</v>
      </c>
      <c r="KHU81">
        <f t="shared" si="26"/>
        <v>0</v>
      </c>
      <c r="KHV81">
        <f t="shared" si="27"/>
        <v>0</v>
      </c>
      <c r="KHW81">
        <f t="shared" si="28"/>
        <v>0</v>
      </c>
      <c r="KHX81">
        <f t="shared" si="29"/>
        <v>0</v>
      </c>
      <c r="KHY81">
        <f t="shared" si="30"/>
        <v>0</v>
      </c>
      <c r="KHZ81">
        <f t="shared" si="31"/>
        <v>0</v>
      </c>
      <c r="KIA81">
        <f t="shared" si="32"/>
        <v>0</v>
      </c>
      <c r="KIB81">
        <f t="shared" si="33"/>
        <v>0</v>
      </c>
      <c r="KIC81">
        <f t="shared" si="34"/>
        <v>0</v>
      </c>
      <c r="KID81">
        <f t="shared" si="35"/>
        <v>0</v>
      </c>
      <c r="KIE81">
        <f t="shared" si="36"/>
        <v>0</v>
      </c>
      <c r="KIF81">
        <f t="shared" si="37"/>
        <v>0</v>
      </c>
      <c r="KIG81">
        <f t="shared" si="38"/>
        <v>0</v>
      </c>
      <c r="KIH81">
        <f t="shared" si="39"/>
        <v>0</v>
      </c>
      <c r="KII81">
        <f t="shared" si="40"/>
        <v>0</v>
      </c>
      <c r="KIJ81">
        <f t="shared" si="41"/>
        <v>0</v>
      </c>
      <c r="KIK81">
        <f t="shared" si="42"/>
        <v>0</v>
      </c>
      <c r="KIL81">
        <f t="shared" si="43"/>
        <v>0</v>
      </c>
      <c r="KIM81">
        <f t="shared" si="44"/>
        <v>0</v>
      </c>
      <c r="KIN81">
        <f t="shared" si="45"/>
        <v>0</v>
      </c>
      <c r="KIO81">
        <f t="shared" si="46"/>
        <v>0</v>
      </c>
      <c r="KIP81">
        <f t="shared" si="47"/>
        <v>0</v>
      </c>
      <c r="KIQ81">
        <f t="shared" si="48"/>
        <v>0</v>
      </c>
      <c r="KIR81">
        <f t="shared" si="49"/>
        <v>0</v>
      </c>
      <c r="KIS81">
        <f t="shared" si="50"/>
        <v>0</v>
      </c>
      <c r="KIT81">
        <f t="shared" si="51"/>
        <v>0</v>
      </c>
      <c r="KIU81">
        <f t="shared" si="52"/>
        <v>0</v>
      </c>
      <c r="KIV81">
        <f t="shared" si="53"/>
        <v>0</v>
      </c>
      <c r="KIW81">
        <f t="shared" si="54"/>
        <v>0</v>
      </c>
      <c r="KIX81">
        <f t="shared" si="55"/>
        <v>0</v>
      </c>
      <c r="KIY81">
        <f t="shared" si="56"/>
        <v>0</v>
      </c>
      <c r="KIZ81">
        <f t="shared" si="57"/>
        <v>0</v>
      </c>
      <c r="KJA81">
        <f t="shared" si="58"/>
        <v>0</v>
      </c>
      <c r="KJB81">
        <f t="shared" si="59"/>
        <v>0</v>
      </c>
      <c r="KJC81">
        <f t="shared" si="60"/>
        <v>0</v>
      </c>
      <c r="KJD81">
        <f t="shared" si="61"/>
        <v>0</v>
      </c>
      <c r="KJE81">
        <f t="shared" si="62"/>
        <v>0</v>
      </c>
      <c r="KJF81">
        <f t="shared" si="63"/>
        <v>0</v>
      </c>
      <c r="KJG81">
        <f t="shared" si="64"/>
        <v>0</v>
      </c>
      <c r="KJH81">
        <f t="shared" si="65"/>
        <v>0</v>
      </c>
      <c r="KJI81">
        <f t="shared" si="66"/>
        <v>0</v>
      </c>
      <c r="KJJ81">
        <f t="shared" si="67"/>
        <v>0</v>
      </c>
      <c r="KJK81">
        <f t="shared" si="68"/>
        <v>0</v>
      </c>
      <c r="KJL81">
        <f t="shared" si="69"/>
        <v>0</v>
      </c>
      <c r="KJM81">
        <f t="shared" si="70"/>
        <v>0</v>
      </c>
      <c r="KJN81">
        <f t="shared" si="71"/>
        <v>0</v>
      </c>
      <c r="KJO81">
        <f t="shared" si="72"/>
        <v>0</v>
      </c>
      <c r="KJP81">
        <f t="shared" si="73"/>
        <v>0</v>
      </c>
      <c r="KJQ81">
        <f t="shared" si="74"/>
        <v>0</v>
      </c>
      <c r="KJR81">
        <f t="shared" si="75"/>
        <v>0</v>
      </c>
      <c r="KJS81">
        <f t="shared" si="76"/>
        <v>0</v>
      </c>
      <c r="KJT81">
        <f t="shared" si="77"/>
        <v>0</v>
      </c>
      <c r="KJU81">
        <f t="shared" si="78"/>
        <v>0</v>
      </c>
      <c r="KJV81">
        <f t="shared" si="79"/>
        <v>0</v>
      </c>
      <c r="KJW81">
        <f t="shared" si="80"/>
        <v>0</v>
      </c>
      <c r="KJX81">
        <f t="shared" si="81"/>
        <v>0</v>
      </c>
      <c r="KJY81">
        <f t="shared" si="82"/>
        <v>0</v>
      </c>
      <c r="KJZ81">
        <f t="shared" si="83"/>
        <v>0</v>
      </c>
      <c r="KKA81">
        <f t="shared" si="84"/>
        <v>0</v>
      </c>
      <c r="KKB81">
        <f t="shared" si="85"/>
        <v>0</v>
      </c>
      <c r="KKC81">
        <f t="shared" si="86"/>
        <v>0</v>
      </c>
      <c r="KKD81">
        <f t="shared" si="87"/>
        <v>0</v>
      </c>
      <c r="KKE81">
        <f t="shared" si="88"/>
        <v>0</v>
      </c>
      <c r="KKF81">
        <f t="shared" si="89"/>
        <v>0</v>
      </c>
      <c r="KKG81">
        <f t="shared" si="90"/>
        <v>0</v>
      </c>
      <c r="KKH81">
        <f t="shared" si="91"/>
        <v>0</v>
      </c>
      <c r="KKI81">
        <f t="shared" si="92"/>
        <v>0</v>
      </c>
      <c r="KKJ81">
        <f t="shared" si="93"/>
        <v>0</v>
      </c>
      <c r="KKK81">
        <f t="shared" si="94"/>
        <v>0</v>
      </c>
      <c r="KKL81">
        <f t="shared" si="95"/>
        <v>0</v>
      </c>
      <c r="KKM81">
        <f t="shared" si="96"/>
        <v>0</v>
      </c>
      <c r="KKN81">
        <f t="shared" si="97"/>
        <v>0</v>
      </c>
      <c r="KKO81">
        <f t="shared" si="98"/>
        <v>0</v>
      </c>
      <c r="KKP81">
        <f t="shared" si="99"/>
        <v>0</v>
      </c>
      <c r="KKR81">
        <f t="shared" si="100"/>
        <v>194</v>
      </c>
      <c r="KKT81">
        <f t="shared" si="100"/>
        <v>194</v>
      </c>
      <c r="KKU81">
        <f t="shared" si="101"/>
        <v>7.76</v>
      </c>
      <c r="KKW81">
        <f t="shared" si="101"/>
        <v>7.76</v>
      </c>
    </row>
    <row r="82" spans="1:7745">
      <c r="KGU82" s="1"/>
      <c r="KKW82" s="1"/>
    </row>
    <row r="83" spans="1:7745">
      <c r="A83" s="1" t="s">
        <v>7548</v>
      </c>
      <c r="B83" s="1" t="s">
        <v>7594</v>
      </c>
      <c r="C83" s="1">
        <f t="shared" ref="C83:BN83" si="102">COUNTBLANK(C6:C81)</f>
        <v>76</v>
      </c>
      <c r="D83" s="1">
        <f t="shared" si="102"/>
        <v>76</v>
      </c>
      <c r="E83" s="1">
        <f t="shared" si="102"/>
        <v>76</v>
      </c>
      <c r="F83" s="1">
        <f t="shared" si="102"/>
        <v>76</v>
      </c>
      <c r="G83">
        <f t="shared" si="102"/>
        <v>76</v>
      </c>
      <c r="H83">
        <f t="shared" si="102"/>
        <v>76</v>
      </c>
      <c r="I83">
        <f t="shared" si="102"/>
        <v>76</v>
      </c>
      <c r="J83">
        <f t="shared" si="102"/>
        <v>76</v>
      </c>
      <c r="K83">
        <f t="shared" si="102"/>
        <v>76</v>
      </c>
      <c r="L83">
        <f t="shared" si="102"/>
        <v>76</v>
      </c>
      <c r="M83">
        <f t="shared" si="102"/>
        <v>76</v>
      </c>
      <c r="N83">
        <f t="shared" si="102"/>
        <v>76</v>
      </c>
      <c r="O83">
        <f t="shared" si="102"/>
        <v>76</v>
      </c>
      <c r="P83">
        <f t="shared" si="102"/>
        <v>76</v>
      </c>
      <c r="Q83">
        <f t="shared" si="102"/>
        <v>76</v>
      </c>
      <c r="R83">
        <f t="shared" si="102"/>
        <v>76</v>
      </c>
      <c r="S83">
        <f t="shared" si="102"/>
        <v>76</v>
      </c>
      <c r="T83">
        <f t="shared" si="102"/>
        <v>76</v>
      </c>
      <c r="U83">
        <f t="shared" si="102"/>
        <v>76</v>
      </c>
      <c r="V83">
        <f t="shared" si="102"/>
        <v>76</v>
      </c>
      <c r="W83">
        <f t="shared" si="102"/>
        <v>76</v>
      </c>
      <c r="X83">
        <f t="shared" si="102"/>
        <v>76</v>
      </c>
      <c r="Y83">
        <f t="shared" si="102"/>
        <v>76</v>
      </c>
      <c r="Z83">
        <f t="shared" si="102"/>
        <v>76</v>
      </c>
      <c r="AA83">
        <f t="shared" si="102"/>
        <v>76</v>
      </c>
      <c r="AB83">
        <f t="shared" si="102"/>
        <v>76</v>
      </c>
      <c r="AC83">
        <f t="shared" si="102"/>
        <v>76</v>
      </c>
      <c r="AD83">
        <f t="shared" si="102"/>
        <v>76</v>
      </c>
      <c r="AE83">
        <f t="shared" si="102"/>
        <v>76</v>
      </c>
      <c r="AF83">
        <f t="shared" si="102"/>
        <v>76</v>
      </c>
      <c r="AG83">
        <f t="shared" si="102"/>
        <v>76</v>
      </c>
      <c r="AH83">
        <f t="shared" si="102"/>
        <v>76</v>
      </c>
      <c r="AI83">
        <f t="shared" si="102"/>
        <v>76</v>
      </c>
      <c r="AJ83">
        <f t="shared" si="102"/>
        <v>76</v>
      </c>
      <c r="AK83">
        <f t="shared" si="102"/>
        <v>76</v>
      </c>
      <c r="AL83">
        <f t="shared" si="102"/>
        <v>76</v>
      </c>
      <c r="AM83">
        <f t="shared" si="102"/>
        <v>76</v>
      </c>
      <c r="AN83">
        <f t="shared" si="102"/>
        <v>76</v>
      </c>
      <c r="AO83">
        <f t="shared" si="102"/>
        <v>76</v>
      </c>
      <c r="AP83">
        <f t="shared" si="102"/>
        <v>76</v>
      </c>
      <c r="AQ83">
        <f t="shared" si="102"/>
        <v>76</v>
      </c>
      <c r="AR83">
        <f t="shared" si="102"/>
        <v>76</v>
      </c>
      <c r="AS83">
        <f t="shared" si="102"/>
        <v>76</v>
      </c>
      <c r="AT83">
        <f t="shared" si="102"/>
        <v>76</v>
      </c>
      <c r="AU83">
        <f t="shared" si="102"/>
        <v>76</v>
      </c>
      <c r="AV83">
        <f t="shared" si="102"/>
        <v>76</v>
      </c>
      <c r="AW83">
        <f t="shared" si="102"/>
        <v>76</v>
      </c>
      <c r="AX83">
        <f t="shared" si="102"/>
        <v>76</v>
      </c>
      <c r="AY83">
        <f t="shared" si="102"/>
        <v>76</v>
      </c>
      <c r="AZ83">
        <f t="shared" si="102"/>
        <v>76</v>
      </c>
      <c r="BA83">
        <f t="shared" si="102"/>
        <v>76</v>
      </c>
      <c r="BB83">
        <f t="shared" si="102"/>
        <v>76</v>
      </c>
      <c r="BC83">
        <f t="shared" si="102"/>
        <v>76</v>
      </c>
      <c r="BD83">
        <f t="shared" si="102"/>
        <v>76</v>
      </c>
      <c r="BE83">
        <f t="shared" si="102"/>
        <v>76</v>
      </c>
      <c r="BF83">
        <f t="shared" si="102"/>
        <v>76</v>
      </c>
      <c r="BG83">
        <f t="shared" si="102"/>
        <v>76</v>
      </c>
      <c r="BH83">
        <f t="shared" si="102"/>
        <v>76</v>
      </c>
      <c r="BI83">
        <f t="shared" si="102"/>
        <v>76</v>
      </c>
      <c r="BJ83">
        <f t="shared" si="102"/>
        <v>76</v>
      </c>
      <c r="BK83">
        <f t="shared" si="102"/>
        <v>76</v>
      </c>
      <c r="BL83">
        <f t="shared" si="102"/>
        <v>76</v>
      </c>
      <c r="BM83">
        <f t="shared" si="102"/>
        <v>76</v>
      </c>
      <c r="BN83">
        <f t="shared" si="102"/>
        <v>76</v>
      </c>
      <c r="BO83">
        <f t="shared" ref="BO83:DZ83" si="103">COUNTBLANK(BO6:BO81)</f>
        <v>76</v>
      </c>
      <c r="BP83">
        <f t="shared" si="103"/>
        <v>76</v>
      </c>
      <c r="BQ83">
        <f t="shared" si="103"/>
        <v>76</v>
      </c>
      <c r="BR83">
        <f t="shared" si="103"/>
        <v>76</v>
      </c>
      <c r="BS83">
        <f t="shared" si="103"/>
        <v>76</v>
      </c>
      <c r="BT83">
        <f t="shared" si="103"/>
        <v>76</v>
      </c>
      <c r="BU83">
        <f t="shared" si="103"/>
        <v>76</v>
      </c>
      <c r="BV83">
        <f t="shared" si="103"/>
        <v>76</v>
      </c>
      <c r="BW83">
        <f t="shared" si="103"/>
        <v>76</v>
      </c>
      <c r="BX83">
        <f t="shared" si="103"/>
        <v>76</v>
      </c>
      <c r="BY83">
        <f t="shared" si="103"/>
        <v>76</v>
      </c>
      <c r="BZ83">
        <f t="shared" si="103"/>
        <v>75</v>
      </c>
      <c r="CA83">
        <f t="shared" si="103"/>
        <v>75</v>
      </c>
      <c r="CB83">
        <f t="shared" si="103"/>
        <v>75</v>
      </c>
      <c r="CC83">
        <f t="shared" si="103"/>
        <v>75</v>
      </c>
      <c r="CD83">
        <f t="shared" si="103"/>
        <v>75</v>
      </c>
      <c r="CE83">
        <f t="shared" si="103"/>
        <v>75</v>
      </c>
      <c r="CF83">
        <f t="shared" si="103"/>
        <v>75</v>
      </c>
      <c r="CG83">
        <f t="shared" si="103"/>
        <v>75</v>
      </c>
      <c r="CH83">
        <f t="shared" si="103"/>
        <v>75</v>
      </c>
      <c r="CI83">
        <f t="shared" si="103"/>
        <v>75</v>
      </c>
      <c r="CJ83">
        <f t="shared" si="103"/>
        <v>75</v>
      </c>
      <c r="CK83">
        <f t="shared" si="103"/>
        <v>75</v>
      </c>
      <c r="CL83">
        <f t="shared" si="103"/>
        <v>74</v>
      </c>
      <c r="CM83">
        <f t="shared" si="103"/>
        <v>74</v>
      </c>
      <c r="CN83">
        <f t="shared" si="103"/>
        <v>74</v>
      </c>
      <c r="CO83">
        <f t="shared" si="103"/>
        <v>74</v>
      </c>
      <c r="CP83">
        <f t="shared" si="103"/>
        <v>74</v>
      </c>
      <c r="CQ83">
        <f t="shared" si="103"/>
        <v>74</v>
      </c>
      <c r="CR83">
        <f t="shared" si="103"/>
        <v>74</v>
      </c>
      <c r="CS83">
        <f t="shared" si="103"/>
        <v>74</v>
      </c>
      <c r="CT83">
        <f t="shared" si="103"/>
        <v>74</v>
      </c>
      <c r="CU83">
        <f t="shared" si="103"/>
        <v>74</v>
      </c>
      <c r="CV83">
        <f t="shared" si="103"/>
        <v>74</v>
      </c>
      <c r="CW83">
        <f t="shared" si="103"/>
        <v>75</v>
      </c>
      <c r="CX83">
        <f t="shared" si="103"/>
        <v>75</v>
      </c>
      <c r="CY83">
        <f t="shared" si="103"/>
        <v>75</v>
      </c>
      <c r="CZ83">
        <f t="shared" si="103"/>
        <v>75</v>
      </c>
      <c r="DA83">
        <f t="shared" si="103"/>
        <v>75</v>
      </c>
      <c r="DB83">
        <f t="shared" si="103"/>
        <v>75</v>
      </c>
      <c r="DC83">
        <f t="shared" si="103"/>
        <v>75</v>
      </c>
      <c r="DD83">
        <f t="shared" si="103"/>
        <v>75</v>
      </c>
      <c r="DE83">
        <f t="shared" si="103"/>
        <v>75</v>
      </c>
      <c r="DF83">
        <f t="shared" si="103"/>
        <v>75</v>
      </c>
      <c r="DG83">
        <f t="shared" si="103"/>
        <v>75</v>
      </c>
      <c r="DH83">
        <f t="shared" si="103"/>
        <v>75</v>
      </c>
      <c r="DI83">
        <f t="shared" si="103"/>
        <v>75</v>
      </c>
      <c r="DJ83">
        <f t="shared" si="103"/>
        <v>75</v>
      </c>
      <c r="DK83">
        <f t="shared" si="103"/>
        <v>75</v>
      </c>
      <c r="DL83">
        <f t="shared" si="103"/>
        <v>75</v>
      </c>
      <c r="DM83">
        <f t="shared" si="103"/>
        <v>75</v>
      </c>
      <c r="DN83">
        <f t="shared" si="103"/>
        <v>75</v>
      </c>
      <c r="DO83">
        <f t="shared" si="103"/>
        <v>75</v>
      </c>
      <c r="DP83">
        <f t="shared" si="103"/>
        <v>75</v>
      </c>
      <c r="DQ83">
        <f t="shared" si="103"/>
        <v>75</v>
      </c>
      <c r="DR83">
        <f t="shared" si="103"/>
        <v>75</v>
      </c>
      <c r="DS83">
        <f t="shared" si="103"/>
        <v>75</v>
      </c>
      <c r="DT83">
        <f t="shared" si="103"/>
        <v>75</v>
      </c>
      <c r="DU83">
        <f t="shared" si="103"/>
        <v>75</v>
      </c>
      <c r="DV83">
        <f t="shared" si="103"/>
        <v>75</v>
      </c>
      <c r="DW83">
        <f t="shared" si="103"/>
        <v>75</v>
      </c>
      <c r="DX83">
        <f t="shared" si="103"/>
        <v>75</v>
      </c>
      <c r="DY83">
        <f t="shared" si="103"/>
        <v>75</v>
      </c>
      <c r="DZ83">
        <f t="shared" si="103"/>
        <v>75</v>
      </c>
      <c r="EA83">
        <f t="shared" ref="EA83:GL83" si="104">COUNTBLANK(EA6:EA81)</f>
        <v>75</v>
      </c>
      <c r="EB83">
        <f t="shared" si="104"/>
        <v>75</v>
      </c>
      <c r="EC83">
        <f t="shared" si="104"/>
        <v>75</v>
      </c>
      <c r="ED83">
        <f t="shared" si="104"/>
        <v>75</v>
      </c>
      <c r="EE83">
        <f t="shared" si="104"/>
        <v>75</v>
      </c>
      <c r="EF83">
        <f t="shared" si="104"/>
        <v>75</v>
      </c>
      <c r="EG83">
        <f t="shared" si="104"/>
        <v>75</v>
      </c>
      <c r="EH83">
        <f t="shared" si="104"/>
        <v>75</v>
      </c>
      <c r="EI83">
        <f t="shared" si="104"/>
        <v>75</v>
      </c>
      <c r="EJ83">
        <f t="shared" si="104"/>
        <v>75</v>
      </c>
      <c r="EK83">
        <f t="shared" si="104"/>
        <v>75</v>
      </c>
      <c r="EL83">
        <f t="shared" si="104"/>
        <v>75</v>
      </c>
      <c r="EM83">
        <f t="shared" si="104"/>
        <v>75</v>
      </c>
      <c r="EN83">
        <f t="shared" si="104"/>
        <v>75</v>
      </c>
      <c r="EO83">
        <f t="shared" si="104"/>
        <v>75</v>
      </c>
      <c r="EP83">
        <f t="shared" si="104"/>
        <v>75</v>
      </c>
      <c r="EQ83">
        <f t="shared" si="104"/>
        <v>75</v>
      </c>
      <c r="ER83">
        <f t="shared" si="104"/>
        <v>75</v>
      </c>
      <c r="ES83">
        <f t="shared" si="104"/>
        <v>75</v>
      </c>
      <c r="ET83">
        <f t="shared" si="104"/>
        <v>75</v>
      </c>
      <c r="EU83">
        <f t="shared" si="104"/>
        <v>75</v>
      </c>
      <c r="EV83">
        <f t="shared" si="104"/>
        <v>75</v>
      </c>
      <c r="EW83">
        <f t="shared" si="104"/>
        <v>75</v>
      </c>
      <c r="EX83">
        <f t="shared" si="104"/>
        <v>75</v>
      </c>
      <c r="EY83">
        <f t="shared" si="104"/>
        <v>75</v>
      </c>
      <c r="EZ83">
        <f t="shared" si="104"/>
        <v>75</v>
      </c>
      <c r="FA83">
        <f t="shared" si="104"/>
        <v>75</v>
      </c>
      <c r="FB83">
        <f t="shared" si="104"/>
        <v>75</v>
      </c>
      <c r="FC83">
        <f t="shared" si="104"/>
        <v>75</v>
      </c>
      <c r="FD83">
        <f t="shared" si="104"/>
        <v>75</v>
      </c>
      <c r="FE83">
        <f t="shared" si="104"/>
        <v>75</v>
      </c>
      <c r="FF83">
        <f t="shared" si="104"/>
        <v>75</v>
      </c>
      <c r="FG83">
        <f t="shared" si="104"/>
        <v>75</v>
      </c>
      <c r="FH83">
        <f t="shared" si="104"/>
        <v>75</v>
      </c>
      <c r="FI83">
        <f t="shared" si="104"/>
        <v>75</v>
      </c>
      <c r="FJ83">
        <f t="shared" si="104"/>
        <v>75</v>
      </c>
      <c r="FK83">
        <f t="shared" si="104"/>
        <v>75</v>
      </c>
      <c r="FL83">
        <f t="shared" si="104"/>
        <v>75</v>
      </c>
      <c r="FM83">
        <f t="shared" si="104"/>
        <v>75</v>
      </c>
      <c r="FN83">
        <f t="shared" si="104"/>
        <v>75</v>
      </c>
      <c r="FO83">
        <f t="shared" si="104"/>
        <v>75</v>
      </c>
      <c r="FP83">
        <f t="shared" si="104"/>
        <v>75</v>
      </c>
      <c r="FQ83">
        <f t="shared" si="104"/>
        <v>75</v>
      </c>
      <c r="FR83">
        <f t="shared" si="104"/>
        <v>75</v>
      </c>
      <c r="FS83">
        <f t="shared" si="104"/>
        <v>75</v>
      </c>
      <c r="FT83">
        <f t="shared" si="104"/>
        <v>75</v>
      </c>
      <c r="FU83">
        <f t="shared" si="104"/>
        <v>75</v>
      </c>
      <c r="FV83">
        <f t="shared" si="104"/>
        <v>75</v>
      </c>
      <c r="FW83">
        <f t="shared" si="104"/>
        <v>75</v>
      </c>
      <c r="FX83">
        <f t="shared" si="104"/>
        <v>75</v>
      </c>
      <c r="FY83">
        <f t="shared" si="104"/>
        <v>75</v>
      </c>
      <c r="FZ83">
        <f t="shared" si="104"/>
        <v>75</v>
      </c>
      <c r="GA83">
        <f t="shared" si="104"/>
        <v>75</v>
      </c>
      <c r="GB83">
        <f t="shared" si="104"/>
        <v>75</v>
      </c>
      <c r="GC83">
        <f t="shared" si="104"/>
        <v>75</v>
      </c>
      <c r="GD83">
        <f t="shared" si="104"/>
        <v>75</v>
      </c>
      <c r="GE83">
        <f t="shared" si="104"/>
        <v>75</v>
      </c>
      <c r="GF83">
        <f t="shared" si="104"/>
        <v>75</v>
      </c>
      <c r="GG83">
        <f t="shared" si="104"/>
        <v>75</v>
      </c>
      <c r="GH83">
        <f t="shared" si="104"/>
        <v>75</v>
      </c>
      <c r="GI83">
        <f t="shared" si="104"/>
        <v>75</v>
      </c>
      <c r="GJ83">
        <f t="shared" si="104"/>
        <v>75</v>
      </c>
      <c r="GK83">
        <f t="shared" si="104"/>
        <v>75</v>
      </c>
      <c r="GL83">
        <f t="shared" si="104"/>
        <v>75</v>
      </c>
      <c r="GM83">
        <f t="shared" ref="GM83:IX83" si="105">COUNTBLANK(GM6:GM81)</f>
        <v>75</v>
      </c>
      <c r="GN83">
        <f t="shared" si="105"/>
        <v>75</v>
      </c>
      <c r="GO83">
        <f t="shared" si="105"/>
        <v>75</v>
      </c>
      <c r="GP83">
        <f t="shared" si="105"/>
        <v>75</v>
      </c>
      <c r="GQ83">
        <f t="shared" si="105"/>
        <v>75</v>
      </c>
      <c r="GR83">
        <f t="shared" si="105"/>
        <v>75</v>
      </c>
      <c r="GS83">
        <f t="shared" si="105"/>
        <v>75</v>
      </c>
      <c r="GT83">
        <f t="shared" si="105"/>
        <v>75</v>
      </c>
      <c r="GU83">
        <f t="shared" si="105"/>
        <v>75</v>
      </c>
      <c r="GV83">
        <f t="shared" si="105"/>
        <v>75</v>
      </c>
      <c r="GW83">
        <f t="shared" si="105"/>
        <v>75</v>
      </c>
      <c r="GX83">
        <f t="shared" si="105"/>
        <v>75</v>
      </c>
      <c r="GY83">
        <f t="shared" si="105"/>
        <v>75</v>
      </c>
      <c r="GZ83">
        <f t="shared" si="105"/>
        <v>75</v>
      </c>
      <c r="HA83">
        <f t="shared" si="105"/>
        <v>75</v>
      </c>
      <c r="HB83">
        <f t="shared" si="105"/>
        <v>75</v>
      </c>
      <c r="HC83">
        <f t="shared" si="105"/>
        <v>75</v>
      </c>
      <c r="HD83">
        <f t="shared" si="105"/>
        <v>75</v>
      </c>
      <c r="HE83">
        <f t="shared" si="105"/>
        <v>75</v>
      </c>
      <c r="HF83">
        <f t="shared" si="105"/>
        <v>75</v>
      </c>
      <c r="HG83">
        <f t="shared" si="105"/>
        <v>75</v>
      </c>
      <c r="HH83">
        <f t="shared" si="105"/>
        <v>75</v>
      </c>
      <c r="HI83">
        <f t="shared" si="105"/>
        <v>75</v>
      </c>
      <c r="HJ83">
        <f t="shared" si="105"/>
        <v>75</v>
      </c>
      <c r="HK83">
        <f t="shared" si="105"/>
        <v>75</v>
      </c>
      <c r="HL83">
        <f t="shared" si="105"/>
        <v>75</v>
      </c>
      <c r="HM83">
        <f t="shared" si="105"/>
        <v>75</v>
      </c>
      <c r="HN83">
        <f t="shared" si="105"/>
        <v>75</v>
      </c>
      <c r="HO83">
        <f t="shared" si="105"/>
        <v>75</v>
      </c>
      <c r="HP83">
        <f t="shared" si="105"/>
        <v>75</v>
      </c>
      <c r="HQ83">
        <f t="shared" si="105"/>
        <v>75</v>
      </c>
      <c r="HR83">
        <f t="shared" si="105"/>
        <v>75</v>
      </c>
      <c r="HS83">
        <f t="shared" si="105"/>
        <v>75</v>
      </c>
      <c r="HT83">
        <f t="shared" si="105"/>
        <v>75</v>
      </c>
      <c r="HU83">
        <f t="shared" si="105"/>
        <v>75</v>
      </c>
      <c r="HV83">
        <f t="shared" si="105"/>
        <v>75</v>
      </c>
      <c r="HW83">
        <f t="shared" si="105"/>
        <v>75</v>
      </c>
      <c r="HX83">
        <f t="shared" si="105"/>
        <v>75</v>
      </c>
      <c r="HY83">
        <f t="shared" si="105"/>
        <v>75</v>
      </c>
      <c r="HZ83">
        <f t="shared" si="105"/>
        <v>75</v>
      </c>
      <c r="IA83">
        <f t="shared" si="105"/>
        <v>75</v>
      </c>
      <c r="IB83">
        <f t="shared" si="105"/>
        <v>75</v>
      </c>
      <c r="IC83">
        <f t="shared" si="105"/>
        <v>75</v>
      </c>
      <c r="ID83">
        <f t="shared" si="105"/>
        <v>75</v>
      </c>
      <c r="IE83">
        <f t="shared" si="105"/>
        <v>75</v>
      </c>
      <c r="IF83">
        <f t="shared" si="105"/>
        <v>75</v>
      </c>
      <c r="IG83">
        <f t="shared" si="105"/>
        <v>75</v>
      </c>
      <c r="IH83">
        <f t="shared" si="105"/>
        <v>75</v>
      </c>
      <c r="II83">
        <f t="shared" si="105"/>
        <v>75</v>
      </c>
      <c r="IJ83">
        <f t="shared" si="105"/>
        <v>75</v>
      </c>
      <c r="IK83">
        <f t="shared" si="105"/>
        <v>75</v>
      </c>
      <c r="IL83">
        <f t="shared" si="105"/>
        <v>75</v>
      </c>
      <c r="IM83">
        <f t="shared" si="105"/>
        <v>75</v>
      </c>
      <c r="IN83">
        <f t="shared" si="105"/>
        <v>75</v>
      </c>
      <c r="IO83">
        <f t="shared" si="105"/>
        <v>75</v>
      </c>
      <c r="IP83">
        <f t="shared" si="105"/>
        <v>75</v>
      </c>
      <c r="IQ83">
        <f t="shared" si="105"/>
        <v>75</v>
      </c>
      <c r="IR83">
        <f t="shared" si="105"/>
        <v>75</v>
      </c>
      <c r="IS83">
        <f t="shared" si="105"/>
        <v>75</v>
      </c>
      <c r="IT83">
        <f t="shared" si="105"/>
        <v>75</v>
      </c>
      <c r="IU83">
        <f t="shared" si="105"/>
        <v>75</v>
      </c>
      <c r="IV83">
        <f t="shared" si="105"/>
        <v>75</v>
      </c>
      <c r="IW83">
        <f t="shared" si="105"/>
        <v>75</v>
      </c>
      <c r="IX83">
        <f t="shared" si="105"/>
        <v>75</v>
      </c>
      <c r="IY83">
        <f t="shared" ref="IY83:LJ83" si="106">COUNTBLANK(IY6:IY81)</f>
        <v>75</v>
      </c>
      <c r="IZ83">
        <f t="shared" si="106"/>
        <v>75</v>
      </c>
      <c r="JA83">
        <f t="shared" si="106"/>
        <v>75</v>
      </c>
      <c r="JB83">
        <f t="shared" si="106"/>
        <v>75</v>
      </c>
      <c r="JC83">
        <f t="shared" si="106"/>
        <v>75</v>
      </c>
      <c r="JD83">
        <f t="shared" si="106"/>
        <v>75</v>
      </c>
      <c r="JE83">
        <f t="shared" si="106"/>
        <v>75</v>
      </c>
      <c r="JF83">
        <f t="shared" si="106"/>
        <v>75</v>
      </c>
      <c r="JG83">
        <f t="shared" si="106"/>
        <v>75</v>
      </c>
      <c r="JH83">
        <f t="shared" si="106"/>
        <v>75</v>
      </c>
      <c r="JI83">
        <f t="shared" si="106"/>
        <v>75</v>
      </c>
      <c r="JJ83">
        <f t="shared" si="106"/>
        <v>75</v>
      </c>
      <c r="JK83">
        <f t="shared" si="106"/>
        <v>75</v>
      </c>
      <c r="JL83">
        <f t="shared" si="106"/>
        <v>75</v>
      </c>
      <c r="JM83">
        <f t="shared" si="106"/>
        <v>75</v>
      </c>
      <c r="JN83">
        <f t="shared" si="106"/>
        <v>75</v>
      </c>
      <c r="JO83">
        <f t="shared" si="106"/>
        <v>75</v>
      </c>
      <c r="JP83">
        <f t="shared" si="106"/>
        <v>75</v>
      </c>
      <c r="JQ83">
        <f t="shared" si="106"/>
        <v>75</v>
      </c>
      <c r="JR83">
        <f t="shared" si="106"/>
        <v>75</v>
      </c>
      <c r="JS83">
        <f t="shared" si="106"/>
        <v>75</v>
      </c>
      <c r="JT83">
        <f t="shared" si="106"/>
        <v>75</v>
      </c>
      <c r="JU83">
        <f t="shared" si="106"/>
        <v>75</v>
      </c>
      <c r="JV83">
        <f t="shared" si="106"/>
        <v>75</v>
      </c>
      <c r="JW83">
        <f t="shared" si="106"/>
        <v>75</v>
      </c>
      <c r="JX83">
        <f t="shared" si="106"/>
        <v>75</v>
      </c>
      <c r="JY83">
        <f t="shared" si="106"/>
        <v>75</v>
      </c>
      <c r="JZ83">
        <f t="shared" si="106"/>
        <v>75</v>
      </c>
      <c r="KA83">
        <f t="shared" si="106"/>
        <v>75</v>
      </c>
      <c r="KB83">
        <f t="shared" si="106"/>
        <v>75</v>
      </c>
      <c r="KC83">
        <f t="shared" si="106"/>
        <v>75</v>
      </c>
      <c r="KD83">
        <f t="shared" si="106"/>
        <v>75</v>
      </c>
      <c r="KE83">
        <f t="shared" si="106"/>
        <v>75</v>
      </c>
      <c r="KF83">
        <f t="shared" si="106"/>
        <v>75</v>
      </c>
      <c r="KG83">
        <f t="shared" si="106"/>
        <v>75</v>
      </c>
      <c r="KH83">
        <f t="shared" si="106"/>
        <v>75</v>
      </c>
      <c r="KI83">
        <f t="shared" si="106"/>
        <v>75</v>
      </c>
      <c r="KJ83">
        <f t="shared" si="106"/>
        <v>75</v>
      </c>
      <c r="KK83">
        <f t="shared" si="106"/>
        <v>75</v>
      </c>
      <c r="KL83">
        <f t="shared" si="106"/>
        <v>75</v>
      </c>
      <c r="KM83">
        <f t="shared" si="106"/>
        <v>75</v>
      </c>
      <c r="KN83">
        <f t="shared" si="106"/>
        <v>75</v>
      </c>
      <c r="KO83">
        <f t="shared" si="106"/>
        <v>75</v>
      </c>
      <c r="KP83">
        <f t="shared" si="106"/>
        <v>75</v>
      </c>
      <c r="KQ83">
        <f t="shared" si="106"/>
        <v>75</v>
      </c>
      <c r="KR83">
        <f t="shared" si="106"/>
        <v>75</v>
      </c>
      <c r="KS83">
        <f t="shared" si="106"/>
        <v>75</v>
      </c>
      <c r="KT83">
        <f t="shared" si="106"/>
        <v>75</v>
      </c>
      <c r="KU83">
        <f t="shared" si="106"/>
        <v>75</v>
      </c>
      <c r="KV83">
        <f t="shared" si="106"/>
        <v>75</v>
      </c>
      <c r="KW83">
        <f t="shared" si="106"/>
        <v>75</v>
      </c>
      <c r="KX83">
        <f t="shared" si="106"/>
        <v>75</v>
      </c>
      <c r="KY83">
        <f t="shared" si="106"/>
        <v>75</v>
      </c>
      <c r="KZ83">
        <f t="shared" si="106"/>
        <v>75</v>
      </c>
      <c r="LA83">
        <f t="shared" si="106"/>
        <v>75</v>
      </c>
      <c r="LB83">
        <f t="shared" si="106"/>
        <v>75</v>
      </c>
      <c r="LC83">
        <f t="shared" si="106"/>
        <v>75</v>
      </c>
      <c r="LD83">
        <f t="shared" si="106"/>
        <v>74</v>
      </c>
      <c r="LE83">
        <f t="shared" si="106"/>
        <v>74</v>
      </c>
      <c r="LF83">
        <f t="shared" si="106"/>
        <v>74</v>
      </c>
      <c r="LG83">
        <f t="shared" si="106"/>
        <v>74</v>
      </c>
      <c r="LH83">
        <f t="shared" si="106"/>
        <v>74</v>
      </c>
      <c r="LI83">
        <f t="shared" si="106"/>
        <v>74</v>
      </c>
      <c r="LJ83">
        <f t="shared" si="106"/>
        <v>74</v>
      </c>
      <c r="LK83">
        <f t="shared" ref="LK83:NV83" si="107">COUNTBLANK(LK6:LK81)</f>
        <v>74</v>
      </c>
      <c r="LL83">
        <f t="shared" si="107"/>
        <v>74</v>
      </c>
      <c r="LM83">
        <f t="shared" si="107"/>
        <v>74</v>
      </c>
      <c r="LN83">
        <f t="shared" si="107"/>
        <v>74</v>
      </c>
      <c r="LO83">
        <f t="shared" si="107"/>
        <v>74</v>
      </c>
      <c r="LP83">
        <f t="shared" si="107"/>
        <v>74</v>
      </c>
      <c r="LQ83">
        <f t="shared" si="107"/>
        <v>74</v>
      </c>
      <c r="LR83">
        <f t="shared" si="107"/>
        <v>74</v>
      </c>
      <c r="LS83">
        <f t="shared" si="107"/>
        <v>74</v>
      </c>
      <c r="LT83">
        <f t="shared" si="107"/>
        <v>74</v>
      </c>
      <c r="LU83">
        <f t="shared" si="107"/>
        <v>74</v>
      </c>
      <c r="LV83">
        <f t="shared" si="107"/>
        <v>74</v>
      </c>
      <c r="LW83">
        <f t="shared" si="107"/>
        <v>74</v>
      </c>
      <c r="LX83">
        <f t="shared" si="107"/>
        <v>74</v>
      </c>
      <c r="LY83">
        <f t="shared" si="107"/>
        <v>74</v>
      </c>
      <c r="LZ83">
        <f t="shared" si="107"/>
        <v>74</v>
      </c>
      <c r="MA83">
        <f t="shared" si="107"/>
        <v>74</v>
      </c>
      <c r="MB83">
        <f t="shared" si="107"/>
        <v>74</v>
      </c>
      <c r="MC83">
        <f t="shared" si="107"/>
        <v>74</v>
      </c>
      <c r="MD83">
        <f t="shared" si="107"/>
        <v>74</v>
      </c>
      <c r="ME83">
        <f t="shared" si="107"/>
        <v>74</v>
      </c>
      <c r="MF83">
        <f t="shared" si="107"/>
        <v>74</v>
      </c>
      <c r="MG83">
        <f t="shared" si="107"/>
        <v>74</v>
      </c>
      <c r="MH83">
        <f t="shared" si="107"/>
        <v>74</v>
      </c>
      <c r="MI83">
        <f t="shared" si="107"/>
        <v>74</v>
      </c>
      <c r="MJ83">
        <f t="shared" si="107"/>
        <v>74</v>
      </c>
      <c r="MK83">
        <f t="shared" si="107"/>
        <v>74</v>
      </c>
      <c r="ML83">
        <f t="shared" si="107"/>
        <v>74</v>
      </c>
      <c r="MM83">
        <f t="shared" si="107"/>
        <v>74</v>
      </c>
      <c r="MN83">
        <f t="shared" si="107"/>
        <v>74</v>
      </c>
      <c r="MO83">
        <f t="shared" si="107"/>
        <v>74</v>
      </c>
      <c r="MP83">
        <f t="shared" si="107"/>
        <v>74</v>
      </c>
      <c r="MQ83">
        <f t="shared" si="107"/>
        <v>74</v>
      </c>
      <c r="MR83">
        <f t="shared" si="107"/>
        <v>74</v>
      </c>
      <c r="MS83">
        <f t="shared" si="107"/>
        <v>74</v>
      </c>
      <c r="MT83">
        <f t="shared" si="107"/>
        <v>74</v>
      </c>
      <c r="MU83">
        <f t="shared" si="107"/>
        <v>74</v>
      </c>
      <c r="MV83">
        <f t="shared" si="107"/>
        <v>74</v>
      </c>
      <c r="MW83">
        <f t="shared" si="107"/>
        <v>74</v>
      </c>
      <c r="MX83">
        <f t="shared" si="107"/>
        <v>74</v>
      </c>
      <c r="MY83">
        <f t="shared" si="107"/>
        <v>74</v>
      </c>
      <c r="MZ83">
        <f t="shared" si="107"/>
        <v>74</v>
      </c>
      <c r="NA83">
        <f t="shared" si="107"/>
        <v>74</v>
      </c>
      <c r="NB83">
        <f t="shared" si="107"/>
        <v>74</v>
      </c>
      <c r="NC83">
        <f t="shared" si="107"/>
        <v>74</v>
      </c>
      <c r="ND83">
        <f t="shared" si="107"/>
        <v>74</v>
      </c>
      <c r="NE83">
        <f t="shared" si="107"/>
        <v>74</v>
      </c>
      <c r="NF83">
        <f t="shared" si="107"/>
        <v>74</v>
      </c>
      <c r="NG83">
        <f t="shared" si="107"/>
        <v>75</v>
      </c>
      <c r="NH83">
        <f t="shared" si="107"/>
        <v>75</v>
      </c>
      <c r="NI83">
        <f t="shared" si="107"/>
        <v>75</v>
      </c>
      <c r="NJ83">
        <f t="shared" si="107"/>
        <v>75</v>
      </c>
      <c r="NK83">
        <f t="shared" si="107"/>
        <v>75</v>
      </c>
      <c r="NL83">
        <f t="shared" si="107"/>
        <v>75</v>
      </c>
      <c r="NM83">
        <f t="shared" si="107"/>
        <v>75</v>
      </c>
      <c r="NN83">
        <f t="shared" si="107"/>
        <v>75</v>
      </c>
      <c r="NO83">
        <f t="shared" si="107"/>
        <v>75</v>
      </c>
      <c r="NP83">
        <f t="shared" si="107"/>
        <v>75</v>
      </c>
      <c r="NQ83">
        <f t="shared" si="107"/>
        <v>75</v>
      </c>
      <c r="NR83">
        <f t="shared" si="107"/>
        <v>75</v>
      </c>
      <c r="NS83">
        <f t="shared" si="107"/>
        <v>75</v>
      </c>
      <c r="NT83">
        <f t="shared" si="107"/>
        <v>75</v>
      </c>
      <c r="NU83">
        <f t="shared" si="107"/>
        <v>75</v>
      </c>
      <c r="NV83">
        <f t="shared" si="107"/>
        <v>75</v>
      </c>
      <c r="NW83">
        <f t="shared" ref="NW83:QH83" si="108">COUNTBLANK(NW6:NW81)</f>
        <v>75</v>
      </c>
      <c r="NX83">
        <f t="shared" si="108"/>
        <v>75</v>
      </c>
      <c r="NY83">
        <f t="shared" si="108"/>
        <v>75</v>
      </c>
      <c r="NZ83">
        <f t="shared" si="108"/>
        <v>75</v>
      </c>
      <c r="OA83">
        <f t="shared" si="108"/>
        <v>75</v>
      </c>
      <c r="OB83">
        <f t="shared" si="108"/>
        <v>75</v>
      </c>
      <c r="OC83">
        <f t="shared" si="108"/>
        <v>75</v>
      </c>
      <c r="OD83">
        <f t="shared" si="108"/>
        <v>75</v>
      </c>
      <c r="OE83">
        <f t="shared" si="108"/>
        <v>75</v>
      </c>
      <c r="OF83">
        <f t="shared" si="108"/>
        <v>75</v>
      </c>
      <c r="OG83">
        <f t="shared" si="108"/>
        <v>75</v>
      </c>
      <c r="OH83">
        <f t="shared" si="108"/>
        <v>75</v>
      </c>
      <c r="OI83">
        <f t="shared" si="108"/>
        <v>75</v>
      </c>
      <c r="OJ83">
        <f t="shared" si="108"/>
        <v>75</v>
      </c>
      <c r="OK83">
        <f t="shared" si="108"/>
        <v>75</v>
      </c>
      <c r="OL83">
        <f t="shared" si="108"/>
        <v>75</v>
      </c>
      <c r="OM83">
        <f t="shared" si="108"/>
        <v>75</v>
      </c>
      <c r="ON83">
        <f t="shared" si="108"/>
        <v>75</v>
      </c>
      <c r="OO83">
        <f t="shared" si="108"/>
        <v>75</v>
      </c>
      <c r="OP83">
        <f t="shared" si="108"/>
        <v>75</v>
      </c>
      <c r="OQ83">
        <f t="shared" si="108"/>
        <v>75</v>
      </c>
      <c r="OR83">
        <f t="shared" si="108"/>
        <v>75</v>
      </c>
      <c r="OS83">
        <f t="shared" si="108"/>
        <v>75</v>
      </c>
      <c r="OT83">
        <f t="shared" si="108"/>
        <v>75</v>
      </c>
      <c r="OU83">
        <f t="shared" si="108"/>
        <v>75</v>
      </c>
      <c r="OV83">
        <f t="shared" si="108"/>
        <v>75</v>
      </c>
      <c r="OW83">
        <f t="shared" si="108"/>
        <v>75</v>
      </c>
      <c r="OX83">
        <f t="shared" si="108"/>
        <v>75</v>
      </c>
      <c r="OY83">
        <f t="shared" si="108"/>
        <v>75</v>
      </c>
      <c r="OZ83">
        <f t="shared" si="108"/>
        <v>75</v>
      </c>
      <c r="PA83">
        <f t="shared" si="108"/>
        <v>75</v>
      </c>
      <c r="PB83">
        <f t="shared" si="108"/>
        <v>75</v>
      </c>
      <c r="PC83">
        <f t="shared" si="108"/>
        <v>75</v>
      </c>
      <c r="PD83">
        <f t="shared" si="108"/>
        <v>75</v>
      </c>
      <c r="PE83">
        <f t="shared" si="108"/>
        <v>75</v>
      </c>
      <c r="PF83">
        <f t="shared" si="108"/>
        <v>75</v>
      </c>
      <c r="PG83">
        <f t="shared" si="108"/>
        <v>75</v>
      </c>
      <c r="PH83">
        <f t="shared" si="108"/>
        <v>75</v>
      </c>
      <c r="PI83">
        <f t="shared" si="108"/>
        <v>75</v>
      </c>
      <c r="PJ83">
        <f t="shared" si="108"/>
        <v>75</v>
      </c>
      <c r="PK83">
        <f t="shared" si="108"/>
        <v>75</v>
      </c>
      <c r="PL83">
        <f t="shared" si="108"/>
        <v>75</v>
      </c>
      <c r="PM83">
        <f t="shared" si="108"/>
        <v>75</v>
      </c>
      <c r="PN83">
        <f t="shared" si="108"/>
        <v>75</v>
      </c>
      <c r="PO83">
        <f t="shared" si="108"/>
        <v>75</v>
      </c>
      <c r="PP83">
        <f t="shared" si="108"/>
        <v>75</v>
      </c>
      <c r="PQ83">
        <f t="shared" si="108"/>
        <v>75</v>
      </c>
      <c r="PR83">
        <f t="shared" si="108"/>
        <v>75</v>
      </c>
      <c r="PS83">
        <f t="shared" si="108"/>
        <v>75</v>
      </c>
      <c r="PT83">
        <f t="shared" si="108"/>
        <v>75</v>
      </c>
      <c r="PU83">
        <f t="shared" si="108"/>
        <v>75</v>
      </c>
      <c r="PV83">
        <f t="shared" si="108"/>
        <v>75</v>
      </c>
      <c r="PW83">
        <f t="shared" si="108"/>
        <v>75</v>
      </c>
      <c r="PX83">
        <f t="shared" si="108"/>
        <v>75</v>
      </c>
      <c r="PY83">
        <f t="shared" si="108"/>
        <v>75</v>
      </c>
      <c r="PZ83">
        <f t="shared" si="108"/>
        <v>75</v>
      </c>
      <c r="QA83">
        <f t="shared" si="108"/>
        <v>75</v>
      </c>
      <c r="QB83">
        <f t="shared" si="108"/>
        <v>75</v>
      </c>
      <c r="QC83">
        <f t="shared" si="108"/>
        <v>75</v>
      </c>
      <c r="QD83">
        <f t="shared" si="108"/>
        <v>75</v>
      </c>
      <c r="QE83">
        <f t="shared" si="108"/>
        <v>75</v>
      </c>
      <c r="QF83">
        <f t="shared" si="108"/>
        <v>75</v>
      </c>
      <c r="QG83">
        <f t="shared" si="108"/>
        <v>75</v>
      </c>
      <c r="QH83">
        <f t="shared" si="108"/>
        <v>75</v>
      </c>
      <c r="QI83">
        <f t="shared" ref="QI83:ST83" si="109">COUNTBLANK(QI6:QI81)</f>
        <v>75</v>
      </c>
      <c r="QJ83">
        <f t="shared" si="109"/>
        <v>75</v>
      </c>
      <c r="QK83">
        <f t="shared" si="109"/>
        <v>75</v>
      </c>
      <c r="QL83">
        <f t="shared" si="109"/>
        <v>75</v>
      </c>
      <c r="QM83">
        <f t="shared" si="109"/>
        <v>75</v>
      </c>
      <c r="QN83">
        <f t="shared" si="109"/>
        <v>75</v>
      </c>
      <c r="QO83">
        <f t="shared" si="109"/>
        <v>75</v>
      </c>
      <c r="QP83">
        <f t="shared" si="109"/>
        <v>75</v>
      </c>
      <c r="QQ83">
        <f t="shared" si="109"/>
        <v>75</v>
      </c>
      <c r="QR83">
        <f t="shared" si="109"/>
        <v>75</v>
      </c>
      <c r="QS83">
        <f t="shared" si="109"/>
        <v>75</v>
      </c>
      <c r="QT83">
        <f t="shared" si="109"/>
        <v>75</v>
      </c>
      <c r="QU83">
        <f t="shared" si="109"/>
        <v>75</v>
      </c>
      <c r="QV83">
        <f t="shared" si="109"/>
        <v>75</v>
      </c>
      <c r="QW83">
        <f t="shared" si="109"/>
        <v>75</v>
      </c>
      <c r="QX83">
        <f t="shared" si="109"/>
        <v>75</v>
      </c>
      <c r="QY83">
        <f t="shared" si="109"/>
        <v>75</v>
      </c>
      <c r="QZ83">
        <f t="shared" si="109"/>
        <v>75</v>
      </c>
      <c r="RA83">
        <f t="shared" si="109"/>
        <v>75</v>
      </c>
      <c r="RB83">
        <f t="shared" si="109"/>
        <v>75</v>
      </c>
      <c r="RC83">
        <f t="shared" si="109"/>
        <v>75</v>
      </c>
      <c r="RD83">
        <f t="shared" si="109"/>
        <v>75</v>
      </c>
      <c r="RE83">
        <f t="shared" si="109"/>
        <v>75</v>
      </c>
      <c r="RF83">
        <f t="shared" si="109"/>
        <v>75</v>
      </c>
      <c r="RG83">
        <f t="shared" si="109"/>
        <v>75</v>
      </c>
      <c r="RH83">
        <f t="shared" si="109"/>
        <v>75</v>
      </c>
      <c r="RI83">
        <f t="shared" si="109"/>
        <v>75</v>
      </c>
      <c r="RJ83">
        <f t="shared" si="109"/>
        <v>75</v>
      </c>
      <c r="RK83">
        <f t="shared" si="109"/>
        <v>75</v>
      </c>
      <c r="RL83">
        <f t="shared" si="109"/>
        <v>75</v>
      </c>
      <c r="RM83">
        <f t="shared" si="109"/>
        <v>75</v>
      </c>
      <c r="RN83">
        <f t="shared" si="109"/>
        <v>75</v>
      </c>
      <c r="RO83">
        <f t="shared" si="109"/>
        <v>75</v>
      </c>
      <c r="RP83">
        <f t="shared" si="109"/>
        <v>75</v>
      </c>
      <c r="RQ83">
        <f t="shared" si="109"/>
        <v>75</v>
      </c>
      <c r="RR83">
        <f t="shared" si="109"/>
        <v>75</v>
      </c>
      <c r="RS83">
        <f t="shared" si="109"/>
        <v>75</v>
      </c>
      <c r="RT83">
        <f t="shared" si="109"/>
        <v>74</v>
      </c>
      <c r="RU83">
        <f t="shared" si="109"/>
        <v>74</v>
      </c>
      <c r="RV83">
        <f t="shared" si="109"/>
        <v>74</v>
      </c>
      <c r="RW83">
        <f t="shared" si="109"/>
        <v>74</v>
      </c>
      <c r="RX83">
        <f t="shared" si="109"/>
        <v>74</v>
      </c>
      <c r="RY83">
        <f t="shared" si="109"/>
        <v>74</v>
      </c>
      <c r="RZ83">
        <f t="shared" si="109"/>
        <v>74</v>
      </c>
      <c r="SA83">
        <f t="shared" si="109"/>
        <v>74</v>
      </c>
      <c r="SB83">
        <f t="shared" si="109"/>
        <v>74</v>
      </c>
      <c r="SC83">
        <f t="shared" si="109"/>
        <v>74</v>
      </c>
      <c r="SD83">
        <f t="shared" si="109"/>
        <v>74</v>
      </c>
      <c r="SE83">
        <f t="shared" si="109"/>
        <v>74</v>
      </c>
      <c r="SF83">
        <f t="shared" si="109"/>
        <v>74</v>
      </c>
      <c r="SG83">
        <f t="shared" si="109"/>
        <v>74</v>
      </c>
      <c r="SH83">
        <f t="shared" si="109"/>
        <v>74</v>
      </c>
      <c r="SI83">
        <f t="shared" si="109"/>
        <v>74</v>
      </c>
      <c r="SJ83">
        <f t="shared" si="109"/>
        <v>74</v>
      </c>
      <c r="SK83">
        <f t="shared" si="109"/>
        <v>74</v>
      </c>
      <c r="SL83">
        <f t="shared" si="109"/>
        <v>74</v>
      </c>
      <c r="SM83">
        <f t="shared" si="109"/>
        <v>74</v>
      </c>
      <c r="SN83">
        <f t="shared" si="109"/>
        <v>74</v>
      </c>
      <c r="SO83">
        <f t="shared" si="109"/>
        <v>74</v>
      </c>
      <c r="SP83">
        <f t="shared" si="109"/>
        <v>74</v>
      </c>
      <c r="SQ83">
        <f t="shared" si="109"/>
        <v>74</v>
      </c>
      <c r="SR83">
        <f t="shared" si="109"/>
        <v>74</v>
      </c>
      <c r="SS83">
        <f t="shared" si="109"/>
        <v>74</v>
      </c>
      <c r="ST83">
        <f t="shared" si="109"/>
        <v>74</v>
      </c>
      <c r="SU83">
        <f t="shared" ref="SU83:VF83" si="110">COUNTBLANK(SU6:SU81)</f>
        <v>75</v>
      </c>
      <c r="SV83">
        <f t="shared" si="110"/>
        <v>75</v>
      </c>
      <c r="SW83">
        <f t="shared" si="110"/>
        <v>75</v>
      </c>
      <c r="SX83">
        <f t="shared" si="110"/>
        <v>75</v>
      </c>
      <c r="SY83">
        <f t="shared" si="110"/>
        <v>75</v>
      </c>
      <c r="SZ83">
        <f t="shared" si="110"/>
        <v>75</v>
      </c>
      <c r="TA83">
        <f t="shared" si="110"/>
        <v>75</v>
      </c>
      <c r="TB83">
        <f t="shared" si="110"/>
        <v>75</v>
      </c>
      <c r="TC83">
        <f t="shared" si="110"/>
        <v>75</v>
      </c>
      <c r="TD83">
        <f t="shared" si="110"/>
        <v>75</v>
      </c>
      <c r="TE83">
        <f t="shared" si="110"/>
        <v>75</v>
      </c>
      <c r="TF83">
        <f t="shared" si="110"/>
        <v>75</v>
      </c>
      <c r="TG83">
        <f t="shared" si="110"/>
        <v>75</v>
      </c>
      <c r="TH83">
        <f t="shared" si="110"/>
        <v>75</v>
      </c>
      <c r="TI83">
        <f t="shared" si="110"/>
        <v>75</v>
      </c>
      <c r="TJ83">
        <f t="shared" si="110"/>
        <v>75</v>
      </c>
      <c r="TK83">
        <f t="shared" si="110"/>
        <v>75</v>
      </c>
      <c r="TL83">
        <f t="shared" si="110"/>
        <v>75</v>
      </c>
      <c r="TM83">
        <f t="shared" si="110"/>
        <v>75</v>
      </c>
      <c r="TN83">
        <f t="shared" si="110"/>
        <v>75</v>
      </c>
      <c r="TO83">
        <f t="shared" si="110"/>
        <v>75</v>
      </c>
      <c r="TP83">
        <f t="shared" si="110"/>
        <v>75</v>
      </c>
      <c r="TQ83">
        <f t="shared" si="110"/>
        <v>75</v>
      </c>
      <c r="TR83">
        <f t="shared" si="110"/>
        <v>75</v>
      </c>
      <c r="TS83">
        <f t="shared" si="110"/>
        <v>75</v>
      </c>
      <c r="TT83">
        <f t="shared" si="110"/>
        <v>75</v>
      </c>
      <c r="TU83">
        <f t="shared" si="110"/>
        <v>75</v>
      </c>
      <c r="TV83">
        <f t="shared" si="110"/>
        <v>75</v>
      </c>
      <c r="TW83">
        <f t="shared" si="110"/>
        <v>75</v>
      </c>
      <c r="TX83">
        <f t="shared" si="110"/>
        <v>75</v>
      </c>
      <c r="TY83">
        <f t="shared" si="110"/>
        <v>75</v>
      </c>
      <c r="TZ83">
        <f t="shared" si="110"/>
        <v>75</v>
      </c>
      <c r="UA83">
        <f t="shared" si="110"/>
        <v>75</v>
      </c>
      <c r="UB83">
        <f t="shared" si="110"/>
        <v>75</v>
      </c>
      <c r="UC83">
        <f t="shared" si="110"/>
        <v>75</v>
      </c>
      <c r="UD83">
        <f t="shared" si="110"/>
        <v>75</v>
      </c>
      <c r="UE83">
        <f t="shared" si="110"/>
        <v>75</v>
      </c>
      <c r="UF83">
        <f t="shared" si="110"/>
        <v>75</v>
      </c>
      <c r="UG83">
        <f t="shared" si="110"/>
        <v>75</v>
      </c>
      <c r="UH83">
        <f t="shared" si="110"/>
        <v>75</v>
      </c>
      <c r="UI83">
        <f t="shared" si="110"/>
        <v>75</v>
      </c>
      <c r="UJ83">
        <f t="shared" si="110"/>
        <v>75</v>
      </c>
      <c r="UK83">
        <f t="shared" si="110"/>
        <v>75</v>
      </c>
      <c r="UL83">
        <f t="shared" si="110"/>
        <v>75</v>
      </c>
      <c r="UM83">
        <f t="shared" si="110"/>
        <v>75</v>
      </c>
      <c r="UN83">
        <f t="shared" si="110"/>
        <v>75</v>
      </c>
      <c r="UO83">
        <f t="shared" si="110"/>
        <v>75</v>
      </c>
      <c r="UP83">
        <f t="shared" si="110"/>
        <v>75</v>
      </c>
      <c r="UQ83">
        <f t="shared" si="110"/>
        <v>75</v>
      </c>
      <c r="UR83">
        <f t="shared" si="110"/>
        <v>75</v>
      </c>
      <c r="US83">
        <f t="shared" si="110"/>
        <v>75</v>
      </c>
      <c r="UT83">
        <f t="shared" si="110"/>
        <v>75</v>
      </c>
      <c r="UU83">
        <f t="shared" si="110"/>
        <v>75</v>
      </c>
      <c r="UV83">
        <f t="shared" si="110"/>
        <v>75</v>
      </c>
      <c r="UW83">
        <f t="shared" si="110"/>
        <v>75</v>
      </c>
      <c r="UX83">
        <f t="shared" si="110"/>
        <v>75</v>
      </c>
      <c r="UY83">
        <f t="shared" si="110"/>
        <v>75</v>
      </c>
      <c r="UZ83">
        <f t="shared" si="110"/>
        <v>75</v>
      </c>
      <c r="VA83">
        <f t="shared" si="110"/>
        <v>75</v>
      </c>
      <c r="VB83">
        <f t="shared" si="110"/>
        <v>75</v>
      </c>
      <c r="VC83">
        <f t="shared" si="110"/>
        <v>75</v>
      </c>
      <c r="VD83">
        <f t="shared" si="110"/>
        <v>75</v>
      </c>
      <c r="VE83">
        <f t="shared" si="110"/>
        <v>75</v>
      </c>
      <c r="VF83">
        <f t="shared" si="110"/>
        <v>75</v>
      </c>
      <c r="VG83">
        <f t="shared" ref="VG83:XR83" si="111">COUNTBLANK(VG6:VG81)</f>
        <v>75</v>
      </c>
      <c r="VH83">
        <f t="shared" si="111"/>
        <v>75</v>
      </c>
      <c r="VI83">
        <f t="shared" si="111"/>
        <v>75</v>
      </c>
      <c r="VJ83">
        <f t="shared" si="111"/>
        <v>75</v>
      </c>
      <c r="VK83">
        <f t="shared" si="111"/>
        <v>75</v>
      </c>
      <c r="VL83">
        <f t="shared" si="111"/>
        <v>75</v>
      </c>
      <c r="VM83">
        <f t="shared" si="111"/>
        <v>75</v>
      </c>
      <c r="VN83">
        <f t="shared" si="111"/>
        <v>75</v>
      </c>
      <c r="VO83">
        <f t="shared" si="111"/>
        <v>75</v>
      </c>
      <c r="VP83">
        <f t="shared" si="111"/>
        <v>75</v>
      </c>
      <c r="VQ83">
        <f t="shared" si="111"/>
        <v>75</v>
      </c>
      <c r="VR83">
        <f t="shared" si="111"/>
        <v>75</v>
      </c>
      <c r="VS83">
        <f t="shared" si="111"/>
        <v>75</v>
      </c>
      <c r="VT83">
        <f t="shared" si="111"/>
        <v>75</v>
      </c>
      <c r="VU83">
        <f t="shared" si="111"/>
        <v>75</v>
      </c>
      <c r="VV83">
        <f t="shared" si="111"/>
        <v>75</v>
      </c>
      <c r="VW83">
        <f t="shared" si="111"/>
        <v>75</v>
      </c>
      <c r="VX83">
        <f t="shared" si="111"/>
        <v>75</v>
      </c>
      <c r="VY83">
        <f t="shared" si="111"/>
        <v>75</v>
      </c>
      <c r="VZ83">
        <f t="shared" si="111"/>
        <v>75</v>
      </c>
      <c r="WA83">
        <f t="shared" si="111"/>
        <v>75</v>
      </c>
      <c r="WB83">
        <f t="shared" si="111"/>
        <v>75</v>
      </c>
      <c r="WC83">
        <f t="shared" si="111"/>
        <v>75</v>
      </c>
      <c r="WD83">
        <f t="shared" si="111"/>
        <v>75</v>
      </c>
      <c r="WE83">
        <f t="shared" si="111"/>
        <v>75</v>
      </c>
      <c r="WF83">
        <f t="shared" si="111"/>
        <v>75</v>
      </c>
      <c r="WG83">
        <f t="shared" si="111"/>
        <v>75</v>
      </c>
      <c r="WH83">
        <f t="shared" si="111"/>
        <v>75</v>
      </c>
      <c r="WI83">
        <f t="shared" si="111"/>
        <v>75</v>
      </c>
      <c r="WJ83">
        <f t="shared" si="111"/>
        <v>75</v>
      </c>
      <c r="WK83">
        <f t="shared" si="111"/>
        <v>75</v>
      </c>
      <c r="WL83">
        <f t="shared" si="111"/>
        <v>75</v>
      </c>
      <c r="WM83">
        <f t="shared" si="111"/>
        <v>75</v>
      </c>
      <c r="WN83">
        <f t="shared" si="111"/>
        <v>75</v>
      </c>
      <c r="WO83">
        <f t="shared" si="111"/>
        <v>75</v>
      </c>
      <c r="WP83">
        <f t="shared" si="111"/>
        <v>75</v>
      </c>
      <c r="WQ83">
        <f t="shared" si="111"/>
        <v>75</v>
      </c>
      <c r="WR83">
        <f t="shared" si="111"/>
        <v>75</v>
      </c>
      <c r="WS83">
        <f t="shared" si="111"/>
        <v>75</v>
      </c>
      <c r="WT83">
        <f t="shared" si="111"/>
        <v>75</v>
      </c>
      <c r="WU83">
        <f t="shared" si="111"/>
        <v>75</v>
      </c>
      <c r="WV83">
        <f t="shared" si="111"/>
        <v>75</v>
      </c>
      <c r="WW83">
        <f t="shared" si="111"/>
        <v>75</v>
      </c>
      <c r="WX83">
        <f t="shared" si="111"/>
        <v>75</v>
      </c>
      <c r="WY83">
        <f t="shared" si="111"/>
        <v>75</v>
      </c>
      <c r="WZ83">
        <f t="shared" si="111"/>
        <v>75</v>
      </c>
      <c r="XA83">
        <f t="shared" si="111"/>
        <v>75</v>
      </c>
      <c r="XB83">
        <f t="shared" si="111"/>
        <v>75</v>
      </c>
      <c r="XC83">
        <f t="shared" si="111"/>
        <v>75</v>
      </c>
      <c r="XD83">
        <f t="shared" si="111"/>
        <v>75</v>
      </c>
      <c r="XE83">
        <f t="shared" si="111"/>
        <v>75</v>
      </c>
      <c r="XF83">
        <f t="shared" si="111"/>
        <v>75</v>
      </c>
      <c r="XG83">
        <f t="shared" si="111"/>
        <v>75</v>
      </c>
      <c r="XH83">
        <f t="shared" si="111"/>
        <v>75</v>
      </c>
      <c r="XI83">
        <f t="shared" si="111"/>
        <v>75</v>
      </c>
      <c r="XJ83">
        <f t="shared" si="111"/>
        <v>75</v>
      </c>
      <c r="XK83">
        <f t="shared" si="111"/>
        <v>75</v>
      </c>
      <c r="XL83">
        <f t="shared" si="111"/>
        <v>75</v>
      </c>
      <c r="XM83">
        <f t="shared" si="111"/>
        <v>75</v>
      </c>
      <c r="XN83">
        <f t="shared" si="111"/>
        <v>75</v>
      </c>
      <c r="XO83">
        <f t="shared" si="111"/>
        <v>75</v>
      </c>
      <c r="XP83">
        <f t="shared" si="111"/>
        <v>75</v>
      </c>
      <c r="XQ83">
        <f t="shared" si="111"/>
        <v>75</v>
      </c>
      <c r="XR83">
        <f t="shared" si="111"/>
        <v>75</v>
      </c>
      <c r="XS83">
        <f t="shared" ref="XS83:AAD83" si="112">COUNTBLANK(XS6:XS81)</f>
        <v>75</v>
      </c>
      <c r="XT83">
        <f t="shared" si="112"/>
        <v>75</v>
      </c>
      <c r="XU83">
        <f t="shared" si="112"/>
        <v>75</v>
      </c>
      <c r="XV83">
        <f t="shared" si="112"/>
        <v>75</v>
      </c>
      <c r="XW83">
        <f t="shared" si="112"/>
        <v>75</v>
      </c>
      <c r="XX83">
        <f t="shared" si="112"/>
        <v>75</v>
      </c>
      <c r="XY83">
        <f t="shared" si="112"/>
        <v>75</v>
      </c>
      <c r="XZ83">
        <f t="shared" si="112"/>
        <v>75</v>
      </c>
      <c r="YA83">
        <f t="shared" si="112"/>
        <v>75</v>
      </c>
      <c r="YB83">
        <f t="shared" si="112"/>
        <v>75</v>
      </c>
      <c r="YC83">
        <f t="shared" si="112"/>
        <v>75</v>
      </c>
      <c r="YD83">
        <f t="shared" si="112"/>
        <v>75</v>
      </c>
      <c r="YE83">
        <f t="shared" si="112"/>
        <v>75</v>
      </c>
      <c r="YF83">
        <f t="shared" si="112"/>
        <v>75</v>
      </c>
      <c r="YG83">
        <f t="shared" si="112"/>
        <v>75</v>
      </c>
      <c r="YH83">
        <f t="shared" si="112"/>
        <v>75</v>
      </c>
      <c r="YI83">
        <f t="shared" si="112"/>
        <v>75</v>
      </c>
      <c r="YJ83">
        <f t="shared" si="112"/>
        <v>75</v>
      </c>
      <c r="YK83">
        <f t="shared" si="112"/>
        <v>75</v>
      </c>
      <c r="YL83">
        <f t="shared" si="112"/>
        <v>75</v>
      </c>
      <c r="YM83">
        <f t="shared" si="112"/>
        <v>75</v>
      </c>
      <c r="YN83">
        <f t="shared" si="112"/>
        <v>75</v>
      </c>
      <c r="YO83">
        <f t="shared" si="112"/>
        <v>75</v>
      </c>
      <c r="YP83">
        <f t="shared" si="112"/>
        <v>75</v>
      </c>
      <c r="YQ83">
        <f t="shared" si="112"/>
        <v>75</v>
      </c>
      <c r="YR83">
        <f t="shared" si="112"/>
        <v>75</v>
      </c>
      <c r="YS83">
        <f t="shared" si="112"/>
        <v>75</v>
      </c>
      <c r="YT83">
        <f t="shared" si="112"/>
        <v>75</v>
      </c>
      <c r="YU83">
        <f t="shared" si="112"/>
        <v>75</v>
      </c>
      <c r="YV83">
        <f t="shared" si="112"/>
        <v>75</v>
      </c>
      <c r="YW83">
        <f t="shared" si="112"/>
        <v>75</v>
      </c>
      <c r="YX83">
        <f t="shared" si="112"/>
        <v>75</v>
      </c>
      <c r="YY83">
        <f t="shared" si="112"/>
        <v>75</v>
      </c>
      <c r="YZ83">
        <f t="shared" si="112"/>
        <v>75</v>
      </c>
      <c r="ZA83">
        <f t="shared" si="112"/>
        <v>75</v>
      </c>
      <c r="ZB83">
        <f t="shared" si="112"/>
        <v>75</v>
      </c>
      <c r="ZC83">
        <f t="shared" si="112"/>
        <v>75</v>
      </c>
      <c r="ZD83">
        <f t="shared" si="112"/>
        <v>75</v>
      </c>
      <c r="ZE83">
        <f t="shared" si="112"/>
        <v>75</v>
      </c>
      <c r="ZF83">
        <f t="shared" si="112"/>
        <v>75</v>
      </c>
      <c r="ZG83">
        <f t="shared" si="112"/>
        <v>75</v>
      </c>
      <c r="ZH83">
        <f t="shared" si="112"/>
        <v>75</v>
      </c>
      <c r="ZI83">
        <f t="shared" si="112"/>
        <v>75</v>
      </c>
      <c r="ZJ83">
        <f t="shared" si="112"/>
        <v>75</v>
      </c>
      <c r="ZK83">
        <f t="shared" si="112"/>
        <v>75</v>
      </c>
      <c r="ZL83">
        <f t="shared" si="112"/>
        <v>75</v>
      </c>
      <c r="ZM83">
        <f t="shared" si="112"/>
        <v>75</v>
      </c>
      <c r="ZN83">
        <f t="shared" si="112"/>
        <v>75</v>
      </c>
      <c r="ZO83">
        <f t="shared" si="112"/>
        <v>75</v>
      </c>
      <c r="ZP83">
        <f t="shared" si="112"/>
        <v>75</v>
      </c>
      <c r="ZQ83">
        <f t="shared" si="112"/>
        <v>75</v>
      </c>
      <c r="ZR83">
        <f t="shared" si="112"/>
        <v>75</v>
      </c>
      <c r="ZS83">
        <f t="shared" si="112"/>
        <v>75</v>
      </c>
      <c r="ZT83">
        <f t="shared" si="112"/>
        <v>75</v>
      </c>
      <c r="ZU83">
        <f t="shared" si="112"/>
        <v>75</v>
      </c>
      <c r="ZV83">
        <f t="shared" si="112"/>
        <v>75</v>
      </c>
      <c r="ZW83">
        <f t="shared" si="112"/>
        <v>75</v>
      </c>
      <c r="ZX83">
        <f t="shared" si="112"/>
        <v>75</v>
      </c>
      <c r="ZY83">
        <f t="shared" si="112"/>
        <v>75</v>
      </c>
      <c r="ZZ83">
        <f t="shared" si="112"/>
        <v>75</v>
      </c>
      <c r="AAA83">
        <f t="shared" si="112"/>
        <v>75</v>
      </c>
      <c r="AAB83">
        <f t="shared" si="112"/>
        <v>75</v>
      </c>
      <c r="AAC83">
        <f t="shared" si="112"/>
        <v>75</v>
      </c>
      <c r="AAD83">
        <f t="shared" si="112"/>
        <v>75</v>
      </c>
      <c r="AAE83">
        <f t="shared" ref="AAE83:ACP83" si="113">COUNTBLANK(AAE6:AAE81)</f>
        <v>75</v>
      </c>
      <c r="AAF83">
        <f t="shared" si="113"/>
        <v>75</v>
      </c>
      <c r="AAG83">
        <f t="shared" si="113"/>
        <v>75</v>
      </c>
      <c r="AAH83">
        <f t="shared" si="113"/>
        <v>75</v>
      </c>
      <c r="AAI83">
        <f t="shared" si="113"/>
        <v>75</v>
      </c>
      <c r="AAJ83">
        <f t="shared" si="113"/>
        <v>75</v>
      </c>
      <c r="AAK83">
        <f t="shared" si="113"/>
        <v>75</v>
      </c>
      <c r="AAL83">
        <f t="shared" si="113"/>
        <v>75</v>
      </c>
      <c r="AAM83">
        <f t="shared" si="113"/>
        <v>75</v>
      </c>
      <c r="AAN83">
        <f t="shared" si="113"/>
        <v>75</v>
      </c>
      <c r="AAO83">
        <f t="shared" si="113"/>
        <v>75</v>
      </c>
      <c r="AAP83">
        <f t="shared" si="113"/>
        <v>75</v>
      </c>
      <c r="AAQ83">
        <f t="shared" si="113"/>
        <v>75</v>
      </c>
      <c r="AAR83">
        <f t="shared" si="113"/>
        <v>75</v>
      </c>
      <c r="AAS83">
        <f t="shared" si="113"/>
        <v>75</v>
      </c>
      <c r="AAT83">
        <f t="shared" si="113"/>
        <v>75</v>
      </c>
      <c r="AAU83">
        <f t="shared" si="113"/>
        <v>75</v>
      </c>
      <c r="AAV83">
        <f t="shared" si="113"/>
        <v>75</v>
      </c>
      <c r="AAW83">
        <f t="shared" si="113"/>
        <v>75</v>
      </c>
      <c r="AAX83">
        <f t="shared" si="113"/>
        <v>75</v>
      </c>
      <c r="AAY83">
        <f t="shared" si="113"/>
        <v>75</v>
      </c>
      <c r="AAZ83">
        <f t="shared" si="113"/>
        <v>75</v>
      </c>
      <c r="ABA83">
        <f t="shared" si="113"/>
        <v>75</v>
      </c>
      <c r="ABB83">
        <f t="shared" si="113"/>
        <v>75</v>
      </c>
      <c r="ABC83">
        <f t="shared" si="113"/>
        <v>75</v>
      </c>
      <c r="ABD83">
        <f t="shared" si="113"/>
        <v>75</v>
      </c>
      <c r="ABE83">
        <f t="shared" si="113"/>
        <v>75</v>
      </c>
      <c r="ABF83">
        <f t="shared" si="113"/>
        <v>75</v>
      </c>
      <c r="ABG83">
        <f t="shared" si="113"/>
        <v>75</v>
      </c>
      <c r="ABH83">
        <f t="shared" si="113"/>
        <v>75</v>
      </c>
      <c r="ABI83">
        <f t="shared" si="113"/>
        <v>75</v>
      </c>
      <c r="ABJ83">
        <f t="shared" si="113"/>
        <v>75</v>
      </c>
      <c r="ABK83">
        <f t="shared" si="113"/>
        <v>75</v>
      </c>
      <c r="ABL83">
        <f t="shared" si="113"/>
        <v>75</v>
      </c>
      <c r="ABM83">
        <f t="shared" si="113"/>
        <v>75</v>
      </c>
      <c r="ABN83">
        <f t="shared" si="113"/>
        <v>75</v>
      </c>
      <c r="ABO83">
        <f t="shared" si="113"/>
        <v>75</v>
      </c>
      <c r="ABP83">
        <f t="shared" si="113"/>
        <v>75</v>
      </c>
      <c r="ABQ83">
        <f t="shared" si="113"/>
        <v>75</v>
      </c>
      <c r="ABR83">
        <f t="shared" si="113"/>
        <v>75</v>
      </c>
      <c r="ABS83">
        <f t="shared" si="113"/>
        <v>75</v>
      </c>
      <c r="ABT83">
        <f t="shared" si="113"/>
        <v>75</v>
      </c>
      <c r="ABU83">
        <f t="shared" si="113"/>
        <v>75</v>
      </c>
      <c r="ABV83">
        <f t="shared" si="113"/>
        <v>75</v>
      </c>
      <c r="ABW83">
        <f t="shared" si="113"/>
        <v>75</v>
      </c>
      <c r="ABX83">
        <f t="shared" si="113"/>
        <v>75</v>
      </c>
      <c r="ABY83">
        <f t="shared" si="113"/>
        <v>75</v>
      </c>
      <c r="ABZ83">
        <f t="shared" si="113"/>
        <v>75</v>
      </c>
      <c r="ACA83">
        <f t="shared" si="113"/>
        <v>75</v>
      </c>
      <c r="ACB83">
        <f t="shared" si="113"/>
        <v>75</v>
      </c>
      <c r="ACC83">
        <f t="shared" si="113"/>
        <v>75</v>
      </c>
      <c r="ACD83">
        <f t="shared" si="113"/>
        <v>75</v>
      </c>
      <c r="ACE83">
        <f t="shared" si="113"/>
        <v>75</v>
      </c>
      <c r="ACF83">
        <f t="shared" si="113"/>
        <v>75</v>
      </c>
      <c r="ACG83">
        <f t="shared" si="113"/>
        <v>75</v>
      </c>
      <c r="ACH83">
        <f t="shared" si="113"/>
        <v>75</v>
      </c>
      <c r="ACI83">
        <f t="shared" si="113"/>
        <v>75</v>
      </c>
      <c r="ACJ83">
        <f t="shared" si="113"/>
        <v>75</v>
      </c>
      <c r="ACK83">
        <f t="shared" si="113"/>
        <v>75</v>
      </c>
      <c r="ACL83">
        <f t="shared" si="113"/>
        <v>75</v>
      </c>
      <c r="ACM83">
        <f t="shared" si="113"/>
        <v>75</v>
      </c>
      <c r="ACN83">
        <f t="shared" si="113"/>
        <v>75</v>
      </c>
      <c r="ACO83">
        <f t="shared" si="113"/>
        <v>75</v>
      </c>
      <c r="ACP83">
        <f t="shared" si="113"/>
        <v>75</v>
      </c>
      <c r="ACQ83">
        <f t="shared" ref="ACQ83:AFB83" si="114">COUNTBLANK(ACQ6:ACQ81)</f>
        <v>75</v>
      </c>
      <c r="ACR83">
        <f t="shared" si="114"/>
        <v>75</v>
      </c>
      <c r="ACS83">
        <f t="shared" si="114"/>
        <v>75</v>
      </c>
      <c r="ACT83">
        <f t="shared" si="114"/>
        <v>75</v>
      </c>
      <c r="ACU83">
        <f t="shared" si="114"/>
        <v>75</v>
      </c>
      <c r="ACV83">
        <f t="shared" si="114"/>
        <v>75</v>
      </c>
      <c r="ACW83">
        <f t="shared" si="114"/>
        <v>75</v>
      </c>
      <c r="ACX83">
        <f t="shared" si="114"/>
        <v>75</v>
      </c>
      <c r="ACY83">
        <f t="shared" si="114"/>
        <v>75</v>
      </c>
      <c r="ACZ83">
        <f t="shared" si="114"/>
        <v>75</v>
      </c>
      <c r="ADA83">
        <f t="shared" si="114"/>
        <v>75</v>
      </c>
      <c r="ADB83">
        <f t="shared" si="114"/>
        <v>75</v>
      </c>
      <c r="ADC83">
        <f t="shared" si="114"/>
        <v>75</v>
      </c>
      <c r="ADD83">
        <f t="shared" si="114"/>
        <v>75</v>
      </c>
      <c r="ADE83">
        <f t="shared" si="114"/>
        <v>75</v>
      </c>
      <c r="ADF83">
        <f t="shared" si="114"/>
        <v>75</v>
      </c>
      <c r="ADG83">
        <f t="shared" si="114"/>
        <v>75</v>
      </c>
      <c r="ADH83">
        <f t="shared" si="114"/>
        <v>75</v>
      </c>
      <c r="ADI83">
        <f t="shared" si="114"/>
        <v>75</v>
      </c>
      <c r="ADJ83">
        <f t="shared" si="114"/>
        <v>75</v>
      </c>
      <c r="ADK83">
        <f t="shared" si="114"/>
        <v>75</v>
      </c>
      <c r="ADL83">
        <f t="shared" si="114"/>
        <v>75</v>
      </c>
      <c r="ADM83">
        <f t="shared" si="114"/>
        <v>75</v>
      </c>
      <c r="ADN83">
        <f t="shared" si="114"/>
        <v>75</v>
      </c>
      <c r="ADO83">
        <f t="shared" si="114"/>
        <v>75</v>
      </c>
      <c r="ADP83">
        <f t="shared" si="114"/>
        <v>75</v>
      </c>
      <c r="ADQ83">
        <f t="shared" si="114"/>
        <v>75</v>
      </c>
      <c r="ADR83">
        <f t="shared" si="114"/>
        <v>75</v>
      </c>
      <c r="ADS83">
        <f t="shared" si="114"/>
        <v>75</v>
      </c>
      <c r="ADT83">
        <f t="shared" si="114"/>
        <v>75</v>
      </c>
      <c r="ADU83">
        <f t="shared" si="114"/>
        <v>75</v>
      </c>
      <c r="ADV83">
        <f t="shared" si="114"/>
        <v>75</v>
      </c>
      <c r="ADW83">
        <f t="shared" si="114"/>
        <v>75</v>
      </c>
      <c r="ADX83">
        <f t="shared" si="114"/>
        <v>75</v>
      </c>
      <c r="ADY83">
        <f t="shared" si="114"/>
        <v>75</v>
      </c>
      <c r="ADZ83">
        <f t="shared" si="114"/>
        <v>75</v>
      </c>
      <c r="AEA83">
        <f t="shared" si="114"/>
        <v>75</v>
      </c>
      <c r="AEB83">
        <f t="shared" si="114"/>
        <v>75</v>
      </c>
      <c r="AEC83">
        <f t="shared" si="114"/>
        <v>75</v>
      </c>
      <c r="AED83">
        <f t="shared" si="114"/>
        <v>75</v>
      </c>
      <c r="AEE83">
        <f t="shared" si="114"/>
        <v>75</v>
      </c>
      <c r="AEF83">
        <f t="shared" si="114"/>
        <v>75</v>
      </c>
      <c r="AEG83">
        <f t="shared" si="114"/>
        <v>75</v>
      </c>
      <c r="AEH83">
        <f t="shared" si="114"/>
        <v>75</v>
      </c>
      <c r="AEI83">
        <f t="shared" si="114"/>
        <v>75</v>
      </c>
      <c r="AEJ83">
        <f t="shared" si="114"/>
        <v>75</v>
      </c>
      <c r="AEK83">
        <f t="shared" si="114"/>
        <v>75</v>
      </c>
      <c r="AEL83">
        <f t="shared" si="114"/>
        <v>75</v>
      </c>
      <c r="AEM83">
        <f t="shared" si="114"/>
        <v>75</v>
      </c>
      <c r="AEN83">
        <f t="shared" si="114"/>
        <v>75</v>
      </c>
      <c r="AEO83">
        <f t="shared" si="114"/>
        <v>75</v>
      </c>
      <c r="AEP83">
        <f t="shared" si="114"/>
        <v>75</v>
      </c>
      <c r="AEQ83">
        <f t="shared" si="114"/>
        <v>75</v>
      </c>
      <c r="AER83">
        <f t="shared" si="114"/>
        <v>75</v>
      </c>
      <c r="AES83">
        <f t="shared" si="114"/>
        <v>75</v>
      </c>
      <c r="AET83">
        <f t="shared" si="114"/>
        <v>75</v>
      </c>
      <c r="AEU83">
        <f t="shared" si="114"/>
        <v>75</v>
      </c>
      <c r="AEV83">
        <f t="shared" si="114"/>
        <v>75</v>
      </c>
      <c r="AEW83">
        <f t="shared" si="114"/>
        <v>75</v>
      </c>
      <c r="AEX83">
        <f t="shared" si="114"/>
        <v>75</v>
      </c>
      <c r="AEY83">
        <f t="shared" si="114"/>
        <v>75</v>
      </c>
      <c r="AEZ83">
        <f t="shared" si="114"/>
        <v>75</v>
      </c>
      <c r="AFA83">
        <f t="shared" si="114"/>
        <v>75</v>
      </c>
      <c r="AFB83">
        <f t="shared" si="114"/>
        <v>75</v>
      </c>
      <c r="AFC83">
        <f t="shared" ref="AFC83:AHN83" si="115">COUNTBLANK(AFC6:AFC81)</f>
        <v>75</v>
      </c>
      <c r="AFD83">
        <f t="shared" si="115"/>
        <v>75</v>
      </c>
      <c r="AFE83">
        <f t="shared" si="115"/>
        <v>75</v>
      </c>
      <c r="AFF83">
        <f t="shared" si="115"/>
        <v>75</v>
      </c>
      <c r="AFG83">
        <f t="shared" si="115"/>
        <v>75</v>
      </c>
      <c r="AFH83">
        <f t="shared" si="115"/>
        <v>75</v>
      </c>
      <c r="AFI83">
        <f t="shared" si="115"/>
        <v>75</v>
      </c>
      <c r="AFJ83">
        <f t="shared" si="115"/>
        <v>75</v>
      </c>
      <c r="AFK83">
        <f t="shared" si="115"/>
        <v>75</v>
      </c>
      <c r="AFL83">
        <f t="shared" si="115"/>
        <v>75</v>
      </c>
      <c r="AFM83">
        <f t="shared" si="115"/>
        <v>75</v>
      </c>
      <c r="AFN83">
        <f t="shared" si="115"/>
        <v>75</v>
      </c>
      <c r="AFO83">
        <f t="shared" si="115"/>
        <v>75</v>
      </c>
      <c r="AFP83">
        <f t="shared" si="115"/>
        <v>75</v>
      </c>
      <c r="AFQ83">
        <f t="shared" si="115"/>
        <v>75</v>
      </c>
      <c r="AFR83">
        <f t="shared" si="115"/>
        <v>75</v>
      </c>
      <c r="AFS83">
        <f t="shared" si="115"/>
        <v>75</v>
      </c>
      <c r="AFT83">
        <f t="shared" si="115"/>
        <v>75</v>
      </c>
      <c r="AFU83">
        <f t="shared" si="115"/>
        <v>75</v>
      </c>
      <c r="AFV83">
        <f t="shared" si="115"/>
        <v>75</v>
      </c>
      <c r="AFW83">
        <f t="shared" si="115"/>
        <v>75</v>
      </c>
      <c r="AFX83">
        <f t="shared" si="115"/>
        <v>75</v>
      </c>
      <c r="AFY83">
        <f t="shared" si="115"/>
        <v>75</v>
      </c>
      <c r="AFZ83">
        <f t="shared" si="115"/>
        <v>75</v>
      </c>
      <c r="AGA83">
        <f t="shared" si="115"/>
        <v>75</v>
      </c>
      <c r="AGB83">
        <f t="shared" si="115"/>
        <v>75</v>
      </c>
      <c r="AGC83">
        <f t="shared" si="115"/>
        <v>75</v>
      </c>
      <c r="AGD83">
        <f t="shared" si="115"/>
        <v>75</v>
      </c>
      <c r="AGE83">
        <f t="shared" si="115"/>
        <v>75</v>
      </c>
      <c r="AGF83">
        <f t="shared" si="115"/>
        <v>75</v>
      </c>
      <c r="AGG83">
        <f t="shared" si="115"/>
        <v>75</v>
      </c>
      <c r="AGH83">
        <f t="shared" si="115"/>
        <v>75</v>
      </c>
      <c r="AGI83">
        <f t="shared" si="115"/>
        <v>75</v>
      </c>
      <c r="AGJ83">
        <f t="shared" si="115"/>
        <v>75</v>
      </c>
      <c r="AGK83">
        <f t="shared" si="115"/>
        <v>75</v>
      </c>
      <c r="AGL83">
        <f t="shared" si="115"/>
        <v>75</v>
      </c>
      <c r="AGM83">
        <f t="shared" si="115"/>
        <v>75</v>
      </c>
      <c r="AGN83">
        <f t="shared" si="115"/>
        <v>75</v>
      </c>
      <c r="AGO83">
        <f t="shared" si="115"/>
        <v>75</v>
      </c>
      <c r="AGP83">
        <f t="shared" si="115"/>
        <v>75</v>
      </c>
      <c r="AGQ83">
        <f t="shared" si="115"/>
        <v>75</v>
      </c>
      <c r="AGR83">
        <f t="shared" si="115"/>
        <v>75</v>
      </c>
      <c r="AGS83">
        <f t="shared" si="115"/>
        <v>75</v>
      </c>
      <c r="AGT83">
        <f t="shared" si="115"/>
        <v>75</v>
      </c>
      <c r="AGU83">
        <f t="shared" si="115"/>
        <v>75</v>
      </c>
      <c r="AGV83">
        <f t="shared" si="115"/>
        <v>75</v>
      </c>
      <c r="AGW83">
        <f t="shared" si="115"/>
        <v>75</v>
      </c>
      <c r="AGX83">
        <f t="shared" si="115"/>
        <v>75</v>
      </c>
      <c r="AGY83">
        <f t="shared" si="115"/>
        <v>75</v>
      </c>
      <c r="AGZ83">
        <f t="shared" si="115"/>
        <v>75</v>
      </c>
      <c r="AHA83">
        <f t="shared" si="115"/>
        <v>75</v>
      </c>
      <c r="AHB83">
        <f t="shared" si="115"/>
        <v>75</v>
      </c>
      <c r="AHC83">
        <f t="shared" si="115"/>
        <v>75</v>
      </c>
      <c r="AHD83">
        <f t="shared" si="115"/>
        <v>75</v>
      </c>
      <c r="AHE83">
        <f t="shared" si="115"/>
        <v>75</v>
      </c>
      <c r="AHF83">
        <f t="shared" si="115"/>
        <v>75</v>
      </c>
      <c r="AHG83">
        <f t="shared" si="115"/>
        <v>75</v>
      </c>
      <c r="AHH83">
        <f t="shared" si="115"/>
        <v>75</v>
      </c>
      <c r="AHI83">
        <f t="shared" si="115"/>
        <v>75</v>
      </c>
      <c r="AHJ83">
        <f t="shared" si="115"/>
        <v>75</v>
      </c>
      <c r="AHK83">
        <f t="shared" si="115"/>
        <v>75</v>
      </c>
      <c r="AHL83">
        <f t="shared" si="115"/>
        <v>75</v>
      </c>
      <c r="AHM83">
        <f t="shared" si="115"/>
        <v>75</v>
      </c>
      <c r="AHN83">
        <f t="shared" si="115"/>
        <v>75</v>
      </c>
      <c r="AHO83">
        <f t="shared" ref="AHO83:AJZ83" si="116">COUNTBLANK(AHO6:AHO81)</f>
        <v>75</v>
      </c>
      <c r="AHP83">
        <f t="shared" si="116"/>
        <v>75</v>
      </c>
      <c r="AHQ83">
        <f t="shared" si="116"/>
        <v>75</v>
      </c>
      <c r="AHR83">
        <f t="shared" si="116"/>
        <v>75</v>
      </c>
      <c r="AHS83">
        <f t="shared" si="116"/>
        <v>75</v>
      </c>
      <c r="AHT83">
        <f t="shared" si="116"/>
        <v>75</v>
      </c>
      <c r="AHU83">
        <f t="shared" si="116"/>
        <v>75</v>
      </c>
      <c r="AHV83">
        <f t="shared" si="116"/>
        <v>75</v>
      </c>
      <c r="AHW83">
        <f t="shared" si="116"/>
        <v>75</v>
      </c>
      <c r="AHX83">
        <f t="shared" si="116"/>
        <v>75</v>
      </c>
      <c r="AHY83">
        <f t="shared" si="116"/>
        <v>75</v>
      </c>
      <c r="AHZ83">
        <f t="shared" si="116"/>
        <v>75</v>
      </c>
      <c r="AIA83">
        <f t="shared" si="116"/>
        <v>75</v>
      </c>
      <c r="AIB83">
        <f t="shared" si="116"/>
        <v>75</v>
      </c>
      <c r="AIC83">
        <f t="shared" si="116"/>
        <v>75</v>
      </c>
      <c r="AID83">
        <f t="shared" si="116"/>
        <v>75</v>
      </c>
      <c r="AIE83">
        <f t="shared" si="116"/>
        <v>75</v>
      </c>
      <c r="AIF83">
        <f t="shared" si="116"/>
        <v>75</v>
      </c>
      <c r="AIG83">
        <f t="shared" si="116"/>
        <v>75</v>
      </c>
      <c r="AIH83">
        <f t="shared" si="116"/>
        <v>75</v>
      </c>
      <c r="AII83">
        <f t="shared" si="116"/>
        <v>75</v>
      </c>
      <c r="AIJ83">
        <f t="shared" si="116"/>
        <v>75</v>
      </c>
      <c r="AIK83">
        <f t="shared" si="116"/>
        <v>75</v>
      </c>
      <c r="AIL83">
        <f t="shared" si="116"/>
        <v>75</v>
      </c>
      <c r="AIM83">
        <f t="shared" si="116"/>
        <v>75</v>
      </c>
      <c r="AIN83">
        <f t="shared" si="116"/>
        <v>75</v>
      </c>
      <c r="AIO83">
        <f t="shared" si="116"/>
        <v>75</v>
      </c>
      <c r="AIP83">
        <f t="shared" si="116"/>
        <v>75</v>
      </c>
      <c r="AIQ83">
        <f t="shared" si="116"/>
        <v>75</v>
      </c>
      <c r="AIR83">
        <f t="shared" si="116"/>
        <v>75</v>
      </c>
      <c r="AIS83">
        <f t="shared" si="116"/>
        <v>75</v>
      </c>
      <c r="AIT83">
        <f t="shared" si="116"/>
        <v>75</v>
      </c>
      <c r="AIU83">
        <f t="shared" si="116"/>
        <v>75</v>
      </c>
      <c r="AIV83">
        <f t="shared" si="116"/>
        <v>75</v>
      </c>
      <c r="AIW83">
        <f t="shared" si="116"/>
        <v>75</v>
      </c>
      <c r="AIX83">
        <f t="shared" si="116"/>
        <v>75</v>
      </c>
      <c r="AIY83">
        <f t="shared" si="116"/>
        <v>75</v>
      </c>
      <c r="AIZ83">
        <f t="shared" si="116"/>
        <v>75</v>
      </c>
      <c r="AJA83">
        <f t="shared" si="116"/>
        <v>75</v>
      </c>
      <c r="AJB83">
        <f t="shared" si="116"/>
        <v>75</v>
      </c>
      <c r="AJC83">
        <f t="shared" si="116"/>
        <v>75</v>
      </c>
      <c r="AJD83">
        <f t="shared" si="116"/>
        <v>75</v>
      </c>
      <c r="AJE83">
        <f t="shared" si="116"/>
        <v>75</v>
      </c>
      <c r="AJF83">
        <f t="shared" si="116"/>
        <v>75</v>
      </c>
      <c r="AJG83">
        <f t="shared" si="116"/>
        <v>75</v>
      </c>
      <c r="AJH83">
        <f t="shared" si="116"/>
        <v>75</v>
      </c>
      <c r="AJI83">
        <f t="shared" si="116"/>
        <v>75</v>
      </c>
      <c r="AJJ83">
        <f t="shared" si="116"/>
        <v>75</v>
      </c>
      <c r="AJK83">
        <f t="shared" si="116"/>
        <v>75</v>
      </c>
      <c r="AJL83">
        <f t="shared" si="116"/>
        <v>75</v>
      </c>
      <c r="AJM83">
        <f t="shared" si="116"/>
        <v>75</v>
      </c>
      <c r="AJN83">
        <f t="shared" si="116"/>
        <v>75</v>
      </c>
      <c r="AJO83">
        <f t="shared" si="116"/>
        <v>75</v>
      </c>
      <c r="AJP83">
        <f t="shared" si="116"/>
        <v>75</v>
      </c>
      <c r="AJQ83">
        <f t="shared" si="116"/>
        <v>75</v>
      </c>
      <c r="AJR83">
        <f t="shared" si="116"/>
        <v>75</v>
      </c>
      <c r="AJS83">
        <f t="shared" si="116"/>
        <v>75</v>
      </c>
      <c r="AJT83">
        <f t="shared" si="116"/>
        <v>75</v>
      </c>
      <c r="AJU83">
        <f t="shared" si="116"/>
        <v>75</v>
      </c>
      <c r="AJV83">
        <f t="shared" si="116"/>
        <v>75</v>
      </c>
      <c r="AJW83">
        <f t="shared" si="116"/>
        <v>75</v>
      </c>
      <c r="AJX83">
        <f t="shared" si="116"/>
        <v>75</v>
      </c>
      <c r="AJY83">
        <f t="shared" si="116"/>
        <v>75</v>
      </c>
      <c r="AJZ83">
        <f t="shared" si="116"/>
        <v>75</v>
      </c>
      <c r="AKA83">
        <f t="shared" ref="AKA83:AML83" si="117">COUNTBLANK(AKA6:AKA81)</f>
        <v>75</v>
      </c>
      <c r="AKB83">
        <f t="shared" si="117"/>
        <v>75</v>
      </c>
      <c r="AKC83">
        <f t="shared" si="117"/>
        <v>75</v>
      </c>
      <c r="AKD83">
        <f t="shared" si="117"/>
        <v>75</v>
      </c>
      <c r="AKE83">
        <f t="shared" si="117"/>
        <v>75</v>
      </c>
      <c r="AKF83">
        <f t="shared" si="117"/>
        <v>75</v>
      </c>
      <c r="AKG83">
        <f t="shared" si="117"/>
        <v>75</v>
      </c>
      <c r="AKH83">
        <f t="shared" si="117"/>
        <v>75</v>
      </c>
      <c r="AKI83">
        <f t="shared" si="117"/>
        <v>75</v>
      </c>
      <c r="AKJ83">
        <f t="shared" si="117"/>
        <v>75</v>
      </c>
      <c r="AKK83">
        <f t="shared" si="117"/>
        <v>75</v>
      </c>
      <c r="AKL83">
        <f t="shared" si="117"/>
        <v>75</v>
      </c>
      <c r="AKM83">
        <f t="shared" si="117"/>
        <v>75</v>
      </c>
      <c r="AKN83">
        <f t="shared" si="117"/>
        <v>75</v>
      </c>
      <c r="AKO83">
        <f t="shared" si="117"/>
        <v>75</v>
      </c>
      <c r="AKP83">
        <f t="shared" si="117"/>
        <v>75</v>
      </c>
      <c r="AKQ83">
        <f t="shared" si="117"/>
        <v>75</v>
      </c>
      <c r="AKR83">
        <f t="shared" si="117"/>
        <v>75</v>
      </c>
      <c r="AKS83">
        <f t="shared" si="117"/>
        <v>75</v>
      </c>
      <c r="AKT83">
        <f t="shared" si="117"/>
        <v>75</v>
      </c>
      <c r="AKU83">
        <f t="shared" si="117"/>
        <v>75</v>
      </c>
      <c r="AKV83">
        <f t="shared" si="117"/>
        <v>75</v>
      </c>
      <c r="AKW83">
        <f t="shared" si="117"/>
        <v>75</v>
      </c>
      <c r="AKX83">
        <f t="shared" si="117"/>
        <v>75</v>
      </c>
      <c r="AKY83">
        <f t="shared" si="117"/>
        <v>75</v>
      </c>
      <c r="AKZ83">
        <f t="shared" si="117"/>
        <v>75</v>
      </c>
      <c r="ALA83">
        <f t="shared" si="117"/>
        <v>75</v>
      </c>
      <c r="ALB83">
        <f t="shared" si="117"/>
        <v>75</v>
      </c>
      <c r="ALC83">
        <f t="shared" si="117"/>
        <v>75</v>
      </c>
      <c r="ALD83">
        <f t="shared" si="117"/>
        <v>75</v>
      </c>
      <c r="ALE83">
        <f t="shared" si="117"/>
        <v>75</v>
      </c>
      <c r="ALF83">
        <f t="shared" si="117"/>
        <v>75</v>
      </c>
      <c r="ALG83">
        <f t="shared" si="117"/>
        <v>75</v>
      </c>
      <c r="ALH83">
        <f t="shared" si="117"/>
        <v>75</v>
      </c>
      <c r="ALI83">
        <f t="shared" si="117"/>
        <v>75</v>
      </c>
      <c r="ALJ83">
        <f t="shared" si="117"/>
        <v>75</v>
      </c>
      <c r="ALK83">
        <f t="shared" si="117"/>
        <v>75</v>
      </c>
      <c r="ALL83">
        <f t="shared" si="117"/>
        <v>75</v>
      </c>
      <c r="ALM83">
        <f t="shared" si="117"/>
        <v>75</v>
      </c>
      <c r="ALN83">
        <f t="shared" si="117"/>
        <v>75</v>
      </c>
      <c r="ALO83">
        <f t="shared" si="117"/>
        <v>75</v>
      </c>
      <c r="ALP83">
        <f t="shared" si="117"/>
        <v>75</v>
      </c>
      <c r="ALQ83">
        <f t="shared" si="117"/>
        <v>75</v>
      </c>
      <c r="ALR83">
        <f t="shared" si="117"/>
        <v>75</v>
      </c>
      <c r="ALS83">
        <f t="shared" si="117"/>
        <v>75</v>
      </c>
      <c r="ALT83">
        <f t="shared" si="117"/>
        <v>75</v>
      </c>
      <c r="ALU83">
        <f t="shared" si="117"/>
        <v>75</v>
      </c>
      <c r="ALV83">
        <f t="shared" si="117"/>
        <v>75</v>
      </c>
      <c r="ALW83">
        <f t="shared" si="117"/>
        <v>75</v>
      </c>
      <c r="ALX83">
        <f t="shared" si="117"/>
        <v>75</v>
      </c>
      <c r="ALY83">
        <f t="shared" si="117"/>
        <v>75</v>
      </c>
      <c r="ALZ83">
        <f t="shared" si="117"/>
        <v>75</v>
      </c>
      <c r="AMA83">
        <f t="shared" si="117"/>
        <v>75</v>
      </c>
      <c r="AMB83">
        <f t="shared" si="117"/>
        <v>75</v>
      </c>
      <c r="AMC83">
        <f t="shared" si="117"/>
        <v>75</v>
      </c>
      <c r="AMD83">
        <f t="shared" si="117"/>
        <v>75</v>
      </c>
      <c r="AME83">
        <f t="shared" si="117"/>
        <v>75</v>
      </c>
      <c r="AMF83">
        <f t="shared" si="117"/>
        <v>75</v>
      </c>
      <c r="AMG83">
        <f t="shared" si="117"/>
        <v>75</v>
      </c>
      <c r="AMH83">
        <f t="shared" si="117"/>
        <v>75</v>
      </c>
      <c r="AMI83">
        <f t="shared" si="117"/>
        <v>75</v>
      </c>
      <c r="AMJ83">
        <f t="shared" si="117"/>
        <v>75</v>
      </c>
      <c r="AMK83">
        <f t="shared" si="117"/>
        <v>75</v>
      </c>
      <c r="AML83">
        <f t="shared" si="117"/>
        <v>75</v>
      </c>
      <c r="AMM83">
        <f t="shared" ref="AMM83:AOX83" si="118">COUNTBLANK(AMM6:AMM81)</f>
        <v>75</v>
      </c>
      <c r="AMN83">
        <f t="shared" si="118"/>
        <v>75</v>
      </c>
      <c r="AMO83">
        <f t="shared" si="118"/>
        <v>75</v>
      </c>
      <c r="AMP83">
        <f t="shared" si="118"/>
        <v>75</v>
      </c>
      <c r="AMQ83">
        <f t="shared" si="118"/>
        <v>75</v>
      </c>
      <c r="AMR83">
        <f t="shared" si="118"/>
        <v>75</v>
      </c>
      <c r="AMS83">
        <f t="shared" si="118"/>
        <v>75</v>
      </c>
      <c r="AMT83">
        <f t="shared" si="118"/>
        <v>75</v>
      </c>
      <c r="AMU83">
        <f t="shared" si="118"/>
        <v>75</v>
      </c>
      <c r="AMV83">
        <f t="shared" si="118"/>
        <v>75</v>
      </c>
      <c r="AMW83">
        <f t="shared" si="118"/>
        <v>75</v>
      </c>
      <c r="AMX83">
        <f t="shared" si="118"/>
        <v>75</v>
      </c>
      <c r="AMY83">
        <f t="shared" si="118"/>
        <v>75</v>
      </c>
      <c r="AMZ83">
        <f t="shared" si="118"/>
        <v>75</v>
      </c>
      <c r="ANA83">
        <f t="shared" si="118"/>
        <v>75</v>
      </c>
      <c r="ANB83">
        <f t="shared" si="118"/>
        <v>75</v>
      </c>
      <c r="ANC83">
        <f t="shared" si="118"/>
        <v>75</v>
      </c>
      <c r="AND83">
        <f t="shared" si="118"/>
        <v>75</v>
      </c>
      <c r="ANE83">
        <f t="shared" si="118"/>
        <v>75</v>
      </c>
      <c r="ANF83">
        <f t="shared" si="118"/>
        <v>75</v>
      </c>
      <c r="ANG83">
        <f t="shared" si="118"/>
        <v>75</v>
      </c>
      <c r="ANH83">
        <f t="shared" si="118"/>
        <v>75</v>
      </c>
      <c r="ANI83">
        <f t="shared" si="118"/>
        <v>75</v>
      </c>
      <c r="ANJ83">
        <f t="shared" si="118"/>
        <v>75</v>
      </c>
      <c r="ANK83">
        <f t="shared" si="118"/>
        <v>75</v>
      </c>
      <c r="ANL83">
        <f t="shared" si="118"/>
        <v>75</v>
      </c>
      <c r="ANM83">
        <f t="shared" si="118"/>
        <v>75</v>
      </c>
      <c r="ANN83">
        <f t="shared" si="118"/>
        <v>75</v>
      </c>
      <c r="ANO83">
        <f t="shared" si="118"/>
        <v>75</v>
      </c>
      <c r="ANP83">
        <f t="shared" si="118"/>
        <v>75</v>
      </c>
      <c r="ANQ83">
        <f t="shared" si="118"/>
        <v>75</v>
      </c>
      <c r="ANR83">
        <f t="shared" si="118"/>
        <v>75</v>
      </c>
      <c r="ANS83">
        <f t="shared" si="118"/>
        <v>75</v>
      </c>
      <c r="ANT83">
        <f t="shared" si="118"/>
        <v>75</v>
      </c>
      <c r="ANU83">
        <f t="shared" si="118"/>
        <v>75</v>
      </c>
      <c r="ANV83">
        <f t="shared" si="118"/>
        <v>75</v>
      </c>
      <c r="ANW83">
        <f t="shared" si="118"/>
        <v>75</v>
      </c>
      <c r="ANX83">
        <f t="shared" si="118"/>
        <v>75</v>
      </c>
      <c r="ANY83">
        <f t="shared" si="118"/>
        <v>75</v>
      </c>
      <c r="ANZ83">
        <f t="shared" si="118"/>
        <v>75</v>
      </c>
      <c r="AOA83">
        <f t="shared" si="118"/>
        <v>75</v>
      </c>
      <c r="AOB83">
        <f t="shared" si="118"/>
        <v>75</v>
      </c>
      <c r="AOC83">
        <f t="shared" si="118"/>
        <v>75</v>
      </c>
      <c r="AOD83">
        <f t="shared" si="118"/>
        <v>75</v>
      </c>
      <c r="AOE83">
        <f t="shared" si="118"/>
        <v>75</v>
      </c>
      <c r="AOF83">
        <f t="shared" si="118"/>
        <v>75</v>
      </c>
      <c r="AOG83">
        <f t="shared" si="118"/>
        <v>75</v>
      </c>
      <c r="AOH83">
        <f t="shared" si="118"/>
        <v>75</v>
      </c>
      <c r="AOI83">
        <f t="shared" si="118"/>
        <v>75</v>
      </c>
      <c r="AOJ83">
        <f t="shared" si="118"/>
        <v>75</v>
      </c>
      <c r="AOK83">
        <f t="shared" si="118"/>
        <v>75</v>
      </c>
      <c r="AOL83">
        <f t="shared" si="118"/>
        <v>75</v>
      </c>
      <c r="AOM83">
        <f t="shared" si="118"/>
        <v>75</v>
      </c>
      <c r="AON83">
        <f t="shared" si="118"/>
        <v>75</v>
      </c>
      <c r="AOO83">
        <f t="shared" si="118"/>
        <v>75</v>
      </c>
      <c r="AOP83">
        <f t="shared" si="118"/>
        <v>75</v>
      </c>
      <c r="AOQ83">
        <f t="shared" si="118"/>
        <v>75</v>
      </c>
      <c r="AOR83">
        <f t="shared" si="118"/>
        <v>75</v>
      </c>
      <c r="AOS83">
        <f t="shared" si="118"/>
        <v>75</v>
      </c>
      <c r="AOT83">
        <f t="shared" si="118"/>
        <v>75</v>
      </c>
      <c r="AOU83">
        <f t="shared" si="118"/>
        <v>75</v>
      </c>
      <c r="AOV83">
        <f t="shared" si="118"/>
        <v>75</v>
      </c>
      <c r="AOW83">
        <f t="shared" si="118"/>
        <v>75</v>
      </c>
      <c r="AOX83">
        <f t="shared" si="118"/>
        <v>75</v>
      </c>
      <c r="AOY83">
        <f t="shared" ref="AOY83:ARJ83" si="119">COUNTBLANK(AOY6:AOY81)</f>
        <v>75</v>
      </c>
      <c r="AOZ83">
        <f t="shared" si="119"/>
        <v>75</v>
      </c>
      <c r="APA83">
        <f t="shared" si="119"/>
        <v>75</v>
      </c>
      <c r="APB83">
        <f t="shared" si="119"/>
        <v>75</v>
      </c>
      <c r="APC83">
        <f t="shared" si="119"/>
        <v>75</v>
      </c>
      <c r="APD83">
        <f t="shared" si="119"/>
        <v>75</v>
      </c>
      <c r="APE83">
        <f t="shared" si="119"/>
        <v>75</v>
      </c>
      <c r="APF83">
        <f t="shared" si="119"/>
        <v>75</v>
      </c>
      <c r="APG83">
        <f t="shared" si="119"/>
        <v>75</v>
      </c>
      <c r="APH83">
        <f t="shared" si="119"/>
        <v>75</v>
      </c>
      <c r="API83">
        <f t="shared" si="119"/>
        <v>75</v>
      </c>
      <c r="APJ83">
        <f t="shared" si="119"/>
        <v>75</v>
      </c>
      <c r="APK83">
        <f t="shared" si="119"/>
        <v>75</v>
      </c>
      <c r="APL83">
        <f t="shared" si="119"/>
        <v>75</v>
      </c>
      <c r="APM83">
        <f t="shared" si="119"/>
        <v>75</v>
      </c>
      <c r="APN83">
        <f t="shared" si="119"/>
        <v>75</v>
      </c>
      <c r="APO83">
        <f t="shared" si="119"/>
        <v>75</v>
      </c>
      <c r="APP83">
        <f t="shared" si="119"/>
        <v>75</v>
      </c>
      <c r="APQ83">
        <f t="shared" si="119"/>
        <v>75</v>
      </c>
      <c r="APR83">
        <f t="shared" si="119"/>
        <v>75</v>
      </c>
      <c r="APS83">
        <f t="shared" si="119"/>
        <v>75</v>
      </c>
      <c r="APT83">
        <f t="shared" si="119"/>
        <v>75</v>
      </c>
      <c r="APU83">
        <f t="shared" si="119"/>
        <v>75</v>
      </c>
      <c r="APV83">
        <f t="shared" si="119"/>
        <v>75</v>
      </c>
      <c r="APW83">
        <f t="shared" si="119"/>
        <v>75</v>
      </c>
      <c r="APX83">
        <f t="shared" si="119"/>
        <v>75</v>
      </c>
      <c r="APY83">
        <f t="shared" si="119"/>
        <v>75</v>
      </c>
      <c r="APZ83">
        <f t="shared" si="119"/>
        <v>75</v>
      </c>
      <c r="AQA83">
        <f t="shared" si="119"/>
        <v>75</v>
      </c>
      <c r="AQB83">
        <f t="shared" si="119"/>
        <v>75</v>
      </c>
      <c r="AQC83">
        <f t="shared" si="119"/>
        <v>75</v>
      </c>
      <c r="AQD83">
        <f t="shared" si="119"/>
        <v>75</v>
      </c>
      <c r="AQE83">
        <f t="shared" si="119"/>
        <v>75</v>
      </c>
      <c r="AQF83">
        <f t="shared" si="119"/>
        <v>75</v>
      </c>
      <c r="AQG83">
        <f t="shared" si="119"/>
        <v>75</v>
      </c>
      <c r="AQH83">
        <f t="shared" si="119"/>
        <v>75</v>
      </c>
      <c r="AQI83">
        <f t="shared" si="119"/>
        <v>75</v>
      </c>
      <c r="AQJ83">
        <f t="shared" si="119"/>
        <v>75</v>
      </c>
      <c r="AQK83">
        <f t="shared" si="119"/>
        <v>75</v>
      </c>
      <c r="AQL83">
        <f t="shared" si="119"/>
        <v>75</v>
      </c>
      <c r="AQM83">
        <f t="shared" si="119"/>
        <v>75</v>
      </c>
      <c r="AQN83">
        <f t="shared" si="119"/>
        <v>75</v>
      </c>
      <c r="AQO83">
        <f t="shared" si="119"/>
        <v>75</v>
      </c>
      <c r="AQP83">
        <f t="shared" si="119"/>
        <v>75</v>
      </c>
      <c r="AQQ83">
        <f t="shared" si="119"/>
        <v>75</v>
      </c>
      <c r="AQR83">
        <f t="shared" si="119"/>
        <v>75</v>
      </c>
      <c r="AQS83">
        <f t="shared" si="119"/>
        <v>75</v>
      </c>
      <c r="AQT83">
        <f t="shared" si="119"/>
        <v>75</v>
      </c>
      <c r="AQU83">
        <f t="shared" si="119"/>
        <v>75</v>
      </c>
      <c r="AQV83">
        <f t="shared" si="119"/>
        <v>75</v>
      </c>
      <c r="AQW83">
        <f t="shared" si="119"/>
        <v>75</v>
      </c>
      <c r="AQX83">
        <f t="shared" si="119"/>
        <v>75</v>
      </c>
      <c r="AQY83">
        <f t="shared" si="119"/>
        <v>75</v>
      </c>
      <c r="AQZ83">
        <f t="shared" si="119"/>
        <v>75</v>
      </c>
      <c r="ARA83">
        <f t="shared" si="119"/>
        <v>75</v>
      </c>
      <c r="ARB83">
        <f t="shared" si="119"/>
        <v>75</v>
      </c>
      <c r="ARC83">
        <f t="shared" si="119"/>
        <v>75</v>
      </c>
      <c r="ARD83">
        <f t="shared" si="119"/>
        <v>75</v>
      </c>
      <c r="ARE83">
        <f t="shared" si="119"/>
        <v>75</v>
      </c>
      <c r="ARF83">
        <f t="shared" si="119"/>
        <v>75</v>
      </c>
      <c r="ARG83">
        <f t="shared" si="119"/>
        <v>75</v>
      </c>
      <c r="ARH83">
        <f t="shared" si="119"/>
        <v>75</v>
      </c>
      <c r="ARI83">
        <f t="shared" si="119"/>
        <v>75</v>
      </c>
      <c r="ARJ83">
        <f t="shared" si="119"/>
        <v>75</v>
      </c>
      <c r="ARK83">
        <f t="shared" ref="ARK83:ATV83" si="120">COUNTBLANK(ARK6:ARK81)</f>
        <v>75</v>
      </c>
      <c r="ARL83">
        <f t="shared" si="120"/>
        <v>75</v>
      </c>
      <c r="ARM83">
        <f t="shared" si="120"/>
        <v>75</v>
      </c>
      <c r="ARN83">
        <f t="shared" si="120"/>
        <v>75</v>
      </c>
      <c r="ARO83">
        <f t="shared" si="120"/>
        <v>75</v>
      </c>
      <c r="ARP83">
        <f t="shared" si="120"/>
        <v>75</v>
      </c>
      <c r="ARQ83">
        <f t="shared" si="120"/>
        <v>75</v>
      </c>
      <c r="ARR83">
        <f t="shared" si="120"/>
        <v>75</v>
      </c>
      <c r="ARS83">
        <f t="shared" si="120"/>
        <v>75</v>
      </c>
      <c r="ART83">
        <f t="shared" si="120"/>
        <v>75</v>
      </c>
      <c r="ARU83">
        <f t="shared" si="120"/>
        <v>75</v>
      </c>
      <c r="ARV83">
        <f t="shared" si="120"/>
        <v>75</v>
      </c>
      <c r="ARW83">
        <f t="shared" si="120"/>
        <v>75</v>
      </c>
      <c r="ARX83">
        <f t="shared" si="120"/>
        <v>75</v>
      </c>
      <c r="ARY83">
        <f t="shared" si="120"/>
        <v>75</v>
      </c>
      <c r="ARZ83">
        <f t="shared" si="120"/>
        <v>75</v>
      </c>
      <c r="ASA83">
        <f t="shared" si="120"/>
        <v>75</v>
      </c>
      <c r="ASB83">
        <f t="shared" si="120"/>
        <v>75</v>
      </c>
      <c r="ASC83">
        <f t="shared" si="120"/>
        <v>75</v>
      </c>
      <c r="ASD83">
        <f t="shared" si="120"/>
        <v>75</v>
      </c>
      <c r="ASE83">
        <f t="shared" si="120"/>
        <v>75</v>
      </c>
      <c r="ASF83">
        <f t="shared" si="120"/>
        <v>75</v>
      </c>
      <c r="ASG83">
        <f t="shared" si="120"/>
        <v>75</v>
      </c>
      <c r="ASH83">
        <f t="shared" si="120"/>
        <v>74</v>
      </c>
      <c r="ASI83">
        <f t="shared" si="120"/>
        <v>74</v>
      </c>
      <c r="ASJ83">
        <f t="shared" si="120"/>
        <v>74</v>
      </c>
      <c r="ASK83">
        <f t="shared" si="120"/>
        <v>74</v>
      </c>
      <c r="ASL83">
        <f t="shared" si="120"/>
        <v>74</v>
      </c>
      <c r="ASM83">
        <f t="shared" si="120"/>
        <v>74</v>
      </c>
      <c r="ASN83">
        <f t="shared" si="120"/>
        <v>74</v>
      </c>
      <c r="ASO83">
        <f t="shared" si="120"/>
        <v>74</v>
      </c>
      <c r="ASP83">
        <f t="shared" si="120"/>
        <v>74</v>
      </c>
      <c r="ASQ83">
        <f t="shared" si="120"/>
        <v>74</v>
      </c>
      <c r="ASR83">
        <f t="shared" si="120"/>
        <v>74</v>
      </c>
      <c r="ASS83">
        <f t="shared" si="120"/>
        <v>74</v>
      </c>
      <c r="AST83">
        <f t="shared" si="120"/>
        <v>74</v>
      </c>
      <c r="ASU83">
        <f t="shared" si="120"/>
        <v>74</v>
      </c>
      <c r="ASV83">
        <f t="shared" si="120"/>
        <v>74</v>
      </c>
      <c r="ASW83">
        <f t="shared" si="120"/>
        <v>74</v>
      </c>
      <c r="ASX83">
        <f t="shared" si="120"/>
        <v>75</v>
      </c>
      <c r="ASY83">
        <f t="shared" si="120"/>
        <v>75</v>
      </c>
      <c r="ASZ83">
        <f t="shared" si="120"/>
        <v>75</v>
      </c>
      <c r="ATA83">
        <f t="shared" si="120"/>
        <v>75</v>
      </c>
      <c r="ATB83">
        <f t="shared" si="120"/>
        <v>75</v>
      </c>
      <c r="ATC83">
        <f t="shared" si="120"/>
        <v>75</v>
      </c>
      <c r="ATD83">
        <f t="shared" si="120"/>
        <v>75</v>
      </c>
      <c r="ATE83">
        <f t="shared" si="120"/>
        <v>75</v>
      </c>
      <c r="ATF83">
        <f t="shared" si="120"/>
        <v>75</v>
      </c>
      <c r="ATG83">
        <f t="shared" si="120"/>
        <v>75</v>
      </c>
      <c r="ATH83">
        <f t="shared" si="120"/>
        <v>75</v>
      </c>
      <c r="ATI83">
        <f t="shared" si="120"/>
        <v>75</v>
      </c>
      <c r="ATJ83">
        <f t="shared" si="120"/>
        <v>75</v>
      </c>
      <c r="ATK83">
        <f t="shared" si="120"/>
        <v>75</v>
      </c>
      <c r="ATL83">
        <f t="shared" si="120"/>
        <v>75</v>
      </c>
      <c r="ATM83">
        <f t="shared" si="120"/>
        <v>75</v>
      </c>
      <c r="ATN83">
        <f t="shared" si="120"/>
        <v>75</v>
      </c>
      <c r="ATO83">
        <f t="shared" si="120"/>
        <v>75</v>
      </c>
      <c r="ATP83">
        <f t="shared" si="120"/>
        <v>75</v>
      </c>
      <c r="ATQ83">
        <f t="shared" si="120"/>
        <v>75</v>
      </c>
      <c r="ATR83">
        <f t="shared" si="120"/>
        <v>75</v>
      </c>
      <c r="ATS83">
        <f t="shared" si="120"/>
        <v>75</v>
      </c>
      <c r="ATT83">
        <f t="shared" si="120"/>
        <v>75</v>
      </c>
      <c r="ATU83">
        <f t="shared" si="120"/>
        <v>75</v>
      </c>
      <c r="ATV83">
        <f t="shared" si="120"/>
        <v>75</v>
      </c>
      <c r="ATW83">
        <f t="shared" ref="ATW83:AWH83" si="121">COUNTBLANK(ATW6:ATW81)</f>
        <v>75</v>
      </c>
      <c r="ATX83">
        <f t="shared" si="121"/>
        <v>75</v>
      </c>
      <c r="ATY83">
        <f t="shared" si="121"/>
        <v>75</v>
      </c>
      <c r="ATZ83">
        <f t="shared" si="121"/>
        <v>75</v>
      </c>
      <c r="AUA83">
        <f t="shared" si="121"/>
        <v>75</v>
      </c>
      <c r="AUB83">
        <f t="shared" si="121"/>
        <v>75</v>
      </c>
      <c r="AUC83">
        <f t="shared" si="121"/>
        <v>75</v>
      </c>
      <c r="AUD83">
        <f t="shared" si="121"/>
        <v>75</v>
      </c>
      <c r="AUE83">
        <f t="shared" si="121"/>
        <v>75</v>
      </c>
      <c r="AUF83">
        <f t="shared" si="121"/>
        <v>75</v>
      </c>
      <c r="AUG83">
        <f t="shared" si="121"/>
        <v>75</v>
      </c>
      <c r="AUH83">
        <f t="shared" si="121"/>
        <v>75</v>
      </c>
      <c r="AUI83">
        <f t="shared" si="121"/>
        <v>75</v>
      </c>
      <c r="AUJ83">
        <f t="shared" si="121"/>
        <v>75</v>
      </c>
      <c r="AUK83">
        <f t="shared" si="121"/>
        <v>75</v>
      </c>
      <c r="AUL83">
        <f t="shared" si="121"/>
        <v>75</v>
      </c>
      <c r="AUM83">
        <f t="shared" si="121"/>
        <v>75</v>
      </c>
      <c r="AUN83">
        <f t="shared" si="121"/>
        <v>75</v>
      </c>
      <c r="AUO83">
        <f t="shared" si="121"/>
        <v>75</v>
      </c>
      <c r="AUP83">
        <f t="shared" si="121"/>
        <v>75</v>
      </c>
      <c r="AUQ83">
        <f t="shared" si="121"/>
        <v>75</v>
      </c>
      <c r="AUR83">
        <f t="shared" si="121"/>
        <v>75</v>
      </c>
      <c r="AUS83">
        <f t="shared" si="121"/>
        <v>75</v>
      </c>
      <c r="AUT83">
        <f t="shared" si="121"/>
        <v>75</v>
      </c>
      <c r="AUU83">
        <f t="shared" si="121"/>
        <v>75</v>
      </c>
      <c r="AUV83">
        <f t="shared" si="121"/>
        <v>75</v>
      </c>
      <c r="AUW83">
        <f t="shared" si="121"/>
        <v>75</v>
      </c>
      <c r="AUX83">
        <f t="shared" si="121"/>
        <v>75</v>
      </c>
      <c r="AUY83">
        <f t="shared" si="121"/>
        <v>75</v>
      </c>
      <c r="AUZ83">
        <f t="shared" si="121"/>
        <v>75</v>
      </c>
      <c r="AVA83">
        <f t="shared" si="121"/>
        <v>75</v>
      </c>
      <c r="AVB83">
        <f t="shared" si="121"/>
        <v>75</v>
      </c>
      <c r="AVC83">
        <f t="shared" si="121"/>
        <v>75</v>
      </c>
      <c r="AVD83">
        <f t="shared" si="121"/>
        <v>75</v>
      </c>
      <c r="AVE83">
        <f t="shared" si="121"/>
        <v>75</v>
      </c>
      <c r="AVF83">
        <f t="shared" si="121"/>
        <v>75</v>
      </c>
      <c r="AVG83">
        <f t="shared" si="121"/>
        <v>75</v>
      </c>
      <c r="AVH83">
        <f t="shared" si="121"/>
        <v>75</v>
      </c>
      <c r="AVI83">
        <f t="shared" si="121"/>
        <v>75</v>
      </c>
      <c r="AVJ83">
        <f t="shared" si="121"/>
        <v>75</v>
      </c>
      <c r="AVK83">
        <f t="shared" si="121"/>
        <v>75</v>
      </c>
      <c r="AVL83">
        <f t="shared" si="121"/>
        <v>75</v>
      </c>
      <c r="AVM83">
        <f t="shared" si="121"/>
        <v>75</v>
      </c>
      <c r="AVN83">
        <f t="shared" si="121"/>
        <v>75</v>
      </c>
      <c r="AVO83">
        <f t="shared" si="121"/>
        <v>75</v>
      </c>
      <c r="AVP83">
        <f t="shared" si="121"/>
        <v>75</v>
      </c>
      <c r="AVQ83">
        <f t="shared" si="121"/>
        <v>75</v>
      </c>
      <c r="AVR83">
        <f t="shared" si="121"/>
        <v>75</v>
      </c>
      <c r="AVS83">
        <f t="shared" si="121"/>
        <v>75</v>
      </c>
      <c r="AVT83">
        <f t="shared" si="121"/>
        <v>75</v>
      </c>
      <c r="AVU83">
        <f t="shared" si="121"/>
        <v>75</v>
      </c>
      <c r="AVV83">
        <f t="shared" si="121"/>
        <v>75</v>
      </c>
      <c r="AVW83">
        <f t="shared" si="121"/>
        <v>75</v>
      </c>
      <c r="AVX83">
        <f t="shared" si="121"/>
        <v>75</v>
      </c>
      <c r="AVY83">
        <f t="shared" si="121"/>
        <v>75</v>
      </c>
      <c r="AVZ83">
        <f t="shared" si="121"/>
        <v>75</v>
      </c>
      <c r="AWA83">
        <f t="shared" si="121"/>
        <v>75</v>
      </c>
      <c r="AWB83">
        <f t="shared" si="121"/>
        <v>75</v>
      </c>
      <c r="AWC83">
        <f t="shared" si="121"/>
        <v>75</v>
      </c>
      <c r="AWD83">
        <f t="shared" si="121"/>
        <v>75</v>
      </c>
      <c r="AWE83">
        <f t="shared" si="121"/>
        <v>75</v>
      </c>
      <c r="AWF83">
        <f t="shared" si="121"/>
        <v>75</v>
      </c>
      <c r="AWG83">
        <f t="shared" si="121"/>
        <v>75</v>
      </c>
      <c r="AWH83">
        <f t="shared" si="121"/>
        <v>75</v>
      </c>
      <c r="AWI83">
        <f t="shared" ref="AWI83:AYT83" si="122">COUNTBLANK(AWI6:AWI81)</f>
        <v>75</v>
      </c>
      <c r="AWJ83">
        <f t="shared" si="122"/>
        <v>75</v>
      </c>
      <c r="AWK83">
        <f t="shared" si="122"/>
        <v>75</v>
      </c>
      <c r="AWL83">
        <f t="shared" si="122"/>
        <v>75</v>
      </c>
      <c r="AWM83">
        <f t="shared" si="122"/>
        <v>75</v>
      </c>
      <c r="AWN83">
        <f t="shared" si="122"/>
        <v>75</v>
      </c>
      <c r="AWO83">
        <f t="shared" si="122"/>
        <v>75</v>
      </c>
      <c r="AWP83">
        <f t="shared" si="122"/>
        <v>75</v>
      </c>
      <c r="AWQ83">
        <f t="shared" si="122"/>
        <v>75</v>
      </c>
      <c r="AWR83">
        <f t="shared" si="122"/>
        <v>75</v>
      </c>
      <c r="AWS83">
        <f t="shared" si="122"/>
        <v>75</v>
      </c>
      <c r="AWT83">
        <f t="shared" si="122"/>
        <v>75</v>
      </c>
      <c r="AWU83">
        <f t="shared" si="122"/>
        <v>75</v>
      </c>
      <c r="AWV83">
        <f t="shared" si="122"/>
        <v>75</v>
      </c>
      <c r="AWW83">
        <f t="shared" si="122"/>
        <v>75</v>
      </c>
      <c r="AWX83">
        <f t="shared" si="122"/>
        <v>75</v>
      </c>
      <c r="AWY83">
        <f t="shared" si="122"/>
        <v>75</v>
      </c>
      <c r="AWZ83">
        <f t="shared" si="122"/>
        <v>75</v>
      </c>
      <c r="AXA83">
        <f t="shared" si="122"/>
        <v>75</v>
      </c>
      <c r="AXB83">
        <f t="shared" si="122"/>
        <v>75</v>
      </c>
      <c r="AXC83">
        <f t="shared" si="122"/>
        <v>75</v>
      </c>
      <c r="AXD83">
        <f t="shared" si="122"/>
        <v>75</v>
      </c>
      <c r="AXE83">
        <f t="shared" si="122"/>
        <v>75</v>
      </c>
      <c r="AXF83">
        <f t="shared" si="122"/>
        <v>75</v>
      </c>
      <c r="AXG83">
        <f t="shared" si="122"/>
        <v>75</v>
      </c>
      <c r="AXH83">
        <f t="shared" si="122"/>
        <v>75</v>
      </c>
      <c r="AXI83">
        <f t="shared" si="122"/>
        <v>75</v>
      </c>
      <c r="AXJ83">
        <f t="shared" si="122"/>
        <v>75</v>
      </c>
      <c r="AXK83">
        <f t="shared" si="122"/>
        <v>75</v>
      </c>
      <c r="AXL83">
        <f t="shared" si="122"/>
        <v>75</v>
      </c>
      <c r="AXM83">
        <f t="shared" si="122"/>
        <v>75</v>
      </c>
      <c r="AXN83">
        <f t="shared" si="122"/>
        <v>75</v>
      </c>
      <c r="AXO83">
        <f t="shared" si="122"/>
        <v>75</v>
      </c>
      <c r="AXP83">
        <f t="shared" si="122"/>
        <v>75</v>
      </c>
      <c r="AXQ83">
        <f t="shared" si="122"/>
        <v>75</v>
      </c>
      <c r="AXR83">
        <f t="shared" si="122"/>
        <v>75</v>
      </c>
      <c r="AXS83">
        <f t="shared" si="122"/>
        <v>75</v>
      </c>
      <c r="AXT83">
        <f t="shared" si="122"/>
        <v>75</v>
      </c>
      <c r="AXU83">
        <f t="shared" si="122"/>
        <v>75</v>
      </c>
      <c r="AXV83">
        <f t="shared" si="122"/>
        <v>75</v>
      </c>
      <c r="AXW83">
        <f t="shared" si="122"/>
        <v>75</v>
      </c>
      <c r="AXX83">
        <f t="shared" si="122"/>
        <v>75</v>
      </c>
      <c r="AXY83">
        <f t="shared" si="122"/>
        <v>75</v>
      </c>
      <c r="AXZ83">
        <f t="shared" si="122"/>
        <v>75</v>
      </c>
      <c r="AYA83">
        <f t="shared" si="122"/>
        <v>75</v>
      </c>
      <c r="AYB83">
        <f t="shared" si="122"/>
        <v>75</v>
      </c>
      <c r="AYC83">
        <f t="shared" si="122"/>
        <v>75</v>
      </c>
      <c r="AYD83">
        <f t="shared" si="122"/>
        <v>75</v>
      </c>
      <c r="AYE83">
        <f t="shared" si="122"/>
        <v>75</v>
      </c>
      <c r="AYF83">
        <f t="shared" si="122"/>
        <v>75</v>
      </c>
      <c r="AYG83">
        <f t="shared" si="122"/>
        <v>75</v>
      </c>
      <c r="AYH83">
        <f t="shared" si="122"/>
        <v>75</v>
      </c>
      <c r="AYI83">
        <f t="shared" si="122"/>
        <v>75</v>
      </c>
      <c r="AYJ83">
        <f t="shared" si="122"/>
        <v>75</v>
      </c>
      <c r="AYK83">
        <f t="shared" si="122"/>
        <v>75</v>
      </c>
      <c r="AYL83">
        <f t="shared" si="122"/>
        <v>75</v>
      </c>
      <c r="AYM83">
        <f t="shared" si="122"/>
        <v>75</v>
      </c>
      <c r="AYN83">
        <f t="shared" si="122"/>
        <v>75</v>
      </c>
      <c r="AYO83">
        <f t="shared" si="122"/>
        <v>75</v>
      </c>
      <c r="AYP83">
        <f t="shared" si="122"/>
        <v>75</v>
      </c>
      <c r="AYQ83">
        <f t="shared" si="122"/>
        <v>75</v>
      </c>
      <c r="AYR83">
        <f t="shared" si="122"/>
        <v>75</v>
      </c>
      <c r="AYS83">
        <f t="shared" si="122"/>
        <v>75</v>
      </c>
      <c r="AYT83">
        <f t="shared" si="122"/>
        <v>75</v>
      </c>
      <c r="AYU83">
        <f t="shared" ref="AYU83:BBF83" si="123">COUNTBLANK(AYU6:AYU81)</f>
        <v>75</v>
      </c>
      <c r="AYV83">
        <f t="shared" si="123"/>
        <v>75</v>
      </c>
      <c r="AYW83">
        <f t="shared" si="123"/>
        <v>75</v>
      </c>
      <c r="AYX83">
        <f t="shared" si="123"/>
        <v>75</v>
      </c>
      <c r="AYY83">
        <f t="shared" si="123"/>
        <v>75</v>
      </c>
      <c r="AYZ83">
        <f t="shared" si="123"/>
        <v>75</v>
      </c>
      <c r="AZA83">
        <f t="shared" si="123"/>
        <v>75</v>
      </c>
      <c r="AZB83">
        <f t="shared" si="123"/>
        <v>75</v>
      </c>
      <c r="AZC83">
        <f t="shared" si="123"/>
        <v>75</v>
      </c>
      <c r="AZD83">
        <f t="shared" si="123"/>
        <v>75</v>
      </c>
      <c r="AZE83">
        <f t="shared" si="123"/>
        <v>75</v>
      </c>
      <c r="AZF83">
        <f t="shared" si="123"/>
        <v>75</v>
      </c>
      <c r="AZG83">
        <f t="shared" si="123"/>
        <v>75</v>
      </c>
      <c r="AZH83">
        <f t="shared" si="123"/>
        <v>75</v>
      </c>
      <c r="AZI83">
        <f t="shared" si="123"/>
        <v>75</v>
      </c>
      <c r="AZJ83">
        <f t="shared" si="123"/>
        <v>75</v>
      </c>
      <c r="AZK83">
        <f t="shared" si="123"/>
        <v>75</v>
      </c>
      <c r="AZL83">
        <f t="shared" si="123"/>
        <v>75</v>
      </c>
      <c r="AZM83">
        <f t="shared" si="123"/>
        <v>75</v>
      </c>
      <c r="AZN83">
        <f t="shared" si="123"/>
        <v>75</v>
      </c>
      <c r="AZO83">
        <f t="shared" si="123"/>
        <v>75</v>
      </c>
      <c r="AZP83">
        <f t="shared" si="123"/>
        <v>75</v>
      </c>
      <c r="AZQ83">
        <f t="shared" si="123"/>
        <v>75</v>
      </c>
      <c r="AZR83">
        <f t="shared" si="123"/>
        <v>75</v>
      </c>
      <c r="AZS83">
        <f t="shared" si="123"/>
        <v>75</v>
      </c>
      <c r="AZT83">
        <f t="shared" si="123"/>
        <v>75</v>
      </c>
      <c r="AZU83">
        <f t="shared" si="123"/>
        <v>75</v>
      </c>
      <c r="AZV83">
        <f t="shared" si="123"/>
        <v>75</v>
      </c>
      <c r="AZW83">
        <f t="shared" si="123"/>
        <v>75</v>
      </c>
      <c r="AZX83">
        <f t="shared" si="123"/>
        <v>75</v>
      </c>
      <c r="AZY83">
        <f t="shared" si="123"/>
        <v>75</v>
      </c>
      <c r="AZZ83">
        <f t="shared" si="123"/>
        <v>75</v>
      </c>
      <c r="BAA83">
        <f t="shared" si="123"/>
        <v>75</v>
      </c>
      <c r="BAB83">
        <f t="shared" si="123"/>
        <v>75</v>
      </c>
      <c r="BAC83">
        <f t="shared" si="123"/>
        <v>75</v>
      </c>
      <c r="BAD83">
        <f t="shared" si="123"/>
        <v>75</v>
      </c>
      <c r="BAE83">
        <f t="shared" si="123"/>
        <v>75</v>
      </c>
      <c r="BAF83">
        <f t="shared" si="123"/>
        <v>75</v>
      </c>
      <c r="BAG83">
        <f t="shared" si="123"/>
        <v>75</v>
      </c>
      <c r="BAH83">
        <f t="shared" si="123"/>
        <v>75</v>
      </c>
      <c r="BAI83">
        <f t="shared" si="123"/>
        <v>75</v>
      </c>
      <c r="BAJ83">
        <f t="shared" si="123"/>
        <v>75</v>
      </c>
      <c r="BAK83">
        <f t="shared" si="123"/>
        <v>75</v>
      </c>
      <c r="BAL83">
        <f t="shared" si="123"/>
        <v>75</v>
      </c>
      <c r="BAM83">
        <f t="shared" si="123"/>
        <v>75</v>
      </c>
      <c r="BAN83">
        <f t="shared" si="123"/>
        <v>75</v>
      </c>
      <c r="BAO83">
        <f t="shared" si="123"/>
        <v>75</v>
      </c>
      <c r="BAP83">
        <f t="shared" si="123"/>
        <v>75</v>
      </c>
      <c r="BAQ83">
        <f t="shared" si="123"/>
        <v>75</v>
      </c>
      <c r="BAR83">
        <f t="shared" si="123"/>
        <v>75</v>
      </c>
      <c r="BAS83">
        <f t="shared" si="123"/>
        <v>75</v>
      </c>
      <c r="BAT83">
        <f t="shared" si="123"/>
        <v>75</v>
      </c>
      <c r="BAU83">
        <f t="shared" si="123"/>
        <v>75</v>
      </c>
      <c r="BAV83">
        <f t="shared" si="123"/>
        <v>75</v>
      </c>
      <c r="BAW83">
        <f t="shared" si="123"/>
        <v>75</v>
      </c>
      <c r="BAX83">
        <f t="shared" si="123"/>
        <v>75</v>
      </c>
      <c r="BAY83">
        <f t="shared" si="123"/>
        <v>75</v>
      </c>
      <c r="BAZ83">
        <f t="shared" si="123"/>
        <v>75</v>
      </c>
      <c r="BBA83">
        <f t="shared" si="123"/>
        <v>75</v>
      </c>
      <c r="BBB83">
        <f t="shared" si="123"/>
        <v>75</v>
      </c>
      <c r="BBC83">
        <f t="shared" si="123"/>
        <v>75</v>
      </c>
      <c r="BBD83">
        <f t="shared" si="123"/>
        <v>75</v>
      </c>
      <c r="BBE83">
        <f t="shared" si="123"/>
        <v>74</v>
      </c>
      <c r="BBF83">
        <f t="shared" si="123"/>
        <v>74</v>
      </c>
      <c r="BBG83">
        <f t="shared" ref="BBG83:BDR83" si="124">COUNTBLANK(BBG6:BBG81)</f>
        <v>74</v>
      </c>
      <c r="BBH83">
        <f t="shared" si="124"/>
        <v>74</v>
      </c>
      <c r="BBI83">
        <f t="shared" si="124"/>
        <v>74</v>
      </c>
      <c r="BBJ83">
        <f t="shared" si="124"/>
        <v>74</v>
      </c>
      <c r="BBK83">
        <f t="shared" si="124"/>
        <v>74</v>
      </c>
      <c r="BBL83">
        <f t="shared" si="124"/>
        <v>74</v>
      </c>
      <c r="BBM83">
        <f t="shared" si="124"/>
        <v>74</v>
      </c>
      <c r="BBN83">
        <f t="shared" si="124"/>
        <v>75</v>
      </c>
      <c r="BBO83">
        <f t="shared" si="124"/>
        <v>75</v>
      </c>
      <c r="BBP83">
        <f t="shared" si="124"/>
        <v>75</v>
      </c>
      <c r="BBQ83">
        <f t="shared" si="124"/>
        <v>75</v>
      </c>
      <c r="BBR83">
        <f t="shared" si="124"/>
        <v>75</v>
      </c>
      <c r="BBS83">
        <f t="shared" si="124"/>
        <v>75</v>
      </c>
      <c r="BBT83">
        <f t="shared" si="124"/>
        <v>75</v>
      </c>
      <c r="BBU83">
        <f t="shared" si="124"/>
        <v>75</v>
      </c>
      <c r="BBV83">
        <f t="shared" si="124"/>
        <v>75</v>
      </c>
      <c r="BBW83">
        <f t="shared" si="124"/>
        <v>75</v>
      </c>
      <c r="BBX83">
        <f t="shared" si="124"/>
        <v>75</v>
      </c>
      <c r="BBY83">
        <f t="shared" si="124"/>
        <v>75</v>
      </c>
      <c r="BBZ83">
        <f t="shared" si="124"/>
        <v>75</v>
      </c>
      <c r="BCA83">
        <f t="shared" si="124"/>
        <v>75</v>
      </c>
      <c r="BCB83">
        <f t="shared" si="124"/>
        <v>75</v>
      </c>
      <c r="BCC83">
        <f t="shared" si="124"/>
        <v>75</v>
      </c>
      <c r="BCD83">
        <f t="shared" si="124"/>
        <v>75</v>
      </c>
      <c r="BCE83">
        <f t="shared" si="124"/>
        <v>75</v>
      </c>
      <c r="BCF83">
        <f t="shared" si="124"/>
        <v>75</v>
      </c>
      <c r="BCG83">
        <f t="shared" si="124"/>
        <v>75</v>
      </c>
      <c r="BCH83">
        <f t="shared" si="124"/>
        <v>75</v>
      </c>
      <c r="BCI83">
        <f t="shared" si="124"/>
        <v>75</v>
      </c>
      <c r="BCJ83">
        <f t="shared" si="124"/>
        <v>75</v>
      </c>
      <c r="BCK83">
        <f t="shared" si="124"/>
        <v>75</v>
      </c>
      <c r="BCL83">
        <f t="shared" si="124"/>
        <v>75</v>
      </c>
      <c r="BCM83">
        <f t="shared" si="124"/>
        <v>75</v>
      </c>
      <c r="BCN83">
        <f t="shared" si="124"/>
        <v>75</v>
      </c>
      <c r="BCO83">
        <f t="shared" si="124"/>
        <v>75</v>
      </c>
      <c r="BCP83">
        <f t="shared" si="124"/>
        <v>75</v>
      </c>
      <c r="BCQ83">
        <f t="shared" si="124"/>
        <v>75</v>
      </c>
      <c r="BCR83">
        <f t="shared" si="124"/>
        <v>75</v>
      </c>
      <c r="BCS83">
        <f t="shared" si="124"/>
        <v>75</v>
      </c>
      <c r="BCT83">
        <f t="shared" si="124"/>
        <v>75</v>
      </c>
      <c r="BCU83">
        <f t="shared" si="124"/>
        <v>75</v>
      </c>
      <c r="BCV83">
        <f t="shared" si="124"/>
        <v>75</v>
      </c>
      <c r="BCW83">
        <f t="shared" si="124"/>
        <v>75</v>
      </c>
      <c r="BCX83">
        <f t="shared" si="124"/>
        <v>75</v>
      </c>
      <c r="BCY83">
        <f t="shared" si="124"/>
        <v>75</v>
      </c>
      <c r="BCZ83">
        <f t="shared" si="124"/>
        <v>75</v>
      </c>
      <c r="BDA83">
        <f t="shared" si="124"/>
        <v>75</v>
      </c>
      <c r="BDB83">
        <f t="shared" si="124"/>
        <v>75</v>
      </c>
      <c r="BDC83">
        <f t="shared" si="124"/>
        <v>75</v>
      </c>
      <c r="BDD83">
        <f t="shared" si="124"/>
        <v>75</v>
      </c>
      <c r="BDE83">
        <f t="shared" si="124"/>
        <v>75</v>
      </c>
      <c r="BDF83">
        <f t="shared" si="124"/>
        <v>75</v>
      </c>
      <c r="BDG83">
        <f t="shared" si="124"/>
        <v>75</v>
      </c>
      <c r="BDH83">
        <f t="shared" si="124"/>
        <v>75</v>
      </c>
      <c r="BDI83">
        <f t="shared" si="124"/>
        <v>75</v>
      </c>
      <c r="BDJ83">
        <f t="shared" si="124"/>
        <v>75</v>
      </c>
      <c r="BDK83">
        <f t="shared" si="124"/>
        <v>75</v>
      </c>
      <c r="BDL83">
        <f t="shared" si="124"/>
        <v>75</v>
      </c>
      <c r="BDM83">
        <f t="shared" si="124"/>
        <v>75</v>
      </c>
      <c r="BDN83">
        <f t="shared" si="124"/>
        <v>75</v>
      </c>
      <c r="BDO83">
        <f t="shared" si="124"/>
        <v>75</v>
      </c>
      <c r="BDP83">
        <f t="shared" si="124"/>
        <v>75</v>
      </c>
      <c r="BDQ83">
        <f t="shared" si="124"/>
        <v>75</v>
      </c>
      <c r="BDR83">
        <f t="shared" si="124"/>
        <v>75</v>
      </c>
      <c r="BDS83">
        <f t="shared" ref="BDS83:BGD83" si="125">COUNTBLANK(BDS6:BDS81)</f>
        <v>75</v>
      </c>
      <c r="BDT83">
        <f t="shared" si="125"/>
        <v>75</v>
      </c>
      <c r="BDU83">
        <f t="shared" si="125"/>
        <v>75</v>
      </c>
      <c r="BDV83">
        <f t="shared" si="125"/>
        <v>75</v>
      </c>
      <c r="BDW83">
        <f t="shared" si="125"/>
        <v>75</v>
      </c>
      <c r="BDX83">
        <f t="shared" si="125"/>
        <v>75</v>
      </c>
      <c r="BDY83">
        <f t="shared" si="125"/>
        <v>75</v>
      </c>
      <c r="BDZ83">
        <f t="shared" si="125"/>
        <v>75</v>
      </c>
      <c r="BEA83">
        <f t="shared" si="125"/>
        <v>75</v>
      </c>
      <c r="BEB83">
        <f t="shared" si="125"/>
        <v>75</v>
      </c>
      <c r="BEC83">
        <f t="shared" si="125"/>
        <v>75</v>
      </c>
      <c r="BED83">
        <f t="shared" si="125"/>
        <v>75</v>
      </c>
      <c r="BEE83">
        <f t="shared" si="125"/>
        <v>75</v>
      </c>
      <c r="BEF83">
        <f t="shared" si="125"/>
        <v>75</v>
      </c>
      <c r="BEG83">
        <f t="shared" si="125"/>
        <v>75</v>
      </c>
      <c r="BEH83">
        <f t="shared" si="125"/>
        <v>75</v>
      </c>
      <c r="BEI83">
        <f t="shared" si="125"/>
        <v>75</v>
      </c>
      <c r="BEJ83">
        <f t="shared" si="125"/>
        <v>75</v>
      </c>
      <c r="BEK83">
        <f t="shared" si="125"/>
        <v>75</v>
      </c>
      <c r="BEL83">
        <f t="shared" si="125"/>
        <v>75</v>
      </c>
      <c r="BEM83">
        <f t="shared" si="125"/>
        <v>75</v>
      </c>
      <c r="BEN83">
        <f t="shared" si="125"/>
        <v>75</v>
      </c>
      <c r="BEO83">
        <f t="shared" si="125"/>
        <v>75</v>
      </c>
      <c r="BEP83">
        <f t="shared" si="125"/>
        <v>75</v>
      </c>
      <c r="BEQ83">
        <f t="shared" si="125"/>
        <v>75</v>
      </c>
      <c r="BER83">
        <f t="shared" si="125"/>
        <v>75</v>
      </c>
      <c r="BES83">
        <f t="shared" si="125"/>
        <v>75</v>
      </c>
      <c r="BET83">
        <f t="shared" si="125"/>
        <v>75</v>
      </c>
      <c r="BEU83">
        <f t="shared" si="125"/>
        <v>75</v>
      </c>
      <c r="BEV83">
        <f t="shared" si="125"/>
        <v>75</v>
      </c>
      <c r="BEW83">
        <f t="shared" si="125"/>
        <v>75</v>
      </c>
      <c r="BEX83">
        <f t="shared" si="125"/>
        <v>75</v>
      </c>
      <c r="BEY83">
        <f t="shared" si="125"/>
        <v>75</v>
      </c>
      <c r="BEZ83">
        <f t="shared" si="125"/>
        <v>75</v>
      </c>
      <c r="BFA83">
        <f t="shared" si="125"/>
        <v>75</v>
      </c>
      <c r="BFB83">
        <f t="shared" si="125"/>
        <v>75</v>
      </c>
      <c r="BFC83">
        <f t="shared" si="125"/>
        <v>75</v>
      </c>
      <c r="BFD83">
        <f t="shared" si="125"/>
        <v>75</v>
      </c>
      <c r="BFE83">
        <f t="shared" si="125"/>
        <v>75</v>
      </c>
      <c r="BFF83">
        <f t="shared" si="125"/>
        <v>75</v>
      </c>
      <c r="BFG83">
        <f t="shared" si="125"/>
        <v>75</v>
      </c>
      <c r="BFH83">
        <f t="shared" si="125"/>
        <v>75</v>
      </c>
      <c r="BFI83">
        <f t="shared" si="125"/>
        <v>75</v>
      </c>
      <c r="BFJ83">
        <f t="shared" si="125"/>
        <v>75</v>
      </c>
      <c r="BFK83">
        <f t="shared" si="125"/>
        <v>75</v>
      </c>
      <c r="BFL83">
        <f t="shared" si="125"/>
        <v>75</v>
      </c>
      <c r="BFM83">
        <f t="shared" si="125"/>
        <v>75</v>
      </c>
      <c r="BFN83">
        <f t="shared" si="125"/>
        <v>75</v>
      </c>
      <c r="BFO83">
        <f t="shared" si="125"/>
        <v>75</v>
      </c>
      <c r="BFP83">
        <f t="shared" si="125"/>
        <v>75</v>
      </c>
      <c r="BFQ83">
        <f t="shared" si="125"/>
        <v>75</v>
      </c>
      <c r="BFR83">
        <f t="shared" si="125"/>
        <v>75</v>
      </c>
      <c r="BFS83">
        <f t="shared" si="125"/>
        <v>75</v>
      </c>
      <c r="BFT83">
        <f t="shared" si="125"/>
        <v>75</v>
      </c>
      <c r="BFU83">
        <f t="shared" si="125"/>
        <v>75</v>
      </c>
      <c r="BFV83">
        <f t="shared" si="125"/>
        <v>75</v>
      </c>
      <c r="BFW83">
        <f t="shared" si="125"/>
        <v>75</v>
      </c>
      <c r="BFX83">
        <f t="shared" si="125"/>
        <v>75</v>
      </c>
      <c r="BFY83">
        <f t="shared" si="125"/>
        <v>75</v>
      </c>
      <c r="BFZ83">
        <f t="shared" si="125"/>
        <v>75</v>
      </c>
      <c r="BGA83">
        <f t="shared" si="125"/>
        <v>75</v>
      </c>
      <c r="BGB83">
        <f t="shared" si="125"/>
        <v>75</v>
      </c>
      <c r="BGC83">
        <f t="shared" si="125"/>
        <v>75</v>
      </c>
      <c r="BGD83">
        <f t="shared" si="125"/>
        <v>75</v>
      </c>
      <c r="BGE83">
        <f t="shared" ref="BGE83:BIP83" si="126">COUNTBLANK(BGE6:BGE81)</f>
        <v>75</v>
      </c>
      <c r="BGF83">
        <f t="shared" si="126"/>
        <v>75</v>
      </c>
      <c r="BGG83">
        <f t="shared" si="126"/>
        <v>75</v>
      </c>
      <c r="BGH83">
        <f t="shared" si="126"/>
        <v>75</v>
      </c>
      <c r="BGI83">
        <f t="shared" si="126"/>
        <v>75</v>
      </c>
      <c r="BGJ83">
        <f t="shared" si="126"/>
        <v>75</v>
      </c>
      <c r="BGK83">
        <f t="shared" si="126"/>
        <v>75</v>
      </c>
      <c r="BGL83">
        <f t="shared" si="126"/>
        <v>75</v>
      </c>
      <c r="BGM83">
        <f t="shared" si="126"/>
        <v>75</v>
      </c>
      <c r="BGN83">
        <f t="shared" si="126"/>
        <v>75</v>
      </c>
      <c r="BGO83">
        <f t="shared" si="126"/>
        <v>75</v>
      </c>
      <c r="BGP83">
        <f t="shared" si="126"/>
        <v>75</v>
      </c>
      <c r="BGQ83">
        <f t="shared" si="126"/>
        <v>75</v>
      </c>
      <c r="BGR83">
        <f t="shared" si="126"/>
        <v>75</v>
      </c>
      <c r="BGS83">
        <f t="shared" si="126"/>
        <v>75</v>
      </c>
      <c r="BGT83">
        <f t="shared" si="126"/>
        <v>75</v>
      </c>
      <c r="BGU83">
        <f t="shared" si="126"/>
        <v>75</v>
      </c>
      <c r="BGV83">
        <f t="shared" si="126"/>
        <v>75</v>
      </c>
      <c r="BGW83">
        <f t="shared" si="126"/>
        <v>75</v>
      </c>
      <c r="BGX83">
        <f t="shared" si="126"/>
        <v>75</v>
      </c>
      <c r="BGY83">
        <f t="shared" si="126"/>
        <v>75</v>
      </c>
      <c r="BGZ83">
        <f t="shared" si="126"/>
        <v>75</v>
      </c>
      <c r="BHA83">
        <f t="shared" si="126"/>
        <v>75</v>
      </c>
      <c r="BHB83">
        <f t="shared" si="126"/>
        <v>75</v>
      </c>
      <c r="BHC83">
        <f t="shared" si="126"/>
        <v>75</v>
      </c>
      <c r="BHD83">
        <f t="shared" si="126"/>
        <v>75</v>
      </c>
      <c r="BHE83">
        <f t="shared" si="126"/>
        <v>75</v>
      </c>
      <c r="BHF83">
        <f t="shared" si="126"/>
        <v>75</v>
      </c>
      <c r="BHG83">
        <f t="shared" si="126"/>
        <v>75</v>
      </c>
      <c r="BHH83">
        <f t="shared" si="126"/>
        <v>75</v>
      </c>
      <c r="BHI83">
        <f t="shared" si="126"/>
        <v>75</v>
      </c>
      <c r="BHJ83">
        <f t="shared" si="126"/>
        <v>75</v>
      </c>
      <c r="BHK83">
        <f t="shared" si="126"/>
        <v>75</v>
      </c>
      <c r="BHL83">
        <f t="shared" si="126"/>
        <v>75</v>
      </c>
      <c r="BHM83">
        <f t="shared" si="126"/>
        <v>75</v>
      </c>
      <c r="BHN83">
        <f t="shared" si="126"/>
        <v>75</v>
      </c>
      <c r="BHO83">
        <f t="shared" si="126"/>
        <v>75</v>
      </c>
      <c r="BHP83">
        <f t="shared" si="126"/>
        <v>75</v>
      </c>
      <c r="BHQ83">
        <f t="shared" si="126"/>
        <v>75</v>
      </c>
      <c r="BHR83">
        <f t="shared" si="126"/>
        <v>75</v>
      </c>
      <c r="BHS83">
        <f t="shared" si="126"/>
        <v>75</v>
      </c>
      <c r="BHT83">
        <f t="shared" si="126"/>
        <v>75</v>
      </c>
      <c r="BHU83">
        <f t="shared" si="126"/>
        <v>75</v>
      </c>
      <c r="BHV83">
        <f t="shared" si="126"/>
        <v>75</v>
      </c>
      <c r="BHW83">
        <f t="shared" si="126"/>
        <v>75</v>
      </c>
      <c r="BHX83">
        <f t="shared" si="126"/>
        <v>75</v>
      </c>
      <c r="BHY83">
        <f t="shared" si="126"/>
        <v>75</v>
      </c>
      <c r="BHZ83">
        <f t="shared" si="126"/>
        <v>75</v>
      </c>
      <c r="BIA83">
        <f t="shared" si="126"/>
        <v>75</v>
      </c>
      <c r="BIB83">
        <f t="shared" si="126"/>
        <v>75</v>
      </c>
      <c r="BIC83">
        <f t="shared" si="126"/>
        <v>75</v>
      </c>
      <c r="BID83">
        <f t="shared" si="126"/>
        <v>75</v>
      </c>
      <c r="BIE83">
        <f t="shared" si="126"/>
        <v>75</v>
      </c>
      <c r="BIF83">
        <f t="shared" si="126"/>
        <v>75</v>
      </c>
      <c r="BIG83">
        <f t="shared" si="126"/>
        <v>75</v>
      </c>
      <c r="BIH83">
        <f t="shared" si="126"/>
        <v>75</v>
      </c>
      <c r="BII83">
        <f t="shared" si="126"/>
        <v>75</v>
      </c>
      <c r="BIJ83">
        <f t="shared" si="126"/>
        <v>75</v>
      </c>
      <c r="BIK83">
        <f t="shared" si="126"/>
        <v>75</v>
      </c>
      <c r="BIL83">
        <f t="shared" si="126"/>
        <v>75</v>
      </c>
      <c r="BIM83">
        <f t="shared" si="126"/>
        <v>75</v>
      </c>
      <c r="BIN83">
        <f t="shared" si="126"/>
        <v>75</v>
      </c>
      <c r="BIO83">
        <f t="shared" si="126"/>
        <v>75</v>
      </c>
      <c r="BIP83">
        <f t="shared" si="126"/>
        <v>75</v>
      </c>
      <c r="BIQ83">
        <f t="shared" ref="BIQ83:BLB83" si="127">COUNTBLANK(BIQ6:BIQ81)</f>
        <v>75</v>
      </c>
      <c r="BIR83">
        <f t="shared" si="127"/>
        <v>75</v>
      </c>
      <c r="BIS83">
        <f t="shared" si="127"/>
        <v>75</v>
      </c>
      <c r="BIT83">
        <f t="shared" si="127"/>
        <v>75</v>
      </c>
      <c r="BIU83">
        <f t="shared" si="127"/>
        <v>75</v>
      </c>
      <c r="BIV83">
        <f t="shared" si="127"/>
        <v>75</v>
      </c>
      <c r="BIW83">
        <f t="shared" si="127"/>
        <v>75</v>
      </c>
      <c r="BIX83">
        <f t="shared" si="127"/>
        <v>75</v>
      </c>
      <c r="BIY83">
        <f t="shared" si="127"/>
        <v>75</v>
      </c>
      <c r="BIZ83">
        <f t="shared" si="127"/>
        <v>75</v>
      </c>
      <c r="BJA83">
        <f t="shared" si="127"/>
        <v>75</v>
      </c>
      <c r="BJB83">
        <f t="shared" si="127"/>
        <v>75</v>
      </c>
      <c r="BJC83">
        <f t="shared" si="127"/>
        <v>75</v>
      </c>
      <c r="BJD83">
        <f t="shared" si="127"/>
        <v>75</v>
      </c>
      <c r="BJE83">
        <f t="shared" si="127"/>
        <v>75</v>
      </c>
      <c r="BJF83">
        <f t="shared" si="127"/>
        <v>75</v>
      </c>
      <c r="BJG83">
        <f t="shared" si="127"/>
        <v>75</v>
      </c>
      <c r="BJH83">
        <f t="shared" si="127"/>
        <v>75</v>
      </c>
      <c r="BJI83">
        <f t="shared" si="127"/>
        <v>75</v>
      </c>
      <c r="BJJ83">
        <f t="shared" si="127"/>
        <v>75</v>
      </c>
      <c r="BJK83">
        <f t="shared" si="127"/>
        <v>75</v>
      </c>
      <c r="BJL83">
        <f t="shared" si="127"/>
        <v>75</v>
      </c>
      <c r="BJM83">
        <f t="shared" si="127"/>
        <v>75</v>
      </c>
      <c r="BJN83">
        <f t="shared" si="127"/>
        <v>75</v>
      </c>
      <c r="BJO83">
        <f t="shared" si="127"/>
        <v>75</v>
      </c>
      <c r="BJP83">
        <f t="shared" si="127"/>
        <v>75</v>
      </c>
      <c r="BJQ83">
        <f t="shared" si="127"/>
        <v>75</v>
      </c>
      <c r="BJR83">
        <f t="shared" si="127"/>
        <v>75</v>
      </c>
      <c r="BJS83">
        <f t="shared" si="127"/>
        <v>75</v>
      </c>
      <c r="BJT83">
        <f t="shared" si="127"/>
        <v>75</v>
      </c>
      <c r="BJU83">
        <f t="shared" si="127"/>
        <v>75</v>
      </c>
      <c r="BJV83">
        <f t="shared" si="127"/>
        <v>75</v>
      </c>
      <c r="BJW83">
        <f t="shared" si="127"/>
        <v>75</v>
      </c>
      <c r="BJX83">
        <f t="shared" si="127"/>
        <v>75</v>
      </c>
      <c r="BJY83">
        <f t="shared" si="127"/>
        <v>75</v>
      </c>
      <c r="BJZ83">
        <f t="shared" si="127"/>
        <v>75</v>
      </c>
      <c r="BKA83">
        <f t="shared" si="127"/>
        <v>75</v>
      </c>
      <c r="BKB83">
        <f t="shared" si="127"/>
        <v>75</v>
      </c>
      <c r="BKC83">
        <f t="shared" si="127"/>
        <v>75</v>
      </c>
      <c r="BKD83">
        <f t="shared" si="127"/>
        <v>75</v>
      </c>
      <c r="BKE83">
        <f t="shared" si="127"/>
        <v>75</v>
      </c>
      <c r="BKF83">
        <f t="shared" si="127"/>
        <v>75</v>
      </c>
      <c r="BKG83">
        <f t="shared" si="127"/>
        <v>75</v>
      </c>
      <c r="BKH83">
        <f t="shared" si="127"/>
        <v>75</v>
      </c>
      <c r="BKI83">
        <f t="shared" si="127"/>
        <v>75</v>
      </c>
      <c r="BKJ83">
        <f t="shared" si="127"/>
        <v>75</v>
      </c>
      <c r="BKK83">
        <f t="shared" si="127"/>
        <v>75</v>
      </c>
      <c r="BKL83">
        <f t="shared" si="127"/>
        <v>75</v>
      </c>
      <c r="BKM83">
        <f t="shared" si="127"/>
        <v>75</v>
      </c>
      <c r="BKN83">
        <f t="shared" si="127"/>
        <v>75</v>
      </c>
      <c r="BKO83">
        <f t="shared" si="127"/>
        <v>75</v>
      </c>
      <c r="BKP83">
        <f t="shared" si="127"/>
        <v>75</v>
      </c>
      <c r="BKQ83">
        <f t="shared" si="127"/>
        <v>75</v>
      </c>
      <c r="BKR83">
        <f t="shared" si="127"/>
        <v>75</v>
      </c>
      <c r="BKS83">
        <f t="shared" si="127"/>
        <v>75</v>
      </c>
      <c r="BKT83">
        <f t="shared" si="127"/>
        <v>75</v>
      </c>
      <c r="BKU83">
        <f t="shared" si="127"/>
        <v>75</v>
      </c>
      <c r="BKV83">
        <f t="shared" si="127"/>
        <v>75</v>
      </c>
      <c r="BKW83">
        <f t="shared" si="127"/>
        <v>75</v>
      </c>
      <c r="BKX83">
        <f t="shared" si="127"/>
        <v>75</v>
      </c>
      <c r="BKY83">
        <f t="shared" si="127"/>
        <v>75</v>
      </c>
      <c r="BKZ83">
        <f t="shared" si="127"/>
        <v>75</v>
      </c>
      <c r="BLA83">
        <f t="shared" si="127"/>
        <v>75</v>
      </c>
      <c r="BLB83">
        <f t="shared" si="127"/>
        <v>75</v>
      </c>
      <c r="BLC83">
        <f t="shared" ref="BLC83:BNN83" si="128">COUNTBLANK(BLC6:BLC81)</f>
        <v>75</v>
      </c>
      <c r="BLD83">
        <f t="shared" si="128"/>
        <v>75</v>
      </c>
      <c r="BLE83">
        <f t="shared" si="128"/>
        <v>75</v>
      </c>
      <c r="BLF83">
        <f t="shared" si="128"/>
        <v>75</v>
      </c>
      <c r="BLG83">
        <f t="shared" si="128"/>
        <v>75</v>
      </c>
      <c r="BLH83">
        <f t="shared" si="128"/>
        <v>75</v>
      </c>
      <c r="BLI83">
        <f t="shared" si="128"/>
        <v>75</v>
      </c>
      <c r="BLJ83">
        <f t="shared" si="128"/>
        <v>75</v>
      </c>
      <c r="BLK83">
        <f t="shared" si="128"/>
        <v>75</v>
      </c>
      <c r="BLL83">
        <f t="shared" si="128"/>
        <v>75</v>
      </c>
      <c r="BLM83">
        <f t="shared" si="128"/>
        <v>75</v>
      </c>
      <c r="BLN83">
        <f t="shared" si="128"/>
        <v>75</v>
      </c>
      <c r="BLO83">
        <f t="shared" si="128"/>
        <v>75</v>
      </c>
      <c r="BLP83">
        <f t="shared" si="128"/>
        <v>75</v>
      </c>
      <c r="BLQ83">
        <f t="shared" si="128"/>
        <v>75</v>
      </c>
      <c r="BLR83">
        <f t="shared" si="128"/>
        <v>75</v>
      </c>
      <c r="BLS83">
        <f t="shared" si="128"/>
        <v>75</v>
      </c>
      <c r="BLT83">
        <f t="shared" si="128"/>
        <v>75</v>
      </c>
      <c r="BLU83">
        <f t="shared" si="128"/>
        <v>75</v>
      </c>
      <c r="BLV83">
        <f t="shared" si="128"/>
        <v>75</v>
      </c>
      <c r="BLW83">
        <f t="shared" si="128"/>
        <v>75</v>
      </c>
      <c r="BLX83">
        <f t="shared" si="128"/>
        <v>75</v>
      </c>
      <c r="BLY83">
        <f t="shared" si="128"/>
        <v>75</v>
      </c>
      <c r="BLZ83">
        <f t="shared" si="128"/>
        <v>75</v>
      </c>
      <c r="BMA83">
        <f t="shared" si="128"/>
        <v>75</v>
      </c>
      <c r="BMB83">
        <f t="shared" si="128"/>
        <v>75</v>
      </c>
      <c r="BMC83">
        <f t="shared" si="128"/>
        <v>75</v>
      </c>
      <c r="BMD83">
        <f t="shared" si="128"/>
        <v>75</v>
      </c>
      <c r="BME83">
        <f t="shared" si="128"/>
        <v>75</v>
      </c>
      <c r="BMF83">
        <f t="shared" si="128"/>
        <v>75</v>
      </c>
      <c r="BMG83">
        <f t="shared" si="128"/>
        <v>75</v>
      </c>
      <c r="BMH83">
        <f t="shared" si="128"/>
        <v>75</v>
      </c>
      <c r="BMI83">
        <f t="shared" si="128"/>
        <v>75</v>
      </c>
      <c r="BMJ83">
        <f t="shared" si="128"/>
        <v>75</v>
      </c>
      <c r="BMK83">
        <f t="shared" si="128"/>
        <v>75</v>
      </c>
      <c r="BML83">
        <f t="shared" si="128"/>
        <v>75</v>
      </c>
      <c r="BMM83">
        <f t="shared" si="128"/>
        <v>75</v>
      </c>
      <c r="BMN83">
        <f t="shared" si="128"/>
        <v>75</v>
      </c>
      <c r="BMO83">
        <f t="shared" si="128"/>
        <v>75</v>
      </c>
      <c r="BMP83">
        <f t="shared" si="128"/>
        <v>75</v>
      </c>
      <c r="BMQ83">
        <f t="shared" si="128"/>
        <v>75</v>
      </c>
      <c r="BMR83">
        <f t="shared" si="128"/>
        <v>75</v>
      </c>
      <c r="BMS83">
        <f t="shared" si="128"/>
        <v>75</v>
      </c>
      <c r="BMT83">
        <f t="shared" si="128"/>
        <v>75</v>
      </c>
      <c r="BMU83">
        <f t="shared" si="128"/>
        <v>75</v>
      </c>
      <c r="BMV83">
        <f t="shared" si="128"/>
        <v>75</v>
      </c>
      <c r="BMW83">
        <f t="shared" si="128"/>
        <v>75</v>
      </c>
      <c r="BMX83">
        <f t="shared" si="128"/>
        <v>75</v>
      </c>
      <c r="BMY83">
        <f t="shared" si="128"/>
        <v>75</v>
      </c>
      <c r="BMZ83">
        <f t="shared" si="128"/>
        <v>75</v>
      </c>
      <c r="BNA83">
        <f t="shared" si="128"/>
        <v>75</v>
      </c>
      <c r="BNB83">
        <f t="shared" si="128"/>
        <v>75</v>
      </c>
      <c r="BNC83">
        <f t="shared" si="128"/>
        <v>75</v>
      </c>
      <c r="BND83">
        <f t="shared" si="128"/>
        <v>75</v>
      </c>
      <c r="BNE83">
        <f t="shared" si="128"/>
        <v>75</v>
      </c>
      <c r="BNF83">
        <f t="shared" si="128"/>
        <v>75</v>
      </c>
      <c r="BNG83">
        <f t="shared" si="128"/>
        <v>75</v>
      </c>
      <c r="BNH83">
        <f t="shared" si="128"/>
        <v>75</v>
      </c>
      <c r="BNI83">
        <f t="shared" si="128"/>
        <v>75</v>
      </c>
      <c r="BNJ83">
        <f t="shared" si="128"/>
        <v>75</v>
      </c>
      <c r="BNK83">
        <f t="shared" si="128"/>
        <v>75</v>
      </c>
      <c r="BNL83">
        <f t="shared" si="128"/>
        <v>75</v>
      </c>
      <c r="BNM83">
        <f t="shared" si="128"/>
        <v>75</v>
      </c>
      <c r="BNN83">
        <f t="shared" si="128"/>
        <v>75</v>
      </c>
      <c r="BNO83">
        <f t="shared" ref="BNO83:BPZ83" si="129">COUNTBLANK(BNO6:BNO81)</f>
        <v>75</v>
      </c>
      <c r="BNP83">
        <f t="shared" si="129"/>
        <v>75</v>
      </c>
      <c r="BNQ83">
        <f t="shared" si="129"/>
        <v>75</v>
      </c>
      <c r="BNR83">
        <f t="shared" si="129"/>
        <v>75</v>
      </c>
      <c r="BNS83">
        <f t="shared" si="129"/>
        <v>75</v>
      </c>
      <c r="BNT83">
        <f t="shared" si="129"/>
        <v>75</v>
      </c>
      <c r="BNU83">
        <f t="shared" si="129"/>
        <v>75</v>
      </c>
      <c r="BNV83">
        <f t="shared" si="129"/>
        <v>75</v>
      </c>
      <c r="BNW83">
        <f t="shared" si="129"/>
        <v>75</v>
      </c>
      <c r="BNX83">
        <f t="shared" si="129"/>
        <v>75</v>
      </c>
      <c r="BNY83">
        <f t="shared" si="129"/>
        <v>75</v>
      </c>
      <c r="BNZ83">
        <f t="shared" si="129"/>
        <v>75</v>
      </c>
      <c r="BOA83">
        <f t="shared" si="129"/>
        <v>75</v>
      </c>
      <c r="BOB83">
        <f t="shared" si="129"/>
        <v>75</v>
      </c>
      <c r="BOC83">
        <f t="shared" si="129"/>
        <v>75</v>
      </c>
      <c r="BOD83">
        <f t="shared" si="129"/>
        <v>75</v>
      </c>
      <c r="BOE83">
        <f t="shared" si="129"/>
        <v>75</v>
      </c>
      <c r="BOF83">
        <f t="shared" si="129"/>
        <v>75</v>
      </c>
      <c r="BOG83">
        <f t="shared" si="129"/>
        <v>75</v>
      </c>
      <c r="BOH83">
        <f t="shared" si="129"/>
        <v>75</v>
      </c>
      <c r="BOI83">
        <f t="shared" si="129"/>
        <v>75</v>
      </c>
      <c r="BOJ83">
        <f t="shared" si="129"/>
        <v>75</v>
      </c>
      <c r="BOK83">
        <f t="shared" si="129"/>
        <v>75</v>
      </c>
      <c r="BOL83">
        <f t="shared" si="129"/>
        <v>75</v>
      </c>
      <c r="BOM83">
        <f t="shared" si="129"/>
        <v>75</v>
      </c>
      <c r="BON83">
        <f t="shared" si="129"/>
        <v>75</v>
      </c>
      <c r="BOO83">
        <f t="shared" si="129"/>
        <v>75</v>
      </c>
      <c r="BOP83">
        <f t="shared" si="129"/>
        <v>75</v>
      </c>
      <c r="BOQ83">
        <f t="shared" si="129"/>
        <v>75</v>
      </c>
      <c r="BOR83">
        <f t="shared" si="129"/>
        <v>75</v>
      </c>
      <c r="BOS83">
        <f t="shared" si="129"/>
        <v>75</v>
      </c>
      <c r="BOT83">
        <f t="shared" si="129"/>
        <v>75</v>
      </c>
      <c r="BOU83">
        <f t="shared" si="129"/>
        <v>75</v>
      </c>
      <c r="BOV83">
        <f t="shared" si="129"/>
        <v>75</v>
      </c>
      <c r="BOW83">
        <f t="shared" si="129"/>
        <v>75</v>
      </c>
      <c r="BOX83">
        <f t="shared" si="129"/>
        <v>75</v>
      </c>
      <c r="BOY83">
        <f t="shared" si="129"/>
        <v>75</v>
      </c>
      <c r="BOZ83">
        <f t="shared" si="129"/>
        <v>75</v>
      </c>
      <c r="BPA83">
        <f t="shared" si="129"/>
        <v>75</v>
      </c>
      <c r="BPB83">
        <f t="shared" si="129"/>
        <v>75</v>
      </c>
      <c r="BPC83">
        <f t="shared" si="129"/>
        <v>75</v>
      </c>
      <c r="BPD83">
        <f t="shared" si="129"/>
        <v>75</v>
      </c>
      <c r="BPE83">
        <f t="shared" si="129"/>
        <v>75</v>
      </c>
      <c r="BPF83">
        <f t="shared" si="129"/>
        <v>75</v>
      </c>
      <c r="BPG83">
        <f t="shared" si="129"/>
        <v>75</v>
      </c>
      <c r="BPH83">
        <f t="shared" si="129"/>
        <v>75</v>
      </c>
      <c r="BPI83">
        <f t="shared" si="129"/>
        <v>75</v>
      </c>
      <c r="BPJ83">
        <f t="shared" si="129"/>
        <v>75</v>
      </c>
      <c r="BPK83">
        <f t="shared" si="129"/>
        <v>75</v>
      </c>
      <c r="BPL83">
        <f t="shared" si="129"/>
        <v>75</v>
      </c>
      <c r="BPM83">
        <f t="shared" si="129"/>
        <v>75</v>
      </c>
      <c r="BPN83">
        <f t="shared" si="129"/>
        <v>75</v>
      </c>
      <c r="BPO83">
        <f t="shared" si="129"/>
        <v>75</v>
      </c>
      <c r="BPP83">
        <f t="shared" si="129"/>
        <v>75</v>
      </c>
      <c r="BPQ83">
        <f t="shared" si="129"/>
        <v>75</v>
      </c>
      <c r="BPR83">
        <f t="shared" si="129"/>
        <v>75</v>
      </c>
      <c r="BPS83">
        <f t="shared" si="129"/>
        <v>75</v>
      </c>
      <c r="BPT83">
        <f t="shared" si="129"/>
        <v>75</v>
      </c>
      <c r="BPU83">
        <f t="shared" si="129"/>
        <v>75</v>
      </c>
      <c r="BPV83">
        <f t="shared" si="129"/>
        <v>75</v>
      </c>
      <c r="BPW83">
        <f t="shared" si="129"/>
        <v>75</v>
      </c>
      <c r="BPX83">
        <f t="shared" si="129"/>
        <v>75</v>
      </c>
      <c r="BPY83">
        <f t="shared" si="129"/>
        <v>75</v>
      </c>
      <c r="BPZ83">
        <f t="shared" si="129"/>
        <v>75</v>
      </c>
      <c r="BQA83">
        <f t="shared" ref="BQA83:BSL83" si="130">COUNTBLANK(BQA6:BQA81)</f>
        <v>75</v>
      </c>
      <c r="BQB83">
        <f t="shared" si="130"/>
        <v>75</v>
      </c>
      <c r="BQC83">
        <f t="shared" si="130"/>
        <v>75</v>
      </c>
      <c r="BQD83">
        <f t="shared" si="130"/>
        <v>75</v>
      </c>
      <c r="BQE83">
        <f t="shared" si="130"/>
        <v>75</v>
      </c>
      <c r="BQF83">
        <f t="shared" si="130"/>
        <v>75</v>
      </c>
      <c r="BQG83">
        <f t="shared" si="130"/>
        <v>75</v>
      </c>
      <c r="BQH83">
        <f t="shared" si="130"/>
        <v>75</v>
      </c>
      <c r="BQI83">
        <f t="shared" si="130"/>
        <v>75</v>
      </c>
      <c r="BQJ83">
        <f t="shared" si="130"/>
        <v>75</v>
      </c>
      <c r="BQK83">
        <f t="shared" si="130"/>
        <v>75</v>
      </c>
      <c r="BQL83">
        <f t="shared" si="130"/>
        <v>75</v>
      </c>
      <c r="BQM83">
        <f t="shared" si="130"/>
        <v>75</v>
      </c>
      <c r="BQN83">
        <f t="shared" si="130"/>
        <v>75</v>
      </c>
      <c r="BQO83">
        <f t="shared" si="130"/>
        <v>75</v>
      </c>
      <c r="BQP83">
        <f t="shared" si="130"/>
        <v>75</v>
      </c>
      <c r="BQQ83">
        <f t="shared" si="130"/>
        <v>75</v>
      </c>
      <c r="BQR83">
        <f t="shared" si="130"/>
        <v>75</v>
      </c>
      <c r="BQS83">
        <f t="shared" si="130"/>
        <v>75</v>
      </c>
      <c r="BQT83">
        <f t="shared" si="130"/>
        <v>75</v>
      </c>
      <c r="BQU83">
        <f t="shared" si="130"/>
        <v>75</v>
      </c>
      <c r="BQV83">
        <f t="shared" si="130"/>
        <v>75</v>
      </c>
      <c r="BQW83">
        <f t="shared" si="130"/>
        <v>75</v>
      </c>
      <c r="BQX83">
        <f t="shared" si="130"/>
        <v>75</v>
      </c>
      <c r="BQY83">
        <f t="shared" si="130"/>
        <v>75</v>
      </c>
      <c r="BQZ83">
        <f t="shared" si="130"/>
        <v>75</v>
      </c>
      <c r="BRA83">
        <f t="shared" si="130"/>
        <v>75</v>
      </c>
      <c r="BRB83">
        <f t="shared" si="130"/>
        <v>75</v>
      </c>
      <c r="BRC83">
        <f t="shared" si="130"/>
        <v>75</v>
      </c>
      <c r="BRD83">
        <f t="shared" si="130"/>
        <v>75</v>
      </c>
      <c r="BRE83">
        <f t="shared" si="130"/>
        <v>75</v>
      </c>
      <c r="BRF83">
        <f t="shared" si="130"/>
        <v>75</v>
      </c>
      <c r="BRG83">
        <f t="shared" si="130"/>
        <v>75</v>
      </c>
      <c r="BRH83">
        <f t="shared" si="130"/>
        <v>75</v>
      </c>
      <c r="BRI83">
        <f t="shared" si="130"/>
        <v>75</v>
      </c>
      <c r="BRJ83">
        <f t="shared" si="130"/>
        <v>75</v>
      </c>
      <c r="BRK83">
        <f t="shared" si="130"/>
        <v>75</v>
      </c>
      <c r="BRL83">
        <f t="shared" si="130"/>
        <v>75</v>
      </c>
      <c r="BRM83">
        <f t="shared" si="130"/>
        <v>75</v>
      </c>
      <c r="BRN83">
        <f t="shared" si="130"/>
        <v>75</v>
      </c>
      <c r="BRO83">
        <f t="shared" si="130"/>
        <v>75</v>
      </c>
      <c r="BRP83">
        <f t="shared" si="130"/>
        <v>75</v>
      </c>
      <c r="BRQ83">
        <f t="shared" si="130"/>
        <v>75</v>
      </c>
      <c r="BRR83">
        <f t="shared" si="130"/>
        <v>75</v>
      </c>
      <c r="BRS83">
        <f t="shared" si="130"/>
        <v>75</v>
      </c>
      <c r="BRT83">
        <f t="shared" si="130"/>
        <v>75</v>
      </c>
      <c r="BRU83">
        <f t="shared" si="130"/>
        <v>75</v>
      </c>
      <c r="BRV83">
        <f t="shared" si="130"/>
        <v>75</v>
      </c>
      <c r="BRW83">
        <f t="shared" si="130"/>
        <v>75</v>
      </c>
      <c r="BRX83">
        <f t="shared" si="130"/>
        <v>75</v>
      </c>
      <c r="BRY83">
        <f t="shared" si="130"/>
        <v>75</v>
      </c>
      <c r="BRZ83">
        <f t="shared" si="130"/>
        <v>75</v>
      </c>
      <c r="BSA83">
        <f t="shared" si="130"/>
        <v>75</v>
      </c>
      <c r="BSB83">
        <f t="shared" si="130"/>
        <v>75</v>
      </c>
      <c r="BSC83">
        <f t="shared" si="130"/>
        <v>75</v>
      </c>
      <c r="BSD83">
        <f t="shared" si="130"/>
        <v>75</v>
      </c>
      <c r="BSE83">
        <f t="shared" si="130"/>
        <v>75</v>
      </c>
      <c r="BSF83">
        <f t="shared" si="130"/>
        <v>75</v>
      </c>
      <c r="BSG83">
        <f t="shared" si="130"/>
        <v>75</v>
      </c>
      <c r="BSH83">
        <f t="shared" si="130"/>
        <v>75</v>
      </c>
      <c r="BSI83">
        <f t="shared" si="130"/>
        <v>75</v>
      </c>
      <c r="BSJ83">
        <f t="shared" si="130"/>
        <v>75</v>
      </c>
      <c r="BSK83">
        <f t="shared" si="130"/>
        <v>75</v>
      </c>
      <c r="BSL83">
        <f t="shared" si="130"/>
        <v>75</v>
      </c>
      <c r="BSM83">
        <f t="shared" ref="BSM83:BUX83" si="131">COUNTBLANK(BSM6:BSM81)</f>
        <v>75</v>
      </c>
      <c r="BSN83">
        <f t="shared" si="131"/>
        <v>75</v>
      </c>
      <c r="BSO83">
        <f t="shared" si="131"/>
        <v>75</v>
      </c>
      <c r="BSP83">
        <f t="shared" si="131"/>
        <v>75</v>
      </c>
      <c r="BSQ83">
        <f t="shared" si="131"/>
        <v>75</v>
      </c>
      <c r="BSR83">
        <f t="shared" si="131"/>
        <v>75</v>
      </c>
      <c r="BSS83">
        <f t="shared" si="131"/>
        <v>75</v>
      </c>
      <c r="BST83">
        <f t="shared" si="131"/>
        <v>75</v>
      </c>
      <c r="BSU83">
        <f t="shared" si="131"/>
        <v>75</v>
      </c>
      <c r="BSV83">
        <f t="shared" si="131"/>
        <v>75</v>
      </c>
      <c r="BSW83">
        <f t="shared" si="131"/>
        <v>75</v>
      </c>
      <c r="BSX83">
        <f t="shared" si="131"/>
        <v>75</v>
      </c>
      <c r="BSY83">
        <f t="shared" si="131"/>
        <v>75</v>
      </c>
      <c r="BSZ83">
        <f t="shared" si="131"/>
        <v>75</v>
      </c>
      <c r="BTA83">
        <f t="shared" si="131"/>
        <v>75</v>
      </c>
      <c r="BTB83">
        <f t="shared" si="131"/>
        <v>75</v>
      </c>
      <c r="BTC83">
        <f t="shared" si="131"/>
        <v>75</v>
      </c>
      <c r="BTD83">
        <f t="shared" si="131"/>
        <v>75</v>
      </c>
      <c r="BTE83">
        <f t="shared" si="131"/>
        <v>75</v>
      </c>
      <c r="BTF83">
        <f t="shared" si="131"/>
        <v>75</v>
      </c>
      <c r="BTG83">
        <f t="shared" si="131"/>
        <v>75</v>
      </c>
      <c r="BTH83">
        <f t="shared" si="131"/>
        <v>75</v>
      </c>
      <c r="BTI83">
        <f t="shared" si="131"/>
        <v>75</v>
      </c>
      <c r="BTJ83">
        <f t="shared" si="131"/>
        <v>75</v>
      </c>
      <c r="BTK83">
        <f t="shared" si="131"/>
        <v>75</v>
      </c>
      <c r="BTL83">
        <f t="shared" si="131"/>
        <v>75</v>
      </c>
      <c r="BTM83">
        <f t="shared" si="131"/>
        <v>75</v>
      </c>
      <c r="BTN83">
        <f t="shared" si="131"/>
        <v>75</v>
      </c>
      <c r="BTO83">
        <f t="shared" si="131"/>
        <v>75</v>
      </c>
      <c r="BTP83">
        <f t="shared" si="131"/>
        <v>75</v>
      </c>
      <c r="BTQ83">
        <f t="shared" si="131"/>
        <v>75</v>
      </c>
      <c r="BTR83">
        <f t="shared" si="131"/>
        <v>75</v>
      </c>
      <c r="BTS83">
        <f t="shared" si="131"/>
        <v>75</v>
      </c>
      <c r="BTT83">
        <f t="shared" si="131"/>
        <v>75</v>
      </c>
      <c r="BTU83">
        <f t="shared" si="131"/>
        <v>75</v>
      </c>
      <c r="BTV83">
        <f t="shared" si="131"/>
        <v>75</v>
      </c>
      <c r="BTW83">
        <f t="shared" si="131"/>
        <v>75</v>
      </c>
      <c r="BTX83">
        <f t="shared" si="131"/>
        <v>75</v>
      </c>
      <c r="BTY83">
        <f t="shared" si="131"/>
        <v>75</v>
      </c>
      <c r="BTZ83">
        <f t="shared" si="131"/>
        <v>75</v>
      </c>
      <c r="BUA83">
        <f t="shared" si="131"/>
        <v>75</v>
      </c>
      <c r="BUB83">
        <f t="shared" si="131"/>
        <v>75</v>
      </c>
      <c r="BUC83">
        <f t="shared" si="131"/>
        <v>75</v>
      </c>
      <c r="BUD83">
        <f t="shared" si="131"/>
        <v>75</v>
      </c>
      <c r="BUE83">
        <f t="shared" si="131"/>
        <v>75</v>
      </c>
      <c r="BUF83">
        <f t="shared" si="131"/>
        <v>75</v>
      </c>
      <c r="BUG83">
        <f t="shared" si="131"/>
        <v>75</v>
      </c>
      <c r="BUH83">
        <f t="shared" si="131"/>
        <v>75</v>
      </c>
      <c r="BUI83">
        <f t="shared" si="131"/>
        <v>75</v>
      </c>
      <c r="BUJ83">
        <f t="shared" si="131"/>
        <v>75</v>
      </c>
      <c r="BUK83">
        <f t="shared" si="131"/>
        <v>75</v>
      </c>
      <c r="BUL83">
        <f t="shared" si="131"/>
        <v>75</v>
      </c>
      <c r="BUM83">
        <f t="shared" si="131"/>
        <v>75</v>
      </c>
      <c r="BUN83">
        <f t="shared" si="131"/>
        <v>75</v>
      </c>
      <c r="BUO83">
        <f t="shared" si="131"/>
        <v>75</v>
      </c>
      <c r="BUP83">
        <f t="shared" si="131"/>
        <v>75</v>
      </c>
      <c r="BUQ83">
        <f t="shared" si="131"/>
        <v>75</v>
      </c>
      <c r="BUR83">
        <f t="shared" si="131"/>
        <v>75</v>
      </c>
      <c r="BUS83">
        <f t="shared" si="131"/>
        <v>75</v>
      </c>
      <c r="BUT83">
        <f t="shared" si="131"/>
        <v>75</v>
      </c>
      <c r="BUU83">
        <f t="shared" si="131"/>
        <v>75</v>
      </c>
      <c r="BUV83">
        <f t="shared" si="131"/>
        <v>75</v>
      </c>
      <c r="BUW83">
        <f t="shared" si="131"/>
        <v>75</v>
      </c>
      <c r="BUX83">
        <f t="shared" si="131"/>
        <v>75</v>
      </c>
      <c r="BUY83">
        <f t="shared" ref="BUY83:BXJ83" si="132">COUNTBLANK(BUY6:BUY81)</f>
        <v>75</v>
      </c>
      <c r="BUZ83">
        <f t="shared" si="132"/>
        <v>75</v>
      </c>
      <c r="BVA83">
        <f t="shared" si="132"/>
        <v>75</v>
      </c>
      <c r="BVB83">
        <f t="shared" si="132"/>
        <v>75</v>
      </c>
      <c r="BVC83">
        <f t="shared" si="132"/>
        <v>75</v>
      </c>
      <c r="BVD83">
        <f t="shared" si="132"/>
        <v>75</v>
      </c>
      <c r="BVE83">
        <f t="shared" si="132"/>
        <v>75</v>
      </c>
      <c r="BVF83">
        <f t="shared" si="132"/>
        <v>75</v>
      </c>
      <c r="BVG83">
        <f t="shared" si="132"/>
        <v>75</v>
      </c>
      <c r="BVH83">
        <f t="shared" si="132"/>
        <v>75</v>
      </c>
      <c r="BVI83">
        <f t="shared" si="132"/>
        <v>75</v>
      </c>
      <c r="BVJ83">
        <f t="shared" si="132"/>
        <v>75</v>
      </c>
      <c r="BVK83">
        <f t="shared" si="132"/>
        <v>75</v>
      </c>
      <c r="BVL83">
        <f t="shared" si="132"/>
        <v>75</v>
      </c>
      <c r="BVM83">
        <f t="shared" si="132"/>
        <v>75</v>
      </c>
      <c r="BVN83">
        <f t="shared" si="132"/>
        <v>75</v>
      </c>
      <c r="BVO83">
        <f t="shared" si="132"/>
        <v>75</v>
      </c>
      <c r="BVP83">
        <f t="shared" si="132"/>
        <v>75</v>
      </c>
      <c r="BVQ83">
        <f t="shared" si="132"/>
        <v>75</v>
      </c>
      <c r="BVR83">
        <f t="shared" si="132"/>
        <v>75</v>
      </c>
      <c r="BVS83">
        <f t="shared" si="132"/>
        <v>75</v>
      </c>
      <c r="BVT83">
        <f t="shared" si="132"/>
        <v>75</v>
      </c>
      <c r="BVU83">
        <f t="shared" si="132"/>
        <v>75</v>
      </c>
      <c r="BVV83">
        <f t="shared" si="132"/>
        <v>75</v>
      </c>
      <c r="BVW83">
        <f t="shared" si="132"/>
        <v>75</v>
      </c>
      <c r="BVX83">
        <f t="shared" si="132"/>
        <v>75</v>
      </c>
      <c r="BVY83">
        <f t="shared" si="132"/>
        <v>75</v>
      </c>
      <c r="BVZ83">
        <f t="shared" si="132"/>
        <v>75</v>
      </c>
      <c r="BWA83">
        <f t="shared" si="132"/>
        <v>75</v>
      </c>
      <c r="BWB83">
        <f t="shared" si="132"/>
        <v>75</v>
      </c>
      <c r="BWC83">
        <f t="shared" si="132"/>
        <v>75</v>
      </c>
      <c r="BWD83">
        <f t="shared" si="132"/>
        <v>75</v>
      </c>
      <c r="BWE83">
        <f t="shared" si="132"/>
        <v>75</v>
      </c>
      <c r="BWF83">
        <f t="shared" si="132"/>
        <v>75</v>
      </c>
      <c r="BWG83">
        <f t="shared" si="132"/>
        <v>75</v>
      </c>
      <c r="BWH83">
        <f t="shared" si="132"/>
        <v>75</v>
      </c>
      <c r="BWI83">
        <f t="shared" si="132"/>
        <v>75</v>
      </c>
      <c r="BWJ83">
        <f t="shared" si="132"/>
        <v>75</v>
      </c>
      <c r="BWK83">
        <f t="shared" si="132"/>
        <v>75</v>
      </c>
      <c r="BWL83">
        <f t="shared" si="132"/>
        <v>75</v>
      </c>
      <c r="BWM83">
        <f t="shared" si="132"/>
        <v>75</v>
      </c>
      <c r="BWN83">
        <f t="shared" si="132"/>
        <v>75</v>
      </c>
      <c r="BWO83">
        <f t="shared" si="132"/>
        <v>75</v>
      </c>
      <c r="BWP83">
        <f t="shared" si="132"/>
        <v>75</v>
      </c>
      <c r="BWQ83">
        <f t="shared" si="132"/>
        <v>75</v>
      </c>
      <c r="BWR83">
        <f t="shared" si="132"/>
        <v>75</v>
      </c>
      <c r="BWS83">
        <f t="shared" si="132"/>
        <v>75</v>
      </c>
      <c r="BWT83">
        <f t="shared" si="132"/>
        <v>75</v>
      </c>
      <c r="BWU83">
        <f t="shared" si="132"/>
        <v>75</v>
      </c>
      <c r="BWV83">
        <f t="shared" si="132"/>
        <v>75</v>
      </c>
      <c r="BWW83">
        <f t="shared" si="132"/>
        <v>75</v>
      </c>
      <c r="BWX83">
        <f t="shared" si="132"/>
        <v>75</v>
      </c>
      <c r="BWY83">
        <f t="shared" si="132"/>
        <v>75</v>
      </c>
      <c r="BWZ83">
        <f t="shared" si="132"/>
        <v>75</v>
      </c>
      <c r="BXA83">
        <f t="shared" si="132"/>
        <v>75</v>
      </c>
      <c r="BXB83">
        <f t="shared" si="132"/>
        <v>75</v>
      </c>
      <c r="BXC83">
        <f t="shared" si="132"/>
        <v>75</v>
      </c>
      <c r="BXD83">
        <f t="shared" si="132"/>
        <v>75</v>
      </c>
      <c r="BXE83">
        <f t="shared" si="132"/>
        <v>75</v>
      </c>
      <c r="BXF83">
        <f t="shared" si="132"/>
        <v>75</v>
      </c>
      <c r="BXG83">
        <f t="shared" si="132"/>
        <v>75</v>
      </c>
      <c r="BXH83">
        <f t="shared" si="132"/>
        <v>75</v>
      </c>
      <c r="BXI83">
        <f t="shared" si="132"/>
        <v>75</v>
      </c>
      <c r="BXJ83">
        <f t="shared" si="132"/>
        <v>75</v>
      </c>
      <c r="BXK83">
        <f t="shared" ref="BXK83:BZV83" si="133">COUNTBLANK(BXK6:BXK81)</f>
        <v>75</v>
      </c>
      <c r="BXL83">
        <f t="shared" si="133"/>
        <v>75</v>
      </c>
      <c r="BXM83">
        <f t="shared" si="133"/>
        <v>75</v>
      </c>
      <c r="BXN83">
        <f t="shared" si="133"/>
        <v>75</v>
      </c>
      <c r="BXO83">
        <f t="shared" si="133"/>
        <v>75</v>
      </c>
      <c r="BXP83">
        <f t="shared" si="133"/>
        <v>75</v>
      </c>
      <c r="BXQ83">
        <f t="shared" si="133"/>
        <v>75</v>
      </c>
      <c r="BXR83">
        <f t="shared" si="133"/>
        <v>75</v>
      </c>
      <c r="BXS83">
        <f t="shared" si="133"/>
        <v>75</v>
      </c>
      <c r="BXT83">
        <f t="shared" si="133"/>
        <v>75</v>
      </c>
      <c r="BXU83">
        <f t="shared" si="133"/>
        <v>75</v>
      </c>
      <c r="BXV83">
        <f t="shared" si="133"/>
        <v>75</v>
      </c>
      <c r="BXW83">
        <f t="shared" si="133"/>
        <v>75</v>
      </c>
      <c r="BXX83">
        <f t="shared" si="133"/>
        <v>75</v>
      </c>
      <c r="BXY83">
        <f t="shared" si="133"/>
        <v>75</v>
      </c>
      <c r="BXZ83">
        <f t="shared" si="133"/>
        <v>75</v>
      </c>
      <c r="BYA83">
        <f t="shared" si="133"/>
        <v>75</v>
      </c>
      <c r="BYB83">
        <f t="shared" si="133"/>
        <v>75</v>
      </c>
      <c r="BYC83">
        <f t="shared" si="133"/>
        <v>75</v>
      </c>
      <c r="BYD83">
        <f t="shared" si="133"/>
        <v>75</v>
      </c>
      <c r="BYE83">
        <f t="shared" si="133"/>
        <v>75</v>
      </c>
      <c r="BYF83">
        <f t="shared" si="133"/>
        <v>75</v>
      </c>
      <c r="BYG83">
        <f t="shared" si="133"/>
        <v>75</v>
      </c>
      <c r="BYH83">
        <f t="shared" si="133"/>
        <v>75</v>
      </c>
      <c r="BYI83">
        <f t="shared" si="133"/>
        <v>75</v>
      </c>
      <c r="BYJ83">
        <f t="shared" si="133"/>
        <v>75</v>
      </c>
      <c r="BYK83">
        <f t="shared" si="133"/>
        <v>75</v>
      </c>
      <c r="BYL83">
        <f t="shared" si="133"/>
        <v>75</v>
      </c>
      <c r="BYM83">
        <f t="shared" si="133"/>
        <v>75</v>
      </c>
      <c r="BYN83">
        <f t="shared" si="133"/>
        <v>75</v>
      </c>
      <c r="BYO83">
        <f t="shared" si="133"/>
        <v>75</v>
      </c>
      <c r="BYP83">
        <f t="shared" si="133"/>
        <v>75</v>
      </c>
      <c r="BYQ83">
        <f t="shared" si="133"/>
        <v>75</v>
      </c>
      <c r="BYR83">
        <f t="shared" si="133"/>
        <v>75</v>
      </c>
      <c r="BYS83">
        <f t="shared" si="133"/>
        <v>75</v>
      </c>
      <c r="BYT83">
        <f t="shared" si="133"/>
        <v>75</v>
      </c>
      <c r="BYU83">
        <f t="shared" si="133"/>
        <v>75</v>
      </c>
      <c r="BYV83">
        <f t="shared" si="133"/>
        <v>75</v>
      </c>
      <c r="BYW83">
        <f t="shared" si="133"/>
        <v>75</v>
      </c>
      <c r="BYX83">
        <f t="shared" si="133"/>
        <v>75</v>
      </c>
      <c r="BYY83">
        <f t="shared" si="133"/>
        <v>75</v>
      </c>
      <c r="BYZ83">
        <f t="shared" si="133"/>
        <v>75</v>
      </c>
      <c r="BZA83">
        <f t="shared" si="133"/>
        <v>75</v>
      </c>
      <c r="BZB83">
        <f t="shared" si="133"/>
        <v>75</v>
      </c>
      <c r="BZC83">
        <f t="shared" si="133"/>
        <v>75</v>
      </c>
      <c r="BZD83">
        <f t="shared" si="133"/>
        <v>75</v>
      </c>
      <c r="BZE83">
        <f t="shared" si="133"/>
        <v>75</v>
      </c>
      <c r="BZF83">
        <f t="shared" si="133"/>
        <v>75</v>
      </c>
      <c r="BZG83">
        <f t="shared" si="133"/>
        <v>75</v>
      </c>
      <c r="BZH83">
        <f t="shared" si="133"/>
        <v>75</v>
      </c>
      <c r="BZI83">
        <f t="shared" si="133"/>
        <v>75</v>
      </c>
      <c r="BZJ83">
        <f t="shared" si="133"/>
        <v>75</v>
      </c>
      <c r="BZK83">
        <f t="shared" si="133"/>
        <v>75</v>
      </c>
      <c r="BZL83">
        <f t="shared" si="133"/>
        <v>75</v>
      </c>
      <c r="BZM83">
        <f t="shared" si="133"/>
        <v>75</v>
      </c>
      <c r="BZN83">
        <f t="shared" si="133"/>
        <v>75</v>
      </c>
      <c r="BZO83">
        <f t="shared" si="133"/>
        <v>75</v>
      </c>
      <c r="BZP83">
        <f t="shared" si="133"/>
        <v>75</v>
      </c>
      <c r="BZQ83">
        <f t="shared" si="133"/>
        <v>75</v>
      </c>
      <c r="BZR83">
        <f t="shared" si="133"/>
        <v>75</v>
      </c>
      <c r="BZS83">
        <f t="shared" si="133"/>
        <v>75</v>
      </c>
      <c r="BZT83">
        <f t="shared" si="133"/>
        <v>75</v>
      </c>
      <c r="BZU83">
        <f t="shared" si="133"/>
        <v>75</v>
      </c>
      <c r="BZV83">
        <f t="shared" si="133"/>
        <v>75</v>
      </c>
      <c r="BZW83">
        <f t="shared" ref="BZW83:CCH83" si="134">COUNTBLANK(BZW6:BZW81)</f>
        <v>75</v>
      </c>
      <c r="BZX83">
        <f t="shared" si="134"/>
        <v>75</v>
      </c>
      <c r="BZY83">
        <f t="shared" si="134"/>
        <v>75</v>
      </c>
      <c r="BZZ83">
        <f t="shared" si="134"/>
        <v>75</v>
      </c>
      <c r="CAA83">
        <f t="shared" si="134"/>
        <v>75</v>
      </c>
      <c r="CAB83">
        <f t="shared" si="134"/>
        <v>75</v>
      </c>
      <c r="CAC83">
        <f t="shared" si="134"/>
        <v>75</v>
      </c>
      <c r="CAD83">
        <f t="shared" si="134"/>
        <v>75</v>
      </c>
      <c r="CAE83">
        <f t="shared" si="134"/>
        <v>75</v>
      </c>
      <c r="CAF83">
        <f t="shared" si="134"/>
        <v>75</v>
      </c>
      <c r="CAG83">
        <f t="shared" si="134"/>
        <v>75</v>
      </c>
      <c r="CAH83">
        <f t="shared" si="134"/>
        <v>75</v>
      </c>
      <c r="CAI83">
        <f t="shared" si="134"/>
        <v>75</v>
      </c>
      <c r="CAJ83">
        <f t="shared" si="134"/>
        <v>75</v>
      </c>
      <c r="CAK83">
        <f t="shared" si="134"/>
        <v>75</v>
      </c>
      <c r="CAL83">
        <f t="shared" si="134"/>
        <v>75</v>
      </c>
      <c r="CAM83">
        <f t="shared" si="134"/>
        <v>75</v>
      </c>
      <c r="CAN83">
        <f t="shared" si="134"/>
        <v>75</v>
      </c>
      <c r="CAO83">
        <f t="shared" si="134"/>
        <v>75</v>
      </c>
      <c r="CAP83">
        <f t="shared" si="134"/>
        <v>75</v>
      </c>
      <c r="CAQ83">
        <f t="shared" si="134"/>
        <v>75</v>
      </c>
      <c r="CAR83">
        <f t="shared" si="134"/>
        <v>75</v>
      </c>
      <c r="CAS83">
        <f t="shared" si="134"/>
        <v>75</v>
      </c>
      <c r="CAT83">
        <f t="shared" si="134"/>
        <v>75</v>
      </c>
      <c r="CAU83">
        <f t="shared" si="134"/>
        <v>75</v>
      </c>
      <c r="CAV83">
        <f t="shared" si="134"/>
        <v>75</v>
      </c>
      <c r="CAW83">
        <f t="shared" si="134"/>
        <v>75</v>
      </c>
      <c r="CAX83">
        <f t="shared" si="134"/>
        <v>75</v>
      </c>
      <c r="CAY83">
        <f t="shared" si="134"/>
        <v>75</v>
      </c>
      <c r="CAZ83">
        <f t="shared" si="134"/>
        <v>75</v>
      </c>
      <c r="CBA83">
        <f t="shared" si="134"/>
        <v>75</v>
      </c>
      <c r="CBB83">
        <f t="shared" si="134"/>
        <v>75</v>
      </c>
      <c r="CBC83">
        <f t="shared" si="134"/>
        <v>75</v>
      </c>
      <c r="CBD83">
        <f t="shared" si="134"/>
        <v>75</v>
      </c>
      <c r="CBE83">
        <f t="shared" si="134"/>
        <v>75</v>
      </c>
      <c r="CBF83">
        <f t="shared" si="134"/>
        <v>75</v>
      </c>
      <c r="CBG83">
        <f t="shared" si="134"/>
        <v>75</v>
      </c>
      <c r="CBH83">
        <f t="shared" si="134"/>
        <v>75</v>
      </c>
      <c r="CBI83">
        <f t="shared" si="134"/>
        <v>75</v>
      </c>
      <c r="CBJ83">
        <f t="shared" si="134"/>
        <v>75</v>
      </c>
      <c r="CBK83">
        <f t="shared" si="134"/>
        <v>75</v>
      </c>
      <c r="CBL83">
        <f t="shared" si="134"/>
        <v>75</v>
      </c>
      <c r="CBM83">
        <f t="shared" si="134"/>
        <v>75</v>
      </c>
      <c r="CBN83">
        <f t="shared" si="134"/>
        <v>75</v>
      </c>
      <c r="CBO83">
        <f t="shared" si="134"/>
        <v>75</v>
      </c>
      <c r="CBP83">
        <f t="shared" si="134"/>
        <v>75</v>
      </c>
      <c r="CBQ83">
        <f t="shared" si="134"/>
        <v>75</v>
      </c>
      <c r="CBR83">
        <f t="shared" si="134"/>
        <v>75</v>
      </c>
      <c r="CBS83">
        <f t="shared" si="134"/>
        <v>75</v>
      </c>
      <c r="CBT83">
        <f t="shared" si="134"/>
        <v>75</v>
      </c>
      <c r="CBU83">
        <f t="shared" si="134"/>
        <v>75</v>
      </c>
      <c r="CBV83">
        <f t="shared" si="134"/>
        <v>75</v>
      </c>
      <c r="CBW83">
        <f t="shared" si="134"/>
        <v>75</v>
      </c>
      <c r="CBX83">
        <f t="shared" si="134"/>
        <v>75</v>
      </c>
      <c r="CBY83">
        <f t="shared" si="134"/>
        <v>75</v>
      </c>
      <c r="CBZ83">
        <f t="shared" si="134"/>
        <v>75</v>
      </c>
      <c r="CCA83">
        <f t="shared" si="134"/>
        <v>75</v>
      </c>
      <c r="CCB83">
        <f t="shared" si="134"/>
        <v>75</v>
      </c>
      <c r="CCC83">
        <f t="shared" si="134"/>
        <v>75</v>
      </c>
      <c r="CCD83">
        <f t="shared" si="134"/>
        <v>75</v>
      </c>
      <c r="CCE83">
        <f t="shared" si="134"/>
        <v>75</v>
      </c>
      <c r="CCF83">
        <f t="shared" si="134"/>
        <v>75</v>
      </c>
      <c r="CCG83">
        <f t="shared" si="134"/>
        <v>75</v>
      </c>
      <c r="CCH83">
        <f t="shared" si="134"/>
        <v>75</v>
      </c>
      <c r="CCI83">
        <f t="shared" ref="CCI83:CET83" si="135">COUNTBLANK(CCI6:CCI81)</f>
        <v>75</v>
      </c>
      <c r="CCJ83">
        <f t="shared" si="135"/>
        <v>75</v>
      </c>
      <c r="CCK83">
        <f t="shared" si="135"/>
        <v>75</v>
      </c>
      <c r="CCL83">
        <f t="shared" si="135"/>
        <v>75</v>
      </c>
      <c r="CCM83">
        <f t="shared" si="135"/>
        <v>75</v>
      </c>
      <c r="CCN83">
        <f t="shared" si="135"/>
        <v>75</v>
      </c>
      <c r="CCO83">
        <f t="shared" si="135"/>
        <v>75</v>
      </c>
      <c r="CCP83">
        <f t="shared" si="135"/>
        <v>75</v>
      </c>
      <c r="CCQ83">
        <f t="shared" si="135"/>
        <v>75</v>
      </c>
      <c r="CCR83">
        <f t="shared" si="135"/>
        <v>75</v>
      </c>
      <c r="CCS83">
        <f t="shared" si="135"/>
        <v>75</v>
      </c>
      <c r="CCT83">
        <f t="shared" si="135"/>
        <v>75</v>
      </c>
      <c r="CCU83">
        <f t="shared" si="135"/>
        <v>75</v>
      </c>
      <c r="CCV83">
        <f t="shared" si="135"/>
        <v>75</v>
      </c>
      <c r="CCW83">
        <f t="shared" si="135"/>
        <v>75</v>
      </c>
      <c r="CCX83">
        <f t="shared" si="135"/>
        <v>75</v>
      </c>
      <c r="CCY83">
        <f t="shared" si="135"/>
        <v>75</v>
      </c>
      <c r="CCZ83">
        <f t="shared" si="135"/>
        <v>75</v>
      </c>
      <c r="CDA83">
        <f t="shared" si="135"/>
        <v>75</v>
      </c>
      <c r="CDB83">
        <f t="shared" si="135"/>
        <v>75</v>
      </c>
      <c r="CDC83">
        <f t="shared" si="135"/>
        <v>75</v>
      </c>
      <c r="CDD83">
        <f t="shared" si="135"/>
        <v>75</v>
      </c>
      <c r="CDE83">
        <f t="shared" si="135"/>
        <v>75</v>
      </c>
      <c r="CDF83">
        <f t="shared" si="135"/>
        <v>75</v>
      </c>
      <c r="CDG83">
        <f t="shared" si="135"/>
        <v>75</v>
      </c>
      <c r="CDH83">
        <f t="shared" si="135"/>
        <v>75</v>
      </c>
      <c r="CDI83">
        <f t="shared" si="135"/>
        <v>75</v>
      </c>
      <c r="CDJ83">
        <f t="shared" si="135"/>
        <v>75</v>
      </c>
      <c r="CDK83">
        <f t="shared" si="135"/>
        <v>75</v>
      </c>
      <c r="CDL83">
        <f t="shared" si="135"/>
        <v>75</v>
      </c>
      <c r="CDM83">
        <f t="shared" si="135"/>
        <v>75</v>
      </c>
      <c r="CDN83">
        <f t="shared" si="135"/>
        <v>75</v>
      </c>
      <c r="CDO83">
        <f t="shared" si="135"/>
        <v>75</v>
      </c>
      <c r="CDP83">
        <f t="shared" si="135"/>
        <v>75</v>
      </c>
      <c r="CDQ83">
        <f t="shared" si="135"/>
        <v>75</v>
      </c>
      <c r="CDR83">
        <f t="shared" si="135"/>
        <v>75</v>
      </c>
      <c r="CDS83">
        <f t="shared" si="135"/>
        <v>75</v>
      </c>
      <c r="CDT83">
        <f t="shared" si="135"/>
        <v>75</v>
      </c>
      <c r="CDU83">
        <f t="shared" si="135"/>
        <v>75</v>
      </c>
      <c r="CDV83">
        <f t="shared" si="135"/>
        <v>75</v>
      </c>
      <c r="CDW83">
        <f t="shared" si="135"/>
        <v>75</v>
      </c>
      <c r="CDX83">
        <f t="shared" si="135"/>
        <v>75</v>
      </c>
      <c r="CDY83">
        <f t="shared" si="135"/>
        <v>75</v>
      </c>
      <c r="CDZ83">
        <f t="shared" si="135"/>
        <v>75</v>
      </c>
      <c r="CEA83">
        <f t="shared" si="135"/>
        <v>75</v>
      </c>
      <c r="CEB83">
        <f t="shared" si="135"/>
        <v>75</v>
      </c>
      <c r="CEC83">
        <f t="shared" si="135"/>
        <v>75</v>
      </c>
      <c r="CED83">
        <f t="shared" si="135"/>
        <v>75</v>
      </c>
      <c r="CEE83">
        <f t="shared" si="135"/>
        <v>75</v>
      </c>
      <c r="CEF83">
        <f t="shared" si="135"/>
        <v>75</v>
      </c>
      <c r="CEG83">
        <f t="shared" si="135"/>
        <v>75</v>
      </c>
      <c r="CEH83">
        <f t="shared" si="135"/>
        <v>75</v>
      </c>
      <c r="CEI83">
        <f t="shared" si="135"/>
        <v>75</v>
      </c>
      <c r="CEJ83">
        <f t="shared" si="135"/>
        <v>75</v>
      </c>
      <c r="CEK83">
        <f t="shared" si="135"/>
        <v>75</v>
      </c>
      <c r="CEL83">
        <f t="shared" si="135"/>
        <v>75</v>
      </c>
      <c r="CEM83">
        <f t="shared" si="135"/>
        <v>75</v>
      </c>
      <c r="CEN83">
        <f t="shared" si="135"/>
        <v>75</v>
      </c>
      <c r="CEO83">
        <f t="shared" si="135"/>
        <v>75</v>
      </c>
      <c r="CEP83">
        <f t="shared" si="135"/>
        <v>75</v>
      </c>
      <c r="CEQ83">
        <f t="shared" si="135"/>
        <v>75</v>
      </c>
      <c r="CER83">
        <f t="shared" si="135"/>
        <v>75</v>
      </c>
      <c r="CES83">
        <f t="shared" si="135"/>
        <v>75</v>
      </c>
      <c r="CET83">
        <f t="shared" si="135"/>
        <v>75</v>
      </c>
      <c r="CEU83">
        <f t="shared" ref="CEU83:CHF83" si="136">COUNTBLANK(CEU6:CEU81)</f>
        <v>75</v>
      </c>
      <c r="CEV83">
        <f t="shared" si="136"/>
        <v>75</v>
      </c>
      <c r="CEW83">
        <f t="shared" si="136"/>
        <v>75</v>
      </c>
      <c r="CEX83">
        <f t="shared" si="136"/>
        <v>75</v>
      </c>
      <c r="CEY83">
        <f t="shared" si="136"/>
        <v>75</v>
      </c>
      <c r="CEZ83">
        <f t="shared" si="136"/>
        <v>75</v>
      </c>
      <c r="CFA83">
        <f t="shared" si="136"/>
        <v>75</v>
      </c>
      <c r="CFB83">
        <f t="shared" si="136"/>
        <v>75</v>
      </c>
      <c r="CFC83">
        <f t="shared" si="136"/>
        <v>75</v>
      </c>
      <c r="CFD83">
        <f t="shared" si="136"/>
        <v>75</v>
      </c>
      <c r="CFE83">
        <f t="shared" si="136"/>
        <v>75</v>
      </c>
      <c r="CFF83">
        <f t="shared" si="136"/>
        <v>75</v>
      </c>
      <c r="CFG83">
        <f t="shared" si="136"/>
        <v>75</v>
      </c>
      <c r="CFH83">
        <f t="shared" si="136"/>
        <v>75</v>
      </c>
      <c r="CFI83">
        <f t="shared" si="136"/>
        <v>75</v>
      </c>
      <c r="CFJ83">
        <f t="shared" si="136"/>
        <v>75</v>
      </c>
      <c r="CFK83">
        <f t="shared" si="136"/>
        <v>75</v>
      </c>
      <c r="CFL83">
        <f t="shared" si="136"/>
        <v>75</v>
      </c>
      <c r="CFM83">
        <f t="shared" si="136"/>
        <v>75</v>
      </c>
      <c r="CFN83">
        <f t="shared" si="136"/>
        <v>75</v>
      </c>
      <c r="CFO83">
        <f t="shared" si="136"/>
        <v>75</v>
      </c>
      <c r="CFP83">
        <f t="shared" si="136"/>
        <v>75</v>
      </c>
      <c r="CFQ83">
        <f t="shared" si="136"/>
        <v>75</v>
      </c>
      <c r="CFR83">
        <f t="shared" si="136"/>
        <v>75</v>
      </c>
      <c r="CFS83">
        <f t="shared" si="136"/>
        <v>75</v>
      </c>
      <c r="CFT83">
        <f t="shared" si="136"/>
        <v>75</v>
      </c>
      <c r="CFU83">
        <f t="shared" si="136"/>
        <v>75</v>
      </c>
      <c r="CFV83">
        <f t="shared" si="136"/>
        <v>75</v>
      </c>
      <c r="CFW83">
        <f t="shared" si="136"/>
        <v>75</v>
      </c>
      <c r="CFX83">
        <f t="shared" si="136"/>
        <v>75</v>
      </c>
      <c r="CFY83">
        <f t="shared" si="136"/>
        <v>75</v>
      </c>
      <c r="CFZ83">
        <f t="shared" si="136"/>
        <v>75</v>
      </c>
      <c r="CGA83">
        <f t="shared" si="136"/>
        <v>75</v>
      </c>
      <c r="CGB83">
        <f t="shared" si="136"/>
        <v>75</v>
      </c>
      <c r="CGC83">
        <f t="shared" si="136"/>
        <v>75</v>
      </c>
      <c r="CGD83">
        <f t="shared" si="136"/>
        <v>75</v>
      </c>
      <c r="CGE83">
        <f t="shared" si="136"/>
        <v>75</v>
      </c>
      <c r="CGF83">
        <f t="shared" si="136"/>
        <v>75</v>
      </c>
      <c r="CGG83">
        <f t="shared" si="136"/>
        <v>75</v>
      </c>
      <c r="CGH83">
        <f t="shared" si="136"/>
        <v>75</v>
      </c>
      <c r="CGI83">
        <f t="shared" si="136"/>
        <v>75</v>
      </c>
      <c r="CGJ83">
        <f t="shared" si="136"/>
        <v>75</v>
      </c>
      <c r="CGK83">
        <f t="shared" si="136"/>
        <v>75</v>
      </c>
      <c r="CGL83">
        <f t="shared" si="136"/>
        <v>75</v>
      </c>
      <c r="CGM83">
        <f t="shared" si="136"/>
        <v>75</v>
      </c>
      <c r="CGN83">
        <f t="shared" si="136"/>
        <v>75</v>
      </c>
      <c r="CGO83">
        <f t="shared" si="136"/>
        <v>75</v>
      </c>
      <c r="CGP83">
        <f t="shared" si="136"/>
        <v>75</v>
      </c>
      <c r="CGQ83">
        <f t="shared" si="136"/>
        <v>75</v>
      </c>
      <c r="CGR83">
        <f t="shared" si="136"/>
        <v>75</v>
      </c>
      <c r="CGS83">
        <f t="shared" si="136"/>
        <v>75</v>
      </c>
      <c r="CGT83">
        <f t="shared" si="136"/>
        <v>75</v>
      </c>
      <c r="CGU83">
        <f t="shared" si="136"/>
        <v>75</v>
      </c>
      <c r="CGV83">
        <f t="shared" si="136"/>
        <v>75</v>
      </c>
      <c r="CGW83">
        <f t="shared" si="136"/>
        <v>75</v>
      </c>
      <c r="CGX83">
        <f t="shared" si="136"/>
        <v>75</v>
      </c>
      <c r="CGY83">
        <f t="shared" si="136"/>
        <v>75</v>
      </c>
      <c r="CGZ83">
        <f t="shared" si="136"/>
        <v>75</v>
      </c>
      <c r="CHA83">
        <f t="shared" si="136"/>
        <v>75</v>
      </c>
      <c r="CHB83">
        <f t="shared" si="136"/>
        <v>75</v>
      </c>
      <c r="CHC83">
        <f t="shared" si="136"/>
        <v>75</v>
      </c>
      <c r="CHD83">
        <f t="shared" si="136"/>
        <v>75</v>
      </c>
      <c r="CHE83">
        <f t="shared" si="136"/>
        <v>75</v>
      </c>
      <c r="CHF83">
        <f t="shared" si="136"/>
        <v>75</v>
      </c>
      <c r="CHG83">
        <f t="shared" ref="CHG83:CJR83" si="137">COUNTBLANK(CHG6:CHG81)</f>
        <v>75</v>
      </c>
      <c r="CHH83">
        <f t="shared" si="137"/>
        <v>75</v>
      </c>
      <c r="CHI83">
        <f t="shared" si="137"/>
        <v>75</v>
      </c>
      <c r="CHJ83">
        <f t="shared" si="137"/>
        <v>75</v>
      </c>
      <c r="CHK83">
        <f t="shared" si="137"/>
        <v>75</v>
      </c>
      <c r="CHL83">
        <f t="shared" si="137"/>
        <v>75</v>
      </c>
      <c r="CHM83">
        <f t="shared" si="137"/>
        <v>75</v>
      </c>
      <c r="CHN83">
        <f t="shared" si="137"/>
        <v>75</v>
      </c>
      <c r="CHO83">
        <f t="shared" si="137"/>
        <v>75</v>
      </c>
      <c r="CHP83">
        <f t="shared" si="137"/>
        <v>75</v>
      </c>
      <c r="CHQ83">
        <f t="shared" si="137"/>
        <v>75</v>
      </c>
      <c r="CHR83">
        <f t="shared" si="137"/>
        <v>75</v>
      </c>
      <c r="CHS83">
        <f t="shared" si="137"/>
        <v>75</v>
      </c>
      <c r="CHT83">
        <f t="shared" si="137"/>
        <v>75</v>
      </c>
      <c r="CHU83">
        <f t="shared" si="137"/>
        <v>75</v>
      </c>
      <c r="CHV83">
        <f t="shared" si="137"/>
        <v>75</v>
      </c>
      <c r="CHW83">
        <f t="shared" si="137"/>
        <v>75</v>
      </c>
      <c r="CHX83">
        <f t="shared" si="137"/>
        <v>75</v>
      </c>
      <c r="CHY83">
        <f t="shared" si="137"/>
        <v>75</v>
      </c>
      <c r="CHZ83">
        <f t="shared" si="137"/>
        <v>75</v>
      </c>
      <c r="CIA83">
        <f t="shared" si="137"/>
        <v>75</v>
      </c>
      <c r="CIB83">
        <f t="shared" si="137"/>
        <v>75</v>
      </c>
      <c r="CIC83">
        <f t="shared" si="137"/>
        <v>75</v>
      </c>
      <c r="CID83">
        <f t="shared" si="137"/>
        <v>75</v>
      </c>
      <c r="CIE83">
        <f t="shared" si="137"/>
        <v>75</v>
      </c>
      <c r="CIF83">
        <f t="shared" si="137"/>
        <v>75</v>
      </c>
      <c r="CIG83">
        <f t="shared" si="137"/>
        <v>75</v>
      </c>
      <c r="CIH83">
        <f t="shared" si="137"/>
        <v>75</v>
      </c>
      <c r="CII83">
        <f t="shared" si="137"/>
        <v>75</v>
      </c>
      <c r="CIJ83">
        <f t="shared" si="137"/>
        <v>75</v>
      </c>
      <c r="CIK83">
        <f t="shared" si="137"/>
        <v>75</v>
      </c>
      <c r="CIL83">
        <f t="shared" si="137"/>
        <v>75</v>
      </c>
      <c r="CIM83">
        <f t="shared" si="137"/>
        <v>75</v>
      </c>
      <c r="CIN83">
        <f t="shared" si="137"/>
        <v>75</v>
      </c>
      <c r="CIO83">
        <f t="shared" si="137"/>
        <v>75</v>
      </c>
      <c r="CIP83">
        <f t="shared" si="137"/>
        <v>75</v>
      </c>
      <c r="CIQ83">
        <f t="shared" si="137"/>
        <v>75</v>
      </c>
      <c r="CIR83">
        <f t="shared" si="137"/>
        <v>75</v>
      </c>
      <c r="CIS83">
        <f t="shared" si="137"/>
        <v>75</v>
      </c>
      <c r="CIT83">
        <f t="shared" si="137"/>
        <v>75</v>
      </c>
      <c r="CIU83">
        <f t="shared" si="137"/>
        <v>75</v>
      </c>
      <c r="CIV83">
        <f t="shared" si="137"/>
        <v>75</v>
      </c>
      <c r="CIW83">
        <f t="shared" si="137"/>
        <v>75</v>
      </c>
      <c r="CIX83">
        <f t="shared" si="137"/>
        <v>75</v>
      </c>
      <c r="CIY83">
        <f t="shared" si="137"/>
        <v>75</v>
      </c>
      <c r="CIZ83">
        <f t="shared" si="137"/>
        <v>75</v>
      </c>
      <c r="CJA83">
        <f t="shared" si="137"/>
        <v>75</v>
      </c>
      <c r="CJB83">
        <f t="shared" si="137"/>
        <v>75</v>
      </c>
      <c r="CJC83">
        <f t="shared" si="137"/>
        <v>75</v>
      </c>
      <c r="CJD83">
        <f t="shared" si="137"/>
        <v>75</v>
      </c>
      <c r="CJE83">
        <f t="shared" si="137"/>
        <v>75</v>
      </c>
      <c r="CJF83">
        <f t="shared" si="137"/>
        <v>75</v>
      </c>
      <c r="CJG83">
        <f t="shared" si="137"/>
        <v>75</v>
      </c>
      <c r="CJH83">
        <f t="shared" si="137"/>
        <v>75</v>
      </c>
      <c r="CJI83">
        <f t="shared" si="137"/>
        <v>75</v>
      </c>
      <c r="CJJ83">
        <f t="shared" si="137"/>
        <v>75</v>
      </c>
      <c r="CJK83">
        <f t="shared" si="137"/>
        <v>75</v>
      </c>
      <c r="CJL83">
        <f t="shared" si="137"/>
        <v>75</v>
      </c>
      <c r="CJM83">
        <f t="shared" si="137"/>
        <v>75</v>
      </c>
      <c r="CJN83">
        <f t="shared" si="137"/>
        <v>75</v>
      </c>
      <c r="CJO83">
        <f t="shared" si="137"/>
        <v>75</v>
      </c>
      <c r="CJP83">
        <f t="shared" si="137"/>
        <v>75</v>
      </c>
      <c r="CJQ83">
        <f t="shared" si="137"/>
        <v>75</v>
      </c>
      <c r="CJR83">
        <f t="shared" si="137"/>
        <v>75</v>
      </c>
      <c r="CJS83">
        <f t="shared" ref="CJS83:CMD83" si="138">COUNTBLANK(CJS6:CJS81)</f>
        <v>75</v>
      </c>
      <c r="CJT83">
        <f t="shared" si="138"/>
        <v>75</v>
      </c>
      <c r="CJU83">
        <f t="shared" si="138"/>
        <v>75</v>
      </c>
      <c r="CJV83">
        <f t="shared" si="138"/>
        <v>75</v>
      </c>
      <c r="CJW83">
        <f t="shared" si="138"/>
        <v>75</v>
      </c>
      <c r="CJX83">
        <f t="shared" si="138"/>
        <v>75</v>
      </c>
      <c r="CJY83">
        <f t="shared" si="138"/>
        <v>75</v>
      </c>
      <c r="CJZ83">
        <f t="shared" si="138"/>
        <v>75</v>
      </c>
      <c r="CKA83">
        <f t="shared" si="138"/>
        <v>75</v>
      </c>
      <c r="CKB83">
        <f t="shared" si="138"/>
        <v>75</v>
      </c>
      <c r="CKC83">
        <f t="shared" si="138"/>
        <v>75</v>
      </c>
      <c r="CKD83">
        <f t="shared" si="138"/>
        <v>75</v>
      </c>
      <c r="CKE83">
        <f t="shared" si="138"/>
        <v>75</v>
      </c>
      <c r="CKF83">
        <f t="shared" si="138"/>
        <v>75</v>
      </c>
      <c r="CKG83">
        <f t="shared" si="138"/>
        <v>75</v>
      </c>
      <c r="CKH83">
        <f t="shared" si="138"/>
        <v>75</v>
      </c>
      <c r="CKI83">
        <f t="shared" si="138"/>
        <v>75</v>
      </c>
      <c r="CKJ83">
        <f t="shared" si="138"/>
        <v>75</v>
      </c>
      <c r="CKK83">
        <f t="shared" si="138"/>
        <v>75</v>
      </c>
      <c r="CKL83">
        <f t="shared" si="138"/>
        <v>75</v>
      </c>
      <c r="CKM83">
        <f t="shared" si="138"/>
        <v>75</v>
      </c>
      <c r="CKN83">
        <f t="shared" si="138"/>
        <v>75</v>
      </c>
      <c r="CKO83">
        <f t="shared" si="138"/>
        <v>75</v>
      </c>
      <c r="CKP83">
        <f t="shared" si="138"/>
        <v>75</v>
      </c>
      <c r="CKQ83">
        <f t="shared" si="138"/>
        <v>75</v>
      </c>
      <c r="CKR83">
        <f t="shared" si="138"/>
        <v>75</v>
      </c>
      <c r="CKS83">
        <f t="shared" si="138"/>
        <v>75</v>
      </c>
      <c r="CKT83">
        <f t="shared" si="138"/>
        <v>75</v>
      </c>
      <c r="CKU83">
        <f t="shared" si="138"/>
        <v>75</v>
      </c>
      <c r="CKV83">
        <f t="shared" si="138"/>
        <v>75</v>
      </c>
      <c r="CKW83">
        <f t="shared" si="138"/>
        <v>75</v>
      </c>
      <c r="CKX83">
        <f t="shared" si="138"/>
        <v>75</v>
      </c>
      <c r="CKY83">
        <f t="shared" si="138"/>
        <v>75</v>
      </c>
      <c r="CKZ83">
        <f t="shared" si="138"/>
        <v>75</v>
      </c>
      <c r="CLA83">
        <f t="shared" si="138"/>
        <v>75</v>
      </c>
      <c r="CLB83">
        <f t="shared" si="138"/>
        <v>75</v>
      </c>
      <c r="CLC83">
        <f t="shared" si="138"/>
        <v>75</v>
      </c>
      <c r="CLD83">
        <f t="shared" si="138"/>
        <v>75</v>
      </c>
      <c r="CLE83">
        <f t="shared" si="138"/>
        <v>75</v>
      </c>
      <c r="CLF83">
        <f t="shared" si="138"/>
        <v>75</v>
      </c>
      <c r="CLG83">
        <f t="shared" si="138"/>
        <v>75</v>
      </c>
      <c r="CLH83">
        <f t="shared" si="138"/>
        <v>75</v>
      </c>
      <c r="CLI83">
        <f t="shared" si="138"/>
        <v>75</v>
      </c>
      <c r="CLJ83">
        <f t="shared" si="138"/>
        <v>75</v>
      </c>
      <c r="CLK83">
        <f t="shared" si="138"/>
        <v>75</v>
      </c>
      <c r="CLL83">
        <f t="shared" si="138"/>
        <v>75</v>
      </c>
      <c r="CLM83">
        <f t="shared" si="138"/>
        <v>75</v>
      </c>
      <c r="CLN83">
        <f t="shared" si="138"/>
        <v>75</v>
      </c>
      <c r="CLO83">
        <f t="shared" si="138"/>
        <v>75</v>
      </c>
      <c r="CLP83">
        <f t="shared" si="138"/>
        <v>75</v>
      </c>
      <c r="CLQ83">
        <f t="shared" si="138"/>
        <v>75</v>
      </c>
      <c r="CLR83">
        <f t="shared" si="138"/>
        <v>75</v>
      </c>
      <c r="CLS83">
        <f t="shared" si="138"/>
        <v>75</v>
      </c>
      <c r="CLT83">
        <f t="shared" si="138"/>
        <v>75</v>
      </c>
      <c r="CLU83">
        <f t="shared" si="138"/>
        <v>75</v>
      </c>
      <c r="CLV83">
        <f t="shared" si="138"/>
        <v>75</v>
      </c>
      <c r="CLW83">
        <f t="shared" si="138"/>
        <v>75</v>
      </c>
      <c r="CLX83">
        <f t="shared" si="138"/>
        <v>75</v>
      </c>
      <c r="CLY83">
        <f t="shared" si="138"/>
        <v>75</v>
      </c>
      <c r="CLZ83">
        <f t="shared" si="138"/>
        <v>75</v>
      </c>
      <c r="CMA83">
        <f t="shared" si="138"/>
        <v>75</v>
      </c>
      <c r="CMB83">
        <f t="shared" si="138"/>
        <v>75</v>
      </c>
      <c r="CMC83">
        <f t="shared" si="138"/>
        <v>75</v>
      </c>
      <c r="CMD83">
        <f t="shared" si="138"/>
        <v>75</v>
      </c>
      <c r="CME83">
        <f t="shared" ref="CME83:COP83" si="139">COUNTBLANK(CME6:CME81)</f>
        <v>75</v>
      </c>
      <c r="CMF83">
        <f t="shared" si="139"/>
        <v>75</v>
      </c>
      <c r="CMG83">
        <f t="shared" si="139"/>
        <v>75</v>
      </c>
      <c r="CMH83">
        <f t="shared" si="139"/>
        <v>75</v>
      </c>
      <c r="CMI83">
        <f t="shared" si="139"/>
        <v>75</v>
      </c>
      <c r="CMJ83">
        <f t="shared" si="139"/>
        <v>75</v>
      </c>
      <c r="CMK83">
        <f t="shared" si="139"/>
        <v>75</v>
      </c>
      <c r="CML83">
        <f t="shared" si="139"/>
        <v>75</v>
      </c>
      <c r="CMM83">
        <f t="shared" si="139"/>
        <v>75</v>
      </c>
      <c r="CMN83">
        <f t="shared" si="139"/>
        <v>75</v>
      </c>
      <c r="CMO83">
        <f t="shared" si="139"/>
        <v>75</v>
      </c>
      <c r="CMP83">
        <f t="shared" si="139"/>
        <v>75</v>
      </c>
      <c r="CMQ83">
        <f t="shared" si="139"/>
        <v>75</v>
      </c>
      <c r="CMR83">
        <f t="shared" si="139"/>
        <v>75</v>
      </c>
      <c r="CMS83">
        <f t="shared" si="139"/>
        <v>75</v>
      </c>
      <c r="CMT83">
        <f t="shared" si="139"/>
        <v>75</v>
      </c>
      <c r="CMU83">
        <f t="shared" si="139"/>
        <v>75</v>
      </c>
      <c r="CMV83">
        <f t="shared" si="139"/>
        <v>75</v>
      </c>
      <c r="CMW83">
        <f t="shared" si="139"/>
        <v>75</v>
      </c>
      <c r="CMX83">
        <f t="shared" si="139"/>
        <v>75</v>
      </c>
      <c r="CMY83">
        <f t="shared" si="139"/>
        <v>75</v>
      </c>
      <c r="CMZ83">
        <f t="shared" si="139"/>
        <v>75</v>
      </c>
      <c r="CNA83">
        <f t="shared" si="139"/>
        <v>75</v>
      </c>
      <c r="CNB83">
        <f t="shared" si="139"/>
        <v>75</v>
      </c>
      <c r="CNC83">
        <f t="shared" si="139"/>
        <v>75</v>
      </c>
      <c r="CND83">
        <f t="shared" si="139"/>
        <v>75</v>
      </c>
      <c r="CNE83">
        <f t="shared" si="139"/>
        <v>75</v>
      </c>
      <c r="CNF83">
        <f t="shared" si="139"/>
        <v>75</v>
      </c>
      <c r="CNG83">
        <f t="shared" si="139"/>
        <v>75</v>
      </c>
      <c r="CNH83">
        <f t="shared" si="139"/>
        <v>75</v>
      </c>
      <c r="CNI83">
        <f t="shared" si="139"/>
        <v>75</v>
      </c>
      <c r="CNJ83">
        <f t="shared" si="139"/>
        <v>75</v>
      </c>
      <c r="CNK83">
        <f t="shared" si="139"/>
        <v>75</v>
      </c>
      <c r="CNL83">
        <f t="shared" si="139"/>
        <v>75</v>
      </c>
      <c r="CNM83">
        <f t="shared" si="139"/>
        <v>75</v>
      </c>
      <c r="CNN83">
        <f t="shared" si="139"/>
        <v>75</v>
      </c>
      <c r="CNO83">
        <f t="shared" si="139"/>
        <v>75</v>
      </c>
      <c r="CNP83">
        <f t="shared" si="139"/>
        <v>75</v>
      </c>
      <c r="CNQ83">
        <f t="shared" si="139"/>
        <v>75</v>
      </c>
      <c r="CNR83">
        <f t="shared" si="139"/>
        <v>75</v>
      </c>
      <c r="CNS83">
        <f t="shared" si="139"/>
        <v>75</v>
      </c>
      <c r="CNT83">
        <f t="shared" si="139"/>
        <v>75</v>
      </c>
      <c r="CNU83">
        <f t="shared" si="139"/>
        <v>75</v>
      </c>
      <c r="CNV83">
        <f t="shared" si="139"/>
        <v>75</v>
      </c>
      <c r="CNW83">
        <f t="shared" si="139"/>
        <v>75</v>
      </c>
      <c r="CNX83">
        <f t="shared" si="139"/>
        <v>75</v>
      </c>
      <c r="CNY83">
        <f t="shared" si="139"/>
        <v>75</v>
      </c>
      <c r="CNZ83">
        <f t="shared" si="139"/>
        <v>75</v>
      </c>
      <c r="COA83">
        <f t="shared" si="139"/>
        <v>75</v>
      </c>
      <c r="COB83">
        <f t="shared" si="139"/>
        <v>75</v>
      </c>
      <c r="COC83">
        <f t="shared" si="139"/>
        <v>75</v>
      </c>
      <c r="COD83">
        <f t="shared" si="139"/>
        <v>75</v>
      </c>
      <c r="COE83">
        <f t="shared" si="139"/>
        <v>75</v>
      </c>
      <c r="COF83">
        <f t="shared" si="139"/>
        <v>75</v>
      </c>
      <c r="COG83">
        <f t="shared" si="139"/>
        <v>75</v>
      </c>
      <c r="COH83">
        <f t="shared" si="139"/>
        <v>75</v>
      </c>
      <c r="COI83">
        <f t="shared" si="139"/>
        <v>75</v>
      </c>
      <c r="COJ83">
        <f t="shared" si="139"/>
        <v>75</v>
      </c>
      <c r="COK83">
        <f t="shared" si="139"/>
        <v>75</v>
      </c>
      <c r="COL83">
        <f t="shared" si="139"/>
        <v>75</v>
      </c>
      <c r="COM83">
        <f t="shared" si="139"/>
        <v>75</v>
      </c>
      <c r="CON83">
        <f t="shared" si="139"/>
        <v>75</v>
      </c>
      <c r="COO83">
        <f t="shared" si="139"/>
        <v>75</v>
      </c>
      <c r="COP83">
        <f t="shared" si="139"/>
        <v>75</v>
      </c>
      <c r="COQ83">
        <f t="shared" ref="COQ83:CRB83" si="140">COUNTBLANK(COQ6:COQ81)</f>
        <v>75</v>
      </c>
      <c r="COR83">
        <f t="shared" si="140"/>
        <v>75</v>
      </c>
      <c r="COS83">
        <f t="shared" si="140"/>
        <v>75</v>
      </c>
      <c r="COT83">
        <f t="shared" si="140"/>
        <v>75</v>
      </c>
      <c r="COU83">
        <f t="shared" si="140"/>
        <v>75</v>
      </c>
      <c r="COV83">
        <f t="shared" si="140"/>
        <v>75</v>
      </c>
      <c r="COW83">
        <f t="shared" si="140"/>
        <v>75</v>
      </c>
      <c r="COX83">
        <f t="shared" si="140"/>
        <v>75</v>
      </c>
      <c r="COY83">
        <f t="shared" si="140"/>
        <v>75</v>
      </c>
      <c r="COZ83">
        <f t="shared" si="140"/>
        <v>75</v>
      </c>
      <c r="CPA83">
        <f t="shared" si="140"/>
        <v>75</v>
      </c>
      <c r="CPB83">
        <f t="shared" si="140"/>
        <v>75</v>
      </c>
      <c r="CPC83">
        <f t="shared" si="140"/>
        <v>75</v>
      </c>
      <c r="CPD83">
        <f t="shared" si="140"/>
        <v>75</v>
      </c>
      <c r="CPE83">
        <f t="shared" si="140"/>
        <v>75</v>
      </c>
      <c r="CPF83">
        <f t="shared" si="140"/>
        <v>75</v>
      </c>
      <c r="CPG83">
        <f t="shared" si="140"/>
        <v>75</v>
      </c>
      <c r="CPH83">
        <f t="shared" si="140"/>
        <v>75</v>
      </c>
      <c r="CPI83">
        <f t="shared" si="140"/>
        <v>75</v>
      </c>
      <c r="CPJ83">
        <f t="shared" si="140"/>
        <v>75</v>
      </c>
      <c r="CPK83">
        <f t="shared" si="140"/>
        <v>75</v>
      </c>
      <c r="CPL83">
        <f t="shared" si="140"/>
        <v>75</v>
      </c>
      <c r="CPM83">
        <f t="shared" si="140"/>
        <v>75</v>
      </c>
      <c r="CPN83">
        <f t="shared" si="140"/>
        <v>75</v>
      </c>
      <c r="CPO83">
        <f t="shared" si="140"/>
        <v>75</v>
      </c>
      <c r="CPP83">
        <f t="shared" si="140"/>
        <v>75</v>
      </c>
      <c r="CPQ83">
        <f t="shared" si="140"/>
        <v>75</v>
      </c>
      <c r="CPR83">
        <f t="shared" si="140"/>
        <v>75</v>
      </c>
      <c r="CPS83">
        <f t="shared" si="140"/>
        <v>75</v>
      </c>
      <c r="CPT83">
        <f t="shared" si="140"/>
        <v>75</v>
      </c>
      <c r="CPU83">
        <f t="shared" si="140"/>
        <v>75</v>
      </c>
      <c r="CPV83">
        <f t="shared" si="140"/>
        <v>75</v>
      </c>
      <c r="CPW83">
        <f t="shared" si="140"/>
        <v>75</v>
      </c>
      <c r="CPX83">
        <f t="shared" si="140"/>
        <v>75</v>
      </c>
      <c r="CPY83">
        <f t="shared" si="140"/>
        <v>75</v>
      </c>
      <c r="CPZ83">
        <f t="shared" si="140"/>
        <v>75</v>
      </c>
      <c r="CQA83">
        <f t="shared" si="140"/>
        <v>75</v>
      </c>
      <c r="CQB83">
        <f t="shared" si="140"/>
        <v>75</v>
      </c>
      <c r="CQC83">
        <f t="shared" si="140"/>
        <v>75</v>
      </c>
      <c r="CQD83">
        <f t="shared" si="140"/>
        <v>75</v>
      </c>
      <c r="CQE83">
        <f t="shared" si="140"/>
        <v>75</v>
      </c>
      <c r="CQF83">
        <f t="shared" si="140"/>
        <v>75</v>
      </c>
      <c r="CQG83">
        <f t="shared" si="140"/>
        <v>75</v>
      </c>
      <c r="CQH83">
        <f t="shared" si="140"/>
        <v>75</v>
      </c>
      <c r="CQI83">
        <f t="shared" si="140"/>
        <v>75</v>
      </c>
      <c r="CQJ83">
        <f t="shared" si="140"/>
        <v>75</v>
      </c>
      <c r="CQK83">
        <f t="shared" si="140"/>
        <v>75</v>
      </c>
      <c r="CQL83">
        <f t="shared" si="140"/>
        <v>75</v>
      </c>
      <c r="CQM83">
        <f t="shared" si="140"/>
        <v>75</v>
      </c>
      <c r="CQN83">
        <f t="shared" si="140"/>
        <v>75</v>
      </c>
      <c r="CQO83">
        <f t="shared" si="140"/>
        <v>75</v>
      </c>
      <c r="CQP83">
        <f t="shared" si="140"/>
        <v>75</v>
      </c>
      <c r="CQQ83">
        <f t="shared" si="140"/>
        <v>75</v>
      </c>
      <c r="CQR83">
        <f t="shared" si="140"/>
        <v>75</v>
      </c>
      <c r="CQS83">
        <f t="shared" si="140"/>
        <v>75</v>
      </c>
      <c r="CQT83">
        <f t="shared" si="140"/>
        <v>75</v>
      </c>
      <c r="CQU83">
        <f t="shared" si="140"/>
        <v>75</v>
      </c>
      <c r="CQV83">
        <f t="shared" si="140"/>
        <v>75</v>
      </c>
      <c r="CQW83">
        <f t="shared" si="140"/>
        <v>75</v>
      </c>
      <c r="CQX83">
        <f t="shared" si="140"/>
        <v>75</v>
      </c>
      <c r="CQY83">
        <f t="shared" si="140"/>
        <v>74</v>
      </c>
      <c r="CQZ83">
        <f t="shared" si="140"/>
        <v>74</v>
      </c>
      <c r="CRA83">
        <f t="shared" si="140"/>
        <v>74</v>
      </c>
      <c r="CRB83">
        <f t="shared" si="140"/>
        <v>74</v>
      </c>
      <c r="CRC83">
        <f t="shared" ref="CRC83:CTN83" si="141">COUNTBLANK(CRC6:CRC81)</f>
        <v>74</v>
      </c>
      <c r="CRD83">
        <f t="shared" si="141"/>
        <v>74</v>
      </c>
      <c r="CRE83">
        <f t="shared" si="141"/>
        <v>74</v>
      </c>
      <c r="CRF83">
        <f t="shared" si="141"/>
        <v>74</v>
      </c>
      <c r="CRG83">
        <f t="shared" si="141"/>
        <v>74</v>
      </c>
      <c r="CRH83">
        <f t="shared" si="141"/>
        <v>74</v>
      </c>
      <c r="CRI83">
        <f t="shared" si="141"/>
        <v>74</v>
      </c>
      <c r="CRJ83">
        <f t="shared" si="141"/>
        <v>74</v>
      </c>
      <c r="CRK83">
        <f t="shared" si="141"/>
        <v>74</v>
      </c>
      <c r="CRL83">
        <f t="shared" si="141"/>
        <v>74</v>
      </c>
      <c r="CRM83">
        <f t="shared" si="141"/>
        <v>74</v>
      </c>
      <c r="CRN83">
        <f t="shared" si="141"/>
        <v>74</v>
      </c>
      <c r="CRO83">
        <f t="shared" si="141"/>
        <v>74</v>
      </c>
      <c r="CRP83">
        <f t="shared" si="141"/>
        <v>74</v>
      </c>
      <c r="CRQ83">
        <f t="shared" si="141"/>
        <v>74</v>
      </c>
      <c r="CRR83">
        <f t="shared" si="141"/>
        <v>74</v>
      </c>
      <c r="CRS83">
        <f t="shared" si="141"/>
        <v>74</v>
      </c>
      <c r="CRT83">
        <f t="shared" si="141"/>
        <v>74</v>
      </c>
      <c r="CRU83">
        <f t="shared" si="141"/>
        <v>74</v>
      </c>
      <c r="CRV83">
        <f t="shared" si="141"/>
        <v>74</v>
      </c>
      <c r="CRW83">
        <f t="shared" si="141"/>
        <v>74</v>
      </c>
      <c r="CRX83">
        <f t="shared" si="141"/>
        <v>74</v>
      </c>
      <c r="CRY83">
        <f t="shared" si="141"/>
        <v>74</v>
      </c>
      <c r="CRZ83">
        <f t="shared" si="141"/>
        <v>74</v>
      </c>
      <c r="CSA83">
        <f t="shared" si="141"/>
        <v>74</v>
      </c>
      <c r="CSB83">
        <f t="shared" si="141"/>
        <v>74</v>
      </c>
      <c r="CSC83">
        <f t="shared" si="141"/>
        <v>74</v>
      </c>
      <c r="CSD83">
        <f t="shared" si="141"/>
        <v>74</v>
      </c>
      <c r="CSE83">
        <f t="shared" si="141"/>
        <v>74</v>
      </c>
      <c r="CSF83">
        <f t="shared" si="141"/>
        <v>74</v>
      </c>
      <c r="CSG83">
        <f t="shared" si="141"/>
        <v>74</v>
      </c>
      <c r="CSH83">
        <f t="shared" si="141"/>
        <v>74</v>
      </c>
      <c r="CSI83">
        <f t="shared" si="141"/>
        <v>74</v>
      </c>
      <c r="CSJ83">
        <f t="shared" si="141"/>
        <v>74</v>
      </c>
      <c r="CSK83">
        <f t="shared" si="141"/>
        <v>74</v>
      </c>
      <c r="CSL83">
        <f t="shared" si="141"/>
        <v>74</v>
      </c>
      <c r="CSM83">
        <f t="shared" si="141"/>
        <v>74</v>
      </c>
      <c r="CSN83">
        <f t="shared" si="141"/>
        <v>74</v>
      </c>
      <c r="CSO83">
        <f t="shared" si="141"/>
        <v>74</v>
      </c>
      <c r="CSP83">
        <f t="shared" si="141"/>
        <v>74</v>
      </c>
      <c r="CSQ83">
        <f t="shared" si="141"/>
        <v>74</v>
      </c>
      <c r="CSR83">
        <f t="shared" si="141"/>
        <v>74</v>
      </c>
      <c r="CSS83">
        <f t="shared" si="141"/>
        <v>74</v>
      </c>
      <c r="CST83">
        <f t="shared" si="141"/>
        <v>74</v>
      </c>
      <c r="CSU83">
        <f t="shared" si="141"/>
        <v>74</v>
      </c>
      <c r="CSV83">
        <f t="shared" si="141"/>
        <v>74</v>
      </c>
      <c r="CSW83">
        <f t="shared" si="141"/>
        <v>74</v>
      </c>
      <c r="CSX83">
        <f t="shared" si="141"/>
        <v>74</v>
      </c>
      <c r="CSY83">
        <f t="shared" si="141"/>
        <v>74</v>
      </c>
      <c r="CSZ83">
        <f t="shared" si="141"/>
        <v>74</v>
      </c>
      <c r="CTA83">
        <f t="shared" si="141"/>
        <v>74</v>
      </c>
      <c r="CTB83">
        <f t="shared" si="141"/>
        <v>74</v>
      </c>
      <c r="CTC83">
        <f t="shared" si="141"/>
        <v>74</v>
      </c>
      <c r="CTD83">
        <f t="shared" si="141"/>
        <v>74</v>
      </c>
      <c r="CTE83">
        <f t="shared" si="141"/>
        <v>74</v>
      </c>
      <c r="CTF83">
        <f t="shared" si="141"/>
        <v>74</v>
      </c>
      <c r="CTG83">
        <f t="shared" si="141"/>
        <v>74</v>
      </c>
      <c r="CTH83">
        <f t="shared" si="141"/>
        <v>74</v>
      </c>
      <c r="CTI83">
        <f t="shared" si="141"/>
        <v>74</v>
      </c>
      <c r="CTJ83">
        <f t="shared" si="141"/>
        <v>74</v>
      </c>
      <c r="CTK83">
        <f t="shared" si="141"/>
        <v>74</v>
      </c>
      <c r="CTL83">
        <f t="shared" si="141"/>
        <v>74</v>
      </c>
      <c r="CTM83">
        <f t="shared" si="141"/>
        <v>74</v>
      </c>
      <c r="CTN83">
        <f t="shared" si="141"/>
        <v>74</v>
      </c>
      <c r="CTO83">
        <f t="shared" ref="CTO83:CVZ83" si="142">COUNTBLANK(CTO6:CTO81)</f>
        <v>74</v>
      </c>
      <c r="CTP83">
        <f t="shared" si="142"/>
        <v>74</v>
      </c>
      <c r="CTQ83">
        <f t="shared" si="142"/>
        <v>74</v>
      </c>
      <c r="CTR83">
        <f t="shared" si="142"/>
        <v>74</v>
      </c>
      <c r="CTS83">
        <f t="shared" si="142"/>
        <v>74</v>
      </c>
      <c r="CTT83">
        <f t="shared" si="142"/>
        <v>74</v>
      </c>
      <c r="CTU83">
        <f t="shared" si="142"/>
        <v>74</v>
      </c>
      <c r="CTV83">
        <f t="shared" si="142"/>
        <v>74</v>
      </c>
      <c r="CTW83">
        <f t="shared" si="142"/>
        <v>74</v>
      </c>
      <c r="CTX83">
        <f t="shared" si="142"/>
        <v>74</v>
      </c>
      <c r="CTY83">
        <f t="shared" si="142"/>
        <v>74</v>
      </c>
      <c r="CTZ83">
        <f t="shared" si="142"/>
        <v>74</v>
      </c>
      <c r="CUA83">
        <f t="shared" si="142"/>
        <v>74</v>
      </c>
      <c r="CUB83">
        <f t="shared" si="142"/>
        <v>74</v>
      </c>
      <c r="CUC83">
        <f t="shared" si="142"/>
        <v>75</v>
      </c>
      <c r="CUD83">
        <f t="shared" si="142"/>
        <v>75</v>
      </c>
      <c r="CUE83">
        <f t="shared" si="142"/>
        <v>75</v>
      </c>
      <c r="CUF83">
        <f t="shared" si="142"/>
        <v>75</v>
      </c>
      <c r="CUG83">
        <f t="shared" si="142"/>
        <v>75</v>
      </c>
      <c r="CUH83">
        <f t="shared" si="142"/>
        <v>75</v>
      </c>
      <c r="CUI83">
        <f t="shared" si="142"/>
        <v>75</v>
      </c>
      <c r="CUJ83">
        <f t="shared" si="142"/>
        <v>75</v>
      </c>
      <c r="CUK83">
        <f t="shared" si="142"/>
        <v>75</v>
      </c>
      <c r="CUL83">
        <f t="shared" si="142"/>
        <v>75</v>
      </c>
      <c r="CUM83">
        <f t="shared" si="142"/>
        <v>75</v>
      </c>
      <c r="CUN83">
        <f t="shared" si="142"/>
        <v>75</v>
      </c>
      <c r="CUO83">
        <f t="shared" si="142"/>
        <v>75</v>
      </c>
      <c r="CUP83">
        <f t="shared" si="142"/>
        <v>75</v>
      </c>
      <c r="CUQ83">
        <f t="shared" si="142"/>
        <v>75</v>
      </c>
      <c r="CUR83">
        <f t="shared" si="142"/>
        <v>75</v>
      </c>
      <c r="CUS83">
        <f t="shared" si="142"/>
        <v>75</v>
      </c>
      <c r="CUT83">
        <f t="shared" si="142"/>
        <v>75</v>
      </c>
      <c r="CUU83">
        <f t="shared" si="142"/>
        <v>75</v>
      </c>
      <c r="CUV83">
        <f t="shared" si="142"/>
        <v>75</v>
      </c>
      <c r="CUW83">
        <f t="shared" si="142"/>
        <v>75</v>
      </c>
      <c r="CUX83">
        <f t="shared" si="142"/>
        <v>75</v>
      </c>
      <c r="CUY83">
        <f t="shared" si="142"/>
        <v>75</v>
      </c>
      <c r="CUZ83">
        <f t="shared" si="142"/>
        <v>75</v>
      </c>
      <c r="CVA83">
        <f t="shared" si="142"/>
        <v>74</v>
      </c>
      <c r="CVB83">
        <f t="shared" si="142"/>
        <v>74</v>
      </c>
      <c r="CVC83">
        <f t="shared" si="142"/>
        <v>74</v>
      </c>
      <c r="CVD83">
        <f t="shared" si="142"/>
        <v>74</v>
      </c>
      <c r="CVE83">
        <f t="shared" si="142"/>
        <v>74</v>
      </c>
      <c r="CVF83">
        <f t="shared" si="142"/>
        <v>74</v>
      </c>
      <c r="CVG83">
        <f t="shared" si="142"/>
        <v>74</v>
      </c>
      <c r="CVH83">
        <f t="shared" si="142"/>
        <v>74</v>
      </c>
      <c r="CVI83">
        <f t="shared" si="142"/>
        <v>74</v>
      </c>
      <c r="CVJ83">
        <f t="shared" si="142"/>
        <v>74</v>
      </c>
      <c r="CVK83">
        <f t="shared" si="142"/>
        <v>74</v>
      </c>
      <c r="CVL83">
        <f t="shared" si="142"/>
        <v>74</v>
      </c>
      <c r="CVM83">
        <f t="shared" si="142"/>
        <v>74</v>
      </c>
      <c r="CVN83">
        <f t="shared" si="142"/>
        <v>74</v>
      </c>
      <c r="CVO83">
        <f t="shared" si="142"/>
        <v>74</v>
      </c>
      <c r="CVP83">
        <f t="shared" si="142"/>
        <v>74</v>
      </c>
      <c r="CVQ83">
        <f t="shared" si="142"/>
        <v>74</v>
      </c>
      <c r="CVR83">
        <f t="shared" si="142"/>
        <v>74</v>
      </c>
      <c r="CVS83">
        <f t="shared" si="142"/>
        <v>74</v>
      </c>
      <c r="CVT83">
        <f t="shared" si="142"/>
        <v>74</v>
      </c>
      <c r="CVU83">
        <f t="shared" si="142"/>
        <v>74</v>
      </c>
      <c r="CVV83">
        <f t="shared" si="142"/>
        <v>74</v>
      </c>
      <c r="CVW83">
        <f t="shared" si="142"/>
        <v>74</v>
      </c>
      <c r="CVX83">
        <f t="shared" si="142"/>
        <v>74</v>
      </c>
      <c r="CVY83">
        <f t="shared" si="142"/>
        <v>74</v>
      </c>
      <c r="CVZ83">
        <f t="shared" si="142"/>
        <v>74</v>
      </c>
      <c r="CWA83">
        <f t="shared" ref="CWA83:CYL83" si="143">COUNTBLANK(CWA6:CWA81)</f>
        <v>74</v>
      </c>
      <c r="CWB83">
        <f t="shared" si="143"/>
        <v>74</v>
      </c>
      <c r="CWC83">
        <f t="shared" si="143"/>
        <v>74</v>
      </c>
      <c r="CWD83">
        <f t="shared" si="143"/>
        <v>74</v>
      </c>
      <c r="CWE83">
        <f t="shared" si="143"/>
        <v>74</v>
      </c>
      <c r="CWF83">
        <f t="shared" si="143"/>
        <v>74</v>
      </c>
      <c r="CWG83">
        <f t="shared" si="143"/>
        <v>74</v>
      </c>
      <c r="CWH83">
        <f t="shared" si="143"/>
        <v>74</v>
      </c>
      <c r="CWI83">
        <f t="shared" si="143"/>
        <v>74</v>
      </c>
      <c r="CWJ83">
        <f t="shared" si="143"/>
        <v>74</v>
      </c>
      <c r="CWK83">
        <f t="shared" si="143"/>
        <v>74</v>
      </c>
      <c r="CWL83">
        <f t="shared" si="143"/>
        <v>74</v>
      </c>
      <c r="CWM83">
        <f t="shared" si="143"/>
        <v>75</v>
      </c>
      <c r="CWN83">
        <f t="shared" si="143"/>
        <v>75</v>
      </c>
      <c r="CWO83">
        <f t="shared" si="143"/>
        <v>75</v>
      </c>
      <c r="CWP83">
        <f t="shared" si="143"/>
        <v>75</v>
      </c>
      <c r="CWQ83">
        <f t="shared" si="143"/>
        <v>75</v>
      </c>
      <c r="CWR83">
        <f t="shared" si="143"/>
        <v>75</v>
      </c>
      <c r="CWS83">
        <f t="shared" si="143"/>
        <v>75</v>
      </c>
      <c r="CWT83">
        <f t="shared" si="143"/>
        <v>75</v>
      </c>
      <c r="CWU83">
        <f t="shared" si="143"/>
        <v>75</v>
      </c>
      <c r="CWV83">
        <f t="shared" si="143"/>
        <v>75</v>
      </c>
      <c r="CWW83">
        <f t="shared" si="143"/>
        <v>75</v>
      </c>
      <c r="CWX83">
        <f t="shared" si="143"/>
        <v>75</v>
      </c>
      <c r="CWY83">
        <f t="shared" si="143"/>
        <v>75</v>
      </c>
      <c r="CWZ83">
        <f t="shared" si="143"/>
        <v>75</v>
      </c>
      <c r="CXA83">
        <f t="shared" si="143"/>
        <v>75</v>
      </c>
      <c r="CXB83">
        <f t="shared" si="143"/>
        <v>75</v>
      </c>
      <c r="CXC83">
        <f t="shared" si="143"/>
        <v>75</v>
      </c>
      <c r="CXD83">
        <f t="shared" si="143"/>
        <v>75</v>
      </c>
      <c r="CXE83">
        <f t="shared" si="143"/>
        <v>75</v>
      </c>
      <c r="CXF83">
        <f t="shared" si="143"/>
        <v>75</v>
      </c>
      <c r="CXG83">
        <f t="shared" si="143"/>
        <v>75</v>
      </c>
      <c r="CXH83">
        <f t="shared" si="143"/>
        <v>75</v>
      </c>
      <c r="CXI83">
        <f t="shared" si="143"/>
        <v>75</v>
      </c>
      <c r="CXJ83">
        <f t="shared" si="143"/>
        <v>75</v>
      </c>
      <c r="CXK83">
        <f t="shared" si="143"/>
        <v>75</v>
      </c>
      <c r="CXL83">
        <f t="shared" si="143"/>
        <v>75</v>
      </c>
      <c r="CXM83">
        <f t="shared" si="143"/>
        <v>75</v>
      </c>
      <c r="CXN83">
        <f t="shared" si="143"/>
        <v>75</v>
      </c>
      <c r="CXO83">
        <f t="shared" si="143"/>
        <v>75</v>
      </c>
      <c r="CXP83">
        <f t="shared" si="143"/>
        <v>75</v>
      </c>
      <c r="CXQ83">
        <f t="shared" si="143"/>
        <v>75</v>
      </c>
      <c r="CXR83">
        <f t="shared" si="143"/>
        <v>75</v>
      </c>
      <c r="CXS83">
        <f t="shared" si="143"/>
        <v>75</v>
      </c>
      <c r="CXT83">
        <f t="shared" si="143"/>
        <v>75</v>
      </c>
      <c r="CXU83">
        <f t="shared" si="143"/>
        <v>75</v>
      </c>
      <c r="CXV83">
        <f t="shared" si="143"/>
        <v>75</v>
      </c>
      <c r="CXW83">
        <f t="shared" si="143"/>
        <v>75</v>
      </c>
      <c r="CXX83">
        <f t="shared" si="143"/>
        <v>75</v>
      </c>
      <c r="CXY83">
        <f t="shared" si="143"/>
        <v>75</v>
      </c>
      <c r="CXZ83">
        <f t="shared" si="143"/>
        <v>75</v>
      </c>
      <c r="CYA83">
        <f t="shared" si="143"/>
        <v>75</v>
      </c>
      <c r="CYB83">
        <f t="shared" si="143"/>
        <v>75</v>
      </c>
      <c r="CYC83">
        <f t="shared" si="143"/>
        <v>75</v>
      </c>
      <c r="CYD83">
        <f t="shared" si="143"/>
        <v>75</v>
      </c>
      <c r="CYE83">
        <f t="shared" si="143"/>
        <v>75</v>
      </c>
      <c r="CYF83">
        <f t="shared" si="143"/>
        <v>75</v>
      </c>
      <c r="CYG83">
        <f t="shared" si="143"/>
        <v>75</v>
      </c>
      <c r="CYH83">
        <f t="shared" si="143"/>
        <v>75</v>
      </c>
      <c r="CYI83">
        <f t="shared" si="143"/>
        <v>75</v>
      </c>
      <c r="CYJ83">
        <f t="shared" si="143"/>
        <v>75</v>
      </c>
      <c r="CYK83">
        <f t="shared" si="143"/>
        <v>75</v>
      </c>
      <c r="CYL83">
        <f t="shared" si="143"/>
        <v>75</v>
      </c>
      <c r="CYM83">
        <f t="shared" ref="CYM83:DAX83" si="144">COUNTBLANK(CYM6:CYM81)</f>
        <v>75</v>
      </c>
      <c r="CYN83">
        <f t="shared" si="144"/>
        <v>75</v>
      </c>
      <c r="CYO83">
        <f t="shared" si="144"/>
        <v>75</v>
      </c>
      <c r="CYP83">
        <f t="shared" si="144"/>
        <v>75</v>
      </c>
      <c r="CYQ83">
        <f t="shared" si="144"/>
        <v>75</v>
      </c>
      <c r="CYR83">
        <f t="shared" si="144"/>
        <v>75</v>
      </c>
      <c r="CYS83">
        <f t="shared" si="144"/>
        <v>75</v>
      </c>
      <c r="CYT83">
        <f t="shared" si="144"/>
        <v>75</v>
      </c>
      <c r="CYU83">
        <f t="shared" si="144"/>
        <v>75</v>
      </c>
      <c r="CYV83">
        <f t="shared" si="144"/>
        <v>75</v>
      </c>
      <c r="CYW83">
        <f t="shared" si="144"/>
        <v>75</v>
      </c>
      <c r="CYX83">
        <f t="shared" si="144"/>
        <v>75</v>
      </c>
      <c r="CYY83">
        <f t="shared" si="144"/>
        <v>75</v>
      </c>
      <c r="CYZ83">
        <f t="shared" si="144"/>
        <v>75</v>
      </c>
      <c r="CZA83">
        <f t="shared" si="144"/>
        <v>75</v>
      </c>
      <c r="CZB83">
        <f t="shared" si="144"/>
        <v>75</v>
      </c>
      <c r="CZC83">
        <f t="shared" si="144"/>
        <v>75</v>
      </c>
      <c r="CZD83">
        <f t="shared" si="144"/>
        <v>75</v>
      </c>
      <c r="CZE83">
        <f t="shared" si="144"/>
        <v>75</v>
      </c>
      <c r="CZF83">
        <f t="shared" si="144"/>
        <v>75</v>
      </c>
      <c r="CZG83">
        <f t="shared" si="144"/>
        <v>75</v>
      </c>
      <c r="CZH83">
        <f t="shared" si="144"/>
        <v>75</v>
      </c>
      <c r="CZI83">
        <f t="shared" si="144"/>
        <v>75</v>
      </c>
      <c r="CZJ83">
        <f t="shared" si="144"/>
        <v>75</v>
      </c>
      <c r="CZK83">
        <f t="shared" si="144"/>
        <v>75</v>
      </c>
      <c r="CZL83">
        <f t="shared" si="144"/>
        <v>75</v>
      </c>
      <c r="CZM83">
        <f t="shared" si="144"/>
        <v>75</v>
      </c>
      <c r="CZN83">
        <f t="shared" si="144"/>
        <v>75</v>
      </c>
      <c r="CZO83">
        <f t="shared" si="144"/>
        <v>75</v>
      </c>
      <c r="CZP83">
        <f t="shared" si="144"/>
        <v>75</v>
      </c>
      <c r="CZQ83">
        <f t="shared" si="144"/>
        <v>75</v>
      </c>
      <c r="CZR83">
        <f t="shared" si="144"/>
        <v>75</v>
      </c>
      <c r="CZS83">
        <f t="shared" si="144"/>
        <v>75</v>
      </c>
      <c r="CZT83">
        <f t="shared" si="144"/>
        <v>75</v>
      </c>
      <c r="CZU83">
        <f t="shared" si="144"/>
        <v>75</v>
      </c>
      <c r="CZV83">
        <f t="shared" si="144"/>
        <v>75</v>
      </c>
      <c r="CZW83">
        <f t="shared" si="144"/>
        <v>75</v>
      </c>
      <c r="CZX83">
        <f t="shared" si="144"/>
        <v>75</v>
      </c>
      <c r="CZY83">
        <f t="shared" si="144"/>
        <v>75</v>
      </c>
      <c r="CZZ83">
        <f t="shared" si="144"/>
        <v>75</v>
      </c>
      <c r="DAA83">
        <f t="shared" si="144"/>
        <v>75</v>
      </c>
      <c r="DAB83">
        <f t="shared" si="144"/>
        <v>75</v>
      </c>
      <c r="DAC83">
        <f t="shared" si="144"/>
        <v>75</v>
      </c>
      <c r="DAD83">
        <f t="shared" si="144"/>
        <v>75</v>
      </c>
      <c r="DAE83">
        <f t="shared" si="144"/>
        <v>75</v>
      </c>
      <c r="DAF83">
        <f t="shared" si="144"/>
        <v>75</v>
      </c>
      <c r="DAG83">
        <f t="shared" si="144"/>
        <v>75</v>
      </c>
      <c r="DAH83">
        <f t="shared" si="144"/>
        <v>75</v>
      </c>
      <c r="DAI83">
        <f t="shared" si="144"/>
        <v>75</v>
      </c>
      <c r="DAJ83">
        <f t="shared" si="144"/>
        <v>75</v>
      </c>
      <c r="DAK83">
        <f t="shared" si="144"/>
        <v>75</v>
      </c>
      <c r="DAL83">
        <f t="shared" si="144"/>
        <v>75</v>
      </c>
      <c r="DAM83">
        <f t="shared" si="144"/>
        <v>75</v>
      </c>
      <c r="DAN83">
        <f t="shared" si="144"/>
        <v>75</v>
      </c>
      <c r="DAO83">
        <f t="shared" si="144"/>
        <v>75</v>
      </c>
      <c r="DAP83">
        <f t="shared" si="144"/>
        <v>75</v>
      </c>
      <c r="DAQ83">
        <f t="shared" si="144"/>
        <v>75</v>
      </c>
      <c r="DAR83">
        <f t="shared" si="144"/>
        <v>75</v>
      </c>
      <c r="DAS83">
        <f t="shared" si="144"/>
        <v>75</v>
      </c>
      <c r="DAT83">
        <f t="shared" si="144"/>
        <v>75</v>
      </c>
      <c r="DAU83">
        <f t="shared" si="144"/>
        <v>75</v>
      </c>
      <c r="DAV83">
        <f t="shared" si="144"/>
        <v>75</v>
      </c>
      <c r="DAW83">
        <f t="shared" si="144"/>
        <v>75</v>
      </c>
      <c r="DAX83">
        <f t="shared" si="144"/>
        <v>75</v>
      </c>
      <c r="DAY83">
        <f t="shared" ref="DAY83:DDJ83" si="145">COUNTBLANK(DAY6:DAY81)</f>
        <v>75</v>
      </c>
      <c r="DAZ83">
        <f t="shared" si="145"/>
        <v>75</v>
      </c>
      <c r="DBA83">
        <f t="shared" si="145"/>
        <v>75</v>
      </c>
      <c r="DBB83">
        <f t="shared" si="145"/>
        <v>75</v>
      </c>
      <c r="DBC83">
        <f t="shared" si="145"/>
        <v>75</v>
      </c>
      <c r="DBD83">
        <f t="shared" si="145"/>
        <v>75</v>
      </c>
      <c r="DBE83">
        <f t="shared" si="145"/>
        <v>75</v>
      </c>
      <c r="DBF83">
        <f t="shared" si="145"/>
        <v>75</v>
      </c>
      <c r="DBG83">
        <f t="shared" si="145"/>
        <v>75</v>
      </c>
      <c r="DBH83">
        <f t="shared" si="145"/>
        <v>75</v>
      </c>
      <c r="DBI83">
        <f t="shared" si="145"/>
        <v>75</v>
      </c>
      <c r="DBJ83">
        <f t="shared" si="145"/>
        <v>75</v>
      </c>
      <c r="DBK83">
        <f t="shared" si="145"/>
        <v>75</v>
      </c>
      <c r="DBL83">
        <f t="shared" si="145"/>
        <v>75</v>
      </c>
      <c r="DBM83">
        <f t="shared" si="145"/>
        <v>75</v>
      </c>
      <c r="DBN83">
        <f t="shared" si="145"/>
        <v>75</v>
      </c>
      <c r="DBO83">
        <f t="shared" si="145"/>
        <v>75</v>
      </c>
      <c r="DBP83">
        <f t="shared" si="145"/>
        <v>75</v>
      </c>
      <c r="DBQ83">
        <f t="shared" si="145"/>
        <v>75</v>
      </c>
      <c r="DBR83">
        <f t="shared" si="145"/>
        <v>75</v>
      </c>
      <c r="DBS83">
        <f t="shared" si="145"/>
        <v>75</v>
      </c>
      <c r="DBT83">
        <f t="shared" si="145"/>
        <v>75</v>
      </c>
      <c r="DBU83">
        <f t="shared" si="145"/>
        <v>75</v>
      </c>
      <c r="DBV83">
        <f t="shared" si="145"/>
        <v>75</v>
      </c>
      <c r="DBW83">
        <f t="shared" si="145"/>
        <v>75</v>
      </c>
      <c r="DBX83">
        <f t="shared" si="145"/>
        <v>75</v>
      </c>
      <c r="DBY83">
        <f t="shared" si="145"/>
        <v>75</v>
      </c>
      <c r="DBZ83">
        <f t="shared" si="145"/>
        <v>75</v>
      </c>
      <c r="DCA83">
        <f t="shared" si="145"/>
        <v>75</v>
      </c>
      <c r="DCB83">
        <f t="shared" si="145"/>
        <v>75</v>
      </c>
      <c r="DCC83">
        <f t="shared" si="145"/>
        <v>75</v>
      </c>
      <c r="DCD83">
        <f t="shared" si="145"/>
        <v>75</v>
      </c>
      <c r="DCE83">
        <f t="shared" si="145"/>
        <v>75</v>
      </c>
      <c r="DCF83">
        <f t="shared" si="145"/>
        <v>75</v>
      </c>
      <c r="DCG83">
        <f t="shared" si="145"/>
        <v>75</v>
      </c>
      <c r="DCH83">
        <f t="shared" si="145"/>
        <v>75</v>
      </c>
      <c r="DCI83">
        <f t="shared" si="145"/>
        <v>75</v>
      </c>
      <c r="DCJ83">
        <f t="shared" si="145"/>
        <v>75</v>
      </c>
      <c r="DCK83">
        <f t="shared" si="145"/>
        <v>75</v>
      </c>
      <c r="DCL83">
        <f t="shared" si="145"/>
        <v>75</v>
      </c>
      <c r="DCM83">
        <f t="shared" si="145"/>
        <v>75</v>
      </c>
      <c r="DCN83">
        <f t="shared" si="145"/>
        <v>75</v>
      </c>
      <c r="DCO83">
        <f t="shared" si="145"/>
        <v>75</v>
      </c>
      <c r="DCP83">
        <f t="shared" si="145"/>
        <v>75</v>
      </c>
      <c r="DCQ83">
        <f t="shared" si="145"/>
        <v>75</v>
      </c>
      <c r="DCR83">
        <f t="shared" si="145"/>
        <v>75</v>
      </c>
      <c r="DCS83">
        <f t="shared" si="145"/>
        <v>75</v>
      </c>
      <c r="DCT83">
        <f t="shared" si="145"/>
        <v>75</v>
      </c>
      <c r="DCU83">
        <f t="shared" si="145"/>
        <v>75</v>
      </c>
      <c r="DCV83">
        <f t="shared" si="145"/>
        <v>75</v>
      </c>
      <c r="DCW83">
        <f t="shared" si="145"/>
        <v>75</v>
      </c>
      <c r="DCX83">
        <f t="shared" si="145"/>
        <v>75</v>
      </c>
      <c r="DCY83">
        <f t="shared" si="145"/>
        <v>75</v>
      </c>
      <c r="DCZ83">
        <f t="shared" si="145"/>
        <v>75</v>
      </c>
      <c r="DDA83">
        <f t="shared" si="145"/>
        <v>75</v>
      </c>
      <c r="DDB83">
        <f t="shared" si="145"/>
        <v>75</v>
      </c>
      <c r="DDC83">
        <f t="shared" si="145"/>
        <v>75</v>
      </c>
      <c r="DDD83">
        <f t="shared" si="145"/>
        <v>75</v>
      </c>
      <c r="DDE83">
        <f t="shared" si="145"/>
        <v>75</v>
      </c>
      <c r="DDF83">
        <f t="shared" si="145"/>
        <v>75</v>
      </c>
      <c r="DDG83">
        <f t="shared" si="145"/>
        <v>75</v>
      </c>
      <c r="DDH83">
        <f t="shared" si="145"/>
        <v>75</v>
      </c>
      <c r="DDI83">
        <f t="shared" si="145"/>
        <v>75</v>
      </c>
      <c r="DDJ83">
        <f t="shared" si="145"/>
        <v>75</v>
      </c>
      <c r="DDK83">
        <f t="shared" ref="DDK83:DFV83" si="146">COUNTBLANK(DDK6:DDK81)</f>
        <v>75</v>
      </c>
      <c r="DDL83">
        <f t="shared" si="146"/>
        <v>75</v>
      </c>
      <c r="DDM83">
        <f t="shared" si="146"/>
        <v>75</v>
      </c>
      <c r="DDN83">
        <f t="shared" si="146"/>
        <v>75</v>
      </c>
      <c r="DDO83">
        <f t="shared" si="146"/>
        <v>75</v>
      </c>
      <c r="DDP83">
        <f t="shared" si="146"/>
        <v>75</v>
      </c>
      <c r="DDQ83">
        <f t="shared" si="146"/>
        <v>75</v>
      </c>
      <c r="DDR83">
        <f t="shared" si="146"/>
        <v>75</v>
      </c>
      <c r="DDS83">
        <f t="shared" si="146"/>
        <v>75</v>
      </c>
      <c r="DDT83">
        <f t="shared" si="146"/>
        <v>75</v>
      </c>
      <c r="DDU83">
        <f t="shared" si="146"/>
        <v>75</v>
      </c>
      <c r="DDV83">
        <f t="shared" si="146"/>
        <v>75</v>
      </c>
      <c r="DDW83">
        <f t="shared" si="146"/>
        <v>75</v>
      </c>
      <c r="DDX83">
        <f t="shared" si="146"/>
        <v>75</v>
      </c>
      <c r="DDY83">
        <f t="shared" si="146"/>
        <v>75</v>
      </c>
      <c r="DDZ83">
        <f t="shared" si="146"/>
        <v>75</v>
      </c>
      <c r="DEA83">
        <f t="shared" si="146"/>
        <v>75</v>
      </c>
      <c r="DEB83">
        <f t="shared" si="146"/>
        <v>75</v>
      </c>
      <c r="DEC83">
        <f t="shared" si="146"/>
        <v>75</v>
      </c>
      <c r="DED83">
        <f t="shared" si="146"/>
        <v>75</v>
      </c>
      <c r="DEE83">
        <f t="shared" si="146"/>
        <v>75</v>
      </c>
      <c r="DEF83">
        <f t="shared" si="146"/>
        <v>75</v>
      </c>
      <c r="DEG83">
        <f t="shared" si="146"/>
        <v>75</v>
      </c>
      <c r="DEH83">
        <f t="shared" si="146"/>
        <v>75</v>
      </c>
      <c r="DEI83">
        <f t="shared" si="146"/>
        <v>75</v>
      </c>
      <c r="DEJ83">
        <f t="shared" si="146"/>
        <v>75</v>
      </c>
      <c r="DEK83">
        <f t="shared" si="146"/>
        <v>75</v>
      </c>
      <c r="DEL83">
        <f t="shared" si="146"/>
        <v>75</v>
      </c>
      <c r="DEM83">
        <f t="shared" si="146"/>
        <v>75</v>
      </c>
      <c r="DEN83">
        <f t="shared" si="146"/>
        <v>75</v>
      </c>
      <c r="DEO83">
        <f t="shared" si="146"/>
        <v>75</v>
      </c>
      <c r="DEP83">
        <f t="shared" si="146"/>
        <v>75</v>
      </c>
      <c r="DEQ83">
        <f t="shared" si="146"/>
        <v>75</v>
      </c>
      <c r="DER83">
        <f t="shared" si="146"/>
        <v>75</v>
      </c>
      <c r="DES83">
        <f t="shared" si="146"/>
        <v>75</v>
      </c>
      <c r="DET83">
        <f t="shared" si="146"/>
        <v>75</v>
      </c>
      <c r="DEU83">
        <f t="shared" si="146"/>
        <v>75</v>
      </c>
      <c r="DEV83">
        <f t="shared" si="146"/>
        <v>75</v>
      </c>
      <c r="DEW83">
        <f t="shared" si="146"/>
        <v>75</v>
      </c>
      <c r="DEX83">
        <f t="shared" si="146"/>
        <v>75</v>
      </c>
      <c r="DEY83">
        <f t="shared" si="146"/>
        <v>75</v>
      </c>
      <c r="DEZ83">
        <f t="shared" si="146"/>
        <v>75</v>
      </c>
      <c r="DFA83">
        <f t="shared" si="146"/>
        <v>75</v>
      </c>
      <c r="DFB83">
        <f t="shared" si="146"/>
        <v>75</v>
      </c>
      <c r="DFC83">
        <f t="shared" si="146"/>
        <v>75</v>
      </c>
      <c r="DFD83">
        <f t="shared" si="146"/>
        <v>75</v>
      </c>
      <c r="DFE83">
        <f t="shared" si="146"/>
        <v>75</v>
      </c>
      <c r="DFF83">
        <f t="shared" si="146"/>
        <v>75</v>
      </c>
      <c r="DFG83">
        <f t="shared" si="146"/>
        <v>75</v>
      </c>
      <c r="DFH83">
        <f t="shared" si="146"/>
        <v>75</v>
      </c>
      <c r="DFI83">
        <f t="shared" si="146"/>
        <v>75</v>
      </c>
      <c r="DFJ83">
        <f t="shared" si="146"/>
        <v>75</v>
      </c>
      <c r="DFK83">
        <f t="shared" si="146"/>
        <v>75</v>
      </c>
      <c r="DFL83">
        <f t="shared" si="146"/>
        <v>75</v>
      </c>
      <c r="DFM83">
        <f t="shared" si="146"/>
        <v>75</v>
      </c>
      <c r="DFN83">
        <f t="shared" si="146"/>
        <v>75</v>
      </c>
      <c r="DFO83">
        <f t="shared" si="146"/>
        <v>75</v>
      </c>
      <c r="DFP83">
        <f t="shared" si="146"/>
        <v>75</v>
      </c>
      <c r="DFQ83">
        <f t="shared" si="146"/>
        <v>75</v>
      </c>
      <c r="DFR83">
        <f t="shared" si="146"/>
        <v>75</v>
      </c>
      <c r="DFS83">
        <f t="shared" si="146"/>
        <v>75</v>
      </c>
      <c r="DFT83">
        <f t="shared" si="146"/>
        <v>75</v>
      </c>
      <c r="DFU83">
        <f t="shared" si="146"/>
        <v>75</v>
      </c>
      <c r="DFV83">
        <f t="shared" si="146"/>
        <v>75</v>
      </c>
      <c r="DFW83">
        <f t="shared" ref="DFW83:DIH83" si="147">COUNTBLANK(DFW6:DFW81)</f>
        <v>75</v>
      </c>
      <c r="DFX83">
        <f t="shared" si="147"/>
        <v>75</v>
      </c>
      <c r="DFY83">
        <f t="shared" si="147"/>
        <v>75</v>
      </c>
      <c r="DFZ83">
        <f t="shared" si="147"/>
        <v>75</v>
      </c>
      <c r="DGA83">
        <f t="shared" si="147"/>
        <v>75</v>
      </c>
      <c r="DGB83">
        <f t="shared" si="147"/>
        <v>75</v>
      </c>
      <c r="DGC83">
        <f t="shared" si="147"/>
        <v>75</v>
      </c>
      <c r="DGD83">
        <f t="shared" si="147"/>
        <v>75</v>
      </c>
      <c r="DGE83">
        <f t="shared" si="147"/>
        <v>75</v>
      </c>
      <c r="DGF83">
        <f t="shared" si="147"/>
        <v>75</v>
      </c>
      <c r="DGG83">
        <f t="shared" si="147"/>
        <v>75</v>
      </c>
      <c r="DGH83">
        <f t="shared" si="147"/>
        <v>75</v>
      </c>
      <c r="DGI83">
        <f t="shared" si="147"/>
        <v>75</v>
      </c>
      <c r="DGJ83">
        <f t="shared" si="147"/>
        <v>75</v>
      </c>
      <c r="DGK83">
        <f t="shared" si="147"/>
        <v>75</v>
      </c>
      <c r="DGL83">
        <f t="shared" si="147"/>
        <v>75</v>
      </c>
      <c r="DGM83">
        <f t="shared" si="147"/>
        <v>75</v>
      </c>
      <c r="DGN83">
        <f t="shared" si="147"/>
        <v>75</v>
      </c>
      <c r="DGO83">
        <f t="shared" si="147"/>
        <v>75</v>
      </c>
      <c r="DGP83">
        <f t="shared" si="147"/>
        <v>75</v>
      </c>
      <c r="DGQ83">
        <f t="shared" si="147"/>
        <v>75</v>
      </c>
      <c r="DGR83">
        <f t="shared" si="147"/>
        <v>75</v>
      </c>
      <c r="DGS83">
        <f t="shared" si="147"/>
        <v>75</v>
      </c>
      <c r="DGT83">
        <f t="shared" si="147"/>
        <v>75</v>
      </c>
      <c r="DGU83">
        <f t="shared" si="147"/>
        <v>75</v>
      </c>
      <c r="DGV83">
        <f t="shared" si="147"/>
        <v>75</v>
      </c>
      <c r="DGW83">
        <f t="shared" si="147"/>
        <v>75</v>
      </c>
      <c r="DGX83">
        <f t="shared" si="147"/>
        <v>75</v>
      </c>
      <c r="DGY83">
        <f t="shared" si="147"/>
        <v>75</v>
      </c>
      <c r="DGZ83">
        <f t="shared" si="147"/>
        <v>74</v>
      </c>
      <c r="DHA83">
        <f t="shared" si="147"/>
        <v>74</v>
      </c>
      <c r="DHB83">
        <f t="shared" si="147"/>
        <v>74</v>
      </c>
      <c r="DHC83">
        <f t="shared" si="147"/>
        <v>74</v>
      </c>
      <c r="DHD83">
        <f t="shared" si="147"/>
        <v>74</v>
      </c>
      <c r="DHE83">
        <f t="shared" si="147"/>
        <v>74</v>
      </c>
      <c r="DHF83">
        <f t="shared" si="147"/>
        <v>74</v>
      </c>
      <c r="DHG83">
        <f t="shared" si="147"/>
        <v>74</v>
      </c>
      <c r="DHH83">
        <f t="shared" si="147"/>
        <v>74</v>
      </c>
      <c r="DHI83">
        <f t="shared" si="147"/>
        <v>74</v>
      </c>
      <c r="DHJ83">
        <f t="shared" si="147"/>
        <v>74</v>
      </c>
      <c r="DHK83">
        <f t="shared" si="147"/>
        <v>74</v>
      </c>
      <c r="DHL83">
        <f t="shared" si="147"/>
        <v>74</v>
      </c>
      <c r="DHM83">
        <f t="shared" si="147"/>
        <v>74</v>
      </c>
      <c r="DHN83">
        <f t="shared" si="147"/>
        <v>74</v>
      </c>
      <c r="DHO83">
        <f t="shared" si="147"/>
        <v>74</v>
      </c>
      <c r="DHP83">
        <f t="shared" si="147"/>
        <v>74</v>
      </c>
      <c r="DHQ83">
        <f t="shared" si="147"/>
        <v>75</v>
      </c>
      <c r="DHR83">
        <f t="shared" si="147"/>
        <v>75</v>
      </c>
      <c r="DHS83">
        <f t="shared" si="147"/>
        <v>75</v>
      </c>
      <c r="DHT83">
        <f t="shared" si="147"/>
        <v>75</v>
      </c>
      <c r="DHU83">
        <f t="shared" si="147"/>
        <v>75</v>
      </c>
      <c r="DHV83">
        <f t="shared" si="147"/>
        <v>75</v>
      </c>
      <c r="DHW83">
        <f t="shared" si="147"/>
        <v>75</v>
      </c>
      <c r="DHX83">
        <f t="shared" si="147"/>
        <v>75</v>
      </c>
      <c r="DHY83">
        <f t="shared" si="147"/>
        <v>75</v>
      </c>
      <c r="DHZ83">
        <f t="shared" si="147"/>
        <v>75</v>
      </c>
      <c r="DIA83">
        <f t="shared" si="147"/>
        <v>75</v>
      </c>
      <c r="DIB83">
        <f t="shared" si="147"/>
        <v>75</v>
      </c>
      <c r="DIC83">
        <f t="shared" si="147"/>
        <v>75</v>
      </c>
      <c r="DID83">
        <f t="shared" si="147"/>
        <v>75</v>
      </c>
      <c r="DIE83">
        <f t="shared" si="147"/>
        <v>75</v>
      </c>
      <c r="DIF83">
        <f t="shared" si="147"/>
        <v>75</v>
      </c>
      <c r="DIG83">
        <f t="shared" si="147"/>
        <v>75</v>
      </c>
      <c r="DIH83">
        <f t="shared" si="147"/>
        <v>75</v>
      </c>
      <c r="DII83">
        <f t="shared" ref="DII83:DKT83" si="148">COUNTBLANK(DII6:DII81)</f>
        <v>75</v>
      </c>
      <c r="DIJ83">
        <f t="shared" si="148"/>
        <v>75</v>
      </c>
      <c r="DIK83">
        <f t="shared" si="148"/>
        <v>75</v>
      </c>
      <c r="DIL83">
        <f t="shared" si="148"/>
        <v>75</v>
      </c>
      <c r="DIM83">
        <f t="shared" si="148"/>
        <v>75</v>
      </c>
      <c r="DIN83">
        <f t="shared" si="148"/>
        <v>75</v>
      </c>
      <c r="DIO83">
        <f t="shared" si="148"/>
        <v>75</v>
      </c>
      <c r="DIP83">
        <f t="shared" si="148"/>
        <v>75</v>
      </c>
      <c r="DIQ83">
        <f t="shared" si="148"/>
        <v>75</v>
      </c>
      <c r="DIR83">
        <f t="shared" si="148"/>
        <v>75</v>
      </c>
      <c r="DIS83">
        <f t="shared" si="148"/>
        <v>75</v>
      </c>
      <c r="DIT83">
        <f t="shared" si="148"/>
        <v>75</v>
      </c>
      <c r="DIU83">
        <f t="shared" si="148"/>
        <v>75</v>
      </c>
      <c r="DIV83">
        <f t="shared" si="148"/>
        <v>75</v>
      </c>
      <c r="DIW83">
        <f t="shared" si="148"/>
        <v>75</v>
      </c>
      <c r="DIX83">
        <f t="shared" si="148"/>
        <v>75</v>
      </c>
      <c r="DIY83">
        <f t="shared" si="148"/>
        <v>75</v>
      </c>
      <c r="DIZ83">
        <f t="shared" si="148"/>
        <v>75</v>
      </c>
      <c r="DJA83">
        <f t="shared" si="148"/>
        <v>75</v>
      </c>
      <c r="DJB83">
        <f t="shared" si="148"/>
        <v>75</v>
      </c>
      <c r="DJC83">
        <f t="shared" si="148"/>
        <v>75</v>
      </c>
      <c r="DJD83">
        <f t="shared" si="148"/>
        <v>75</v>
      </c>
      <c r="DJE83">
        <f t="shared" si="148"/>
        <v>75</v>
      </c>
      <c r="DJF83">
        <f t="shared" si="148"/>
        <v>75</v>
      </c>
      <c r="DJG83">
        <f t="shared" si="148"/>
        <v>75</v>
      </c>
      <c r="DJH83">
        <f t="shared" si="148"/>
        <v>75</v>
      </c>
      <c r="DJI83">
        <f t="shared" si="148"/>
        <v>75</v>
      </c>
      <c r="DJJ83">
        <f t="shared" si="148"/>
        <v>75</v>
      </c>
      <c r="DJK83">
        <f t="shared" si="148"/>
        <v>75</v>
      </c>
      <c r="DJL83">
        <f t="shared" si="148"/>
        <v>75</v>
      </c>
      <c r="DJM83">
        <f t="shared" si="148"/>
        <v>75</v>
      </c>
      <c r="DJN83">
        <f t="shared" si="148"/>
        <v>75</v>
      </c>
      <c r="DJO83">
        <f t="shared" si="148"/>
        <v>75</v>
      </c>
      <c r="DJP83">
        <f t="shared" si="148"/>
        <v>75</v>
      </c>
      <c r="DJQ83">
        <f t="shared" si="148"/>
        <v>75</v>
      </c>
      <c r="DJR83">
        <f t="shared" si="148"/>
        <v>75</v>
      </c>
      <c r="DJS83">
        <f t="shared" si="148"/>
        <v>75</v>
      </c>
      <c r="DJT83">
        <f t="shared" si="148"/>
        <v>75</v>
      </c>
      <c r="DJU83">
        <f t="shared" si="148"/>
        <v>75</v>
      </c>
      <c r="DJV83">
        <f t="shared" si="148"/>
        <v>75</v>
      </c>
      <c r="DJW83">
        <f t="shared" si="148"/>
        <v>75</v>
      </c>
      <c r="DJX83">
        <f t="shared" si="148"/>
        <v>75</v>
      </c>
      <c r="DJY83">
        <f t="shared" si="148"/>
        <v>75</v>
      </c>
      <c r="DJZ83">
        <f t="shared" si="148"/>
        <v>75</v>
      </c>
      <c r="DKA83">
        <f t="shared" si="148"/>
        <v>75</v>
      </c>
      <c r="DKB83">
        <f t="shared" si="148"/>
        <v>75</v>
      </c>
      <c r="DKC83">
        <f t="shared" si="148"/>
        <v>75</v>
      </c>
      <c r="DKD83">
        <f t="shared" si="148"/>
        <v>75</v>
      </c>
      <c r="DKE83">
        <f t="shared" si="148"/>
        <v>75</v>
      </c>
      <c r="DKF83">
        <f t="shared" si="148"/>
        <v>75</v>
      </c>
      <c r="DKG83">
        <f t="shared" si="148"/>
        <v>75</v>
      </c>
      <c r="DKH83">
        <f t="shared" si="148"/>
        <v>75</v>
      </c>
      <c r="DKI83">
        <f t="shared" si="148"/>
        <v>75</v>
      </c>
      <c r="DKJ83">
        <f t="shared" si="148"/>
        <v>75</v>
      </c>
      <c r="DKK83">
        <f t="shared" si="148"/>
        <v>75</v>
      </c>
      <c r="DKL83">
        <f t="shared" si="148"/>
        <v>75</v>
      </c>
      <c r="DKM83">
        <f t="shared" si="148"/>
        <v>75</v>
      </c>
      <c r="DKN83">
        <f t="shared" si="148"/>
        <v>75</v>
      </c>
      <c r="DKO83">
        <f t="shared" si="148"/>
        <v>75</v>
      </c>
      <c r="DKP83">
        <f t="shared" si="148"/>
        <v>75</v>
      </c>
      <c r="DKQ83">
        <f t="shared" si="148"/>
        <v>75</v>
      </c>
      <c r="DKR83">
        <f t="shared" si="148"/>
        <v>75</v>
      </c>
      <c r="DKS83">
        <f t="shared" si="148"/>
        <v>75</v>
      </c>
      <c r="DKT83">
        <f t="shared" si="148"/>
        <v>75</v>
      </c>
      <c r="DKU83">
        <f t="shared" ref="DKU83:DNF83" si="149">COUNTBLANK(DKU6:DKU81)</f>
        <v>75</v>
      </c>
      <c r="DKV83">
        <f t="shared" si="149"/>
        <v>75</v>
      </c>
      <c r="DKW83">
        <f t="shared" si="149"/>
        <v>75</v>
      </c>
      <c r="DKX83">
        <f t="shared" si="149"/>
        <v>75</v>
      </c>
      <c r="DKY83">
        <f t="shared" si="149"/>
        <v>75</v>
      </c>
      <c r="DKZ83">
        <f t="shared" si="149"/>
        <v>75</v>
      </c>
      <c r="DLA83">
        <f t="shared" si="149"/>
        <v>75</v>
      </c>
      <c r="DLB83">
        <f t="shared" si="149"/>
        <v>75</v>
      </c>
      <c r="DLC83">
        <f t="shared" si="149"/>
        <v>75</v>
      </c>
      <c r="DLD83">
        <f t="shared" si="149"/>
        <v>75</v>
      </c>
      <c r="DLE83">
        <f t="shared" si="149"/>
        <v>75</v>
      </c>
      <c r="DLF83">
        <f t="shared" si="149"/>
        <v>75</v>
      </c>
      <c r="DLG83">
        <f t="shared" si="149"/>
        <v>75</v>
      </c>
      <c r="DLH83">
        <f t="shared" si="149"/>
        <v>75</v>
      </c>
      <c r="DLI83">
        <f t="shared" si="149"/>
        <v>75</v>
      </c>
      <c r="DLJ83">
        <f t="shared" si="149"/>
        <v>75</v>
      </c>
      <c r="DLK83">
        <f t="shared" si="149"/>
        <v>75</v>
      </c>
      <c r="DLL83">
        <f t="shared" si="149"/>
        <v>75</v>
      </c>
      <c r="DLM83">
        <f t="shared" si="149"/>
        <v>75</v>
      </c>
      <c r="DLN83">
        <f t="shared" si="149"/>
        <v>75</v>
      </c>
      <c r="DLO83">
        <f t="shared" si="149"/>
        <v>75</v>
      </c>
      <c r="DLP83">
        <f t="shared" si="149"/>
        <v>75</v>
      </c>
      <c r="DLQ83">
        <f t="shared" si="149"/>
        <v>75</v>
      </c>
      <c r="DLR83">
        <f t="shared" si="149"/>
        <v>75</v>
      </c>
      <c r="DLS83">
        <f t="shared" si="149"/>
        <v>75</v>
      </c>
      <c r="DLT83">
        <f t="shared" si="149"/>
        <v>75</v>
      </c>
      <c r="DLU83">
        <f t="shared" si="149"/>
        <v>75</v>
      </c>
      <c r="DLV83">
        <f t="shared" si="149"/>
        <v>75</v>
      </c>
      <c r="DLW83">
        <f t="shared" si="149"/>
        <v>75</v>
      </c>
      <c r="DLX83">
        <f t="shared" si="149"/>
        <v>75</v>
      </c>
      <c r="DLY83">
        <f t="shared" si="149"/>
        <v>75</v>
      </c>
      <c r="DLZ83">
        <f t="shared" si="149"/>
        <v>75</v>
      </c>
      <c r="DMA83">
        <f t="shared" si="149"/>
        <v>75</v>
      </c>
      <c r="DMB83">
        <f t="shared" si="149"/>
        <v>75</v>
      </c>
      <c r="DMC83">
        <f t="shared" si="149"/>
        <v>75</v>
      </c>
      <c r="DMD83">
        <f t="shared" si="149"/>
        <v>75</v>
      </c>
      <c r="DME83">
        <f t="shared" si="149"/>
        <v>75</v>
      </c>
      <c r="DMF83">
        <f t="shared" si="149"/>
        <v>75</v>
      </c>
      <c r="DMG83">
        <f t="shared" si="149"/>
        <v>75</v>
      </c>
      <c r="DMH83">
        <f t="shared" si="149"/>
        <v>75</v>
      </c>
      <c r="DMI83">
        <f t="shared" si="149"/>
        <v>75</v>
      </c>
      <c r="DMJ83">
        <f t="shared" si="149"/>
        <v>75</v>
      </c>
      <c r="DMK83">
        <f t="shared" si="149"/>
        <v>75</v>
      </c>
      <c r="DML83">
        <f t="shared" si="149"/>
        <v>75</v>
      </c>
      <c r="DMM83">
        <f t="shared" si="149"/>
        <v>75</v>
      </c>
      <c r="DMN83">
        <f t="shared" si="149"/>
        <v>75</v>
      </c>
      <c r="DMO83">
        <f t="shared" si="149"/>
        <v>75</v>
      </c>
      <c r="DMP83">
        <f t="shared" si="149"/>
        <v>75</v>
      </c>
      <c r="DMQ83">
        <f t="shared" si="149"/>
        <v>75</v>
      </c>
      <c r="DMR83">
        <f t="shared" si="149"/>
        <v>75</v>
      </c>
      <c r="DMS83">
        <f t="shared" si="149"/>
        <v>75</v>
      </c>
      <c r="DMT83">
        <f t="shared" si="149"/>
        <v>75</v>
      </c>
      <c r="DMU83">
        <f t="shared" si="149"/>
        <v>75</v>
      </c>
      <c r="DMV83">
        <f t="shared" si="149"/>
        <v>75</v>
      </c>
      <c r="DMW83">
        <f t="shared" si="149"/>
        <v>75</v>
      </c>
      <c r="DMX83">
        <f t="shared" si="149"/>
        <v>75</v>
      </c>
      <c r="DMY83">
        <f t="shared" si="149"/>
        <v>75</v>
      </c>
      <c r="DMZ83">
        <f t="shared" si="149"/>
        <v>75</v>
      </c>
      <c r="DNA83">
        <f t="shared" si="149"/>
        <v>75</v>
      </c>
      <c r="DNB83">
        <f t="shared" si="149"/>
        <v>75</v>
      </c>
      <c r="DNC83">
        <f t="shared" si="149"/>
        <v>75</v>
      </c>
      <c r="DND83">
        <f t="shared" si="149"/>
        <v>75</v>
      </c>
      <c r="DNE83">
        <f t="shared" si="149"/>
        <v>75</v>
      </c>
      <c r="DNF83">
        <f t="shared" si="149"/>
        <v>75</v>
      </c>
      <c r="DNG83">
        <f t="shared" ref="DNG83:DPR83" si="150">COUNTBLANK(DNG6:DNG81)</f>
        <v>75</v>
      </c>
      <c r="DNH83">
        <f t="shared" si="150"/>
        <v>75</v>
      </c>
      <c r="DNI83">
        <f t="shared" si="150"/>
        <v>75</v>
      </c>
      <c r="DNJ83">
        <f t="shared" si="150"/>
        <v>75</v>
      </c>
      <c r="DNK83">
        <f t="shared" si="150"/>
        <v>75</v>
      </c>
      <c r="DNL83">
        <f t="shared" si="150"/>
        <v>75</v>
      </c>
      <c r="DNM83">
        <f t="shared" si="150"/>
        <v>75</v>
      </c>
      <c r="DNN83">
        <f t="shared" si="150"/>
        <v>75</v>
      </c>
      <c r="DNO83">
        <f t="shared" si="150"/>
        <v>75</v>
      </c>
      <c r="DNP83">
        <f t="shared" si="150"/>
        <v>75</v>
      </c>
      <c r="DNQ83">
        <f t="shared" si="150"/>
        <v>75</v>
      </c>
      <c r="DNR83">
        <f t="shared" si="150"/>
        <v>75</v>
      </c>
      <c r="DNS83">
        <f t="shared" si="150"/>
        <v>75</v>
      </c>
      <c r="DNT83">
        <f t="shared" si="150"/>
        <v>75</v>
      </c>
      <c r="DNU83">
        <f t="shared" si="150"/>
        <v>75</v>
      </c>
      <c r="DNV83">
        <f t="shared" si="150"/>
        <v>75</v>
      </c>
      <c r="DNW83">
        <f t="shared" si="150"/>
        <v>75</v>
      </c>
      <c r="DNX83">
        <f t="shared" si="150"/>
        <v>75</v>
      </c>
      <c r="DNY83">
        <f t="shared" si="150"/>
        <v>75</v>
      </c>
      <c r="DNZ83">
        <f t="shared" si="150"/>
        <v>75</v>
      </c>
      <c r="DOA83">
        <f t="shared" si="150"/>
        <v>75</v>
      </c>
      <c r="DOB83">
        <f t="shared" si="150"/>
        <v>75</v>
      </c>
      <c r="DOC83">
        <f t="shared" si="150"/>
        <v>75</v>
      </c>
      <c r="DOD83">
        <f t="shared" si="150"/>
        <v>75</v>
      </c>
      <c r="DOE83">
        <f t="shared" si="150"/>
        <v>75</v>
      </c>
      <c r="DOF83">
        <f t="shared" si="150"/>
        <v>75</v>
      </c>
      <c r="DOG83">
        <f t="shared" si="150"/>
        <v>75</v>
      </c>
      <c r="DOH83">
        <f t="shared" si="150"/>
        <v>75</v>
      </c>
      <c r="DOI83">
        <f t="shared" si="150"/>
        <v>75</v>
      </c>
      <c r="DOJ83">
        <f t="shared" si="150"/>
        <v>75</v>
      </c>
      <c r="DOK83">
        <f t="shared" si="150"/>
        <v>75</v>
      </c>
      <c r="DOL83">
        <f t="shared" si="150"/>
        <v>75</v>
      </c>
      <c r="DOM83">
        <f t="shared" si="150"/>
        <v>75</v>
      </c>
      <c r="DON83">
        <f t="shared" si="150"/>
        <v>75</v>
      </c>
      <c r="DOO83">
        <f t="shared" si="150"/>
        <v>75</v>
      </c>
      <c r="DOP83">
        <f t="shared" si="150"/>
        <v>75</v>
      </c>
      <c r="DOQ83">
        <f t="shared" si="150"/>
        <v>75</v>
      </c>
      <c r="DOR83">
        <f t="shared" si="150"/>
        <v>75</v>
      </c>
      <c r="DOS83">
        <f t="shared" si="150"/>
        <v>75</v>
      </c>
      <c r="DOT83">
        <f t="shared" si="150"/>
        <v>75</v>
      </c>
      <c r="DOU83">
        <f t="shared" si="150"/>
        <v>75</v>
      </c>
      <c r="DOV83">
        <f t="shared" si="150"/>
        <v>75</v>
      </c>
      <c r="DOW83">
        <f t="shared" si="150"/>
        <v>75</v>
      </c>
      <c r="DOX83">
        <f t="shared" si="150"/>
        <v>75</v>
      </c>
      <c r="DOY83">
        <f t="shared" si="150"/>
        <v>75</v>
      </c>
      <c r="DOZ83">
        <f t="shared" si="150"/>
        <v>75</v>
      </c>
      <c r="DPA83">
        <f t="shared" si="150"/>
        <v>75</v>
      </c>
      <c r="DPB83">
        <f t="shared" si="150"/>
        <v>75</v>
      </c>
      <c r="DPC83">
        <f t="shared" si="150"/>
        <v>75</v>
      </c>
      <c r="DPD83">
        <f t="shared" si="150"/>
        <v>75</v>
      </c>
      <c r="DPE83">
        <f t="shared" si="150"/>
        <v>75</v>
      </c>
      <c r="DPF83">
        <f t="shared" si="150"/>
        <v>75</v>
      </c>
      <c r="DPG83">
        <f t="shared" si="150"/>
        <v>75</v>
      </c>
      <c r="DPH83">
        <f t="shared" si="150"/>
        <v>75</v>
      </c>
      <c r="DPI83">
        <f t="shared" si="150"/>
        <v>75</v>
      </c>
      <c r="DPJ83">
        <f t="shared" si="150"/>
        <v>75</v>
      </c>
      <c r="DPK83">
        <f t="shared" si="150"/>
        <v>75</v>
      </c>
      <c r="DPL83">
        <f t="shared" si="150"/>
        <v>75</v>
      </c>
      <c r="DPM83">
        <f t="shared" si="150"/>
        <v>75</v>
      </c>
      <c r="DPN83">
        <f t="shared" si="150"/>
        <v>75</v>
      </c>
      <c r="DPO83">
        <f t="shared" si="150"/>
        <v>75</v>
      </c>
      <c r="DPP83">
        <f t="shared" si="150"/>
        <v>75</v>
      </c>
      <c r="DPQ83">
        <f t="shared" si="150"/>
        <v>75</v>
      </c>
      <c r="DPR83">
        <f t="shared" si="150"/>
        <v>75</v>
      </c>
      <c r="DPS83">
        <f t="shared" ref="DPS83:DSD83" si="151">COUNTBLANK(DPS6:DPS81)</f>
        <v>75</v>
      </c>
      <c r="DPT83">
        <f t="shared" si="151"/>
        <v>75</v>
      </c>
      <c r="DPU83">
        <f t="shared" si="151"/>
        <v>75</v>
      </c>
      <c r="DPV83">
        <f t="shared" si="151"/>
        <v>75</v>
      </c>
      <c r="DPW83">
        <f t="shared" si="151"/>
        <v>75</v>
      </c>
      <c r="DPX83">
        <f t="shared" si="151"/>
        <v>75</v>
      </c>
      <c r="DPY83">
        <f t="shared" si="151"/>
        <v>75</v>
      </c>
      <c r="DPZ83">
        <f t="shared" si="151"/>
        <v>75</v>
      </c>
      <c r="DQA83">
        <f t="shared" si="151"/>
        <v>75</v>
      </c>
      <c r="DQB83">
        <f t="shared" si="151"/>
        <v>75</v>
      </c>
      <c r="DQC83">
        <f t="shared" si="151"/>
        <v>75</v>
      </c>
      <c r="DQD83">
        <f t="shared" si="151"/>
        <v>75</v>
      </c>
      <c r="DQE83">
        <f t="shared" si="151"/>
        <v>75</v>
      </c>
      <c r="DQF83">
        <f t="shared" si="151"/>
        <v>75</v>
      </c>
      <c r="DQG83">
        <f t="shared" si="151"/>
        <v>75</v>
      </c>
      <c r="DQH83">
        <f t="shared" si="151"/>
        <v>75</v>
      </c>
      <c r="DQI83">
        <f t="shared" si="151"/>
        <v>75</v>
      </c>
      <c r="DQJ83">
        <f t="shared" si="151"/>
        <v>75</v>
      </c>
      <c r="DQK83">
        <f t="shared" si="151"/>
        <v>75</v>
      </c>
      <c r="DQL83">
        <f t="shared" si="151"/>
        <v>75</v>
      </c>
      <c r="DQM83">
        <f t="shared" si="151"/>
        <v>75</v>
      </c>
      <c r="DQN83">
        <f t="shared" si="151"/>
        <v>75</v>
      </c>
      <c r="DQO83">
        <f t="shared" si="151"/>
        <v>75</v>
      </c>
      <c r="DQP83">
        <f t="shared" si="151"/>
        <v>75</v>
      </c>
      <c r="DQQ83">
        <f t="shared" si="151"/>
        <v>75</v>
      </c>
      <c r="DQR83">
        <f t="shared" si="151"/>
        <v>75</v>
      </c>
      <c r="DQS83">
        <f t="shared" si="151"/>
        <v>75</v>
      </c>
      <c r="DQT83">
        <f t="shared" si="151"/>
        <v>75</v>
      </c>
      <c r="DQU83">
        <f t="shared" si="151"/>
        <v>75</v>
      </c>
      <c r="DQV83">
        <f t="shared" si="151"/>
        <v>75</v>
      </c>
      <c r="DQW83">
        <f t="shared" si="151"/>
        <v>75</v>
      </c>
      <c r="DQX83">
        <f t="shared" si="151"/>
        <v>75</v>
      </c>
      <c r="DQY83">
        <f t="shared" si="151"/>
        <v>75</v>
      </c>
      <c r="DQZ83">
        <f t="shared" si="151"/>
        <v>75</v>
      </c>
      <c r="DRA83">
        <f t="shared" si="151"/>
        <v>75</v>
      </c>
      <c r="DRB83">
        <f t="shared" si="151"/>
        <v>75</v>
      </c>
      <c r="DRC83">
        <f t="shared" si="151"/>
        <v>75</v>
      </c>
      <c r="DRD83">
        <f t="shared" si="151"/>
        <v>75</v>
      </c>
      <c r="DRE83">
        <f t="shared" si="151"/>
        <v>75</v>
      </c>
      <c r="DRF83">
        <f t="shared" si="151"/>
        <v>75</v>
      </c>
      <c r="DRG83">
        <f t="shared" si="151"/>
        <v>75</v>
      </c>
      <c r="DRH83">
        <f t="shared" si="151"/>
        <v>75</v>
      </c>
      <c r="DRI83">
        <f t="shared" si="151"/>
        <v>75</v>
      </c>
      <c r="DRJ83">
        <f t="shared" si="151"/>
        <v>75</v>
      </c>
      <c r="DRK83">
        <f t="shared" si="151"/>
        <v>75</v>
      </c>
      <c r="DRL83">
        <f t="shared" si="151"/>
        <v>75</v>
      </c>
      <c r="DRM83">
        <f t="shared" si="151"/>
        <v>75</v>
      </c>
      <c r="DRN83">
        <f t="shared" si="151"/>
        <v>75</v>
      </c>
      <c r="DRO83">
        <f t="shared" si="151"/>
        <v>75</v>
      </c>
      <c r="DRP83">
        <f t="shared" si="151"/>
        <v>75</v>
      </c>
      <c r="DRQ83">
        <f t="shared" si="151"/>
        <v>75</v>
      </c>
      <c r="DRR83">
        <f t="shared" si="151"/>
        <v>75</v>
      </c>
      <c r="DRS83">
        <f t="shared" si="151"/>
        <v>75</v>
      </c>
      <c r="DRT83">
        <f t="shared" si="151"/>
        <v>75</v>
      </c>
      <c r="DRU83">
        <f t="shared" si="151"/>
        <v>75</v>
      </c>
      <c r="DRV83">
        <f t="shared" si="151"/>
        <v>75</v>
      </c>
      <c r="DRW83">
        <f t="shared" si="151"/>
        <v>75</v>
      </c>
      <c r="DRX83">
        <f t="shared" si="151"/>
        <v>75</v>
      </c>
      <c r="DRY83">
        <f t="shared" si="151"/>
        <v>75</v>
      </c>
      <c r="DRZ83">
        <f t="shared" si="151"/>
        <v>75</v>
      </c>
      <c r="DSA83">
        <f t="shared" si="151"/>
        <v>75</v>
      </c>
      <c r="DSB83">
        <f t="shared" si="151"/>
        <v>75</v>
      </c>
      <c r="DSC83">
        <f t="shared" si="151"/>
        <v>75</v>
      </c>
      <c r="DSD83">
        <f t="shared" si="151"/>
        <v>75</v>
      </c>
      <c r="DSE83">
        <f t="shared" ref="DSE83:DUP83" si="152">COUNTBLANK(DSE6:DSE81)</f>
        <v>75</v>
      </c>
      <c r="DSF83">
        <f t="shared" si="152"/>
        <v>75</v>
      </c>
      <c r="DSG83">
        <f t="shared" si="152"/>
        <v>75</v>
      </c>
      <c r="DSH83">
        <f t="shared" si="152"/>
        <v>75</v>
      </c>
      <c r="DSI83">
        <f t="shared" si="152"/>
        <v>75</v>
      </c>
      <c r="DSJ83">
        <f t="shared" si="152"/>
        <v>75</v>
      </c>
      <c r="DSK83">
        <f t="shared" si="152"/>
        <v>75</v>
      </c>
      <c r="DSL83">
        <f t="shared" si="152"/>
        <v>75</v>
      </c>
      <c r="DSM83">
        <f t="shared" si="152"/>
        <v>75</v>
      </c>
      <c r="DSN83">
        <f t="shared" si="152"/>
        <v>75</v>
      </c>
      <c r="DSO83">
        <f t="shared" si="152"/>
        <v>75</v>
      </c>
      <c r="DSP83">
        <f t="shared" si="152"/>
        <v>75</v>
      </c>
      <c r="DSQ83">
        <f t="shared" si="152"/>
        <v>75</v>
      </c>
      <c r="DSR83">
        <f t="shared" si="152"/>
        <v>75</v>
      </c>
      <c r="DSS83">
        <f t="shared" si="152"/>
        <v>75</v>
      </c>
      <c r="DST83">
        <f t="shared" si="152"/>
        <v>75</v>
      </c>
      <c r="DSU83">
        <f t="shared" si="152"/>
        <v>75</v>
      </c>
      <c r="DSV83">
        <f t="shared" si="152"/>
        <v>75</v>
      </c>
      <c r="DSW83">
        <f t="shared" si="152"/>
        <v>75</v>
      </c>
      <c r="DSX83">
        <f t="shared" si="152"/>
        <v>75</v>
      </c>
      <c r="DSY83">
        <f t="shared" si="152"/>
        <v>75</v>
      </c>
      <c r="DSZ83">
        <f t="shared" si="152"/>
        <v>75</v>
      </c>
      <c r="DTA83">
        <f t="shared" si="152"/>
        <v>75</v>
      </c>
      <c r="DTB83">
        <f t="shared" si="152"/>
        <v>75</v>
      </c>
      <c r="DTC83">
        <f t="shared" si="152"/>
        <v>75</v>
      </c>
      <c r="DTD83">
        <f t="shared" si="152"/>
        <v>75</v>
      </c>
      <c r="DTE83">
        <f t="shared" si="152"/>
        <v>75</v>
      </c>
      <c r="DTF83">
        <f t="shared" si="152"/>
        <v>75</v>
      </c>
      <c r="DTG83">
        <f t="shared" si="152"/>
        <v>75</v>
      </c>
      <c r="DTH83">
        <f t="shared" si="152"/>
        <v>75</v>
      </c>
      <c r="DTI83">
        <f t="shared" si="152"/>
        <v>75</v>
      </c>
      <c r="DTJ83">
        <f t="shared" si="152"/>
        <v>75</v>
      </c>
      <c r="DTK83">
        <f t="shared" si="152"/>
        <v>75</v>
      </c>
      <c r="DTL83">
        <f t="shared" si="152"/>
        <v>75</v>
      </c>
      <c r="DTM83">
        <f t="shared" si="152"/>
        <v>75</v>
      </c>
      <c r="DTN83">
        <f t="shared" si="152"/>
        <v>75</v>
      </c>
      <c r="DTO83">
        <f t="shared" si="152"/>
        <v>75</v>
      </c>
      <c r="DTP83">
        <f t="shared" si="152"/>
        <v>75</v>
      </c>
      <c r="DTQ83">
        <f t="shared" si="152"/>
        <v>75</v>
      </c>
      <c r="DTR83">
        <f t="shared" si="152"/>
        <v>75</v>
      </c>
      <c r="DTS83">
        <f t="shared" si="152"/>
        <v>75</v>
      </c>
      <c r="DTT83">
        <f t="shared" si="152"/>
        <v>75</v>
      </c>
      <c r="DTU83">
        <f t="shared" si="152"/>
        <v>75</v>
      </c>
      <c r="DTV83">
        <f t="shared" si="152"/>
        <v>75</v>
      </c>
      <c r="DTW83">
        <f t="shared" si="152"/>
        <v>75</v>
      </c>
      <c r="DTX83">
        <f t="shared" si="152"/>
        <v>75</v>
      </c>
      <c r="DTY83">
        <f t="shared" si="152"/>
        <v>75</v>
      </c>
      <c r="DTZ83">
        <f t="shared" si="152"/>
        <v>75</v>
      </c>
      <c r="DUA83">
        <f t="shared" si="152"/>
        <v>75</v>
      </c>
      <c r="DUB83">
        <f t="shared" si="152"/>
        <v>75</v>
      </c>
      <c r="DUC83">
        <f t="shared" si="152"/>
        <v>75</v>
      </c>
      <c r="DUD83">
        <f t="shared" si="152"/>
        <v>75</v>
      </c>
      <c r="DUE83">
        <f t="shared" si="152"/>
        <v>75</v>
      </c>
      <c r="DUF83">
        <f t="shared" si="152"/>
        <v>75</v>
      </c>
      <c r="DUG83">
        <f t="shared" si="152"/>
        <v>75</v>
      </c>
      <c r="DUH83">
        <f t="shared" si="152"/>
        <v>75</v>
      </c>
      <c r="DUI83">
        <f t="shared" si="152"/>
        <v>75</v>
      </c>
      <c r="DUJ83">
        <f t="shared" si="152"/>
        <v>75</v>
      </c>
      <c r="DUK83">
        <f t="shared" si="152"/>
        <v>75</v>
      </c>
      <c r="DUL83">
        <f t="shared" si="152"/>
        <v>75</v>
      </c>
      <c r="DUM83">
        <f t="shared" si="152"/>
        <v>75</v>
      </c>
      <c r="DUN83">
        <f t="shared" si="152"/>
        <v>75</v>
      </c>
      <c r="DUO83">
        <f t="shared" si="152"/>
        <v>75</v>
      </c>
      <c r="DUP83">
        <f t="shared" si="152"/>
        <v>75</v>
      </c>
      <c r="DUQ83">
        <f t="shared" ref="DUQ83:DXB83" si="153">COUNTBLANK(DUQ6:DUQ81)</f>
        <v>75</v>
      </c>
      <c r="DUR83">
        <f t="shared" si="153"/>
        <v>75</v>
      </c>
      <c r="DUS83">
        <f t="shared" si="153"/>
        <v>75</v>
      </c>
      <c r="DUT83">
        <f t="shared" si="153"/>
        <v>75</v>
      </c>
      <c r="DUU83">
        <f t="shared" si="153"/>
        <v>75</v>
      </c>
      <c r="DUV83">
        <f t="shared" si="153"/>
        <v>75</v>
      </c>
      <c r="DUW83">
        <f t="shared" si="153"/>
        <v>75</v>
      </c>
      <c r="DUX83">
        <f t="shared" si="153"/>
        <v>75</v>
      </c>
      <c r="DUY83">
        <f t="shared" si="153"/>
        <v>75</v>
      </c>
      <c r="DUZ83">
        <f t="shared" si="153"/>
        <v>75</v>
      </c>
      <c r="DVA83">
        <f t="shared" si="153"/>
        <v>75</v>
      </c>
      <c r="DVB83">
        <f t="shared" si="153"/>
        <v>75</v>
      </c>
      <c r="DVC83">
        <f t="shared" si="153"/>
        <v>75</v>
      </c>
      <c r="DVD83">
        <f t="shared" si="153"/>
        <v>75</v>
      </c>
      <c r="DVE83">
        <f t="shared" si="153"/>
        <v>75</v>
      </c>
      <c r="DVF83">
        <f t="shared" si="153"/>
        <v>75</v>
      </c>
      <c r="DVG83">
        <f t="shared" si="153"/>
        <v>75</v>
      </c>
      <c r="DVH83">
        <f t="shared" si="153"/>
        <v>75</v>
      </c>
      <c r="DVI83">
        <f t="shared" si="153"/>
        <v>75</v>
      </c>
      <c r="DVJ83">
        <f t="shared" si="153"/>
        <v>75</v>
      </c>
      <c r="DVK83">
        <f t="shared" si="153"/>
        <v>75</v>
      </c>
      <c r="DVL83">
        <f t="shared" si="153"/>
        <v>75</v>
      </c>
      <c r="DVM83">
        <f t="shared" si="153"/>
        <v>75</v>
      </c>
      <c r="DVN83">
        <f t="shared" si="153"/>
        <v>75</v>
      </c>
      <c r="DVO83">
        <f t="shared" si="153"/>
        <v>75</v>
      </c>
      <c r="DVP83">
        <f t="shared" si="153"/>
        <v>75</v>
      </c>
      <c r="DVQ83">
        <f t="shared" si="153"/>
        <v>75</v>
      </c>
      <c r="DVR83">
        <f t="shared" si="153"/>
        <v>75</v>
      </c>
      <c r="DVS83">
        <f t="shared" si="153"/>
        <v>75</v>
      </c>
      <c r="DVT83">
        <f t="shared" si="153"/>
        <v>75</v>
      </c>
      <c r="DVU83">
        <f t="shared" si="153"/>
        <v>75</v>
      </c>
      <c r="DVV83">
        <f t="shared" si="153"/>
        <v>75</v>
      </c>
      <c r="DVW83">
        <f t="shared" si="153"/>
        <v>75</v>
      </c>
      <c r="DVX83">
        <f t="shared" si="153"/>
        <v>75</v>
      </c>
      <c r="DVY83">
        <f t="shared" si="153"/>
        <v>75</v>
      </c>
      <c r="DVZ83">
        <f t="shared" si="153"/>
        <v>75</v>
      </c>
      <c r="DWA83">
        <f t="shared" si="153"/>
        <v>75</v>
      </c>
      <c r="DWB83">
        <f t="shared" si="153"/>
        <v>75</v>
      </c>
      <c r="DWC83">
        <f t="shared" si="153"/>
        <v>75</v>
      </c>
      <c r="DWD83">
        <f t="shared" si="153"/>
        <v>75</v>
      </c>
      <c r="DWE83">
        <f t="shared" si="153"/>
        <v>75</v>
      </c>
      <c r="DWF83">
        <f t="shared" si="153"/>
        <v>75</v>
      </c>
      <c r="DWG83">
        <f t="shared" si="153"/>
        <v>75</v>
      </c>
      <c r="DWH83">
        <f t="shared" si="153"/>
        <v>75</v>
      </c>
      <c r="DWI83">
        <f t="shared" si="153"/>
        <v>75</v>
      </c>
      <c r="DWJ83">
        <f t="shared" si="153"/>
        <v>75</v>
      </c>
      <c r="DWK83">
        <f t="shared" si="153"/>
        <v>75</v>
      </c>
      <c r="DWL83">
        <f t="shared" si="153"/>
        <v>75</v>
      </c>
      <c r="DWM83">
        <f t="shared" si="153"/>
        <v>75</v>
      </c>
      <c r="DWN83">
        <f t="shared" si="153"/>
        <v>75</v>
      </c>
      <c r="DWO83">
        <f t="shared" si="153"/>
        <v>75</v>
      </c>
      <c r="DWP83">
        <f t="shared" si="153"/>
        <v>75</v>
      </c>
      <c r="DWQ83">
        <f t="shared" si="153"/>
        <v>75</v>
      </c>
      <c r="DWR83">
        <f t="shared" si="153"/>
        <v>75</v>
      </c>
      <c r="DWS83">
        <f t="shared" si="153"/>
        <v>75</v>
      </c>
      <c r="DWT83">
        <f t="shared" si="153"/>
        <v>75</v>
      </c>
      <c r="DWU83">
        <f t="shared" si="153"/>
        <v>75</v>
      </c>
      <c r="DWV83">
        <f t="shared" si="153"/>
        <v>75</v>
      </c>
      <c r="DWW83">
        <f t="shared" si="153"/>
        <v>75</v>
      </c>
      <c r="DWX83">
        <f t="shared" si="153"/>
        <v>75</v>
      </c>
      <c r="DWY83">
        <f t="shared" si="153"/>
        <v>75</v>
      </c>
      <c r="DWZ83">
        <f t="shared" si="153"/>
        <v>75</v>
      </c>
      <c r="DXA83">
        <f t="shared" si="153"/>
        <v>75</v>
      </c>
      <c r="DXB83">
        <f t="shared" si="153"/>
        <v>75</v>
      </c>
      <c r="DXC83">
        <f t="shared" ref="DXC83:DZN83" si="154">COUNTBLANK(DXC6:DXC81)</f>
        <v>75</v>
      </c>
      <c r="DXD83">
        <f t="shared" si="154"/>
        <v>75</v>
      </c>
      <c r="DXE83">
        <f t="shared" si="154"/>
        <v>75</v>
      </c>
      <c r="DXF83">
        <f t="shared" si="154"/>
        <v>75</v>
      </c>
      <c r="DXG83">
        <f t="shared" si="154"/>
        <v>75</v>
      </c>
      <c r="DXH83">
        <f t="shared" si="154"/>
        <v>75</v>
      </c>
      <c r="DXI83">
        <f t="shared" si="154"/>
        <v>75</v>
      </c>
      <c r="DXJ83">
        <f t="shared" si="154"/>
        <v>75</v>
      </c>
      <c r="DXK83">
        <f t="shared" si="154"/>
        <v>75</v>
      </c>
      <c r="DXL83">
        <f t="shared" si="154"/>
        <v>75</v>
      </c>
      <c r="DXM83">
        <f t="shared" si="154"/>
        <v>75</v>
      </c>
      <c r="DXN83">
        <f t="shared" si="154"/>
        <v>75</v>
      </c>
      <c r="DXO83">
        <f t="shared" si="154"/>
        <v>75</v>
      </c>
      <c r="DXP83">
        <f t="shared" si="154"/>
        <v>75</v>
      </c>
      <c r="DXQ83">
        <f t="shared" si="154"/>
        <v>75</v>
      </c>
      <c r="DXR83">
        <f t="shared" si="154"/>
        <v>75</v>
      </c>
      <c r="DXS83">
        <f t="shared" si="154"/>
        <v>75</v>
      </c>
      <c r="DXT83">
        <f t="shared" si="154"/>
        <v>75</v>
      </c>
      <c r="DXU83">
        <f t="shared" si="154"/>
        <v>75</v>
      </c>
      <c r="DXV83">
        <f t="shared" si="154"/>
        <v>75</v>
      </c>
      <c r="DXW83">
        <f t="shared" si="154"/>
        <v>75</v>
      </c>
      <c r="DXX83">
        <f t="shared" si="154"/>
        <v>75</v>
      </c>
      <c r="DXY83">
        <f t="shared" si="154"/>
        <v>75</v>
      </c>
      <c r="DXZ83">
        <f t="shared" si="154"/>
        <v>75</v>
      </c>
      <c r="DYA83">
        <f t="shared" si="154"/>
        <v>75</v>
      </c>
      <c r="DYB83">
        <f t="shared" si="154"/>
        <v>75</v>
      </c>
      <c r="DYC83">
        <f t="shared" si="154"/>
        <v>75</v>
      </c>
      <c r="DYD83">
        <f t="shared" si="154"/>
        <v>75</v>
      </c>
      <c r="DYE83">
        <f t="shared" si="154"/>
        <v>75</v>
      </c>
      <c r="DYF83">
        <f t="shared" si="154"/>
        <v>75</v>
      </c>
      <c r="DYG83">
        <f t="shared" si="154"/>
        <v>75</v>
      </c>
      <c r="DYH83">
        <f t="shared" si="154"/>
        <v>75</v>
      </c>
      <c r="DYI83">
        <f t="shared" si="154"/>
        <v>75</v>
      </c>
      <c r="DYJ83">
        <f t="shared" si="154"/>
        <v>75</v>
      </c>
      <c r="DYK83">
        <f t="shared" si="154"/>
        <v>75</v>
      </c>
      <c r="DYL83">
        <f t="shared" si="154"/>
        <v>75</v>
      </c>
      <c r="DYM83">
        <f t="shared" si="154"/>
        <v>75</v>
      </c>
      <c r="DYN83">
        <f t="shared" si="154"/>
        <v>75</v>
      </c>
      <c r="DYO83">
        <f t="shared" si="154"/>
        <v>75</v>
      </c>
      <c r="DYP83">
        <f t="shared" si="154"/>
        <v>75</v>
      </c>
      <c r="DYQ83">
        <f t="shared" si="154"/>
        <v>75</v>
      </c>
      <c r="DYR83">
        <f t="shared" si="154"/>
        <v>75</v>
      </c>
      <c r="DYS83">
        <f t="shared" si="154"/>
        <v>75</v>
      </c>
      <c r="DYT83">
        <f t="shared" si="154"/>
        <v>75</v>
      </c>
      <c r="DYU83">
        <f t="shared" si="154"/>
        <v>75</v>
      </c>
      <c r="DYV83">
        <f t="shared" si="154"/>
        <v>75</v>
      </c>
      <c r="DYW83">
        <f t="shared" si="154"/>
        <v>75</v>
      </c>
      <c r="DYX83">
        <f t="shared" si="154"/>
        <v>75</v>
      </c>
      <c r="DYY83">
        <f t="shared" si="154"/>
        <v>75</v>
      </c>
      <c r="DYZ83">
        <f t="shared" si="154"/>
        <v>75</v>
      </c>
      <c r="DZA83">
        <f t="shared" si="154"/>
        <v>75</v>
      </c>
      <c r="DZB83">
        <f t="shared" si="154"/>
        <v>75</v>
      </c>
      <c r="DZC83">
        <f t="shared" si="154"/>
        <v>75</v>
      </c>
      <c r="DZD83">
        <f t="shared" si="154"/>
        <v>75</v>
      </c>
      <c r="DZE83">
        <f t="shared" si="154"/>
        <v>75</v>
      </c>
      <c r="DZF83">
        <f t="shared" si="154"/>
        <v>75</v>
      </c>
      <c r="DZG83">
        <f t="shared" si="154"/>
        <v>75</v>
      </c>
      <c r="DZH83">
        <f t="shared" si="154"/>
        <v>75</v>
      </c>
      <c r="DZI83">
        <f t="shared" si="154"/>
        <v>75</v>
      </c>
      <c r="DZJ83">
        <f t="shared" si="154"/>
        <v>75</v>
      </c>
      <c r="DZK83">
        <f t="shared" si="154"/>
        <v>75</v>
      </c>
      <c r="DZL83">
        <f t="shared" si="154"/>
        <v>75</v>
      </c>
      <c r="DZM83">
        <f t="shared" si="154"/>
        <v>75</v>
      </c>
      <c r="DZN83">
        <f t="shared" si="154"/>
        <v>75</v>
      </c>
      <c r="DZO83">
        <f t="shared" ref="DZO83:EBZ83" si="155">COUNTBLANK(DZO6:DZO81)</f>
        <v>75</v>
      </c>
      <c r="DZP83">
        <f t="shared" si="155"/>
        <v>75</v>
      </c>
      <c r="DZQ83">
        <f t="shared" si="155"/>
        <v>75</v>
      </c>
      <c r="DZR83">
        <f t="shared" si="155"/>
        <v>75</v>
      </c>
      <c r="DZS83">
        <f t="shared" si="155"/>
        <v>75</v>
      </c>
      <c r="DZT83">
        <f t="shared" si="155"/>
        <v>75</v>
      </c>
      <c r="DZU83">
        <f t="shared" si="155"/>
        <v>75</v>
      </c>
      <c r="DZV83">
        <f t="shared" si="155"/>
        <v>75</v>
      </c>
      <c r="DZW83">
        <f t="shared" si="155"/>
        <v>75</v>
      </c>
      <c r="DZX83">
        <f t="shared" si="155"/>
        <v>75</v>
      </c>
      <c r="DZY83">
        <f t="shared" si="155"/>
        <v>75</v>
      </c>
      <c r="DZZ83">
        <f t="shared" si="155"/>
        <v>75</v>
      </c>
      <c r="EAA83">
        <f t="shared" si="155"/>
        <v>75</v>
      </c>
      <c r="EAB83">
        <f t="shared" si="155"/>
        <v>75</v>
      </c>
      <c r="EAC83">
        <f t="shared" si="155"/>
        <v>75</v>
      </c>
      <c r="EAD83">
        <f t="shared" si="155"/>
        <v>75</v>
      </c>
      <c r="EAE83">
        <f t="shared" si="155"/>
        <v>75</v>
      </c>
      <c r="EAF83">
        <f t="shared" si="155"/>
        <v>75</v>
      </c>
      <c r="EAG83">
        <f t="shared" si="155"/>
        <v>75</v>
      </c>
      <c r="EAH83">
        <f t="shared" si="155"/>
        <v>75</v>
      </c>
      <c r="EAI83">
        <f t="shared" si="155"/>
        <v>75</v>
      </c>
      <c r="EAJ83">
        <f t="shared" si="155"/>
        <v>75</v>
      </c>
      <c r="EAK83">
        <f t="shared" si="155"/>
        <v>75</v>
      </c>
      <c r="EAL83">
        <f t="shared" si="155"/>
        <v>75</v>
      </c>
      <c r="EAM83">
        <f t="shared" si="155"/>
        <v>75</v>
      </c>
      <c r="EAN83">
        <f t="shared" si="155"/>
        <v>75</v>
      </c>
      <c r="EAO83">
        <f t="shared" si="155"/>
        <v>75</v>
      </c>
      <c r="EAP83">
        <f t="shared" si="155"/>
        <v>75</v>
      </c>
      <c r="EAQ83">
        <f t="shared" si="155"/>
        <v>75</v>
      </c>
      <c r="EAR83">
        <f t="shared" si="155"/>
        <v>75</v>
      </c>
      <c r="EAS83">
        <f t="shared" si="155"/>
        <v>75</v>
      </c>
      <c r="EAT83">
        <f t="shared" si="155"/>
        <v>75</v>
      </c>
      <c r="EAU83">
        <f t="shared" si="155"/>
        <v>75</v>
      </c>
      <c r="EAV83">
        <f t="shared" si="155"/>
        <v>75</v>
      </c>
      <c r="EAW83">
        <f t="shared" si="155"/>
        <v>75</v>
      </c>
      <c r="EAX83">
        <f t="shared" si="155"/>
        <v>75</v>
      </c>
      <c r="EAY83">
        <f t="shared" si="155"/>
        <v>75</v>
      </c>
      <c r="EAZ83">
        <f t="shared" si="155"/>
        <v>75</v>
      </c>
      <c r="EBA83">
        <f t="shared" si="155"/>
        <v>75</v>
      </c>
      <c r="EBB83">
        <f t="shared" si="155"/>
        <v>75</v>
      </c>
      <c r="EBC83">
        <f t="shared" si="155"/>
        <v>75</v>
      </c>
      <c r="EBD83">
        <f t="shared" si="155"/>
        <v>75</v>
      </c>
      <c r="EBE83">
        <f t="shared" si="155"/>
        <v>75</v>
      </c>
      <c r="EBF83">
        <f t="shared" si="155"/>
        <v>75</v>
      </c>
      <c r="EBG83">
        <f t="shared" si="155"/>
        <v>75</v>
      </c>
      <c r="EBH83">
        <f t="shared" si="155"/>
        <v>75</v>
      </c>
      <c r="EBI83">
        <f t="shared" si="155"/>
        <v>75</v>
      </c>
      <c r="EBJ83">
        <f t="shared" si="155"/>
        <v>75</v>
      </c>
      <c r="EBK83">
        <f t="shared" si="155"/>
        <v>75</v>
      </c>
      <c r="EBL83">
        <f t="shared" si="155"/>
        <v>75</v>
      </c>
      <c r="EBM83">
        <f t="shared" si="155"/>
        <v>75</v>
      </c>
      <c r="EBN83">
        <f t="shared" si="155"/>
        <v>75</v>
      </c>
      <c r="EBO83">
        <f t="shared" si="155"/>
        <v>75</v>
      </c>
      <c r="EBP83">
        <f t="shared" si="155"/>
        <v>75</v>
      </c>
      <c r="EBQ83">
        <f t="shared" si="155"/>
        <v>75</v>
      </c>
      <c r="EBR83">
        <f t="shared" si="155"/>
        <v>75</v>
      </c>
      <c r="EBS83">
        <f t="shared" si="155"/>
        <v>75</v>
      </c>
      <c r="EBT83">
        <f t="shared" si="155"/>
        <v>75</v>
      </c>
      <c r="EBU83">
        <f t="shared" si="155"/>
        <v>75</v>
      </c>
      <c r="EBV83">
        <f t="shared" si="155"/>
        <v>75</v>
      </c>
      <c r="EBW83">
        <f t="shared" si="155"/>
        <v>75</v>
      </c>
      <c r="EBX83">
        <f t="shared" si="155"/>
        <v>75</v>
      </c>
      <c r="EBY83">
        <f t="shared" si="155"/>
        <v>75</v>
      </c>
      <c r="EBZ83">
        <f t="shared" si="155"/>
        <v>75</v>
      </c>
      <c r="ECA83">
        <f t="shared" ref="ECA83:EEL83" si="156">COUNTBLANK(ECA6:ECA81)</f>
        <v>75</v>
      </c>
      <c r="ECB83">
        <f t="shared" si="156"/>
        <v>75</v>
      </c>
      <c r="ECC83">
        <f t="shared" si="156"/>
        <v>75</v>
      </c>
      <c r="ECD83">
        <f t="shared" si="156"/>
        <v>75</v>
      </c>
      <c r="ECE83">
        <f t="shared" si="156"/>
        <v>75</v>
      </c>
      <c r="ECF83">
        <f t="shared" si="156"/>
        <v>75</v>
      </c>
      <c r="ECG83">
        <f t="shared" si="156"/>
        <v>75</v>
      </c>
      <c r="ECH83">
        <f t="shared" si="156"/>
        <v>75</v>
      </c>
      <c r="ECI83">
        <f t="shared" si="156"/>
        <v>75</v>
      </c>
      <c r="ECJ83">
        <f t="shared" si="156"/>
        <v>75</v>
      </c>
      <c r="ECK83">
        <f t="shared" si="156"/>
        <v>75</v>
      </c>
      <c r="ECL83">
        <f t="shared" si="156"/>
        <v>75</v>
      </c>
      <c r="ECM83">
        <f t="shared" si="156"/>
        <v>75</v>
      </c>
      <c r="ECN83">
        <f t="shared" si="156"/>
        <v>75</v>
      </c>
      <c r="ECO83">
        <f t="shared" si="156"/>
        <v>75</v>
      </c>
      <c r="ECP83">
        <f t="shared" si="156"/>
        <v>75</v>
      </c>
      <c r="ECQ83">
        <f t="shared" si="156"/>
        <v>75</v>
      </c>
      <c r="ECR83">
        <f t="shared" si="156"/>
        <v>75</v>
      </c>
      <c r="ECS83">
        <f t="shared" si="156"/>
        <v>75</v>
      </c>
      <c r="ECT83">
        <f t="shared" si="156"/>
        <v>75</v>
      </c>
      <c r="ECU83">
        <f t="shared" si="156"/>
        <v>75</v>
      </c>
      <c r="ECV83">
        <f t="shared" si="156"/>
        <v>75</v>
      </c>
      <c r="ECW83">
        <f t="shared" si="156"/>
        <v>75</v>
      </c>
      <c r="ECX83">
        <f t="shared" si="156"/>
        <v>75</v>
      </c>
      <c r="ECY83">
        <f t="shared" si="156"/>
        <v>75</v>
      </c>
      <c r="ECZ83">
        <f t="shared" si="156"/>
        <v>75</v>
      </c>
      <c r="EDA83">
        <f t="shared" si="156"/>
        <v>75</v>
      </c>
      <c r="EDB83">
        <f t="shared" si="156"/>
        <v>75</v>
      </c>
      <c r="EDC83">
        <f t="shared" si="156"/>
        <v>75</v>
      </c>
      <c r="EDD83">
        <f t="shared" si="156"/>
        <v>75</v>
      </c>
      <c r="EDE83">
        <f t="shared" si="156"/>
        <v>75</v>
      </c>
      <c r="EDF83">
        <f t="shared" si="156"/>
        <v>75</v>
      </c>
      <c r="EDG83">
        <f t="shared" si="156"/>
        <v>75</v>
      </c>
      <c r="EDH83">
        <f t="shared" si="156"/>
        <v>75</v>
      </c>
      <c r="EDI83">
        <f t="shared" si="156"/>
        <v>75</v>
      </c>
      <c r="EDJ83">
        <f t="shared" si="156"/>
        <v>75</v>
      </c>
      <c r="EDK83">
        <f t="shared" si="156"/>
        <v>75</v>
      </c>
      <c r="EDL83">
        <f t="shared" si="156"/>
        <v>75</v>
      </c>
      <c r="EDM83">
        <f t="shared" si="156"/>
        <v>75</v>
      </c>
      <c r="EDN83">
        <f t="shared" si="156"/>
        <v>75</v>
      </c>
      <c r="EDO83">
        <f t="shared" si="156"/>
        <v>75</v>
      </c>
      <c r="EDP83">
        <f t="shared" si="156"/>
        <v>75</v>
      </c>
      <c r="EDQ83">
        <f t="shared" si="156"/>
        <v>75</v>
      </c>
      <c r="EDR83">
        <f t="shared" si="156"/>
        <v>75</v>
      </c>
      <c r="EDS83">
        <f t="shared" si="156"/>
        <v>75</v>
      </c>
      <c r="EDT83">
        <f t="shared" si="156"/>
        <v>75</v>
      </c>
      <c r="EDU83">
        <f t="shared" si="156"/>
        <v>75</v>
      </c>
      <c r="EDV83">
        <f t="shared" si="156"/>
        <v>75</v>
      </c>
      <c r="EDW83">
        <f t="shared" si="156"/>
        <v>75</v>
      </c>
      <c r="EDX83">
        <f t="shared" si="156"/>
        <v>75</v>
      </c>
      <c r="EDY83">
        <f t="shared" si="156"/>
        <v>75</v>
      </c>
      <c r="EDZ83">
        <f t="shared" si="156"/>
        <v>75</v>
      </c>
      <c r="EEA83">
        <f t="shared" si="156"/>
        <v>75</v>
      </c>
      <c r="EEB83">
        <f t="shared" si="156"/>
        <v>75</v>
      </c>
      <c r="EEC83">
        <f t="shared" si="156"/>
        <v>75</v>
      </c>
      <c r="EED83">
        <f t="shared" si="156"/>
        <v>75</v>
      </c>
      <c r="EEE83">
        <f t="shared" si="156"/>
        <v>75</v>
      </c>
      <c r="EEF83">
        <f t="shared" si="156"/>
        <v>75</v>
      </c>
      <c r="EEG83">
        <f t="shared" si="156"/>
        <v>75</v>
      </c>
      <c r="EEH83">
        <f t="shared" si="156"/>
        <v>75</v>
      </c>
      <c r="EEI83">
        <f t="shared" si="156"/>
        <v>75</v>
      </c>
      <c r="EEJ83">
        <f t="shared" si="156"/>
        <v>75</v>
      </c>
      <c r="EEK83">
        <f t="shared" si="156"/>
        <v>75</v>
      </c>
      <c r="EEL83">
        <f t="shared" si="156"/>
        <v>75</v>
      </c>
      <c r="EEM83">
        <f t="shared" ref="EEM83:EGX83" si="157">COUNTBLANK(EEM6:EEM81)</f>
        <v>75</v>
      </c>
      <c r="EEN83">
        <f t="shared" si="157"/>
        <v>75</v>
      </c>
      <c r="EEO83">
        <f t="shared" si="157"/>
        <v>75</v>
      </c>
      <c r="EEP83">
        <f t="shared" si="157"/>
        <v>75</v>
      </c>
      <c r="EEQ83">
        <f t="shared" si="157"/>
        <v>75</v>
      </c>
      <c r="EER83">
        <f t="shared" si="157"/>
        <v>75</v>
      </c>
      <c r="EES83">
        <f t="shared" si="157"/>
        <v>75</v>
      </c>
      <c r="EET83">
        <f t="shared" si="157"/>
        <v>75</v>
      </c>
      <c r="EEU83">
        <f t="shared" si="157"/>
        <v>75</v>
      </c>
      <c r="EEV83">
        <f t="shared" si="157"/>
        <v>75</v>
      </c>
      <c r="EEW83">
        <f t="shared" si="157"/>
        <v>75</v>
      </c>
      <c r="EEX83">
        <f t="shared" si="157"/>
        <v>75</v>
      </c>
      <c r="EEY83">
        <f t="shared" si="157"/>
        <v>75</v>
      </c>
      <c r="EEZ83">
        <f t="shared" si="157"/>
        <v>75</v>
      </c>
      <c r="EFA83">
        <f t="shared" si="157"/>
        <v>75</v>
      </c>
      <c r="EFB83">
        <f t="shared" si="157"/>
        <v>75</v>
      </c>
      <c r="EFC83">
        <f t="shared" si="157"/>
        <v>75</v>
      </c>
      <c r="EFD83">
        <f t="shared" si="157"/>
        <v>75</v>
      </c>
      <c r="EFE83">
        <f t="shared" si="157"/>
        <v>75</v>
      </c>
      <c r="EFF83">
        <f t="shared" si="157"/>
        <v>75</v>
      </c>
      <c r="EFG83">
        <f t="shared" si="157"/>
        <v>75</v>
      </c>
      <c r="EFH83">
        <f t="shared" si="157"/>
        <v>75</v>
      </c>
      <c r="EFI83">
        <f t="shared" si="157"/>
        <v>75</v>
      </c>
      <c r="EFJ83">
        <f t="shared" si="157"/>
        <v>75</v>
      </c>
      <c r="EFK83">
        <f t="shared" si="157"/>
        <v>75</v>
      </c>
      <c r="EFL83">
        <f t="shared" si="157"/>
        <v>75</v>
      </c>
      <c r="EFM83">
        <f t="shared" si="157"/>
        <v>75</v>
      </c>
      <c r="EFN83">
        <f t="shared" si="157"/>
        <v>75</v>
      </c>
      <c r="EFO83">
        <f t="shared" si="157"/>
        <v>75</v>
      </c>
      <c r="EFP83">
        <f t="shared" si="157"/>
        <v>75</v>
      </c>
      <c r="EFQ83">
        <f t="shared" si="157"/>
        <v>75</v>
      </c>
      <c r="EFR83">
        <f t="shared" si="157"/>
        <v>75</v>
      </c>
      <c r="EFS83">
        <f t="shared" si="157"/>
        <v>75</v>
      </c>
      <c r="EFT83">
        <f t="shared" si="157"/>
        <v>75</v>
      </c>
      <c r="EFU83">
        <f t="shared" si="157"/>
        <v>75</v>
      </c>
      <c r="EFV83">
        <f t="shared" si="157"/>
        <v>75</v>
      </c>
      <c r="EFW83">
        <f t="shared" si="157"/>
        <v>75</v>
      </c>
      <c r="EFX83">
        <f t="shared" si="157"/>
        <v>75</v>
      </c>
      <c r="EFY83">
        <f t="shared" si="157"/>
        <v>75</v>
      </c>
      <c r="EFZ83">
        <f t="shared" si="157"/>
        <v>75</v>
      </c>
      <c r="EGA83">
        <f t="shared" si="157"/>
        <v>75</v>
      </c>
      <c r="EGB83">
        <f t="shared" si="157"/>
        <v>75</v>
      </c>
      <c r="EGC83">
        <f t="shared" si="157"/>
        <v>75</v>
      </c>
      <c r="EGD83">
        <f t="shared" si="157"/>
        <v>75</v>
      </c>
      <c r="EGE83">
        <f t="shared" si="157"/>
        <v>75</v>
      </c>
      <c r="EGF83">
        <f t="shared" si="157"/>
        <v>75</v>
      </c>
      <c r="EGG83">
        <f t="shared" si="157"/>
        <v>75</v>
      </c>
      <c r="EGH83">
        <f t="shared" si="157"/>
        <v>75</v>
      </c>
      <c r="EGI83">
        <f t="shared" si="157"/>
        <v>75</v>
      </c>
      <c r="EGJ83">
        <f t="shared" si="157"/>
        <v>75</v>
      </c>
      <c r="EGK83">
        <f t="shared" si="157"/>
        <v>75</v>
      </c>
      <c r="EGL83">
        <f t="shared" si="157"/>
        <v>75</v>
      </c>
      <c r="EGM83">
        <f t="shared" si="157"/>
        <v>75</v>
      </c>
      <c r="EGN83">
        <f t="shared" si="157"/>
        <v>75</v>
      </c>
      <c r="EGO83">
        <f t="shared" si="157"/>
        <v>75</v>
      </c>
      <c r="EGP83">
        <f t="shared" si="157"/>
        <v>75</v>
      </c>
      <c r="EGQ83">
        <f t="shared" si="157"/>
        <v>75</v>
      </c>
      <c r="EGR83">
        <f t="shared" si="157"/>
        <v>75</v>
      </c>
      <c r="EGS83">
        <f t="shared" si="157"/>
        <v>75</v>
      </c>
      <c r="EGT83">
        <f t="shared" si="157"/>
        <v>75</v>
      </c>
      <c r="EGU83">
        <f t="shared" si="157"/>
        <v>75</v>
      </c>
      <c r="EGV83">
        <f t="shared" si="157"/>
        <v>75</v>
      </c>
      <c r="EGW83">
        <f t="shared" si="157"/>
        <v>75</v>
      </c>
      <c r="EGX83">
        <f t="shared" si="157"/>
        <v>75</v>
      </c>
      <c r="EGY83">
        <f t="shared" ref="EGY83:EJJ83" si="158">COUNTBLANK(EGY6:EGY81)</f>
        <v>75</v>
      </c>
      <c r="EGZ83">
        <f t="shared" si="158"/>
        <v>75</v>
      </c>
      <c r="EHA83">
        <f t="shared" si="158"/>
        <v>75</v>
      </c>
      <c r="EHB83">
        <f t="shared" si="158"/>
        <v>75</v>
      </c>
      <c r="EHC83">
        <f t="shared" si="158"/>
        <v>75</v>
      </c>
      <c r="EHD83">
        <f t="shared" si="158"/>
        <v>75</v>
      </c>
      <c r="EHE83">
        <f t="shared" si="158"/>
        <v>75</v>
      </c>
      <c r="EHF83">
        <f t="shared" si="158"/>
        <v>75</v>
      </c>
      <c r="EHG83">
        <f t="shared" si="158"/>
        <v>75</v>
      </c>
      <c r="EHH83">
        <f t="shared" si="158"/>
        <v>75</v>
      </c>
      <c r="EHI83">
        <f t="shared" si="158"/>
        <v>75</v>
      </c>
      <c r="EHJ83">
        <f t="shared" si="158"/>
        <v>75</v>
      </c>
      <c r="EHK83">
        <f t="shared" si="158"/>
        <v>75</v>
      </c>
      <c r="EHL83">
        <f t="shared" si="158"/>
        <v>75</v>
      </c>
      <c r="EHM83">
        <f t="shared" si="158"/>
        <v>75</v>
      </c>
      <c r="EHN83">
        <f t="shared" si="158"/>
        <v>75</v>
      </c>
      <c r="EHO83">
        <f t="shared" si="158"/>
        <v>75</v>
      </c>
      <c r="EHP83">
        <f t="shared" si="158"/>
        <v>75</v>
      </c>
      <c r="EHQ83">
        <f t="shared" si="158"/>
        <v>75</v>
      </c>
      <c r="EHR83">
        <f t="shared" si="158"/>
        <v>75</v>
      </c>
      <c r="EHS83">
        <f t="shared" si="158"/>
        <v>75</v>
      </c>
      <c r="EHT83">
        <f t="shared" si="158"/>
        <v>75</v>
      </c>
      <c r="EHU83">
        <f t="shared" si="158"/>
        <v>75</v>
      </c>
      <c r="EHV83">
        <f t="shared" si="158"/>
        <v>75</v>
      </c>
      <c r="EHW83">
        <f t="shared" si="158"/>
        <v>75</v>
      </c>
      <c r="EHX83">
        <f t="shared" si="158"/>
        <v>75</v>
      </c>
      <c r="EHY83">
        <f t="shared" si="158"/>
        <v>75</v>
      </c>
      <c r="EHZ83">
        <f t="shared" si="158"/>
        <v>75</v>
      </c>
      <c r="EIA83">
        <f t="shared" si="158"/>
        <v>75</v>
      </c>
      <c r="EIB83">
        <f t="shared" si="158"/>
        <v>75</v>
      </c>
      <c r="EIC83">
        <f t="shared" si="158"/>
        <v>75</v>
      </c>
      <c r="EID83">
        <f t="shared" si="158"/>
        <v>75</v>
      </c>
      <c r="EIE83">
        <f t="shared" si="158"/>
        <v>75</v>
      </c>
      <c r="EIF83">
        <f t="shared" si="158"/>
        <v>75</v>
      </c>
      <c r="EIG83">
        <f t="shared" si="158"/>
        <v>75</v>
      </c>
      <c r="EIH83">
        <f t="shared" si="158"/>
        <v>75</v>
      </c>
      <c r="EII83">
        <f t="shared" si="158"/>
        <v>75</v>
      </c>
      <c r="EIJ83">
        <f t="shared" si="158"/>
        <v>75</v>
      </c>
      <c r="EIK83">
        <f t="shared" si="158"/>
        <v>75</v>
      </c>
      <c r="EIL83">
        <f t="shared" si="158"/>
        <v>75</v>
      </c>
      <c r="EIM83">
        <f t="shared" si="158"/>
        <v>75</v>
      </c>
      <c r="EIN83">
        <f t="shared" si="158"/>
        <v>75</v>
      </c>
      <c r="EIO83">
        <f t="shared" si="158"/>
        <v>75</v>
      </c>
      <c r="EIP83">
        <f t="shared" si="158"/>
        <v>75</v>
      </c>
      <c r="EIQ83">
        <f t="shared" si="158"/>
        <v>75</v>
      </c>
      <c r="EIR83">
        <f t="shared" si="158"/>
        <v>75</v>
      </c>
      <c r="EIS83">
        <f t="shared" si="158"/>
        <v>75</v>
      </c>
      <c r="EIT83">
        <f t="shared" si="158"/>
        <v>75</v>
      </c>
      <c r="EIU83">
        <f t="shared" si="158"/>
        <v>75</v>
      </c>
      <c r="EIV83">
        <f t="shared" si="158"/>
        <v>75</v>
      </c>
      <c r="EIW83">
        <f t="shared" si="158"/>
        <v>75</v>
      </c>
      <c r="EIX83">
        <f t="shared" si="158"/>
        <v>75</v>
      </c>
      <c r="EIY83">
        <f t="shared" si="158"/>
        <v>75</v>
      </c>
      <c r="EIZ83">
        <f t="shared" si="158"/>
        <v>75</v>
      </c>
      <c r="EJA83">
        <f t="shared" si="158"/>
        <v>75</v>
      </c>
      <c r="EJB83">
        <f t="shared" si="158"/>
        <v>75</v>
      </c>
      <c r="EJC83">
        <f t="shared" si="158"/>
        <v>75</v>
      </c>
      <c r="EJD83">
        <f t="shared" si="158"/>
        <v>75</v>
      </c>
      <c r="EJE83">
        <f t="shared" si="158"/>
        <v>75</v>
      </c>
      <c r="EJF83">
        <f t="shared" si="158"/>
        <v>75</v>
      </c>
      <c r="EJG83">
        <f t="shared" si="158"/>
        <v>75</v>
      </c>
      <c r="EJH83">
        <f t="shared" si="158"/>
        <v>75</v>
      </c>
      <c r="EJI83">
        <f t="shared" si="158"/>
        <v>75</v>
      </c>
      <c r="EJJ83">
        <f t="shared" si="158"/>
        <v>75</v>
      </c>
      <c r="EJK83">
        <f t="shared" ref="EJK83:ELV83" si="159">COUNTBLANK(EJK6:EJK81)</f>
        <v>75</v>
      </c>
      <c r="EJL83">
        <f t="shared" si="159"/>
        <v>75</v>
      </c>
      <c r="EJM83">
        <f t="shared" si="159"/>
        <v>75</v>
      </c>
      <c r="EJN83">
        <f t="shared" si="159"/>
        <v>75</v>
      </c>
      <c r="EJO83">
        <f t="shared" si="159"/>
        <v>75</v>
      </c>
      <c r="EJP83">
        <f t="shared" si="159"/>
        <v>75</v>
      </c>
      <c r="EJQ83">
        <f t="shared" si="159"/>
        <v>75</v>
      </c>
      <c r="EJR83">
        <f t="shared" si="159"/>
        <v>75</v>
      </c>
      <c r="EJS83">
        <f t="shared" si="159"/>
        <v>75</v>
      </c>
      <c r="EJT83">
        <f t="shared" si="159"/>
        <v>75</v>
      </c>
      <c r="EJU83">
        <f t="shared" si="159"/>
        <v>75</v>
      </c>
      <c r="EJV83">
        <f t="shared" si="159"/>
        <v>75</v>
      </c>
      <c r="EJW83">
        <f t="shared" si="159"/>
        <v>75</v>
      </c>
      <c r="EJX83">
        <f t="shared" si="159"/>
        <v>75</v>
      </c>
      <c r="EJY83">
        <f t="shared" si="159"/>
        <v>75</v>
      </c>
      <c r="EJZ83">
        <f t="shared" si="159"/>
        <v>75</v>
      </c>
      <c r="EKA83">
        <f t="shared" si="159"/>
        <v>75</v>
      </c>
      <c r="EKB83">
        <f t="shared" si="159"/>
        <v>75</v>
      </c>
      <c r="EKC83">
        <f t="shared" si="159"/>
        <v>75</v>
      </c>
      <c r="EKD83">
        <f t="shared" si="159"/>
        <v>75</v>
      </c>
      <c r="EKE83">
        <f t="shared" si="159"/>
        <v>75</v>
      </c>
      <c r="EKF83">
        <f t="shared" si="159"/>
        <v>75</v>
      </c>
      <c r="EKG83">
        <f t="shared" si="159"/>
        <v>75</v>
      </c>
      <c r="EKH83">
        <f t="shared" si="159"/>
        <v>75</v>
      </c>
      <c r="EKI83">
        <f t="shared" si="159"/>
        <v>75</v>
      </c>
      <c r="EKJ83">
        <f t="shared" si="159"/>
        <v>75</v>
      </c>
      <c r="EKK83">
        <f t="shared" si="159"/>
        <v>75</v>
      </c>
      <c r="EKL83">
        <f t="shared" si="159"/>
        <v>75</v>
      </c>
      <c r="EKM83">
        <f t="shared" si="159"/>
        <v>75</v>
      </c>
      <c r="EKN83">
        <f t="shared" si="159"/>
        <v>75</v>
      </c>
      <c r="EKO83">
        <f t="shared" si="159"/>
        <v>75</v>
      </c>
      <c r="EKP83">
        <f t="shared" si="159"/>
        <v>75</v>
      </c>
      <c r="EKQ83">
        <f t="shared" si="159"/>
        <v>75</v>
      </c>
      <c r="EKR83">
        <f t="shared" si="159"/>
        <v>75</v>
      </c>
      <c r="EKS83">
        <f t="shared" si="159"/>
        <v>75</v>
      </c>
      <c r="EKT83">
        <f t="shared" si="159"/>
        <v>75</v>
      </c>
      <c r="EKU83">
        <f t="shared" si="159"/>
        <v>75</v>
      </c>
      <c r="EKV83">
        <f t="shared" si="159"/>
        <v>75</v>
      </c>
      <c r="EKW83">
        <f t="shared" si="159"/>
        <v>75</v>
      </c>
      <c r="EKX83">
        <f t="shared" si="159"/>
        <v>75</v>
      </c>
      <c r="EKY83">
        <f t="shared" si="159"/>
        <v>75</v>
      </c>
      <c r="EKZ83">
        <f t="shared" si="159"/>
        <v>75</v>
      </c>
      <c r="ELA83">
        <f t="shared" si="159"/>
        <v>75</v>
      </c>
      <c r="ELB83">
        <f t="shared" si="159"/>
        <v>75</v>
      </c>
      <c r="ELC83">
        <f t="shared" si="159"/>
        <v>75</v>
      </c>
      <c r="ELD83">
        <f t="shared" si="159"/>
        <v>75</v>
      </c>
      <c r="ELE83">
        <f t="shared" si="159"/>
        <v>75</v>
      </c>
      <c r="ELF83">
        <f t="shared" si="159"/>
        <v>75</v>
      </c>
      <c r="ELG83">
        <f t="shared" si="159"/>
        <v>75</v>
      </c>
      <c r="ELH83">
        <f t="shared" si="159"/>
        <v>75</v>
      </c>
      <c r="ELI83">
        <f t="shared" si="159"/>
        <v>75</v>
      </c>
      <c r="ELJ83">
        <f t="shared" si="159"/>
        <v>75</v>
      </c>
      <c r="ELK83">
        <f t="shared" si="159"/>
        <v>75</v>
      </c>
      <c r="ELL83">
        <f t="shared" si="159"/>
        <v>75</v>
      </c>
      <c r="ELM83">
        <f t="shared" si="159"/>
        <v>75</v>
      </c>
      <c r="ELN83">
        <f t="shared" si="159"/>
        <v>75</v>
      </c>
      <c r="ELO83">
        <f t="shared" si="159"/>
        <v>75</v>
      </c>
      <c r="ELP83">
        <f t="shared" si="159"/>
        <v>75</v>
      </c>
      <c r="ELQ83">
        <f t="shared" si="159"/>
        <v>75</v>
      </c>
      <c r="ELR83">
        <f t="shared" si="159"/>
        <v>75</v>
      </c>
      <c r="ELS83">
        <f t="shared" si="159"/>
        <v>75</v>
      </c>
      <c r="ELT83">
        <f t="shared" si="159"/>
        <v>75</v>
      </c>
      <c r="ELU83">
        <f t="shared" si="159"/>
        <v>75</v>
      </c>
      <c r="ELV83">
        <f t="shared" si="159"/>
        <v>75</v>
      </c>
      <c r="ELW83">
        <f t="shared" ref="ELW83:EOH83" si="160">COUNTBLANK(ELW6:ELW81)</f>
        <v>75</v>
      </c>
      <c r="ELX83">
        <f t="shared" si="160"/>
        <v>75</v>
      </c>
      <c r="ELY83">
        <f t="shared" si="160"/>
        <v>75</v>
      </c>
      <c r="ELZ83">
        <f t="shared" si="160"/>
        <v>75</v>
      </c>
      <c r="EMA83">
        <f t="shared" si="160"/>
        <v>75</v>
      </c>
      <c r="EMB83">
        <f t="shared" si="160"/>
        <v>75</v>
      </c>
      <c r="EMC83">
        <f t="shared" si="160"/>
        <v>75</v>
      </c>
      <c r="EMD83">
        <f t="shared" si="160"/>
        <v>75</v>
      </c>
      <c r="EME83">
        <f t="shared" si="160"/>
        <v>75</v>
      </c>
      <c r="EMF83">
        <f t="shared" si="160"/>
        <v>75</v>
      </c>
      <c r="EMG83">
        <f t="shared" si="160"/>
        <v>75</v>
      </c>
      <c r="EMH83">
        <f t="shared" si="160"/>
        <v>75</v>
      </c>
      <c r="EMI83">
        <f t="shared" si="160"/>
        <v>75</v>
      </c>
      <c r="EMJ83">
        <f t="shared" si="160"/>
        <v>75</v>
      </c>
      <c r="EMK83">
        <f t="shared" si="160"/>
        <v>75</v>
      </c>
      <c r="EML83">
        <f t="shared" si="160"/>
        <v>75</v>
      </c>
      <c r="EMM83">
        <f t="shared" si="160"/>
        <v>75</v>
      </c>
      <c r="EMN83">
        <f t="shared" si="160"/>
        <v>75</v>
      </c>
      <c r="EMO83">
        <f t="shared" si="160"/>
        <v>75</v>
      </c>
      <c r="EMP83">
        <f t="shared" si="160"/>
        <v>75</v>
      </c>
      <c r="EMQ83">
        <f t="shared" si="160"/>
        <v>75</v>
      </c>
      <c r="EMR83">
        <f t="shared" si="160"/>
        <v>75</v>
      </c>
      <c r="EMS83">
        <f t="shared" si="160"/>
        <v>75</v>
      </c>
      <c r="EMT83">
        <f t="shared" si="160"/>
        <v>75</v>
      </c>
      <c r="EMU83">
        <f t="shared" si="160"/>
        <v>75</v>
      </c>
      <c r="EMV83">
        <f t="shared" si="160"/>
        <v>75</v>
      </c>
      <c r="EMW83">
        <f t="shared" si="160"/>
        <v>75</v>
      </c>
      <c r="EMX83">
        <f t="shared" si="160"/>
        <v>75</v>
      </c>
      <c r="EMY83">
        <f t="shared" si="160"/>
        <v>75</v>
      </c>
      <c r="EMZ83">
        <f t="shared" si="160"/>
        <v>75</v>
      </c>
      <c r="ENA83">
        <f t="shared" si="160"/>
        <v>75</v>
      </c>
      <c r="ENB83">
        <f t="shared" si="160"/>
        <v>75</v>
      </c>
      <c r="ENC83">
        <f t="shared" si="160"/>
        <v>75</v>
      </c>
      <c r="END83">
        <f t="shared" si="160"/>
        <v>75</v>
      </c>
      <c r="ENE83">
        <f t="shared" si="160"/>
        <v>75</v>
      </c>
      <c r="ENF83">
        <f t="shared" si="160"/>
        <v>75</v>
      </c>
      <c r="ENG83">
        <f t="shared" si="160"/>
        <v>75</v>
      </c>
      <c r="ENH83">
        <f t="shared" si="160"/>
        <v>75</v>
      </c>
      <c r="ENI83">
        <f t="shared" si="160"/>
        <v>75</v>
      </c>
      <c r="ENJ83">
        <f t="shared" si="160"/>
        <v>75</v>
      </c>
      <c r="ENK83">
        <f t="shared" si="160"/>
        <v>75</v>
      </c>
      <c r="ENL83">
        <f t="shared" si="160"/>
        <v>75</v>
      </c>
      <c r="ENM83">
        <f t="shared" si="160"/>
        <v>75</v>
      </c>
      <c r="ENN83">
        <f t="shared" si="160"/>
        <v>75</v>
      </c>
      <c r="ENO83">
        <f t="shared" si="160"/>
        <v>75</v>
      </c>
      <c r="ENP83">
        <f t="shared" si="160"/>
        <v>75</v>
      </c>
      <c r="ENQ83">
        <f t="shared" si="160"/>
        <v>75</v>
      </c>
      <c r="ENR83">
        <f t="shared" si="160"/>
        <v>75</v>
      </c>
      <c r="ENS83">
        <f t="shared" si="160"/>
        <v>75</v>
      </c>
      <c r="ENT83">
        <f t="shared" si="160"/>
        <v>75</v>
      </c>
      <c r="ENU83">
        <f t="shared" si="160"/>
        <v>75</v>
      </c>
      <c r="ENV83">
        <f t="shared" si="160"/>
        <v>75</v>
      </c>
      <c r="ENW83">
        <f t="shared" si="160"/>
        <v>75</v>
      </c>
      <c r="ENX83">
        <f t="shared" si="160"/>
        <v>75</v>
      </c>
      <c r="ENY83">
        <f t="shared" si="160"/>
        <v>75</v>
      </c>
      <c r="ENZ83">
        <f t="shared" si="160"/>
        <v>75</v>
      </c>
      <c r="EOA83">
        <f t="shared" si="160"/>
        <v>75</v>
      </c>
      <c r="EOB83">
        <f t="shared" si="160"/>
        <v>75</v>
      </c>
      <c r="EOC83">
        <f t="shared" si="160"/>
        <v>75</v>
      </c>
      <c r="EOD83">
        <f t="shared" si="160"/>
        <v>75</v>
      </c>
      <c r="EOE83">
        <f t="shared" si="160"/>
        <v>75</v>
      </c>
      <c r="EOF83">
        <f t="shared" si="160"/>
        <v>75</v>
      </c>
      <c r="EOG83">
        <f t="shared" si="160"/>
        <v>75</v>
      </c>
      <c r="EOH83">
        <f t="shared" si="160"/>
        <v>75</v>
      </c>
      <c r="EOI83">
        <f t="shared" ref="EOI83:EQT83" si="161">COUNTBLANK(EOI6:EOI81)</f>
        <v>75</v>
      </c>
      <c r="EOJ83">
        <f t="shared" si="161"/>
        <v>75</v>
      </c>
      <c r="EOK83">
        <f t="shared" si="161"/>
        <v>75</v>
      </c>
      <c r="EOL83">
        <f t="shared" si="161"/>
        <v>75</v>
      </c>
      <c r="EOM83">
        <f t="shared" si="161"/>
        <v>75</v>
      </c>
      <c r="EON83">
        <f t="shared" si="161"/>
        <v>75</v>
      </c>
      <c r="EOO83">
        <f t="shared" si="161"/>
        <v>75</v>
      </c>
      <c r="EOP83">
        <f t="shared" si="161"/>
        <v>75</v>
      </c>
      <c r="EOQ83">
        <f t="shared" si="161"/>
        <v>75</v>
      </c>
      <c r="EOR83">
        <f t="shared" si="161"/>
        <v>75</v>
      </c>
      <c r="EOS83">
        <f t="shared" si="161"/>
        <v>75</v>
      </c>
      <c r="EOT83">
        <f t="shared" si="161"/>
        <v>75</v>
      </c>
      <c r="EOU83">
        <f t="shared" si="161"/>
        <v>75</v>
      </c>
      <c r="EOV83">
        <f t="shared" si="161"/>
        <v>74</v>
      </c>
      <c r="EOW83">
        <f t="shared" si="161"/>
        <v>74</v>
      </c>
      <c r="EOX83">
        <f t="shared" si="161"/>
        <v>74</v>
      </c>
      <c r="EOY83">
        <f t="shared" si="161"/>
        <v>74</v>
      </c>
      <c r="EOZ83">
        <f t="shared" si="161"/>
        <v>74</v>
      </c>
      <c r="EPA83">
        <f t="shared" si="161"/>
        <v>74</v>
      </c>
      <c r="EPB83">
        <f t="shared" si="161"/>
        <v>74</v>
      </c>
      <c r="EPC83">
        <f t="shared" si="161"/>
        <v>74</v>
      </c>
      <c r="EPD83">
        <f t="shared" si="161"/>
        <v>74</v>
      </c>
      <c r="EPE83">
        <f t="shared" si="161"/>
        <v>74</v>
      </c>
      <c r="EPF83">
        <f t="shared" si="161"/>
        <v>74</v>
      </c>
      <c r="EPG83">
        <f t="shared" si="161"/>
        <v>74</v>
      </c>
      <c r="EPH83">
        <f t="shared" si="161"/>
        <v>74</v>
      </c>
      <c r="EPI83">
        <f t="shared" si="161"/>
        <v>74</v>
      </c>
      <c r="EPJ83">
        <f t="shared" si="161"/>
        <v>74</v>
      </c>
      <c r="EPK83">
        <f t="shared" si="161"/>
        <v>74</v>
      </c>
      <c r="EPL83">
        <f t="shared" si="161"/>
        <v>74</v>
      </c>
      <c r="EPM83">
        <f t="shared" si="161"/>
        <v>74</v>
      </c>
      <c r="EPN83">
        <f t="shared" si="161"/>
        <v>74</v>
      </c>
      <c r="EPO83">
        <f t="shared" si="161"/>
        <v>74</v>
      </c>
      <c r="EPP83">
        <f t="shared" si="161"/>
        <v>74</v>
      </c>
      <c r="EPQ83">
        <f t="shared" si="161"/>
        <v>74</v>
      </c>
      <c r="EPR83">
        <f t="shared" si="161"/>
        <v>74</v>
      </c>
      <c r="EPS83">
        <f t="shared" si="161"/>
        <v>74</v>
      </c>
      <c r="EPT83">
        <f t="shared" si="161"/>
        <v>74</v>
      </c>
      <c r="EPU83">
        <f t="shared" si="161"/>
        <v>75</v>
      </c>
      <c r="EPV83">
        <f t="shared" si="161"/>
        <v>75</v>
      </c>
      <c r="EPW83">
        <f t="shared" si="161"/>
        <v>75</v>
      </c>
      <c r="EPX83">
        <f t="shared" si="161"/>
        <v>75</v>
      </c>
      <c r="EPY83">
        <f t="shared" si="161"/>
        <v>75</v>
      </c>
      <c r="EPZ83">
        <f t="shared" si="161"/>
        <v>75</v>
      </c>
      <c r="EQA83">
        <f t="shared" si="161"/>
        <v>75</v>
      </c>
      <c r="EQB83">
        <f t="shared" si="161"/>
        <v>75</v>
      </c>
      <c r="EQC83">
        <f t="shared" si="161"/>
        <v>75</v>
      </c>
      <c r="EQD83">
        <f t="shared" si="161"/>
        <v>75</v>
      </c>
      <c r="EQE83">
        <f t="shared" si="161"/>
        <v>75</v>
      </c>
      <c r="EQF83">
        <f t="shared" si="161"/>
        <v>75</v>
      </c>
      <c r="EQG83">
        <f t="shared" si="161"/>
        <v>75</v>
      </c>
      <c r="EQH83">
        <f t="shared" si="161"/>
        <v>75</v>
      </c>
      <c r="EQI83">
        <f t="shared" si="161"/>
        <v>75</v>
      </c>
      <c r="EQJ83">
        <f t="shared" si="161"/>
        <v>75</v>
      </c>
      <c r="EQK83">
        <f t="shared" si="161"/>
        <v>75</v>
      </c>
      <c r="EQL83">
        <f t="shared" si="161"/>
        <v>75</v>
      </c>
      <c r="EQM83">
        <f t="shared" si="161"/>
        <v>75</v>
      </c>
      <c r="EQN83">
        <f t="shared" si="161"/>
        <v>75</v>
      </c>
      <c r="EQO83">
        <f t="shared" si="161"/>
        <v>75</v>
      </c>
      <c r="EQP83">
        <f t="shared" si="161"/>
        <v>75</v>
      </c>
      <c r="EQQ83">
        <f t="shared" si="161"/>
        <v>75</v>
      </c>
      <c r="EQR83">
        <f t="shared" si="161"/>
        <v>75</v>
      </c>
      <c r="EQS83">
        <f t="shared" si="161"/>
        <v>75</v>
      </c>
      <c r="EQT83">
        <f t="shared" si="161"/>
        <v>75</v>
      </c>
      <c r="EQU83">
        <f t="shared" ref="EQU83:ETF83" si="162">COUNTBLANK(EQU6:EQU81)</f>
        <v>75</v>
      </c>
      <c r="EQV83">
        <f t="shared" si="162"/>
        <v>75</v>
      </c>
      <c r="EQW83">
        <f t="shared" si="162"/>
        <v>75</v>
      </c>
      <c r="EQX83">
        <f t="shared" si="162"/>
        <v>75</v>
      </c>
      <c r="EQY83">
        <f t="shared" si="162"/>
        <v>75</v>
      </c>
      <c r="EQZ83">
        <f t="shared" si="162"/>
        <v>75</v>
      </c>
      <c r="ERA83">
        <f t="shared" si="162"/>
        <v>75</v>
      </c>
      <c r="ERB83">
        <f t="shared" si="162"/>
        <v>75</v>
      </c>
      <c r="ERC83">
        <f t="shared" si="162"/>
        <v>75</v>
      </c>
      <c r="ERD83">
        <f t="shared" si="162"/>
        <v>75</v>
      </c>
      <c r="ERE83">
        <f t="shared" si="162"/>
        <v>75</v>
      </c>
      <c r="ERF83">
        <f t="shared" si="162"/>
        <v>75</v>
      </c>
      <c r="ERG83">
        <f t="shared" si="162"/>
        <v>75</v>
      </c>
      <c r="ERH83">
        <f t="shared" si="162"/>
        <v>75</v>
      </c>
      <c r="ERI83">
        <f t="shared" si="162"/>
        <v>75</v>
      </c>
      <c r="ERJ83">
        <f t="shared" si="162"/>
        <v>75</v>
      </c>
      <c r="ERK83">
        <f t="shared" si="162"/>
        <v>75</v>
      </c>
      <c r="ERL83">
        <f t="shared" si="162"/>
        <v>75</v>
      </c>
      <c r="ERM83">
        <f t="shared" si="162"/>
        <v>75</v>
      </c>
      <c r="ERN83">
        <f t="shared" si="162"/>
        <v>75</v>
      </c>
      <c r="ERO83">
        <f t="shared" si="162"/>
        <v>75</v>
      </c>
      <c r="ERP83">
        <f t="shared" si="162"/>
        <v>75</v>
      </c>
      <c r="ERQ83">
        <f t="shared" si="162"/>
        <v>75</v>
      </c>
      <c r="ERR83">
        <f t="shared" si="162"/>
        <v>75</v>
      </c>
      <c r="ERS83">
        <f t="shared" si="162"/>
        <v>75</v>
      </c>
      <c r="ERT83">
        <f t="shared" si="162"/>
        <v>75</v>
      </c>
      <c r="ERU83">
        <f t="shared" si="162"/>
        <v>75</v>
      </c>
      <c r="ERV83">
        <f t="shared" si="162"/>
        <v>75</v>
      </c>
      <c r="ERW83">
        <f t="shared" si="162"/>
        <v>75</v>
      </c>
      <c r="ERX83">
        <f t="shared" si="162"/>
        <v>75</v>
      </c>
      <c r="ERY83">
        <f t="shared" si="162"/>
        <v>75</v>
      </c>
      <c r="ERZ83">
        <f t="shared" si="162"/>
        <v>75</v>
      </c>
      <c r="ESA83">
        <f t="shared" si="162"/>
        <v>75</v>
      </c>
      <c r="ESB83">
        <f t="shared" si="162"/>
        <v>75</v>
      </c>
      <c r="ESC83">
        <f t="shared" si="162"/>
        <v>75</v>
      </c>
      <c r="ESD83">
        <f t="shared" si="162"/>
        <v>75</v>
      </c>
      <c r="ESE83">
        <f t="shared" si="162"/>
        <v>75</v>
      </c>
      <c r="ESF83">
        <f t="shared" si="162"/>
        <v>75</v>
      </c>
      <c r="ESG83">
        <f t="shared" si="162"/>
        <v>75</v>
      </c>
      <c r="ESH83">
        <f t="shared" si="162"/>
        <v>75</v>
      </c>
      <c r="ESI83">
        <f t="shared" si="162"/>
        <v>75</v>
      </c>
      <c r="ESJ83">
        <f t="shared" si="162"/>
        <v>75</v>
      </c>
      <c r="ESK83">
        <f t="shared" si="162"/>
        <v>75</v>
      </c>
      <c r="ESL83">
        <f t="shared" si="162"/>
        <v>75</v>
      </c>
      <c r="ESM83">
        <f t="shared" si="162"/>
        <v>75</v>
      </c>
      <c r="ESN83">
        <f t="shared" si="162"/>
        <v>75</v>
      </c>
      <c r="ESO83">
        <f t="shared" si="162"/>
        <v>75</v>
      </c>
      <c r="ESP83">
        <f t="shared" si="162"/>
        <v>75</v>
      </c>
      <c r="ESQ83">
        <f t="shared" si="162"/>
        <v>75</v>
      </c>
      <c r="ESR83">
        <f t="shared" si="162"/>
        <v>75</v>
      </c>
      <c r="ESS83">
        <f t="shared" si="162"/>
        <v>75</v>
      </c>
      <c r="EST83">
        <f t="shared" si="162"/>
        <v>75</v>
      </c>
      <c r="ESU83">
        <f t="shared" si="162"/>
        <v>75</v>
      </c>
      <c r="ESV83">
        <f t="shared" si="162"/>
        <v>75</v>
      </c>
      <c r="ESW83">
        <f t="shared" si="162"/>
        <v>75</v>
      </c>
      <c r="ESX83">
        <f t="shared" si="162"/>
        <v>75</v>
      </c>
      <c r="ESY83">
        <f t="shared" si="162"/>
        <v>75</v>
      </c>
      <c r="ESZ83">
        <f t="shared" si="162"/>
        <v>75</v>
      </c>
      <c r="ETA83">
        <f t="shared" si="162"/>
        <v>75</v>
      </c>
      <c r="ETB83">
        <f t="shared" si="162"/>
        <v>75</v>
      </c>
      <c r="ETC83">
        <f t="shared" si="162"/>
        <v>75</v>
      </c>
      <c r="ETD83">
        <f t="shared" si="162"/>
        <v>75</v>
      </c>
      <c r="ETE83">
        <f t="shared" si="162"/>
        <v>75</v>
      </c>
      <c r="ETF83">
        <f t="shared" si="162"/>
        <v>75</v>
      </c>
      <c r="ETG83">
        <f t="shared" ref="ETG83:EVR83" si="163">COUNTBLANK(ETG6:ETG81)</f>
        <v>75</v>
      </c>
      <c r="ETH83">
        <f t="shared" si="163"/>
        <v>75</v>
      </c>
      <c r="ETI83">
        <f t="shared" si="163"/>
        <v>75</v>
      </c>
      <c r="ETJ83">
        <f t="shared" si="163"/>
        <v>75</v>
      </c>
      <c r="ETK83">
        <f t="shared" si="163"/>
        <v>75</v>
      </c>
      <c r="ETL83">
        <f t="shared" si="163"/>
        <v>75</v>
      </c>
      <c r="ETM83">
        <f t="shared" si="163"/>
        <v>75</v>
      </c>
      <c r="ETN83">
        <f t="shared" si="163"/>
        <v>75</v>
      </c>
      <c r="ETO83">
        <f t="shared" si="163"/>
        <v>75</v>
      </c>
      <c r="ETP83">
        <f t="shared" si="163"/>
        <v>75</v>
      </c>
      <c r="ETQ83">
        <f t="shared" si="163"/>
        <v>75</v>
      </c>
      <c r="ETR83">
        <f t="shared" si="163"/>
        <v>75</v>
      </c>
      <c r="ETS83">
        <f t="shared" si="163"/>
        <v>75</v>
      </c>
      <c r="ETT83">
        <f t="shared" si="163"/>
        <v>75</v>
      </c>
      <c r="ETU83">
        <f t="shared" si="163"/>
        <v>75</v>
      </c>
      <c r="ETV83">
        <f t="shared" si="163"/>
        <v>75</v>
      </c>
      <c r="ETW83">
        <f t="shared" si="163"/>
        <v>75</v>
      </c>
      <c r="ETX83">
        <f t="shared" si="163"/>
        <v>75</v>
      </c>
      <c r="ETY83">
        <f t="shared" si="163"/>
        <v>75</v>
      </c>
      <c r="ETZ83">
        <f t="shared" si="163"/>
        <v>75</v>
      </c>
      <c r="EUA83">
        <f t="shared" si="163"/>
        <v>75</v>
      </c>
      <c r="EUB83">
        <f t="shared" si="163"/>
        <v>75</v>
      </c>
      <c r="EUC83">
        <f t="shared" si="163"/>
        <v>75</v>
      </c>
      <c r="EUD83">
        <f t="shared" si="163"/>
        <v>75</v>
      </c>
      <c r="EUE83">
        <f t="shared" si="163"/>
        <v>75</v>
      </c>
      <c r="EUF83">
        <f t="shared" si="163"/>
        <v>75</v>
      </c>
      <c r="EUG83">
        <f t="shared" si="163"/>
        <v>75</v>
      </c>
      <c r="EUH83">
        <f t="shared" si="163"/>
        <v>75</v>
      </c>
      <c r="EUI83">
        <f t="shared" si="163"/>
        <v>75</v>
      </c>
      <c r="EUJ83">
        <f t="shared" si="163"/>
        <v>75</v>
      </c>
      <c r="EUK83">
        <f t="shared" si="163"/>
        <v>75</v>
      </c>
      <c r="EUL83">
        <f t="shared" si="163"/>
        <v>75</v>
      </c>
      <c r="EUM83">
        <f t="shared" si="163"/>
        <v>75</v>
      </c>
      <c r="EUN83">
        <f t="shared" si="163"/>
        <v>75</v>
      </c>
      <c r="EUO83">
        <f t="shared" si="163"/>
        <v>75</v>
      </c>
      <c r="EUP83">
        <f t="shared" si="163"/>
        <v>75</v>
      </c>
      <c r="EUQ83">
        <f t="shared" si="163"/>
        <v>75</v>
      </c>
      <c r="EUR83">
        <f t="shared" si="163"/>
        <v>75</v>
      </c>
      <c r="EUS83">
        <f t="shared" si="163"/>
        <v>75</v>
      </c>
      <c r="EUT83">
        <f t="shared" si="163"/>
        <v>75</v>
      </c>
      <c r="EUU83">
        <f t="shared" si="163"/>
        <v>75</v>
      </c>
      <c r="EUV83">
        <f t="shared" si="163"/>
        <v>75</v>
      </c>
      <c r="EUW83">
        <f t="shared" si="163"/>
        <v>75</v>
      </c>
      <c r="EUX83">
        <f t="shared" si="163"/>
        <v>75</v>
      </c>
      <c r="EUY83">
        <f t="shared" si="163"/>
        <v>75</v>
      </c>
      <c r="EUZ83">
        <f t="shared" si="163"/>
        <v>75</v>
      </c>
      <c r="EVA83">
        <f t="shared" si="163"/>
        <v>75</v>
      </c>
      <c r="EVB83">
        <f t="shared" si="163"/>
        <v>75</v>
      </c>
      <c r="EVC83">
        <f t="shared" si="163"/>
        <v>75</v>
      </c>
      <c r="EVD83">
        <f t="shared" si="163"/>
        <v>75</v>
      </c>
      <c r="EVE83">
        <f t="shared" si="163"/>
        <v>75</v>
      </c>
      <c r="EVF83">
        <f t="shared" si="163"/>
        <v>75</v>
      </c>
      <c r="EVG83">
        <f t="shared" si="163"/>
        <v>75</v>
      </c>
      <c r="EVH83">
        <f t="shared" si="163"/>
        <v>75</v>
      </c>
      <c r="EVI83">
        <f t="shared" si="163"/>
        <v>75</v>
      </c>
      <c r="EVJ83">
        <f t="shared" si="163"/>
        <v>75</v>
      </c>
      <c r="EVK83">
        <f t="shared" si="163"/>
        <v>75</v>
      </c>
      <c r="EVL83">
        <f t="shared" si="163"/>
        <v>75</v>
      </c>
      <c r="EVM83">
        <f t="shared" si="163"/>
        <v>75</v>
      </c>
      <c r="EVN83">
        <f t="shared" si="163"/>
        <v>75</v>
      </c>
      <c r="EVO83">
        <f t="shared" si="163"/>
        <v>75</v>
      </c>
      <c r="EVP83">
        <f t="shared" si="163"/>
        <v>75</v>
      </c>
      <c r="EVQ83">
        <f t="shared" si="163"/>
        <v>75</v>
      </c>
      <c r="EVR83">
        <f t="shared" si="163"/>
        <v>75</v>
      </c>
      <c r="EVS83">
        <f t="shared" ref="EVS83:EYD83" si="164">COUNTBLANK(EVS6:EVS81)</f>
        <v>75</v>
      </c>
      <c r="EVT83">
        <f t="shared" si="164"/>
        <v>75</v>
      </c>
      <c r="EVU83">
        <f t="shared" si="164"/>
        <v>75</v>
      </c>
      <c r="EVV83">
        <f t="shared" si="164"/>
        <v>75</v>
      </c>
      <c r="EVW83">
        <f t="shared" si="164"/>
        <v>75</v>
      </c>
      <c r="EVX83">
        <f t="shared" si="164"/>
        <v>75</v>
      </c>
      <c r="EVY83">
        <f t="shared" si="164"/>
        <v>75</v>
      </c>
      <c r="EVZ83">
        <f t="shared" si="164"/>
        <v>75</v>
      </c>
      <c r="EWA83">
        <f t="shared" si="164"/>
        <v>75</v>
      </c>
      <c r="EWB83">
        <f t="shared" si="164"/>
        <v>75</v>
      </c>
      <c r="EWC83">
        <f t="shared" si="164"/>
        <v>75</v>
      </c>
      <c r="EWD83">
        <f t="shared" si="164"/>
        <v>75</v>
      </c>
      <c r="EWE83">
        <f t="shared" si="164"/>
        <v>75</v>
      </c>
      <c r="EWF83">
        <f t="shared" si="164"/>
        <v>75</v>
      </c>
      <c r="EWG83">
        <f t="shared" si="164"/>
        <v>75</v>
      </c>
      <c r="EWH83">
        <f t="shared" si="164"/>
        <v>75</v>
      </c>
      <c r="EWI83">
        <f t="shared" si="164"/>
        <v>75</v>
      </c>
      <c r="EWJ83">
        <f t="shared" si="164"/>
        <v>75</v>
      </c>
      <c r="EWK83">
        <f t="shared" si="164"/>
        <v>75</v>
      </c>
      <c r="EWL83">
        <f t="shared" si="164"/>
        <v>75</v>
      </c>
      <c r="EWM83">
        <f t="shared" si="164"/>
        <v>75</v>
      </c>
      <c r="EWN83">
        <f t="shared" si="164"/>
        <v>75</v>
      </c>
      <c r="EWO83">
        <f t="shared" si="164"/>
        <v>75</v>
      </c>
      <c r="EWP83">
        <f t="shared" si="164"/>
        <v>75</v>
      </c>
      <c r="EWQ83">
        <f t="shared" si="164"/>
        <v>75</v>
      </c>
      <c r="EWR83">
        <f t="shared" si="164"/>
        <v>75</v>
      </c>
      <c r="EWS83">
        <f t="shared" si="164"/>
        <v>75</v>
      </c>
      <c r="EWT83">
        <f t="shared" si="164"/>
        <v>75</v>
      </c>
      <c r="EWU83">
        <f t="shared" si="164"/>
        <v>75</v>
      </c>
      <c r="EWV83">
        <f t="shared" si="164"/>
        <v>75</v>
      </c>
      <c r="EWW83">
        <f t="shared" si="164"/>
        <v>75</v>
      </c>
      <c r="EWX83">
        <f t="shared" si="164"/>
        <v>75</v>
      </c>
      <c r="EWY83">
        <f t="shared" si="164"/>
        <v>75</v>
      </c>
      <c r="EWZ83">
        <f t="shared" si="164"/>
        <v>75</v>
      </c>
      <c r="EXA83">
        <f t="shared" si="164"/>
        <v>75</v>
      </c>
      <c r="EXB83">
        <f t="shared" si="164"/>
        <v>75</v>
      </c>
      <c r="EXC83">
        <f t="shared" si="164"/>
        <v>75</v>
      </c>
      <c r="EXD83">
        <f t="shared" si="164"/>
        <v>75</v>
      </c>
      <c r="EXE83">
        <f t="shared" si="164"/>
        <v>75</v>
      </c>
      <c r="EXF83">
        <f t="shared" si="164"/>
        <v>75</v>
      </c>
      <c r="EXG83">
        <f t="shared" si="164"/>
        <v>75</v>
      </c>
      <c r="EXH83">
        <f t="shared" si="164"/>
        <v>75</v>
      </c>
      <c r="EXI83">
        <f t="shared" si="164"/>
        <v>75</v>
      </c>
      <c r="EXJ83">
        <f t="shared" si="164"/>
        <v>75</v>
      </c>
      <c r="EXK83">
        <f t="shared" si="164"/>
        <v>75</v>
      </c>
      <c r="EXL83">
        <f t="shared" si="164"/>
        <v>75</v>
      </c>
      <c r="EXM83">
        <f t="shared" si="164"/>
        <v>75</v>
      </c>
      <c r="EXN83">
        <f t="shared" si="164"/>
        <v>75</v>
      </c>
      <c r="EXO83">
        <f t="shared" si="164"/>
        <v>75</v>
      </c>
      <c r="EXP83">
        <f t="shared" si="164"/>
        <v>75</v>
      </c>
      <c r="EXQ83">
        <f t="shared" si="164"/>
        <v>75</v>
      </c>
      <c r="EXR83">
        <f t="shared" si="164"/>
        <v>75</v>
      </c>
      <c r="EXS83">
        <f t="shared" si="164"/>
        <v>75</v>
      </c>
      <c r="EXT83">
        <f t="shared" si="164"/>
        <v>75</v>
      </c>
      <c r="EXU83">
        <f t="shared" si="164"/>
        <v>75</v>
      </c>
      <c r="EXV83">
        <f t="shared" si="164"/>
        <v>75</v>
      </c>
      <c r="EXW83">
        <f t="shared" si="164"/>
        <v>75</v>
      </c>
      <c r="EXX83">
        <f t="shared" si="164"/>
        <v>75</v>
      </c>
      <c r="EXY83">
        <f t="shared" si="164"/>
        <v>75</v>
      </c>
      <c r="EXZ83">
        <f t="shared" si="164"/>
        <v>75</v>
      </c>
      <c r="EYA83">
        <f t="shared" si="164"/>
        <v>75</v>
      </c>
      <c r="EYB83">
        <f t="shared" si="164"/>
        <v>75</v>
      </c>
      <c r="EYC83">
        <f t="shared" si="164"/>
        <v>75</v>
      </c>
      <c r="EYD83">
        <f t="shared" si="164"/>
        <v>75</v>
      </c>
      <c r="EYE83">
        <f t="shared" ref="EYE83:FAP83" si="165">COUNTBLANK(EYE6:EYE81)</f>
        <v>75</v>
      </c>
      <c r="EYF83">
        <f t="shared" si="165"/>
        <v>75</v>
      </c>
      <c r="EYG83">
        <f t="shared" si="165"/>
        <v>75</v>
      </c>
      <c r="EYH83">
        <f t="shared" si="165"/>
        <v>75</v>
      </c>
      <c r="EYI83">
        <f t="shared" si="165"/>
        <v>75</v>
      </c>
      <c r="EYJ83">
        <f t="shared" si="165"/>
        <v>75</v>
      </c>
      <c r="EYK83">
        <f t="shared" si="165"/>
        <v>75</v>
      </c>
      <c r="EYL83">
        <f t="shared" si="165"/>
        <v>75</v>
      </c>
      <c r="EYM83">
        <f t="shared" si="165"/>
        <v>75</v>
      </c>
      <c r="EYN83">
        <f t="shared" si="165"/>
        <v>75</v>
      </c>
      <c r="EYO83">
        <f t="shared" si="165"/>
        <v>75</v>
      </c>
      <c r="EYP83">
        <f t="shared" si="165"/>
        <v>75</v>
      </c>
      <c r="EYQ83">
        <f t="shared" si="165"/>
        <v>75</v>
      </c>
      <c r="EYR83">
        <f t="shared" si="165"/>
        <v>75</v>
      </c>
      <c r="EYS83">
        <f t="shared" si="165"/>
        <v>75</v>
      </c>
      <c r="EYT83">
        <f t="shared" si="165"/>
        <v>75</v>
      </c>
      <c r="EYU83">
        <f t="shared" si="165"/>
        <v>75</v>
      </c>
      <c r="EYV83">
        <f t="shared" si="165"/>
        <v>75</v>
      </c>
      <c r="EYW83">
        <f t="shared" si="165"/>
        <v>75</v>
      </c>
      <c r="EYX83">
        <f t="shared" si="165"/>
        <v>75</v>
      </c>
      <c r="EYY83">
        <f t="shared" si="165"/>
        <v>75</v>
      </c>
      <c r="EYZ83">
        <f t="shared" si="165"/>
        <v>75</v>
      </c>
      <c r="EZA83">
        <f t="shared" si="165"/>
        <v>75</v>
      </c>
      <c r="EZB83">
        <f t="shared" si="165"/>
        <v>75</v>
      </c>
      <c r="EZC83">
        <f t="shared" si="165"/>
        <v>75</v>
      </c>
      <c r="EZD83">
        <f t="shared" si="165"/>
        <v>75</v>
      </c>
      <c r="EZE83">
        <f t="shared" si="165"/>
        <v>75</v>
      </c>
      <c r="EZF83">
        <f t="shared" si="165"/>
        <v>75</v>
      </c>
      <c r="EZG83">
        <f t="shared" si="165"/>
        <v>75</v>
      </c>
      <c r="EZH83">
        <f t="shared" si="165"/>
        <v>75</v>
      </c>
      <c r="EZI83">
        <f t="shared" si="165"/>
        <v>75</v>
      </c>
      <c r="EZJ83">
        <f t="shared" si="165"/>
        <v>75</v>
      </c>
      <c r="EZK83">
        <f t="shared" si="165"/>
        <v>75</v>
      </c>
      <c r="EZL83">
        <f t="shared" si="165"/>
        <v>75</v>
      </c>
      <c r="EZM83">
        <f t="shared" si="165"/>
        <v>75</v>
      </c>
      <c r="EZN83">
        <f t="shared" si="165"/>
        <v>75</v>
      </c>
      <c r="EZO83">
        <f t="shared" si="165"/>
        <v>75</v>
      </c>
      <c r="EZP83">
        <f t="shared" si="165"/>
        <v>75</v>
      </c>
      <c r="EZQ83">
        <f t="shared" si="165"/>
        <v>75</v>
      </c>
      <c r="EZR83">
        <f t="shared" si="165"/>
        <v>75</v>
      </c>
      <c r="EZS83">
        <f t="shared" si="165"/>
        <v>75</v>
      </c>
      <c r="EZT83">
        <f t="shared" si="165"/>
        <v>75</v>
      </c>
      <c r="EZU83">
        <f t="shared" si="165"/>
        <v>75</v>
      </c>
      <c r="EZV83">
        <f t="shared" si="165"/>
        <v>75</v>
      </c>
      <c r="EZW83">
        <f t="shared" si="165"/>
        <v>75</v>
      </c>
      <c r="EZX83">
        <f t="shared" si="165"/>
        <v>75</v>
      </c>
      <c r="EZY83">
        <f t="shared" si="165"/>
        <v>75</v>
      </c>
      <c r="EZZ83">
        <f t="shared" si="165"/>
        <v>75</v>
      </c>
      <c r="FAA83">
        <f t="shared" si="165"/>
        <v>75</v>
      </c>
      <c r="FAB83">
        <f t="shared" si="165"/>
        <v>75</v>
      </c>
      <c r="FAC83">
        <f t="shared" si="165"/>
        <v>75</v>
      </c>
      <c r="FAD83">
        <f t="shared" si="165"/>
        <v>75</v>
      </c>
      <c r="FAE83">
        <f t="shared" si="165"/>
        <v>75</v>
      </c>
      <c r="FAF83">
        <f t="shared" si="165"/>
        <v>75</v>
      </c>
      <c r="FAG83">
        <f t="shared" si="165"/>
        <v>75</v>
      </c>
      <c r="FAH83">
        <f t="shared" si="165"/>
        <v>75</v>
      </c>
      <c r="FAI83">
        <f t="shared" si="165"/>
        <v>75</v>
      </c>
      <c r="FAJ83">
        <f t="shared" si="165"/>
        <v>75</v>
      </c>
      <c r="FAK83">
        <f t="shared" si="165"/>
        <v>75</v>
      </c>
      <c r="FAL83">
        <f t="shared" si="165"/>
        <v>75</v>
      </c>
      <c r="FAM83">
        <f t="shared" si="165"/>
        <v>75</v>
      </c>
      <c r="FAN83">
        <f t="shared" si="165"/>
        <v>75</v>
      </c>
      <c r="FAO83">
        <f t="shared" si="165"/>
        <v>75</v>
      </c>
      <c r="FAP83">
        <f t="shared" si="165"/>
        <v>75</v>
      </c>
      <c r="FAQ83">
        <f t="shared" ref="FAQ83:FDB83" si="166">COUNTBLANK(FAQ6:FAQ81)</f>
        <v>75</v>
      </c>
      <c r="FAR83">
        <f t="shared" si="166"/>
        <v>75</v>
      </c>
      <c r="FAS83">
        <f t="shared" si="166"/>
        <v>75</v>
      </c>
      <c r="FAT83">
        <f t="shared" si="166"/>
        <v>75</v>
      </c>
      <c r="FAU83">
        <f t="shared" si="166"/>
        <v>75</v>
      </c>
      <c r="FAV83">
        <f t="shared" si="166"/>
        <v>75</v>
      </c>
      <c r="FAW83">
        <f t="shared" si="166"/>
        <v>75</v>
      </c>
      <c r="FAX83">
        <f t="shared" si="166"/>
        <v>75</v>
      </c>
      <c r="FAY83">
        <f t="shared" si="166"/>
        <v>75</v>
      </c>
      <c r="FAZ83">
        <f t="shared" si="166"/>
        <v>75</v>
      </c>
      <c r="FBA83">
        <f t="shared" si="166"/>
        <v>75</v>
      </c>
      <c r="FBB83">
        <f t="shared" si="166"/>
        <v>75</v>
      </c>
      <c r="FBC83">
        <f t="shared" si="166"/>
        <v>75</v>
      </c>
      <c r="FBD83">
        <f t="shared" si="166"/>
        <v>75</v>
      </c>
      <c r="FBE83">
        <f t="shared" si="166"/>
        <v>75</v>
      </c>
      <c r="FBF83">
        <f t="shared" si="166"/>
        <v>75</v>
      </c>
      <c r="FBG83">
        <f t="shared" si="166"/>
        <v>75</v>
      </c>
      <c r="FBH83">
        <f t="shared" si="166"/>
        <v>75</v>
      </c>
      <c r="FBI83">
        <f t="shared" si="166"/>
        <v>75</v>
      </c>
      <c r="FBJ83">
        <f t="shared" si="166"/>
        <v>75</v>
      </c>
      <c r="FBK83">
        <f t="shared" si="166"/>
        <v>75</v>
      </c>
      <c r="FBL83">
        <f t="shared" si="166"/>
        <v>75</v>
      </c>
      <c r="FBM83">
        <f t="shared" si="166"/>
        <v>75</v>
      </c>
      <c r="FBN83">
        <f t="shared" si="166"/>
        <v>75</v>
      </c>
      <c r="FBO83">
        <f t="shared" si="166"/>
        <v>75</v>
      </c>
      <c r="FBP83">
        <f t="shared" si="166"/>
        <v>75</v>
      </c>
      <c r="FBQ83">
        <f t="shared" si="166"/>
        <v>75</v>
      </c>
      <c r="FBR83">
        <f t="shared" si="166"/>
        <v>75</v>
      </c>
      <c r="FBS83">
        <f t="shared" si="166"/>
        <v>75</v>
      </c>
      <c r="FBT83">
        <f t="shared" si="166"/>
        <v>75</v>
      </c>
      <c r="FBU83">
        <f t="shared" si="166"/>
        <v>75</v>
      </c>
      <c r="FBV83">
        <f t="shared" si="166"/>
        <v>75</v>
      </c>
      <c r="FBW83">
        <f t="shared" si="166"/>
        <v>75</v>
      </c>
      <c r="FBX83">
        <f t="shared" si="166"/>
        <v>75</v>
      </c>
      <c r="FBY83">
        <f t="shared" si="166"/>
        <v>75</v>
      </c>
      <c r="FBZ83">
        <f t="shared" si="166"/>
        <v>75</v>
      </c>
      <c r="FCA83">
        <f t="shared" si="166"/>
        <v>75</v>
      </c>
      <c r="FCB83">
        <f t="shared" si="166"/>
        <v>75</v>
      </c>
      <c r="FCC83">
        <f t="shared" si="166"/>
        <v>75</v>
      </c>
      <c r="FCD83">
        <f t="shared" si="166"/>
        <v>75</v>
      </c>
      <c r="FCE83">
        <f t="shared" si="166"/>
        <v>75</v>
      </c>
      <c r="FCF83">
        <f t="shared" si="166"/>
        <v>75</v>
      </c>
      <c r="FCG83">
        <f t="shared" si="166"/>
        <v>75</v>
      </c>
      <c r="FCH83">
        <f t="shared" si="166"/>
        <v>75</v>
      </c>
      <c r="FCI83">
        <f t="shared" si="166"/>
        <v>74</v>
      </c>
      <c r="FCJ83">
        <f t="shared" si="166"/>
        <v>74</v>
      </c>
      <c r="FCK83">
        <f t="shared" si="166"/>
        <v>74</v>
      </c>
      <c r="FCL83">
        <f t="shared" si="166"/>
        <v>74</v>
      </c>
      <c r="FCM83">
        <f t="shared" si="166"/>
        <v>74</v>
      </c>
      <c r="FCN83">
        <f t="shared" si="166"/>
        <v>74</v>
      </c>
      <c r="FCO83">
        <f t="shared" si="166"/>
        <v>74</v>
      </c>
      <c r="FCP83">
        <f t="shared" si="166"/>
        <v>74</v>
      </c>
      <c r="FCQ83">
        <f t="shared" si="166"/>
        <v>74</v>
      </c>
      <c r="FCR83">
        <f t="shared" si="166"/>
        <v>74</v>
      </c>
      <c r="FCS83">
        <f t="shared" si="166"/>
        <v>74</v>
      </c>
      <c r="FCT83">
        <f t="shared" si="166"/>
        <v>74</v>
      </c>
      <c r="FCU83">
        <f t="shared" si="166"/>
        <v>74</v>
      </c>
      <c r="FCV83">
        <f t="shared" si="166"/>
        <v>74</v>
      </c>
      <c r="FCW83">
        <f t="shared" si="166"/>
        <v>74</v>
      </c>
      <c r="FCX83">
        <f t="shared" si="166"/>
        <v>74</v>
      </c>
      <c r="FCY83">
        <f t="shared" si="166"/>
        <v>74</v>
      </c>
      <c r="FCZ83">
        <f t="shared" si="166"/>
        <v>74</v>
      </c>
      <c r="FDA83">
        <f t="shared" si="166"/>
        <v>74</v>
      </c>
      <c r="FDB83">
        <f t="shared" si="166"/>
        <v>74</v>
      </c>
      <c r="FDC83">
        <f t="shared" ref="FDC83:FFN83" si="167">COUNTBLANK(FDC6:FDC81)</f>
        <v>74</v>
      </c>
      <c r="FDD83">
        <f t="shared" si="167"/>
        <v>74</v>
      </c>
      <c r="FDE83">
        <f t="shared" si="167"/>
        <v>74</v>
      </c>
      <c r="FDF83">
        <f t="shared" si="167"/>
        <v>74</v>
      </c>
      <c r="FDG83">
        <f t="shared" si="167"/>
        <v>74</v>
      </c>
      <c r="FDH83">
        <f t="shared" si="167"/>
        <v>74</v>
      </c>
      <c r="FDI83">
        <f t="shared" si="167"/>
        <v>74</v>
      </c>
      <c r="FDJ83">
        <f t="shared" si="167"/>
        <v>74</v>
      </c>
      <c r="FDK83">
        <f t="shared" si="167"/>
        <v>74</v>
      </c>
      <c r="FDL83">
        <f t="shared" si="167"/>
        <v>74</v>
      </c>
      <c r="FDM83">
        <f t="shared" si="167"/>
        <v>74</v>
      </c>
      <c r="FDN83">
        <f t="shared" si="167"/>
        <v>74</v>
      </c>
      <c r="FDO83">
        <f t="shared" si="167"/>
        <v>74</v>
      </c>
      <c r="FDP83">
        <f t="shared" si="167"/>
        <v>74</v>
      </c>
      <c r="FDQ83">
        <f t="shared" si="167"/>
        <v>74</v>
      </c>
      <c r="FDR83">
        <f t="shared" si="167"/>
        <v>74</v>
      </c>
      <c r="FDS83">
        <f t="shared" si="167"/>
        <v>74</v>
      </c>
      <c r="FDT83">
        <f t="shared" si="167"/>
        <v>74</v>
      </c>
      <c r="FDU83">
        <f t="shared" si="167"/>
        <v>74</v>
      </c>
      <c r="FDV83">
        <f t="shared" si="167"/>
        <v>74</v>
      </c>
      <c r="FDW83">
        <f t="shared" si="167"/>
        <v>74</v>
      </c>
      <c r="FDX83">
        <f t="shared" si="167"/>
        <v>74</v>
      </c>
      <c r="FDY83">
        <f t="shared" si="167"/>
        <v>74</v>
      </c>
      <c r="FDZ83">
        <f t="shared" si="167"/>
        <v>74</v>
      </c>
      <c r="FEA83">
        <f t="shared" si="167"/>
        <v>75</v>
      </c>
      <c r="FEB83">
        <f t="shared" si="167"/>
        <v>75</v>
      </c>
      <c r="FEC83">
        <f t="shared" si="167"/>
        <v>75</v>
      </c>
      <c r="FED83">
        <f t="shared" si="167"/>
        <v>75</v>
      </c>
      <c r="FEE83">
        <f t="shared" si="167"/>
        <v>75</v>
      </c>
      <c r="FEF83">
        <f t="shared" si="167"/>
        <v>75</v>
      </c>
      <c r="FEG83">
        <f t="shared" si="167"/>
        <v>75</v>
      </c>
      <c r="FEH83">
        <f t="shared" si="167"/>
        <v>75</v>
      </c>
      <c r="FEI83">
        <f t="shared" si="167"/>
        <v>75</v>
      </c>
      <c r="FEJ83">
        <f t="shared" si="167"/>
        <v>75</v>
      </c>
      <c r="FEK83">
        <f t="shared" si="167"/>
        <v>75</v>
      </c>
      <c r="FEL83">
        <f t="shared" si="167"/>
        <v>75</v>
      </c>
      <c r="FEM83">
        <f t="shared" si="167"/>
        <v>75</v>
      </c>
      <c r="FEN83">
        <f t="shared" si="167"/>
        <v>75</v>
      </c>
      <c r="FEO83">
        <f t="shared" si="167"/>
        <v>75</v>
      </c>
      <c r="FEP83">
        <f t="shared" si="167"/>
        <v>75</v>
      </c>
      <c r="FEQ83">
        <f t="shared" si="167"/>
        <v>75</v>
      </c>
      <c r="FER83">
        <f t="shared" si="167"/>
        <v>75</v>
      </c>
      <c r="FES83">
        <f t="shared" si="167"/>
        <v>75</v>
      </c>
      <c r="FET83">
        <f t="shared" si="167"/>
        <v>75</v>
      </c>
      <c r="FEU83">
        <f t="shared" si="167"/>
        <v>75</v>
      </c>
      <c r="FEV83">
        <f t="shared" si="167"/>
        <v>75</v>
      </c>
      <c r="FEW83">
        <f t="shared" si="167"/>
        <v>75</v>
      </c>
      <c r="FEX83">
        <f t="shared" si="167"/>
        <v>75</v>
      </c>
      <c r="FEY83">
        <f t="shared" si="167"/>
        <v>75</v>
      </c>
      <c r="FEZ83">
        <f t="shared" si="167"/>
        <v>75</v>
      </c>
      <c r="FFA83">
        <f t="shared" si="167"/>
        <v>75</v>
      </c>
      <c r="FFB83">
        <f t="shared" si="167"/>
        <v>75</v>
      </c>
      <c r="FFC83">
        <f t="shared" si="167"/>
        <v>75</v>
      </c>
      <c r="FFD83">
        <f t="shared" si="167"/>
        <v>75</v>
      </c>
      <c r="FFE83">
        <f t="shared" si="167"/>
        <v>75</v>
      </c>
      <c r="FFF83">
        <f t="shared" si="167"/>
        <v>75</v>
      </c>
      <c r="FFG83">
        <f t="shared" si="167"/>
        <v>75</v>
      </c>
      <c r="FFH83">
        <f t="shared" si="167"/>
        <v>75</v>
      </c>
      <c r="FFI83">
        <f t="shared" si="167"/>
        <v>75</v>
      </c>
      <c r="FFJ83">
        <f t="shared" si="167"/>
        <v>75</v>
      </c>
      <c r="FFK83">
        <f t="shared" si="167"/>
        <v>75</v>
      </c>
      <c r="FFL83">
        <f t="shared" si="167"/>
        <v>75</v>
      </c>
      <c r="FFM83">
        <f t="shared" si="167"/>
        <v>75</v>
      </c>
      <c r="FFN83">
        <f t="shared" si="167"/>
        <v>75</v>
      </c>
      <c r="FFO83">
        <f t="shared" ref="FFO83:FHZ83" si="168">COUNTBLANK(FFO6:FFO81)</f>
        <v>75</v>
      </c>
      <c r="FFP83">
        <f t="shared" si="168"/>
        <v>75</v>
      </c>
      <c r="FFQ83">
        <f t="shared" si="168"/>
        <v>75</v>
      </c>
      <c r="FFR83">
        <f t="shared" si="168"/>
        <v>75</v>
      </c>
      <c r="FFS83">
        <f t="shared" si="168"/>
        <v>75</v>
      </c>
      <c r="FFT83">
        <f t="shared" si="168"/>
        <v>75</v>
      </c>
      <c r="FFU83">
        <f t="shared" si="168"/>
        <v>75</v>
      </c>
      <c r="FFV83">
        <f t="shared" si="168"/>
        <v>75</v>
      </c>
      <c r="FFW83">
        <f t="shared" si="168"/>
        <v>75</v>
      </c>
      <c r="FFX83">
        <f t="shared" si="168"/>
        <v>75</v>
      </c>
      <c r="FFY83">
        <f t="shared" si="168"/>
        <v>75</v>
      </c>
      <c r="FFZ83">
        <f t="shared" si="168"/>
        <v>75</v>
      </c>
      <c r="FGA83">
        <f t="shared" si="168"/>
        <v>75</v>
      </c>
      <c r="FGB83">
        <f t="shared" si="168"/>
        <v>75</v>
      </c>
      <c r="FGC83">
        <f t="shared" si="168"/>
        <v>75</v>
      </c>
      <c r="FGD83">
        <f t="shared" si="168"/>
        <v>75</v>
      </c>
      <c r="FGE83">
        <f t="shared" si="168"/>
        <v>75</v>
      </c>
      <c r="FGF83">
        <f t="shared" si="168"/>
        <v>75</v>
      </c>
      <c r="FGG83">
        <f t="shared" si="168"/>
        <v>75</v>
      </c>
      <c r="FGH83">
        <f t="shared" si="168"/>
        <v>75</v>
      </c>
      <c r="FGI83">
        <f t="shared" si="168"/>
        <v>75</v>
      </c>
      <c r="FGJ83">
        <f t="shared" si="168"/>
        <v>75</v>
      </c>
      <c r="FGK83">
        <f t="shared" si="168"/>
        <v>75</v>
      </c>
      <c r="FGL83">
        <f t="shared" si="168"/>
        <v>75</v>
      </c>
      <c r="FGM83">
        <f t="shared" si="168"/>
        <v>75</v>
      </c>
      <c r="FGN83">
        <f t="shared" si="168"/>
        <v>75</v>
      </c>
      <c r="FGO83">
        <f t="shared" si="168"/>
        <v>75</v>
      </c>
      <c r="FGP83">
        <f t="shared" si="168"/>
        <v>75</v>
      </c>
      <c r="FGQ83">
        <f t="shared" si="168"/>
        <v>75</v>
      </c>
      <c r="FGR83">
        <f t="shared" si="168"/>
        <v>75</v>
      </c>
      <c r="FGS83">
        <f t="shared" si="168"/>
        <v>75</v>
      </c>
      <c r="FGT83">
        <f t="shared" si="168"/>
        <v>75</v>
      </c>
      <c r="FGU83">
        <f t="shared" si="168"/>
        <v>75</v>
      </c>
      <c r="FGV83">
        <f t="shared" si="168"/>
        <v>75</v>
      </c>
      <c r="FGW83">
        <f t="shared" si="168"/>
        <v>75</v>
      </c>
      <c r="FGX83">
        <f t="shared" si="168"/>
        <v>75</v>
      </c>
      <c r="FGY83">
        <f t="shared" si="168"/>
        <v>75</v>
      </c>
      <c r="FGZ83">
        <f t="shared" si="168"/>
        <v>75</v>
      </c>
      <c r="FHA83">
        <f t="shared" si="168"/>
        <v>75</v>
      </c>
      <c r="FHB83">
        <f t="shared" si="168"/>
        <v>75</v>
      </c>
      <c r="FHC83">
        <f t="shared" si="168"/>
        <v>75</v>
      </c>
      <c r="FHD83">
        <f t="shared" si="168"/>
        <v>75</v>
      </c>
      <c r="FHE83">
        <f t="shared" si="168"/>
        <v>75</v>
      </c>
      <c r="FHF83">
        <f t="shared" si="168"/>
        <v>75</v>
      </c>
      <c r="FHG83">
        <f t="shared" si="168"/>
        <v>75</v>
      </c>
      <c r="FHH83">
        <f t="shared" si="168"/>
        <v>75</v>
      </c>
      <c r="FHI83">
        <f t="shared" si="168"/>
        <v>75</v>
      </c>
      <c r="FHJ83">
        <f t="shared" si="168"/>
        <v>75</v>
      </c>
      <c r="FHK83">
        <f t="shared" si="168"/>
        <v>75</v>
      </c>
      <c r="FHL83">
        <f t="shared" si="168"/>
        <v>75</v>
      </c>
      <c r="FHM83">
        <f t="shared" si="168"/>
        <v>75</v>
      </c>
      <c r="FHN83">
        <f t="shared" si="168"/>
        <v>75</v>
      </c>
      <c r="FHO83">
        <f t="shared" si="168"/>
        <v>75</v>
      </c>
      <c r="FHP83">
        <f t="shared" si="168"/>
        <v>75</v>
      </c>
      <c r="FHQ83">
        <f t="shared" si="168"/>
        <v>75</v>
      </c>
      <c r="FHR83">
        <f t="shared" si="168"/>
        <v>75</v>
      </c>
      <c r="FHS83">
        <f t="shared" si="168"/>
        <v>75</v>
      </c>
      <c r="FHT83">
        <f t="shared" si="168"/>
        <v>75</v>
      </c>
      <c r="FHU83">
        <f t="shared" si="168"/>
        <v>75</v>
      </c>
      <c r="FHV83">
        <f t="shared" si="168"/>
        <v>75</v>
      </c>
      <c r="FHW83">
        <f t="shared" si="168"/>
        <v>75</v>
      </c>
      <c r="FHX83">
        <f t="shared" si="168"/>
        <v>75</v>
      </c>
      <c r="FHY83">
        <f t="shared" si="168"/>
        <v>75</v>
      </c>
      <c r="FHZ83">
        <f t="shared" si="168"/>
        <v>75</v>
      </c>
      <c r="FIA83">
        <f t="shared" ref="FIA83:FKL83" si="169">COUNTBLANK(FIA6:FIA81)</f>
        <v>75</v>
      </c>
      <c r="FIB83">
        <f t="shared" si="169"/>
        <v>75</v>
      </c>
      <c r="FIC83">
        <f t="shared" si="169"/>
        <v>75</v>
      </c>
      <c r="FID83">
        <f t="shared" si="169"/>
        <v>75</v>
      </c>
      <c r="FIE83">
        <f t="shared" si="169"/>
        <v>75</v>
      </c>
      <c r="FIF83">
        <f t="shared" si="169"/>
        <v>75</v>
      </c>
      <c r="FIG83">
        <f t="shared" si="169"/>
        <v>75</v>
      </c>
      <c r="FIH83">
        <f t="shared" si="169"/>
        <v>75</v>
      </c>
      <c r="FII83">
        <f t="shared" si="169"/>
        <v>75</v>
      </c>
      <c r="FIJ83">
        <f t="shared" si="169"/>
        <v>75</v>
      </c>
      <c r="FIK83">
        <f t="shared" si="169"/>
        <v>75</v>
      </c>
      <c r="FIL83">
        <f t="shared" si="169"/>
        <v>75</v>
      </c>
      <c r="FIM83">
        <f t="shared" si="169"/>
        <v>75</v>
      </c>
      <c r="FIN83">
        <f t="shared" si="169"/>
        <v>75</v>
      </c>
      <c r="FIO83">
        <f t="shared" si="169"/>
        <v>75</v>
      </c>
      <c r="FIP83">
        <f t="shared" si="169"/>
        <v>75</v>
      </c>
      <c r="FIQ83">
        <f t="shared" si="169"/>
        <v>75</v>
      </c>
      <c r="FIR83">
        <f t="shared" si="169"/>
        <v>75</v>
      </c>
      <c r="FIS83">
        <f t="shared" si="169"/>
        <v>75</v>
      </c>
      <c r="FIT83">
        <f t="shared" si="169"/>
        <v>75</v>
      </c>
      <c r="FIU83">
        <f t="shared" si="169"/>
        <v>75</v>
      </c>
      <c r="FIV83">
        <f t="shared" si="169"/>
        <v>75</v>
      </c>
      <c r="FIW83">
        <f t="shared" si="169"/>
        <v>75</v>
      </c>
      <c r="FIX83">
        <f t="shared" si="169"/>
        <v>75</v>
      </c>
      <c r="FIY83">
        <f t="shared" si="169"/>
        <v>75</v>
      </c>
      <c r="FIZ83">
        <f t="shared" si="169"/>
        <v>75</v>
      </c>
      <c r="FJA83">
        <f t="shared" si="169"/>
        <v>75</v>
      </c>
      <c r="FJB83">
        <f t="shared" si="169"/>
        <v>75</v>
      </c>
      <c r="FJC83">
        <f t="shared" si="169"/>
        <v>75</v>
      </c>
      <c r="FJD83">
        <f t="shared" si="169"/>
        <v>75</v>
      </c>
      <c r="FJE83">
        <f t="shared" si="169"/>
        <v>75</v>
      </c>
      <c r="FJF83">
        <f t="shared" si="169"/>
        <v>75</v>
      </c>
      <c r="FJG83">
        <f t="shared" si="169"/>
        <v>75</v>
      </c>
      <c r="FJH83">
        <f t="shared" si="169"/>
        <v>75</v>
      </c>
      <c r="FJI83">
        <f t="shared" si="169"/>
        <v>75</v>
      </c>
      <c r="FJJ83">
        <f t="shared" si="169"/>
        <v>75</v>
      </c>
      <c r="FJK83">
        <f t="shared" si="169"/>
        <v>75</v>
      </c>
      <c r="FJL83">
        <f t="shared" si="169"/>
        <v>75</v>
      </c>
      <c r="FJM83">
        <f t="shared" si="169"/>
        <v>75</v>
      </c>
      <c r="FJN83">
        <f t="shared" si="169"/>
        <v>75</v>
      </c>
      <c r="FJO83">
        <f t="shared" si="169"/>
        <v>75</v>
      </c>
      <c r="FJP83">
        <f t="shared" si="169"/>
        <v>75</v>
      </c>
      <c r="FJQ83">
        <f t="shared" si="169"/>
        <v>75</v>
      </c>
      <c r="FJR83">
        <f t="shared" si="169"/>
        <v>75</v>
      </c>
      <c r="FJS83">
        <f t="shared" si="169"/>
        <v>75</v>
      </c>
      <c r="FJT83">
        <f t="shared" si="169"/>
        <v>75</v>
      </c>
      <c r="FJU83">
        <f t="shared" si="169"/>
        <v>75</v>
      </c>
      <c r="FJV83">
        <f t="shared" si="169"/>
        <v>75</v>
      </c>
      <c r="FJW83">
        <f t="shared" si="169"/>
        <v>75</v>
      </c>
      <c r="FJX83">
        <f t="shared" si="169"/>
        <v>75</v>
      </c>
      <c r="FJY83">
        <f t="shared" si="169"/>
        <v>75</v>
      </c>
      <c r="FJZ83">
        <f t="shared" si="169"/>
        <v>75</v>
      </c>
      <c r="FKA83">
        <f t="shared" si="169"/>
        <v>75</v>
      </c>
      <c r="FKB83">
        <f t="shared" si="169"/>
        <v>75</v>
      </c>
      <c r="FKC83">
        <f t="shared" si="169"/>
        <v>75</v>
      </c>
      <c r="FKD83">
        <f t="shared" si="169"/>
        <v>75</v>
      </c>
      <c r="FKE83">
        <f t="shared" si="169"/>
        <v>75</v>
      </c>
      <c r="FKF83">
        <f t="shared" si="169"/>
        <v>75</v>
      </c>
      <c r="FKG83">
        <f t="shared" si="169"/>
        <v>75</v>
      </c>
      <c r="FKH83">
        <f t="shared" si="169"/>
        <v>75</v>
      </c>
      <c r="FKI83">
        <f t="shared" si="169"/>
        <v>75</v>
      </c>
      <c r="FKJ83">
        <f t="shared" si="169"/>
        <v>75</v>
      </c>
      <c r="FKK83">
        <f t="shared" si="169"/>
        <v>75</v>
      </c>
      <c r="FKL83">
        <f t="shared" si="169"/>
        <v>75</v>
      </c>
      <c r="FKM83">
        <f t="shared" ref="FKM83:FMX83" si="170">COUNTBLANK(FKM6:FKM81)</f>
        <v>75</v>
      </c>
      <c r="FKN83">
        <f t="shared" si="170"/>
        <v>75</v>
      </c>
      <c r="FKO83">
        <f t="shared" si="170"/>
        <v>75</v>
      </c>
      <c r="FKP83">
        <f t="shared" si="170"/>
        <v>75</v>
      </c>
      <c r="FKQ83">
        <f t="shared" si="170"/>
        <v>75</v>
      </c>
      <c r="FKR83">
        <f t="shared" si="170"/>
        <v>75</v>
      </c>
      <c r="FKS83">
        <f t="shared" si="170"/>
        <v>75</v>
      </c>
      <c r="FKT83">
        <f t="shared" si="170"/>
        <v>75</v>
      </c>
      <c r="FKU83">
        <f t="shared" si="170"/>
        <v>75</v>
      </c>
      <c r="FKV83">
        <f t="shared" si="170"/>
        <v>75</v>
      </c>
      <c r="FKW83">
        <f t="shared" si="170"/>
        <v>75</v>
      </c>
      <c r="FKX83">
        <f t="shared" si="170"/>
        <v>75</v>
      </c>
      <c r="FKY83">
        <f t="shared" si="170"/>
        <v>75</v>
      </c>
      <c r="FKZ83">
        <f t="shared" si="170"/>
        <v>75</v>
      </c>
      <c r="FLA83">
        <f t="shared" si="170"/>
        <v>75</v>
      </c>
      <c r="FLB83">
        <f t="shared" si="170"/>
        <v>75</v>
      </c>
      <c r="FLC83">
        <f t="shared" si="170"/>
        <v>75</v>
      </c>
      <c r="FLD83">
        <f t="shared" si="170"/>
        <v>75</v>
      </c>
      <c r="FLE83">
        <f t="shared" si="170"/>
        <v>75</v>
      </c>
      <c r="FLF83">
        <f t="shared" si="170"/>
        <v>75</v>
      </c>
      <c r="FLG83">
        <f t="shared" si="170"/>
        <v>75</v>
      </c>
      <c r="FLH83">
        <f t="shared" si="170"/>
        <v>75</v>
      </c>
      <c r="FLI83">
        <f t="shared" si="170"/>
        <v>75</v>
      </c>
      <c r="FLJ83">
        <f t="shared" si="170"/>
        <v>75</v>
      </c>
      <c r="FLK83">
        <f t="shared" si="170"/>
        <v>75</v>
      </c>
      <c r="FLL83">
        <f t="shared" si="170"/>
        <v>75</v>
      </c>
      <c r="FLM83">
        <f t="shared" si="170"/>
        <v>75</v>
      </c>
      <c r="FLN83">
        <f t="shared" si="170"/>
        <v>75</v>
      </c>
      <c r="FLO83">
        <f t="shared" si="170"/>
        <v>75</v>
      </c>
      <c r="FLP83">
        <f t="shared" si="170"/>
        <v>75</v>
      </c>
      <c r="FLQ83">
        <f t="shared" si="170"/>
        <v>75</v>
      </c>
      <c r="FLR83">
        <f t="shared" si="170"/>
        <v>75</v>
      </c>
      <c r="FLS83">
        <f t="shared" si="170"/>
        <v>75</v>
      </c>
      <c r="FLT83">
        <f t="shared" si="170"/>
        <v>75</v>
      </c>
      <c r="FLU83">
        <f t="shared" si="170"/>
        <v>75</v>
      </c>
      <c r="FLV83">
        <f t="shared" si="170"/>
        <v>75</v>
      </c>
      <c r="FLW83">
        <f t="shared" si="170"/>
        <v>75</v>
      </c>
      <c r="FLX83">
        <f t="shared" si="170"/>
        <v>75</v>
      </c>
      <c r="FLY83">
        <f t="shared" si="170"/>
        <v>75</v>
      </c>
      <c r="FLZ83">
        <f t="shared" si="170"/>
        <v>75</v>
      </c>
      <c r="FMA83">
        <f t="shared" si="170"/>
        <v>75</v>
      </c>
      <c r="FMB83">
        <f t="shared" si="170"/>
        <v>75</v>
      </c>
      <c r="FMC83">
        <f t="shared" si="170"/>
        <v>75</v>
      </c>
      <c r="FMD83">
        <f t="shared" si="170"/>
        <v>75</v>
      </c>
      <c r="FME83">
        <f t="shared" si="170"/>
        <v>75</v>
      </c>
      <c r="FMF83">
        <f t="shared" si="170"/>
        <v>75</v>
      </c>
      <c r="FMG83">
        <f t="shared" si="170"/>
        <v>75</v>
      </c>
      <c r="FMH83">
        <f t="shared" si="170"/>
        <v>75</v>
      </c>
      <c r="FMI83">
        <f t="shared" si="170"/>
        <v>75</v>
      </c>
      <c r="FMJ83">
        <f t="shared" si="170"/>
        <v>75</v>
      </c>
      <c r="FMK83">
        <f t="shared" si="170"/>
        <v>75</v>
      </c>
      <c r="FML83">
        <f t="shared" si="170"/>
        <v>75</v>
      </c>
      <c r="FMM83">
        <f t="shared" si="170"/>
        <v>75</v>
      </c>
      <c r="FMN83">
        <f t="shared" si="170"/>
        <v>75</v>
      </c>
      <c r="FMO83">
        <f t="shared" si="170"/>
        <v>75</v>
      </c>
      <c r="FMP83">
        <f t="shared" si="170"/>
        <v>75</v>
      </c>
      <c r="FMQ83">
        <f t="shared" si="170"/>
        <v>75</v>
      </c>
      <c r="FMR83">
        <f t="shared" si="170"/>
        <v>75</v>
      </c>
      <c r="FMS83">
        <f t="shared" si="170"/>
        <v>75</v>
      </c>
      <c r="FMT83">
        <f t="shared" si="170"/>
        <v>75</v>
      </c>
      <c r="FMU83">
        <f t="shared" si="170"/>
        <v>75</v>
      </c>
      <c r="FMV83">
        <f t="shared" si="170"/>
        <v>75</v>
      </c>
      <c r="FMW83">
        <f t="shared" si="170"/>
        <v>75</v>
      </c>
      <c r="FMX83">
        <f t="shared" si="170"/>
        <v>75</v>
      </c>
      <c r="FMY83">
        <f t="shared" ref="FMY83:FPJ83" si="171">COUNTBLANK(FMY6:FMY81)</f>
        <v>75</v>
      </c>
      <c r="FMZ83">
        <f t="shared" si="171"/>
        <v>75</v>
      </c>
      <c r="FNA83">
        <f t="shared" si="171"/>
        <v>75</v>
      </c>
      <c r="FNB83">
        <f t="shared" si="171"/>
        <v>75</v>
      </c>
      <c r="FNC83">
        <f t="shared" si="171"/>
        <v>75</v>
      </c>
      <c r="FND83">
        <f t="shared" si="171"/>
        <v>75</v>
      </c>
      <c r="FNE83">
        <f t="shared" si="171"/>
        <v>75</v>
      </c>
      <c r="FNF83">
        <f t="shared" si="171"/>
        <v>75</v>
      </c>
      <c r="FNG83">
        <f t="shared" si="171"/>
        <v>75</v>
      </c>
      <c r="FNH83">
        <f t="shared" si="171"/>
        <v>75</v>
      </c>
      <c r="FNI83">
        <f t="shared" si="171"/>
        <v>75</v>
      </c>
      <c r="FNJ83">
        <f t="shared" si="171"/>
        <v>75</v>
      </c>
      <c r="FNK83">
        <f t="shared" si="171"/>
        <v>75</v>
      </c>
      <c r="FNL83">
        <f t="shared" si="171"/>
        <v>75</v>
      </c>
      <c r="FNM83">
        <f t="shared" si="171"/>
        <v>75</v>
      </c>
      <c r="FNN83">
        <f t="shared" si="171"/>
        <v>75</v>
      </c>
      <c r="FNO83">
        <f t="shared" si="171"/>
        <v>75</v>
      </c>
      <c r="FNP83">
        <f t="shared" si="171"/>
        <v>75</v>
      </c>
      <c r="FNQ83">
        <f t="shared" si="171"/>
        <v>75</v>
      </c>
      <c r="FNR83">
        <f t="shared" si="171"/>
        <v>75</v>
      </c>
      <c r="FNS83">
        <f t="shared" si="171"/>
        <v>75</v>
      </c>
      <c r="FNT83">
        <f t="shared" si="171"/>
        <v>75</v>
      </c>
      <c r="FNU83">
        <f t="shared" si="171"/>
        <v>75</v>
      </c>
      <c r="FNV83">
        <f t="shared" si="171"/>
        <v>75</v>
      </c>
      <c r="FNW83">
        <f t="shared" si="171"/>
        <v>75</v>
      </c>
      <c r="FNX83">
        <f t="shared" si="171"/>
        <v>75</v>
      </c>
      <c r="FNY83">
        <f t="shared" si="171"/>
        <v>75</v>
      </c>
      <c r="FNZ83">
        <f t="shared" si="171"/>
        <v>75</v>
      </c>
      <c r="FOA83">
        <f t="shared" si="171"/>
        <v>75</v>
      </c>
      <c r="FOB83">
        <f t="shared" si="171"/>
        <v>75</v>
      </c>
      <c r="FOC83">
        <f t="shared" si="171"/>
        <v>75</v>
      </c>
      <c r="FOD83">
        <f t="shared" si="171"/>
        <v>75</v>
      </c>
      <c r="FOE83">
        <f t="shared" si="171"/>
        <v>75</v>
      </c>
      <c r="FOF83">
        <f t="shared" si="171"/>
        <v>75</v>
      </c>
      <c r="FOG83">
        <f t="shared" si="171"/>
        <v>75</v>
      </c>
      <c r="FOH83">
        <f t="shared" si="171"/>
        <v>75</v>
      </c>
      <c r="FOI83">
        <f t="shared" si="171"/>
        <v>75</v>
      </c>
      <c r="FOJ83">
        <f t="shared" si="171"/>
        <v>75</v>
      </c>
      <c r="FOK83">
        <f t="shared" si="171"/>
        <v>75</v>
      </c>
      <c r="FOL83">
        <f t="shared" si="171"/>
        <v>75</v>
      </c>
      <c r="FOM83">
        <f t="shared" si="171"/>
        <v>75</v>
      </c>
      <c r="FON83">
        <f t="shared" si="171"/>
        <v>75</v>
      </c>
      <c r="FOO83">
        <f t="shared" si="171"/>
        <v>75</v>
      </c>
      <c r="FOP83">
        <f t="shared" si="171"/>
        <v>75</v>
      </c>
      <c r="FOQ83">
        <f t="shared" si="171"/>
        <v>75</v>
      </c>
      <c r="FOR83">
        <f t="shared" si="171"/>
        <v>75</v>
      </c>
      <c r="FOS83">
        <f t="shared" si="171"/>
        <v>75</v>
      </c>
      <c r="FOT83">
        <f t="shared" si="171"/>
        <v>75</v>
      </c>
      <c r="FOU83">
        <f t="shared" si="171"/>
        <v>75</v>
      </c>
      <c r="FOV83">
        <f t="shared" si="171"/>
        <v>75</v>
      </c>
      <c r="FOW83">
        <f t="shared" si="171"/>
        <v>75</v>
      </c>
      <c r="FOX83">
        <f t="shared" si="171"/>
        <v>75</v>
      </c>
      <c r="FOY83">
        <f t="shared" si="171"/>
        <v>75</v>
      </c>
      <c r="FOZ83">
        <f t="shared" si="171"/>
        <v>75</v>
      </c>
      <c r="FPA83">
        <f t="shared" si="171"/>
        <v>75</v>
      </c>
      <c r="FPB83">
        <f t="shared" si="171"/>
        <v>75</v>
      </c>
      <c r="FPC83">
        <f t="shared" si="171"/>
        <v>75</v>
      </c>
      <c r="FPD83">
        <f t="shared" si="171"/>
        <v>75</v>
      </c>
      <c r="FPE83">
        <f t="shared" si="171"/>
        <v>75</v>
      </c>
      <c r="FPF83">
        <f t="shared" si="171"/>
        <v>75</v>
      </c>
      <c r="FPG83">
        <f t="shared" si="171"/>
        <v>75</v>
      </c>
      <c r="FPH83">
        <f t="shared" si="171"/>
        <v>75</v>
      </c>
      <c r="FPI83">
        <f t="shared" si="171"/>
        <v>75</v>
      </c>
      <c r="FPJ83">
        <f t="shared" si="171"/>
        <v>75</v>
      </c>
      <c r="FPK83">
        <f t="shared" ref="FPK83:FRV83" si="172">COUNTBLANK(FPK6:FPK81)</f>
        <v>75</v>
      </c>
      <c r="FPL83">
        <f t="shared" si="172"/>
        <v>75</v>
      </c>
      <c r="FPM83">
        <f t="shared" si="172"/>
        <v>75</v>
      </c>
      <c r="FPN83">
        <f t="shared" si="172"/>
        <v>75</v>
      </c>
      <c r="FPO83">
        <f t="shared" si="172"/>
        <v>75</v>
      </c>
      <c r="FPP83">
        <f t="shared" si="172"/>
        <v>75</v>
      </c>
      <c r="FPQ83">
        <f t="shared" si="172"/>
        <v>75</v>
      </c>
      <c r="FPR83">
        <f t="shared" si="172"/>
        <v>75</v>
      </c>
      <c r="FPS83">
        <f t="shared" si="172"/>
        <v>75</v>
      </c>
      <c r="FPT83">
        <f t="shared" si="172"/>
        <v>75</v>
      </c>
      <c r="FPU83">
        <f t="shared" si="172"/>
        <v>75</v>
      </c>
      <c r="FPV83">
        <f t="shared" si="172"/>
        <v>75</v>
      </c>
      <c r="FPW83">
        <f t="shared" si="172"/>
        <v>75</v>
      </c>
      <c r="FPX83">
        <f t="shared" si="172"/>
        <v>75</v>
      </c>
      <c r="FPY83">
        <f t="shared" si="172"/>
        <v>75</v>
      </c>
      <c r="FPZ83">
        <f t="shared" si="172"/>
        <v>75</v>
      </c>
      <c r="FQA83">
        <f t="shared" si="172"/>
        <v>75</v>
      </c>
      <c r="FQB83">
        <f t="shared" si="172"/>
        <v>75</v>
      </c>
      <c r="FQC83">
        <f t="shared" si="172"/>
        <v>75</v>
      </c>
      <c r="FQD83">
        <f t="shared" si="172"/>
        <v>75</v>
      </c>
      <c r="FQE83">
        <f t="shared" si="172"/>
        <v>75</v>
      </c>
      <c r="FQF83">
        <f t="shared" si="172"/>
        <v>75</v>
      </c>
      <c r="FQG83">
        <f t="shared" si="172"/>
        <v>75</v>
      </c>
      <c r="FQH83">
        <f t="shared" si="172"/>
        <v>75</v>
      </c>
      <c r="FQI83">
        <f t="shared" si="172"/>
        <v>75</v>
      </c>
      <c r="FQJ83">
        <f t="shared" si="172"/>
        <v>75</v>
      </c>
      <c r="FQK83">
        <f t="shared" si="172"/>
        <v>75</v>
      </c>
      <c r="FQL83">
        <f t="shared" si="172"/>
        <v>75</v>
      </c>
      <c r="FQM83">
        <f t="shared" si="172"/>
        <v>75</v>
      </c>
      <c r="FQN83">
        <f t="shared" si="172"/>
        <v>75</v>
      </c>
      <c r="FQO83">
        <f t="shared" si="172"/>
        <v>75</v>
      </c>
      <c r="FQP83">
        <f t="shared" si="172"/>
        <v>75</v>
      </c>
      <c r="FQQ83">
        <f t="shared" si="172"/>
        <v>75</v>
      </c>
      <c r="FQR83">
        <f t="shared" si="172"/>
        <v>75</v>
      </c>
      <c r="FQS83">
        <f t="shared" si="172"/>
        <v>75</v>
      </c>
      <c r="FQT83">
        <f t="shared" si="172"/>
        <v>75</v>
      </c>
      <c r="FQU83">
        <f t="shared" si="172"/>
        <v>75</v>
      </c>
      <c r="FQV83">
        <f t="shared" si="172"/>
        <v>75</v>
      </c>
      <c r="FQW83">
        <f t="shared" si="172"/>
        <v>75</v>
      </c>
      <c r="FQX83">
        <f t="shared" si="172"/>
        <v>75</v>
      </c>
      <c r="FQY83">
        <f t="shared" si="172"/>
        <v>75</v>
      </c>
      <c r="FQZ83">
        <f t="shared" si="172"/>
        <v>75</v>
      </c>
      <c r="FRA83">
        <f t="shared" si="172"/>
        <v>75</v>
      </c>
      <c r="FRB83">
        <f t="shared" si="172"/>
        <v>75</v>
      </c>
      <c r="FRC83">
        <f t="shared" si="172"/>
        <v>75</v>
      </c>
      <c r="FRD83">
        <f t="shared" si="172"/>
        <v>75</v>
      </c>
      <c r="FRE83">
        <f t="shared" si="172"/>
        <v>75</v>
      </c>
      <c r="FRF83">
        <f t="shared" si="172"/>
        <v>75</v>
      </c>
      <c r="FRG83">
        <f t="shared" si="172"/>
        <v>75</v>
      </c>
      <c r="FRH83">
        <f t="shared" si="172"/>
        <v>75</v>
      </c>
      <c r="FRI83">
        <f t="shared" si="172"/>
        <v>75</v>
      </c>
      <c r="FRJ83">
        <f t="shared" si="172"/>
        <v>75</v>
      </c>
      <c r="FRK83">
        <f t="shared" si="172"/>
        <v>75</v>
      </c>
      <c r="FRL83">
        <f t="shared" si="172"/>
        <v>75</v>
      </c>
      <c r="FRM83">
        <f t="shared" si="172"/>
        <v>75</v>
      </c>
      <c r="FRN83">
        <f t="shared" si="172"/>
        <v>75</v>
      </c>
      <c r="FRO83">
        <f t="shared" si="172"/>
        <v>75</v>
      </c>
      <c r="FRP83">
        <f t="shared" si="172"/>
        <v>75</v>
      </c>
      <c r="FRQ83">
        <f t="shared" si="172"/>
        <v>75</v>
      </c>
      <c r="FRR83">
        <f t="shared" si="172"/>
        <v>75</v>
      </c>
      <c r="FRS83">
        <f t="shared" si="172"/>
        <v>75</v>
      </c>
      <c r="FRT83">
        <f t="shared" si="172"/>
        <v>75</v>
      </c>
      <c r="FRU83">
        <f t="shared" si="172"/>
        <v>75</v>
      </c>
      <c r="FRV83">
        <f t="shared" si="172"/>
        <v>75</v>
      </c>
      <c r="FRW83">
        <f t="shared" ref="FRW83:FUH83" si="173">COUNTBLANK(FRW6:FRW81)</f>
        <v>75</v>
      </c>
      <c r="FRX83">
        <f t="shared" si="173"/>
        <v>75</v>
      </c>
      <c r="FRY83">
        <f t="shared" si="173"/>
        <v>75</v>
      </c>
      <c r="FRZ83">
        <f t="shared" si="173"/>
        <v>75</v>
      </c>
      <c r="FSA83">
        <f t="shared" si="173"/>
        <v>75</v>
      </c>
      <c r="FSB83">
        <f t="shared" si="173"/>
        <v>75</v>
      </c>
      <c r="FSC83">
        <f t="shared" si="173"/>
        <v>75</v>
      </c>
      <c r="FSD83">
        <f t="shared" si="173"/>
        <v>75</v>
      </c>
      <c r="FSE83">
        <f t="shared" si="173"/>
        <v>75</v>
      </c>
      <c r="FSF83">
        <f t="shared" si="173"/>
        <v>75</v>
      </c>
      <c r="FSG83">
        <f t="shared" si="173"/>
        <v>75</v>
      </c>
      <c r="FSH83">
        <f t="shared" si="173"/>
        <v>75</v>
      </c>
      <c r="FSI83">
        <f t="shared" si="173"/>
        <v>75</v>
      </c>
      <c r="FSJ83">
        <f t="shared" si="173"/>
        <v>75</v>
      </c>
      <c r="FSK83">
        <f t="shared" si="173"/>
        <v>75</v>
      </c>
      <c r="FSL83">
        <f t="shared" si="173"/>
        <v>75</v>
      </c>
      <c r="FSM83">
        <f t="shared" si="173"/>
        <v>75</v>
      </c>
      <c r="FSN83">
        <f t="shared" si="173"/>
        <v>75</v>
      </c>
      <c r="FSO83">
        <f t="shared" si="173"/>
        <v>75</v>
      </c>
      <c r="FSP83">
        <f t="shared" si="173"/>
        <v>75</v>
      </c>
      <c r="FSQ83">
        <f t="shared" si="173"/>
        <v>75</v>
      </c>
      <c r="FSR83">
        <f t="shared" si="173"/>
        <v>75</v>
      </c>
      <c r="FSS83">
        <f t="shared" si="173"/>
        <v>75</v>
      </c>
      <c r="FST83">
        <f t="shared" si="173"/>
        <v>75</v>
      </c>
      <c r="FSU83">
        <f t="shared" si="173"/>
        <v>75</v>
      </c>
      <c r="FSV83">
        <f t="shared" si="173"/>
        <v>75</v>
      </c>
      <c r="FSW83">
        <f t="shared" si="173"/>
        <v>75</v>
      </c>
      <c r="FSX83">
        <f t="shared" si="173"/>
        <v>75</v>
      </c>
      <c r="FSY83">
        <f t="shared" si="173"/>
        <v>75</v>
      </c>
      <c r="FSZ83">
        <f t="shared" si="173"/>
        <v>75</v>
      </c>
      <c r="FTA83">
        <f t="shared" si="173"/>
        <v>75</v>
      </c>
      <c r="FTB83">
        <f t="shared" si="173"/>
        <v>75</v>
      </c>
      <c r="FTC83">
        <f t="shared" si="173"/>
        <v>75</v>
      </c>
      <c r="FTD83">
        <f t="shared" si="173"/>
        <v>75</v>
      </c>
      <c r="FTE83">
        <f t="shared" si="173"/>
        <v>75</v>
      </c>
      <c r="FTF83">
        <f t="shared" si="173"/>
        <v>75</v>
      </c>
      <c r="FTG83">
        <f t="shared" si="173"/>
        <v>75</v>
      </c>
      <c r="FTH83">
        <f t="shared" si="173"/>
        <v>75</v>
      </c>
      <c r="FTI83">
        <f t="shared" si="173"/>
        <v>75</v>
      </c>
      <c r="FTJ83">
        <f t="shared" si="173"/>
        <v>75</v>
      </c>
      <c r="FTK83">
        <f t="shared" si="173"/>
        <v>75</v>
      </c>
      <c r="FTL83">
        <f t="shared" si="173"/>
        <v>75</v>
      </c>
      <c r="FTM83">
        <f t="shared" si="173"/>
        <v>75</v>
      </c>
      <c r="FTN83">
        <f t="shared" si="173"/>
        <v>75</v>
      </c>
      <c r="FTO83">
        <f t="shared" si="173"/>
        <v>75</v>
      </c>
      <c r="FTP83">
        <f t="shared" si="173"/>
        <v>75</v>
      </c>
      <c r="FTQ83">
        <f t="shared" si="173"/>
        <v>75</v>
      </c>
      <c r="FTR83">
        <f t="shared" si="173"/>
        <v>75</v>
      </c>
      <c r="FTS83">
        <f t="shared" si="173"/>
        <v>75</v>
      </c>
      <c r="FTT83">
        <f t="shared" si="173"/>
        <v>75</v>
      </c>
      <c r="FTU83">
        <f t="shared" si="173"/>
        <v>75</v>
      </c>
      <c r="FTV83">
        <f t="shared" si="173"/>
        <v>75</v>
      </c>
      <c r="FTW83">
        <f t="shared" si="173"/>
        <v>75</v>
      </c>
      <c r="FTX83">
        <f t="shared" si="173"/>
        <v>75</v>
      </c>
      <c r="FTY83">
        <f t="shared" si="173"/>
        <v>74</v>
      </c>
      <c r="FTZ83">
        <f t="shared" si="173"/>
        <v>74</v>
      </c>
      <c r="FUA83">
        <f t="shared" si="173"/>
        <v>74</v>
      </c>
      <c r="FUB83">
        <f t="shared" si="173"/>
        <v>74</v>
      </c>
      <c r="FUC83">
        <f t="shared" si="173"/>
        <v>74</v>
      </c>
      <c r="FUD83">
        <f t="shared" si="173"/>
        <v>74</v>
      </c>
      <c r="FUE83">
        <f t="shared" si="173"/>
        <v>74</v>
      </c>
      <c r="FUF83">
        <f t="shared" si="173"/>
        <v>74</v>
      </c>
      <c r="FUG83">
        <f t="shared" si="173"/>
        <v>74</v>
      </c>
      <c r="FUH83">
        <f t="shared" si="173"/>
        <v>74</v>
      </c>
      <c r="FUI83">
        <f t="shared" ref="FUI83:FWT83" si="174">COUNTBLANK(FUI6:FUI81)</f>
        <v>74</v>
      </c>
      <c r="FUJ83">
        <f t="shared" si="174"/>
        <v>74</v>
      </c>
      <c r="FUK83">
        <f t="shared" si="174"/>
        <v>74</v>
      </c>
      <c r="FUL83">
        <f t="shared" si="174"/>
        <v>74</v>
      </c>
      <c r="FUM83">
        <f t="shared" si="174"/>
        <v>74</v>
      </c>
      <c r="FUN83">
        <f t="shared" si="174"/>
        <v>74</v>
      </c>
      <c r="FUO83">
        <f t="shared" si="174"/>
        <v>74</v>
      </c>
      <c r="FUP83">
        <f t="shared" si="174"/>
        <v>74</v>
      </c>
      <c r="FUQ83">
        <f t="shared" si="174"/>
        <v>74</v>
      </c>
      <c r="FUR83">
        <f t="shared" si="174"/>
        <v>74</v>
      </c>
      <c r="FUS83">
        <f t="shared" si="174"/>
        <v>74</v>
      </c>
      <c r="FUT83">
        <f t="shared" si="174"/>
        <v>75</v>
      </c>
      <c r="FUU83">
        <f t="shared" si="174"/>
        <v>75</v>
      </c>
      <c r="FUV83">
        <f t="shared" si="174"/>
        <v>75</v>
      </c>
      <c r="FUW83">
        <f t="shared" si="174"/>
        <v>75</v>
      </c>
      <c r="FUX83">
        <f t="shared" si="174"/>
        <v>75</v>
      </c>
      <c r="FUY83">
        <f t="shared" si="174"/>
        <v>75</v>
      </c>
      <c r="FUZ83">
        <f t="shared" si="174"/>
        <v>75</v>
      </c>
      <c r="FVA83">
        <f t="shared" si="174"/>
        <v>75</v>
      </c>
      <c r="FVB83">
        <f t="shared" si="174"/>
        <v>75</v>
      </c>
      <c r="FVC83">
        <f t="shared" si="174"/>
        <v>75</v>
      </c>
      <c r="FVD83">
        <f t="shared" si="174"/>
        <v>75</v>
      </c>
      <c r="FVE83">
        <f t="shared" si="174"/>
        <v>75</v>
      </c>
      <c r="FVF83">
        <f t="shared" si="174"/>
        <v>75</v>
      </c>
      <c r="FVG83">
        <f t="shared" si="174"/>
        <v>75</v>
      </c>
      <c r="FVH83">
        <f t="shared" si="174"/>
        <v>75</v>
      </c>
      <c r="FVI83">
        <f t="shared" si="174"/>
        <v>75</v>
      </c>
      <c r="FVJ83">
        <f t="shared" si="174"/>
        <v>75</v>
      </c>
      <c r="FVK83">
        <f t="shared" si="174"/>
        <v>75</v>
      </c>
      <c r="FVL83">
        <f t="shared" si="174"/>
        <v>75</v>
      </c>
      <c r="FVM83">
        <f t="shared" si="174"/>
        <v>75</v>
      </c>
      <c r="FVN83">
        <f t="shared" si="174"/>
        <v>75</v>
      </c>
      <c r="FVO83">
        <f t="shared" si="174"/>
        <v>75</v>
      </c>
      <c r="FVP83">
        <f t="shared" si="174"/>
        <v>75</v>
      </c>
      <c r="FVQ83">
        <f t="shared" si="174"/>
        <v>75</v>
      </c>
      <c r="FVR83">
        <f t="shared" si="174"/>
        <v>75</v>
      </c>
      <c r="FVS83">
        <f t="shared" si="174"/>
        <v>75</v>
      </c>
      <c r="FVT83">
        <f t="shared" si="174"/>
        <v>75</v>
      </c>
      <c r="FVU83">
        <f t="shared" si="174"/>
        <v>75</v>
      </c>
      <c r="FVV83">
        <f t="shared" si="174"/>
        <v>75</v>
      </c>
      <c r="FVW83">
        <f t="shared" si="174"/>
        <v>75</v>
      </c>
      <c r="FVX83">
        <f t="shared" si="174"/>
        <v>75</v>
      </c>
      <c r="FVY83">
        <f t="shared" si="174"/>
        <v>75</v>
      </c>
      <c r="FVZ83">
        <f t="shared" si="174"/>
        <v>75</v>
      </c>
      <c r="FWA83">
        <f t="shared" si="174"/>
        <v>75</v>
      </c>
      <c r="FWB83">
        <f t="shared" si="174"/>
        <v>75</v>
      </c>
      <c r="FWC83">
        <f t="shared" si="174"/>
        <v>75</v>
      </c>
      <c r="FWD83">
        <f t="shared" si="174"/>
        <v>75</v>
      </c>
      <c r="FWE83">
        <f t="shared" si="174"/>
        <v>75</v>
      </c>
      <c r="FWF83">
        <f t="shared" si="174"/>
        <v>75</v>
      </c>
      <c r="FWG83">
        <f t="shared" si="174"/>
        <v>75</v>
      </c>
      <c r="FWH83">
        <f t="shared" si="174"/>
        <v>75</v>
      </c>
      <c r="FWI83">
        <f t="shared" si="174"/>
        <v>75</v>
      </c>
      <c r="FWJ83">
        <f t="shared" si="174"/>
        <v>75</v>
      </c>
      <c r="FWK83">
        <f t="shared" si="174"/>
        <v>75</v>
      </c>
      <c r="FWL83">
        <f t="shared" si="174"/>
        <v>75</v>
      </c>
      <c r="FWM83">
        <f t="shared" si="174"/>
        <v>75</v>
      </c>
      <c r="FWN83">
        <f t="shared" si="174"/>
        <v>75</v>
      </c>
      <c r="FWO83">
        <f t="shared" si="174"/>
        <v>75</v>
      </c>
      <c r="FWP83">
        <f t="shared" si="174"/>
        <v>75</v>
      </c>
      <c r="FWQ83">
        <f t="shared" si="174"/>
        <v>75</v>
      </c>
      <c r="FWR83">
        <f t="shared" si="174"/>
        <v>75</v>
      </c>
      <c r="FWS83">
        <f t="shared" si="174"/>
        <v>75</v>
      </c>
      <c r="FWT83">
        <f t="shared" si="174"/>
        <v>75</v>
      </c>
      <c r="FWU83">
        <f t="shared" ref="FWU83:FZF83" si="175">COUNTBLANK(FWU6:FWU81)</f>
        <v>75</v>
      </c>
      <c r="FWV83">
        <f t="shared" si="175"/>
        <v>75</v>
      </c>
      <c r="FWW83">
        <f t="shared" si="175"/>
        <v>75</v>
      </c>
      <c r="FWX83">
        <f t="shared" si="175"/>
        <v>75</v>
      </c>
      <c r="FWY83">
        <f t="shared" si="175"/>
        <v>75</v>
      </c>
      <c r="FWZ83">
        <f t="shared" si="175"/>
        <v>75</v>
      </c>
      <c r="FXA83">
        <f t="shared" si="175"/>
        <v>75</v>
      </c>
      <c r="FXB83">
        <f t="shared" si="175"/>
        <v>75</v>
      </c>
      <c r="FXC83">
        <f t="shared" si="175"/>
        <v>75</v>
      </c>
      <c r="FXD83">
        <f t="shared" si="175"/>
        <v>75</v>
      </c>
      <c r="FXE83">
        <f t="shared" si="175"/>
        <v>75</v>
      </c>
      <c r="FXF83">
        <f t="shared" si="175"/>
        <v>75</v>
      </c>
      <c r="FXG83">
        <f t="shared" si="175"/>
        <v>75</v>
      </c>
      <c r="FXH83">
        <f t="shared" si="175"/>
        <v>75</v>
      </c>
      <c r="FXI83">
        <f t="shared" si="175"/>
        <v>75</v>
      </c>
      <c r="FXJ83">
        <f t="shared" si="175"/>
        <v>75</v>
      </c>
      <c r="FXK83">
        <f t="shared" si="175"/>
        <v>75</v>
      </c>
      <c r="FXL83">
        <f t="shared" si="175"/>
        <v>75</v>
      </c>
      <c r="FXM83">
        <f t="shared" si="175"/>
        <v>75</v>
      </c>
      <c r="FXN83">
        <f t="shared" si="175"/>
        <v>75</v>
      </c>
      <c r="FXO83">
        <f t="shared" si="175"/>
        <v>75</v>
      </c>
      <c r="FXP83">
        <f t="shared" si="175"/>
        <v>75</v>
      </c>
      <c r="FXQ83">
        <f t="shared" si="175"/>
        <v>75</v>
      </c>
      <c r="FXR83">
        <f t="shared" si="175"/>
        <v>75</v>
      </c>
      <c r="FXS83">
        <f t="shared" si="175"/>
        <v>75</v>
      </c>
      <c r="FXT83">
        <f t="shared" si="175"/>
        <v>75</v>
      </c>
      <c r="FXU83">
        <f t="shared" si="175"/>
        <v>75</v>
      </c>
      <c r="FXV83">
        <f t="shared" si="175"/>
        <v>75</v>
      </c>
      <c r="FXW83">
        <f t="shared" si="175"/>
        <v>75</v>
      </c>
      <c r="FXX83">
        <f t="shared" si="175"/>
        <v>75</v>
      </c>
      <c r="FXY83">
        <f t="shared" si="175"/>
        <v>75</v>
      </c>
      <c r="FXZ83">
        <f t="shared" si="175"/>
        <v>75</v>
      </c>
      <c r="FYA83">
        <f t="shared" si="175"/>
        <v>75</v>
      </c>
      <c r="FYB83">
        <f t="shared" si="175"/>
        <v>75</v>
      </c>
      <c r="FYC83">
        <f t="shared" si="175"/>
        <v>75</v>
      </c>
      <c r="FYD83">
        <f t="shared" si="175"/>
        <v>75</v>
      </c>
      <c r="FYE83">
        <f t="shared" si="175"/>
        <v>75</v>
      </c>
      <c r="FYF83">
        <f t="shared" si="175"/>
        <v>75</v>
      </c>
      <c r="FYG83">
        <f t="shared" si="175"/>
        <v>75</v>
      </c>
      <c r="FYH83">
        <f t="shared" si="175"/>
        <v>75</v>
      </c>
      <c r="FYI83">
        <f t="shared" si="175"/>
        <v>75</v>
      </c>
      <c r="FYJ83">
        <f t="shared" si="175"/>
        <v>75</v>
      </c>
      <c r="FYK83">
        <f t="shared" si="175"/>
        <v>75</v>
      </c>
      <c r="FYL83">
        <f t="shared" si="175"/>
        <v>75</v>
      </c>
      <c r="FYM83">
        <f t="shared" si="175"/>
        <v>75</v>
      </c>
      <c r="FYN83">
        <f t="shared" si="175"/>
        <v>75</v>
      </c>
      <c r="FYO83">
        <f t="shared" si="175"/>
        <v>75</v>
      </c>
      <c r="FYP83">
        <f t="shared" si="175"/>
        <v>75</v>
      </c>
      <c r="FYQ83">
        <f t="shared" si="175"/>
        <v>75</v>
      </c>
      <c r="FYR83">
        <f t="shared" si="175"/>
        <v>75</v>
      </c>
      <c r="FYS83">
        <f t="shared" si="175"/>
        <v>75</v>
      </c>
      <c r="FYT83">
        <f t="shared" si="175"/>
        <v>75</v>
      </c>
      <c r="FYU83">
        <f t="shared" si="175"/>
        <v>75</v>
      </c>
      <c r="FYV83">
        <f t="shared" si="175"/>
        <v>75</v>
      </c>
      <c r="FYW83">
        <f t="shared" si="175"/>
        <v>75</v>
      </c>
      <c r="FYX83">
        <f t="shared" si="175"/>
        <v>75</v>
      </c>
      <c r="FYY83">
        <f t="shared" si="175"/>
        <v>75</v>
      </c>
      <c r="FYZ83">
        <f t="shared" si="175"/>
        <v>75</v>
      </c>
      <c r="FZA83">
        <f t="shared" si="175"/>
        <v>75</v>
      </c>
      <c r="FZB83">
        <f t="shared" si="175"/>
        <v>75</v>
      </c>
      <c r="FZC83">
        <f t="shared" si="175"/>
        <v>75</v>
      </c>
      <c r="FZD83">
        <f t="shared" si="175"/>
        <v>75</v>
      </c>
      <c r="FZE83">
        <f t="shared" si="175"/>
        <v>75</v>
      </c>
      <c r="FZF83">
        <f t="shared" si="175"/>
        <v>75</v>
      </c>
      <c r="FZG83">
        <f t="shared" ref="FZG83:GBR83" si="176">COUNTBLANK(FZG6:FZG81)</f>
        <v>75</v>
      </c>
      <c r="FZH83">
        <f t="shared" si="176"/>
        <v>75</v>
      </c>
      <c r="FZI83">
        <f t="shared" si="176"/>
        <v>75</v>
      </c>
      <c r="FZJ83">
        <f t="shared" si="176"/>
        <v>75</v>
      </c>
      <c r="FZK83">
        <f t="shared" si="176"/>
        <v>75</v>
      </c>
      <c r="FZL83">
        <f t="shared" si="176"/>
        <v>75</v>
      </c>
      <c r="FZM83">
        <f t="shared" si="176"/>
        <v>75</v>
      </c>
      <c r="FZN83">
        <f t="shared" si="176"/>
        <v>75</v>
      </c>
      <c r="FZO83">
        <f t="shared" si="176"/>
        <v>75</v>
      </c>
      <c r="FZP83">
        <f t="shared" si="176"/>
        <v>75</v>
      </c>
      <c r="FZQ83">
        <f t="shared" si="176"/>
        <v>75</v>
      </c>
      <c r="FZR83">
        <f t="shared" si="176"/>
        <v>75</v>
      </c>
      <c r="FZS83">
        <f t="shared" si="176"/>
        <v>75</v>
      </c>
      <c r="FZT83">
        <f t="shared" si="176"/>
        <v>75</v>
      </c>
      <c r="FZU83">
        <f t="shared" si="176"/>
        <v>75</v>
      </c>
      <c r="FZV83">
        <f t="shared" si="176"/>
        <v>75</v>
      </c>
      <c r="FZW83">
        <f t="shared" si="176"/>
        <v>75</v>
      </c>
      <c r="FZX83">
        <f t="shared" si="176"/>
        <v>75</v>
      </c>
      <c r="FZY83">
        <f t="shared" si="176"/>
        <v>75</v>
      </c>
      <c r="FZZ83">
        <f t="shared" si="176"/>
        <v>75</v>
      </c>
      <c r="GAA83">
        <f t="shared" si="176"/>
        <v>75</v>
      </c>
      <c r="GAB83">
        <f t="shared" si="176"/>
        <v>75</v>
      </c>
      <c r="GAC83">
        <f t="shared" si="176"/>
        <v>75</v>
      </c>
      <c r="GAD83">
        <f t="shared" si="176"/>
        <v>75</v>
      </c>
      <c r="GAE83">
        <f t="shared" si="176"/>
        <v>75</v>
      </c>
      <c r="GAF83">
        <f t="shared" si="176"/>
        <v>75</v>
      </c>
      <c r="GAG83">
        <f t="shared" si="176"/>
        <v>75</v>
      </c>
      <c r="GAH83">
        <f t="shared" si="176"/>
        <v>75</v>
      </c>
      <c r="GAI83">
        <f t="shared" si="176"/>
        <v>75</v>
      </c>
      <c r="GAJ83">
        <f t="shared" si="176"/>
        <v>75</v>
      </c>
      <c r="GAK83">
        <f t="shared" si="176"/>
        <v>75</v>
      </c>
      <c r="GAL83">
        <f t="shared" si="176"/>
        <v>75</v>
      </c>
      <c r="GAM83">
        <f t="shared" si="176"/>
        <v>75</v>
      </c>
      <c r="GAN83">
        <f t="shared" si="176"/>
        <v>75</v>
      </c>
      <c r="GAO83">
        <f t="shared" si="176"/>
        <v>75</v>
      </c>
      <c r="GAP83">
        <f t="shared" si="176"/>
        <v>75</v>
      </c>
      <c r="GAQ83">
        <f t="shared" si="176"/>
        <v>75</v>
      </c>
      <c r="GAR83">
        <f t="shared" si="176"/>
        <v>75</v>
      </c>
      <c r="GAS83">
        <f t="shared" si="176"/>
        <v>75</v>
      </c>
      <c r="GAT83">
        <f t="shared" si="176"/>
        <v>75</v>
      </c>
      <c r="GAU83">
        <f t="shared" si="176"/>
        <v>75</v>
      </c>
      <c r="GAV83">
        <f t="shared" si="176"/>
        <v>75</v>
      </c>
      <c r="GAW83">
        <f t="shared" si="176"/>
        <v>75</v>
      </c>
      <c r="GAX83">
        <f t="shared" si="176"/>
        <v>75</v>
      </c>
      <c r="GAY83">
        <f t="shared" si="176"/>
        <v>75</v>
      </c>
      <c r="GAZ83">
        <f t="shared" si="176"/>
        <v>75</v>
      </c>
      <c r="GBA83">
        <f t="shared" si="176"/>
        <v>75</v>
      </c>
      <c r="GBB83">
        <f t="shared" si="176"/>
        <v>75</v>
      </c>
      <c r="GBC83">
        <f t="shared" si="176"/>
        <v>75</v>
      </c>
      <c r="GBD83">
        <f t="shared" si="176"/>
        <v>75</v>
      </c>
      <c r="GBE83">
        <f t="shared" si="176"/>
        <v>75</v>
      </c>
      <c r="GBF83">
        <f t="shared" si="176"/>
        <v>75</v>
      </c>
      <c r="GBG83">
        <f t="shared" si="176"/>
        <v>75</v>
      </c>
      <c r="GBH83">
        <f t="shared" si="176"/>
        <v>75</v>
      </c>
      <c r="GBI83">
        <f t="shared" si="176"/>
        <v>75</v>
      </c>
      <c r="GBJ83">
        <f t="shared" si="176"/>
        <v>75</v>
      </c>
      <c r="GBK83">
        <f t="shared" si="176"/>
        <v>75</v>
      </c>
      <c r="GBL83">
        <f t="shared" si="176"/>
        <v>75</v>
      </c>
      <c r="GBM83">
        <f t="shared" si="176"/>
        <v>75</v>
      </c>
      <c r="GBN83">
        <f t="shared" si="176"/>
        <v>75</v>
      </c>
      <c r="GBO83">
        <f t="shared" si="176"/>
        <v>75</v>
      </c>
      <c r="GBP83">
        <f t="shared" si="176"/>
        <v>75</v>
      </c>
      <c r="GBQ83">
        <f t="shared" si="176"/>
        <v>75</v>
      </c>
      <c r="GBR83">
        <f t="shared" si="176"/>
        <v>75</v>
      </c>
      <c r="GBS83">
        <f t="shared" ref="GBS83:GED83" si="177">COUNTBLANK(GBS6:GBS81)</f>
        <v>75</v>
      </c>
      <c r="GBT83">
        <f t="shared" si="177"/>
        <v>75</v>
      </c>
      <c r="GBU83">
        <f t="shared" si="177"/>
        <v>75</v>
      </c>
      <c r="GBV83">
        <f t="shared" si="177"/>
        <v>75</v>
      </c>
      <c r="GBW83">
        <f t="shared" si="177"/>
        <v>75</v>
      </c>
      <c r="GBX83">
        <f t="shared" si="177"/>
        <v>75</v>
      </c>
      <c r="GBY83">
        <f t="shared" si="177"/>
        <v>75</v>
      </c>
      <c r="GBZ83">
        <f t="shared" si="177"/>
        <v>75</v>
      </c>
      <c r="GCA83">
        <f t="shared" si="177"/>
        <v>75</v>
      </c>
      <c r="GCB83">
        <f t="shared" si="177"/>
        <v>75</v>
      </c>
      <c r="GCC83">
        <f t="shared" si="177"/>
        <v>75</v>
      </c>
      <c r="GCD83">
        <f t="shared" si="177"/>
        <v>75</v>
      </c>
      <c r="GCE83">
        <f t="shared" si="177"/>
        <v>75</v>
      </c>
      <c r="GCF83">
        <f t="shared" si="177"/>
        <v>75</v>
      </c>
      <c r="GCG83">
        <f t="shared" si="177"/>
        <v>75</v>
      </c>
      <c r="GCH83">
        <f t="shared" si="177"/>
        <v>75</v>
      </c>
      <c r="GCI83">
        <f t="shared" si="177"/>
        <v>75</v>
      </c>
      <c r="GCJ83">
        <f t="shared" si="177"/>
        <v>75</v>
      </c>
      <c r="GCK83">
        <f t="shared" si="177"/>
        <v>75</v>
      </c>
      <c r="GCL83">
        <f t="shared" si="177"/>
        <v>75</v>
      </c>
      <c r="GCM83">
        <f t="shared" si="177"/>
        <v>75</v>
      </c>
      <c r="GCN83">
        <f t="shared" si="177"/>
        <v>75</v>
      </c>
      <c r="GCO83">
        <f t="shared" si="177"/>
        <v>75</v>
      </c>
      <c r="GCP83">
        <f t="shared" si="177"/>
        <v>75</v>
      </c>
      <c r="GCQ83">
        <f t="shared" si="177"/>
        <v>75</v>
      </c>
      <c r="GCR83">
        <f t="shared" si="177"/>
        <v>75</v>
      </c>
      <c r="GCS83">
        <f t="shared" si="177"/>
        <v>75</v>
      </c>
      <c r="GCT83">
        <f t="shared" si="177"/>
        <v>75</v>
      </c>
      <c r="GCU83">
        <f t="shared" si="177"/>
        <v>75</v>
      </c>
      <c r="GCV83">
        <f t="shared" si="177"/>
        <v>75</v>
      </c>
      <c r="GCW83">
        <f t="shared" si="177"/>
        <v>75</v>
      </c>
      <c r="GCX83">
        <f t="shared" si="177"/>
        <v>75</v>
      </c>
      <c r="GCY83">
        <f t="shared" si="177"/>
        <v>75</v>
      </c>
      <c r="GCZ83">
        <f t="shared" si="177"/>
        <v>75</v>
      </c>
      <c r="GDA83">
        <f t="shared" si="177"/>
        <v>75</v>
      </c>
      <c r="GDB83">
        <f t="shared" si="177"/>
        <v>75</v>
      </c>
      <c r="GDC83">
        <f t="shared" si="177"/>
        <v>75</v>
      </c>
      <c r="GDD83">
        <f t="shared" si="177"/>
        <v>75</v>
      </c>
      <c r="GDE83">
        <f t="shared" si="177"/>
        <v>75</v>
      </c>
      <c r="GDF83">
        <f t="shared" si="177"/>
        <v>75</v>
      </c>
      <c r="GDG83">
        <f t="shared" si="177"/>
        <v>75</v>
      </c>
      <c r="GDH83">
        <f t="shared" si="177"/>
        <v>75</v>
      </c>
      <c r="GDI83">
        <f t="shared" si="177"/>
        <v>75</v>
      </c>
      <c r="GDJ83">
        <f t="shared" si="177"/>
        <v>75</v>
      </c>
      <c r="GDK83">
        <f t="shared" si="177"/>
        <v>75</v>
      </c>
      <c r="GDL83">
        <f t="shared" si="177"/>
        <v>75</v>
      </c>
      <c r="GDM83">
        <f t="shared" si="177"/>
        <v>75</v>
      </c>
      <c r="GDN83">
        <f t="shared" si="177"/>
        <v>75</v>
      </c>
      <c r="GDO83">
        <f t="shared" si="177"/>
        <v>75</v>
      </c>
      <c r="GDP83">
        <f t="shared" si="177"/>
        <v>75</v>
      </c>
      <c r="GDQ83">
        <f t="shared" si="177"/>
        <v>75</v>
      </c>
      <c r="GDR83">
        <f t="shared" si="177"/>
        <v>75</v>
      </c>
      <c r="GDS83">
        <f t="shared" si="177"/>
        <v>75</v>
      </c>
      <c r="GDT83">
        <f t="shared" si="177"/>
        <v>75</v>
      </c>
      <c r="GDU83">
        <f t="shared" si="177"/>
        <v>75</v>
      </c>
      <c r="GDV83">
        <f t="shared" si="177"/>
        <v>75</v>
      </c>
      <c r="GDW83">
        <f t="shared" si="177"/>
        <v>75</v>
      </c>
      <c r="GDX83">
        <f t="shared" si="177"/>
        <v>75</v>
      </c>
      <c r="GDY83">
        <f t="shared" si="177"/>
        <v>75</v>
      </c>
      <c r="GDZ83">
        <f t="shared" si="177"/>
        <v>75</v>
      </c>
      <c r="GEA83">
        <f t="shared" si="177"/>
        <v>75</v>
      </c>
      <c r="GEB83">
        <f t="shared" si="177"/>
        <v>75</v>
      </c>
      <c r="GEC83">
        <f t="shared" si="177"/>
        <v>75</v>
      </c>
      <c r="GED83">
        <f t="shared" si="177"/>
        <v>75</v>
      </c>
      <c r="GEE83">
        <f t="shared" ref="GEE83:GGP83" si="178">COUNTBLANK(GEE6:GEE81)</f>
        <v>74</v>
      </c>
      <c r="GEF83">
        <f t="shared" si="178"/>
        <v>74</v>
      </c>
      <c r="GEG83">
        <f t="shared" si="178"/>
        <v>74</v>
      </c>
      <c r="GEH83">
        <f t="shared" si="178"/>
        <v>74</v>
      </c>
      <c r="GEI83">
        <f t="shared" si="178"/>
        <v>74</v>
      </c>
      <c r="GEJ83">
        <f t="shared" si="178"/>
        <v>74</v>
      </c>
      <c r="GEK83">
        <f t="shared" si="178"/>
        <v>74</v>
      </c>
      <c r="GEL83">
        <f t="shared" si="178"/>
        <v>74</v>
      </c>
      <c r="GEM83">
        <f t="shared" si="178"/>
        <v>74</v>
      </c>
      <c r="GEN83">
        <f t="shared" si="178"/>
        <v>74</v>
      </c>
      <c r="GEO83">
        <f t="shared" si="178"/>
        <v>74</v>
      </c>
      <c r="GEP83">
        <f t="shared" si="178"/>
        <v>74</v>
      </c>
      <c r="GEQ83">
        <f t="shared" si="178"/>
        <v>74</v>
      </c>
      <c r="GER83">
        <f t="shared" si="178"/>
        <v>74</v>
      </c>
      <c r="GES83">
        <f t="shared" si="178"/>
        <v>74</v>
      </c>
      <c r="GET83">
        <f t="shared" si="178"/>
        <v>74</v>
      </c>
      <c r="GEU83">
        <f t="shared" si="178"/>
        <v>74</v>
      </c>
      <c r="GEV83">
        <f t="shared" si="178"/>
        <v>75</v>
      </c>
      <c r="GEW83">
        <f t="shared" si="178"/>
        <v>75</v>
      </c>
      <c r="GEX83">
        <f t="shared" si="178"/>
        <v>75</v>
      </c>
      <c r="GEY83">
        <f t="shared" si="178"/>
        <v>75</v>
      </c>
      <c r="GEZ83">
        <f t="shared" si="178"/>
        <v>75</v>
      </c>
      <c r="GFA83">
        <f t="shared" si="178"/>
        <v>75</v>
      </c>
      <c r="GFB83">
        <f t="shared" si="178"/>
        <v>75</v>
      </c>
      <c r="GFC83">
        <f t="shared" si="178"/>
        <v>75</v>
      </c>
      <c r="GFD83">
        <f t="shared" si="178"/>
        <v>75</v>
      </c>
      <c r="GFE83">
        <f t="shared" si="178"/>
        <v>75</v>
      </c>
      <c r="GFF83">
        <f t="shared" si="178"/>
        <v>75</v>
      </c>
      <c r="GFG83">
        <f t="shared" si="178"/>
        <v>75</v>
      </c>
      <c r="GFH83">
        <f t="shared" si="178"/>
        <v>75</v>
      </c>
      <c r="GFI83">
        <f t="shared" si="178"/>
        <v>75</v>
      </c>
      <c r="GFJ83">
        <f t="shared" si="178"/>
        <v>75</v>
      </c>
      <c r="GFK83">
        <f t="shared" si="178"/>
        <v>75</v>
      </c>
      <c r="GFL83">
        <f t="shared" si="178"/>
        <v>75</v>
      </c>
      <c r="GFM83">
        <f t="shared" si="178"/>
        <v>75</v>
      </c>
      <c r="GFN83">
        <f t="shared" si="178"/>
        <v>75</v>
      </c>
      <c r="GFO83">
        <f t="shared" si="178"/>
        <v>75</v>
      </c>
      <c r="GFP83">
        <f t="shared" si="178"/>
        <v>75</v>
      </c>
      <c r="GFQ83">
        <f t="shared" si="178"/>
        <v>75</v>
      </c>
      <c r="GFR83">
        <f t="shared" si="178"/>
        <v>75</v>
      </c>
      <c r="GFS83">
        <f t="shared" si="178"/>
        <v>75</v>
      </c>
      <c r="GFT83">
        <f t="shared" si="178"/>
        <v>75</v>
      </c>
      <c r="GFU83">
        <f t="shared" si="178"/>
        <v>75</v>
      </c>
      <c r="GFV83">
        <f t="shared" si="178"/>
        <v>75</v>
      </c>
      <c r="GFW83">
        <f t="shared" si="178"/>
        <v>75</v>
      </c>
      <c r="GFX83">
        <f t="shared" si="178"/>
        <v>75</v>
      </c>
      <c r="GFY83">
        <f t="shared" si="178"/>
        <v>75</v>
      </c>
      <c r="GFZ83">
        <f t="shared" si="178"/>
        <v>75</v>
      </c>
      <c r="GGA83">
        <f t="shared" si="178"/>
        <v>75</v>
      </c>
      <c r="GGB83">
        <f t="shared" si="178"/>
        <v>75</v>
      </c>
      <c r="GGC83">
        <f t="shared" si="178"/>
        <v>75</v>
      </c>
      <c r="GGD83">
        <f t="shared" si="178"/>
        <v>75</v>
      </c>
      <c r="GGE83">
        <f t="shared" si="178"/>
        <v>75</v>
      </c>
      <c r="GGF83">
        <f t="shared" si="178"/>
        <v>75</v>
      </c>
      <c r="GGG83">
        <f t="shared" si="178"/>
        <v>75</v>
      </c>
      <c r="GGH83">
        <f t="shared" si="178"/>
        <v>75</v>
      </c>
      <c r="GGI83">
        <f t="shared" si="178"/>
        <v>75</v>
      </c>
      <c r="GGJ83">
        <f t="shared" si="178"/>
        <v>75</v>
      </c>
      <c r="GGK83">
        <f t="shared" si="178"/>
        <v>75</v>
      </c>
      <c r="GGL83">
        <f t="shared" si="178"/>
        <v>75</v>
      </c>
      <c r="GGM83">
        <f t="shared" si="178"/>
        <v>75</v>
      </c>
      <c r="GGN83">
        <f t="shared" si="178"/>
        <v>75</v>
      </c>
      <c r="GGO83">
        <f t="shared" si="178"/>
        <v>75</v>
      </c>
      <c r="GGP83">
        <f t="shared" si="178"/>
        <v>75</v>
      </c>
      <c r="GGQ83">
        <f t="shared" ref="GGQ83:GJB83" si="179">COUNTBLANK(GGQ6:GGQ81)</f>
        <v>75</v>
      </c>
      <c r="GGR83">
        <f t="shared" si="179"/>
        <v>75</v>
      </c>
      <c r="GGS83">
        <f t="shared" si="179"/>
        <v>75</v>
      </c>
      <c r="GGT83">
        <f t="shared" si="179"/>
        <v>75</v>
      </c>
      <c r="GGU83">
        <f t="shared" si="179"/>
        <v>75</v>
      </c>
      <c r="GGV83">
        <f t="shared" si="179"/>
        <v>75</v>
      </c>
      <c r="GGW83">
        <f t="shared" si="179"/>
        <v>75</v>
      </c>
      <c r="GGX83">
        <f t="shared" si="179"/>
        <v>75</v>
      </c>
      <c r="GGY83">
        <f t="shared" si="179"/>
        <v>75</v>
      </c>
      <c r="GGZ83">
        <f t="shared" si="179"/>
        <v>75</v>
      </c>
      <c r="GHA83">
        <f t="shared" si="179"/>
        <v>75</v>
      </c>
      <c r="GHB83">
        <f t="shared" si="179"/>
        <v>75</v>
      </c>
      <c r="GHC83">
        <f t="shared" si="179"/>
        <v>75</v>
      </c>
      <c r="GHD83">
        <f t="shared" si="179"/>
        <v>75</v>
      </c>
      <c r="GHE83">
        <f t="shared" si="179"/>
        <v>75</v>
      </c>
      <c r="GHF83">
        <f t="shared" si="179"/>
        <v>75</v>
      </c>
      <c r="GHG83">
        <f t="shared" si="179"/>
        <v>75</v>
      </c>
      <c r="GHH83">
        <f t="shared" si="179"/>
        <v>75</v>
      </c>
      <c r="GHI83">
        <f t="shared" si="179"/>
        <v>75</v>
      </c>
      <c r="GHJ83">
        <f t="shared" si="179"/>
        <v>75</v>
      </c>
      <c r="GHK83">
        <f t="shared" si="179"/>
        <v>75</v>
      </c>
      <c r="GHL83">
        <f t="shared" si="179"/>
        <v>75</v>
      </c>
      <c r="GHM83">
        <f t="shared" si="179"/>
        <v>75</v>
      </c>
      <c r="GHN83">
        <f t="shared" si="179"/>
        <v>75</v>
      </c>
      <c r="GHO83">
        <f t="shared" si="179"/>
        <v>75</v>
      </c>
      <c r="GHP83">
        <f t="shared" si="179"/>
        <v>75</v>
      </c>
      <c r="GHQ83">
        <f t="shared" si="179"/>
        <v>75</v>
      </c>
      <c r="GHR83">
        <f t="shared" si="179"/>
        <v>75</v>
      </c>
      <c r="GHS83">
        <f t="shared" si="179"/>
        <v>75</v>
      </c>
      <c r="GHT83">
        <f t="shared" si="179"/>
        <v>75</v>
      </c>
      <c r="GHU83">
        <f t="shared" si="179"/>
        <v>75</v>
      </c>
      <c r="GHV83">
        <f t="shared" si="179"/>
        <v>75</v>
      </c>
      <c r="GHW83">
        <f t="shared" si="179"/>
        <v>75</v>
      </c>
      <c r="GHX83">
        <f t="shared" si="179"/>
        <v>75</v>
      </c>
      <c r="GHY83">
        <f t="shared" si="179"/>
        <v>75</v>
      </c>
      <c r="GHZ83">
        <f t="shared" si="179"/>
        <v>75</v>
      </c>
      <c r="GIA83">
        <f t="shared" si="179"/>
        <v>75</v>
      </c>
      <c r="GIB83">
        <f t="shared" si="179"/>
        <v>75</v>
      </c>
      <c r="GIC83">
        <f t="shared" si="179"/>
        <v>75</v>
      </c>
      <c r="GID83">
        <f t="shared" si="179"/>
        <v>75</v>
      </c>
      <c r="GIE83">
        <f t="shared" si="179"/>
        <v>75</v>
      </c>
      <c r="GIF83">
        <f t="shared" si="179"/>
        <v>75</v>
      </c>
      <c r="GIG83">
        <f t="shared" si="179"/>
        <v>75</v>
      </c>
      <c r="GIH83">
        <f t="shared" si="179"/>
        <v>75</v>
      </c>
      <c r="GII83">
        <f t="shared" si="179"/>
        <v>75</v>
      </c>
      <c r="GIJ83">
        <f t="shared" si="179"/>
        <v>75</v>
      </c>
      <c r="GIK83">
        <f t="shared" si="179"/>
        <v>75</v>
      </c>
      <c r="GIL83">
        <f t="shared" si="179"/>
        <v>75</v>
      </c>
      <c r="GIM83">
        <f t="shared" si="179"/>
        <v>75</v>
      </c>
      <c r="GIN83">
        <f t="shared" si="179"/>
        <v>75</v>
      </c>
      <c r="GIO83">
        <f t="shared" si="179"/>
        <v>75</v>
      </c>
      <c r="GIP83">
        <f t="shared" si="179"/>
        <v>75</v>
      </c>
      <c r="GIQ83">
        <f t="shared" si="179"/>
        <v>75</v>
      </c>
      <c r="GIR83">
        <f t="shared" si="179"/>
        <v>75</v>
      </c>
      <c r="GIS83">
        <f t="shared" si="179"/>
        <v>75</v>
      </c>
      <c r="GIT83">
        <f t="shared" si="179"/>
        <v>75</v>
      </c>
      <c r="GIU83">
        <f t="shared" si="179"/>
        <v>75</v>
      </c>
      <c r="GIV83">
        <f t="shared" si="179"/>
        <v>75</v>
      </c>
      <c r="GIW83">
        <f t="shared" si="179"/>
        <v>75</v>
      </c>
      <c r="GIX83">
        <f t="shared" si="179"/>
        <v>75</v>
      </c>
      <c r="GIY83">
        <f t="shared" si="179"/>
        <v>75</v>
      </c>
      <c r="GIZ83">
        <f t="shared" si="179"/>
        <v>75</v>
      </c>
      <c r="GJA83">
        <f t="shared" si="179"/>
        <v>75</v>
      </c>
      <c r="GJB83">
        <f t="shared" si="179"/>
        <v>75</v>
      </c>
      <c r="GJC83">
        <f t="shared" ref="GJC83:GLN83" si="180">COUNTBLANK(GJC6:GJC81)</f>
        <v>75</v>
      </c>
      <c r="GJD83">
        <f t="shared" si="180"/>
        <v>75</v>
      </c>
      <c r="GJE83">
        <f t="shared" si="180"/>
        <v>75</v>
      </c>
      <c r="GJF83">
        <f t="shared" si="180"/>
        <v>75</v>
      </c>
      <c r="GJG83">
        <f t="shared" si="180"/>
        <v>75</v>
      </c>
      <c r="GJH83">
        <f t="shared" si="180"/>
        <v>75</v>
      </c>
      <c r="GJI83">
        <f t="shared" si="180"/>
        <v>75</v>
      </c>
      <c r="GJJ83">
        <f t="shared" si="180"/>
        <v>75</v>
      </c>
      <c r="GJK83">
        <f t="shared" si="180"/>
        <v>75</v>
      </c>
      <c r="GJL83">
        <f t="shared" si="180"/>
        <v>75</v>
      </c>
      <c r="GJM83">
        <f t="shared" si="180"/>
        <v>75</v>
      </c>
      <c r="GJN83">
        <f t="shared" si="180"/>
        <v>75</v>
      </c>
      <c r="GJO83">
        <f t="shared" si="180"/>
        <v>75</v>
      </c>
      <c r="GJP83">
        <f t="shared" si="180"/>
        <v>75</v>
      </c>
      <c r="GJQ83">
        <f t="shared" si="180"/>
        <v>75</v>
      </c>
      <c r="GJR83">
        <f t="shared" si="180"/>
        <v>75</v>
      </c>
      <c r="GJS83">
        <f t="shared" si="180"/>
        <v>75</v>
      </c>
      <c r="GJT83">
        <f t="shared" si="180"/>
        <v>75</v>
      </c>
      <c r="GJU83">
        <f t="shared" si="180"/>
        <v>75</v>
      </c>
      <c r="GJV83">
        <f t="shared" si="180"/>
        <v>75</v>
      </c>
      <c r="GJW83">
        <f t="shared" si="180"/>
        <v>75</v>
      </c>
      <c r="GJX83">
        <f t="shared" si="180"/>
        <v>75</v>
      </c>
      <c r="GJY83">
        <f t="shared" si="180"/>
        <v>75</v>
      </c>
      <c r="GJZ83">
        <f t="shared" si="180"/>
        <v>75</v>
      </c>
      <c r="GKA83">
        <f t="shared" si="180"/>
        <v>75</v>
      </c>
      <c r="GKB83">
        <f t="shared" si="180"/>
        <v>75</v>
      </c>
      <c r="GKC83">
        <f t="shared" si="180"/>
        <v>75</v>
      </c>
      <c r="GKD83">
        <f t="shared" si="180"/>
        <v>75</v>
      </c>
      <c r="GKE83">
        <f t="shared" si="180"/>
        <v>75</v>
      </c>
      <c r="GKF83">
        <f t="shared" si="180"/>
        <v>75</v>
      </c>
      <c r="GKG83">
        <f t="shared" si="180"/>
        <v>75</v>
      </c>
      <c r="GKH83">
        <f t="shared" si="180"/>
        <v>75</v>
      </c>
      <c r="GKI83">
        <f t="shared" si="180"/>
        <v>75</v>
      </c>
      <c r="GKJ83">
        <f t="shared" si="180"/>
        <v>75</v>
      </c>
      <c r="GKK83">
        <f t="shared" si="180"/>
        <v>75</v>
      </c>
      <c r="GKL83">
        <f t="shared" si="180"/>
        <v>75</v>
      </c>
      <c r="GKM83">
        <f t="shared" si="180"/>
        <v>75</v>
      </c>
      <c r="GKN83">
        <f t="shared" si="180"/>
        <v>75</v>
      </c>
      <c r="GKO83">
        <f t="shared" si="180"/>
        <v>75</v>
      </c>
      <c r="GKP83">
        <f t="shared" si="180"/>
        <v>75</v>
      </c>
      <c r="GKQ83">
        <f t="shared" si="180"/>
        <v>75</v>
      </c>
      <c r="GKR83">
        <f t="shared" si="180"/>
        <v>75</v>
      </c>
      <c r="GKS83">
        <f t="shared" si="180"/>
        <v>75</v>
      </c>
      <c r="GKT83">
        <f t="shared" si="180"/>
        <v>75</v>
      </c>
      <c r="GKU83">
        <f t="shared" si="180"/>
        <v>75</v>
      </c>
      <c r="GKV83">
        <f t="shared" si="180"/>
        <v>75</v>
      </c>
      <c r="GKW83">
        <f t="shared" si="180"/>
        <v>75</v>
      </c>
      <c r="GKX83">
        <f t="shared" si="180"/>
        <v>75</v>
      </c>
      <c r="GKY83">
        <f t="shared" si="180"/>
        <v>75</v>
      </c>
      <c r="GKZ83">
        <f t="shared" si="180"/>
        <v>75</v>
      </c>
      <c r="GLA83">
        <f t="shared" si="180"/>
        <v>75</v>
      </c>
      <c r="GLB83">
        <f t="shared" si="180"/>
        <v>75</v>
      </c>
      <c r="GLC83">
        <f t="shared" si="180"/>
        <v>75</v>
      </c>
      <c r="GLD83">
        <f t="shared" si="180"/>
        <v>75</v>
      </c>
      <c r="GLE83">
        <f t="shared" si="180"/>
        <v>75</v>
      </c>
      <c r="GLF83">
        <f t="shared" si="180"/>
        <v>75</v>
      </c>
      <c r="GLG83">
        <f t="shared" si="180"/>
        <v>75</v>
      </c>
      <c r="GLH83">
        <f t="shared" si="180"/>
        <v>75</v>
      </c>
      <c r="GLI83">
        <f t="shared" si="180"/>
        <v>75</v>
      </c>
      <c r="GLJ83">
        <f t="shared" si="180"/>
        <v>75</v>
      </c>
      <c r="GLK83">
        <f t="shared" si="180"/>
        <v>75</v>
      </c>
      <c r="GLL83">
        <f t="shared" si="180"/>
        <v>75</v>
      </c>
      <c r="GLM83">
        <f t="shared" si="180"/>
        <v>75</v>
      </c>
      <c r="GLN83">
        <f t="shared" si="180"/>
        <v>75</v>
      </c>
      <c r="GLO83">
        <f t="shared" ref="GLO83:GNZ83" si="181">COUNTBLANK(GLO6:GLO81)</f>
        <v>75</v>
      </c>
      <c r="GLP83">
        <f t="shared" si="181"/>
        <v>75</v>
      </c>
      <c r="GLQ83">
        <f t="shared" si="181"/>
        <v>75</v>
      </c>
      <c r="GLR83">
        <f t="shared" si="181"/>
        <v>75</v>
      </c>
      <c r="GLS83">
        <f t="shared" si="181"/>
        <v>74</v>
      </c>
      <c r="GLT83">
        <f t="shared" si="181"/>
        <v>74</v>
      </c>
      <c r="GLU83">
        <f t="shared" si="181"/>
        <v>74</v>
      </c>
      <c r="GLV83">
        <f t="shared" si="181"/>
        <v>74</v>
      </c>
      <c r="GLW83">
        <f t="shared" si="181"/>
        <v>74</v>
      </c>
      <c r="GLX83">
        <f t="shared" si="181"/>
        <v>74</v>
      </c>
      <c r="GLY83">
        <f t="shared" si="181"/>
        <v>74</v>
      </c>
      <c r="GLZ83">
        <f t="shared" si="181"/>
        <v>74</v>
      </c>
      <c r="GMA83">
        <f t="shared" si="181"/>
        <v>74</v>
      </c>
      <c r="GMB83">
        <f t="shared" si="181"/>
        <v>74</v>
      </c>
      <c r="GMC83">
        <f t="shared" si="181"/>
        <v>74</v>
      </c>
      <c r="GMD83">
        <f t="shared" si="181"/>
        <v>74</v>
      </c>
      <c r="GME83">
        <f t="shared" si="181"/>
        <v>74</v>
      </c>
      <c r="GMF83">
        <f t="shared" si="181"/>
        <v>74</v>
      </c>
      <c r="GMG83">
        <f t="shared" si="181"/>
        <v>74</v>
      </c>
      <c r="GMH83">
        <f t="shared" si="181"/>
        <v>74</v>
      </c>
      <c r="GMI83">
        <f t="shared" si="181"/>
        <v>74</v>
      </c>
      <c r="GMJ83">
        <f t="shared" si="181"/>
        <v>74</v>
      </c>
      <c r="GMK83">
        <f t="shared" si="181"/>
        <v>74</v>
      </c>
      <c r="GML83">
        <f t="shared" si="181"/>
        <v>74</v>
      </c>
      <c r="GMM83">
        <f t="shared" si="181"/>
        <v>74</v>
      </c>
      <c r="GMN83">
        <f t="shared" si="181"/>
        <v>74</v>
      </c>
      <c r="GMO83">
        <f t="shared" si="181"/>
        <v>74</v>
      </c>
      <c r="GMP83">
        <f t="shared" si="181"/>
        <v>74</v>
      </c>
      <c r="GMQ83">
        <f t="shared" si="181"/>
        <v>74</v>
      </c>
      <c r="GMR83">
        <f t="shared" si="181"/>
        <v>74</v>
      </c>
      <c r="GMS83">
        <f t="shared" si="181"/>
        <v>74</v>
      </c>
      <c r="GMT83">
        <f t="shared" si="181"/>
        <v>74</v>
      </c>
      <c r="GMU83">
        <f t="shared" si="181"/>
        <v>74</v>
      </c>
      <c r="GMV83">
        <f t="shared" si="181"/>
        <v>74</v>
      </c>
      <c r="GMW83">
        <f t="shared" si="181"/>
        <v>74</v>
      </c>
      <c r="GMX83">
        <f t="shared" si="181"/>
        <v>74</v>
      </c>
      <c r="GMY83">
        <f t="shared" si="181"/>
        <v>74</v>
      </c>
      <c r="GMZ83">
        <f t="shared" si="181"/>
        <v>74</v>
      </c>
      <c r="GNA83">
        <f t="shared" si="181"/>
        <v>74</v>
      </c>
      <c r="GNB83">
        <f t="shared" si="181"/>
        <v>74</v>
      </c>
      <c r="GNC83">
        <f t="shared" si="181"/>
        <v>74</v>
      </c>
      <c r="GND83">
        <f t="shared" si="181"/>
        <v>74</v>
      </c>
      <c r="GNE83">
        <f t="shared" si="181"/>
        <v>74</v>
      </c>
      <c r="GNF83">
        <f t="shared" si="181"/>
        <v>74</v>
      </c>
      <c r="GNG83">
        <f t="shared" si="181"/>
        <v>74</v>
      </c>
      <c r="GNH83">
        <f t="shared" si="181"/>
        <v>74</v>
      </c>
      <c r="GNI83">
        <f t="shared" si="181"/>
        <v>75</v>
      </c>
      <c r="GNJ83">
        <f t="shared" si="181"/>
        <v>75</v>
      </c>
      <c r="GNK83">
        <f t="shared" si="181"/>
        <v>75</v>
      </c>
      <c r="GNL83">
        <f t="shared" si="181"/>
        <v>75</v>
      </c>
      <c r="GNM83">
        <f t="shared" si="181"/>
        <v>75</v>
      </c>
      <c r="GNN83">
        <f t="shared" si="181"/>
        <v>75</v>
      </c>
      <c r="GNO83">
        <f t="shared" si="181"/>
        <v>75</v>
      </c>
      <c r="GNP83">
        <f t="shared" si="181"/>
        <v>75</v>
      </c>
      <c r="GNQ83">
        <f t="shared" si="181"/>
        <v>75</v>
      </c>
      <c r="GNR83">
        <f t="shared" si="181"/>
        <v>75</v>
      </c>
      <c r="GNS83">
        <f t="shared" si="181"/>
        <v>75</v>
      </c>
      <c r="GNT83">
        <f t="shared" si="181"/>
        <v>75</v>
      </c>
      <c r="GNU83">
        <f t="shared" si="181"/>
        <v>75</v>
      </c>
      <c r="GNV83">
        <f t="shared" si="181"/>
        <v>75</v>
      </c>
      <c r="GNW83">
        <f t="shared" si="181"/>
        <v>75</v>
      </c>
      <c r="GNX83">
        <f t="shared" si="181"/>
        <v>75</v>
      </c>
      <c r="GNY83">
        <f t="shared" si="181"/>
        <v>75</v>
      </c>
      <c r="GNZ83">
        <f t="shared" si="181"/>
        <v>75</v>
      </c>
      <c r="GOA83">
        <f t="shared" ref="GOA83:GQL83" si="182">COUNTBLANK(GOA6:GOA81)</f>
        <v>75</v>
      </c>
      <c r="GOB83">
        <f t="shared" si="182"/>
        <v>75</v>
      </c>
      <c r="GOC83">
        <f t="shared" si="182"/>
        <v>75</v>
      </c>
      <c r="GOD83">
        <f t="shared" si="182"/>
        <v>75</v>
      </c>
      <c r="GOE83">
        <f t="shared" si="182"/>
        <v>75</v>
      </c>
      <c r="GOF83">
        <f t="shared" si="182"/>
        <v>75</v>
      </c>
      <c r="GOG83">
        <f t="shared" si="182"/>
        <v>75</v>
      </c>
      <c r="GOH83">
        <f t="shared" si="182"/>
        <v>75</v>
      </c>
      <c r="GOI83">
        <f t="shared" si="182"/>
        <v>75</v>
      </c>
      <c r="GOJ83">
        <f t="shared" si="182"/>
        <v>75</v>
      </c>
      <c r="GOK83">
        <f t="shared" si="182"/>
        <v>75</v>
      </c>
      <c r="GOL83">
        <f t="shared" si="182"/>
        <v>75</v>
      </c>
      <c r="GOM83">
        <f t="shared" si="182"/>
        <v>75</v>
      </c>
      <c r="GON83">
        <f t="shared" si="182"/>
        <v>75</v>
      </c>
      <c r="GOO83">
        <f t="shared" si="182"/>
        <v>75</v>
      </c>
      <c r="GOP83">
        <f t="shared" si="182"/>
        <v>75</v>
      </c>
      <c r="GOQ83">
        <f t="shared" si="182"/>
        <v>75</v>
      </c>
      <c r="GOR83">
        <f t="shared" si="182"/>
        <v>75</v>
      </c>
      <c r="GOS83">
        <f t="shared" si="182"/>
        <v>75</v>
      </c>
      <c r="GOT83">
        <f t="shared" si="182"/>
        <v>75</v>
      </c>
      <c r="GOU83">
        <f t="shared" si="182"/>
        <v>75</v>
      </c>
      <c r="GOV83">
        <f t="shared" si="182"/>
        <v>75</v>
      </c>
      <c r="GOW83">
        <f t="shared" si="182"/>
        <v>75</v>
      </c>
      <c r="GOX83">
        <f t="shared" si="182"/>
        <v>75</v>
      </c>
      <c r="GOY83">
        <f t="shared" si="182"/>
        <v>75</v>
      </c>
      <c r="GOZ83">
        <f t="shared" si="182"/>
        <v>75</v>
      </c>
      <c r="GPA83">
        <f t="shared" si="182"/>
        <v>75</v>
      </c>
      <c r="GPB83">
        <f t="shared" si="182"/>
        <v>75</v>
      </c>
      <c r="GPC83">
        <f t="shared" si="182"/>
        <v>75</v>
      </c>
      <c r="GPD83">
        <f t="shared" si="182"/>
        <v>75</v>
      </c>
      <c r="GPE83">
        <f t="shared" si="182"/>
        <v>75</v>
      </c>
      <c r="GPF83">
        <f t="shared" si="182"/>
        <v>75</v>
      </c>
      <c r="GPG83">
        <f t="shared" si="182"/>
        <v>75</v>
      </c>
      <c r="GPH83">
        <f t="shared" si="182"/>
        <v>75</v>
      </c>
      <c r="GPI83">
        <f t="shared" si="182"/>
        <v>75</v>
      </c>
      <c r="GPJ83">
        <f t="shared" si="182"/>
        <v>75</v>
      </c>
      <c r="GPK83">
        <f t="shared" si="182"/>
        <v>75</v>
      </c>
      <c r="GPL83">
        <f t="shared" si="182"/>
        <v>75</v>
      </c>
      <c r="GPM83">
        <f t="shared" si="182"/>
        <v>75</v>
      </c>
      <c r="GPN83">
        <f t="shared" si="182"/>
        <v>75</v>
      </c>
      <c r="GPO83">
        <f t="shared" si="182"/>
        <v>75</v>
      </c>
      <c r="GPP83">
        <f t="shared" si="182"/>
        <v>75</v>
      </c>
      <c r="GPQ83">
        <f t="shared" si="182"/>
        <v>75</v>
      </c>
      <c r="GPR83">
        <f t="shared" si="182"/>
        <v>75</v>
      </c>
      <c r="GPS83">
        <f t="shared" si="182"/>
        <v>75</v>
      </c>
      <c r="GPT83">
        <f t="shared" si="182"/>
        <v>75</v>
      </c>
      <c r="GPU83">
        <f t="shared" si="182"/>
        <v>75</v>
      </c>
      <c r="GPV83">
        <f t="shared" si="182"/>
        <v>75</v>
      </c>
      <c r="GPW83">
        <f t="shared" si="182"/>
        <v>75</v>
      </c>
      <c r="GPX83">
        <f t="shared" si="182"/>
        <v>75</v>
      </c>
      <c r="GPY83">
        <f t="shared" si="182"/>
        <v>75</v>
      </c>
      <c r="GPZ83">
        <f t="shared" si="182"/>
        <v>75</v>
      </c>
      <c r="GQA83">
        <f t="shared" si="182"/>
        <v>75</v>
      </c>
      <c r="GQB83">
        <f t="shared" si="182"/>
        <v>75</v>
      </c>
      <c r="GQC83">
        <f t="shared" si="182"/>
        <v>75</v>
      </c>
      <c r="GQD83">
        <f t="shared" si="182"/>
        <v>75</v>
      </c>
      <c r="GQE83">
        <f t="shared" si="182"/>
        <v>75</v>
      </c>
      <c r="GQF83">
        <f t="shared" si="182"/>
        <v>75</v>
      </c>
      <c r="GQG83">
        <f t="shared" si="182"/>
        <v>75</v>
      </c>
      <c r="GQH83">
        <f t="shared" si="182"/>
        <v>75</v>
      </c>
      <c r="GQI83">
        <f t="shared" si="182"/>
        <v>75</v>
      </c>
      <c r="GQJ83">
        <f t="shared" si="182"/>
        <v>75</v>
      </c>
      <c r="GQK83">
        <f t="shared" si="182"/>
        <v>75</v>
      </c>
      <c r="GQL83">
        <f t="shared" si="182"/>
        <v>75</v>
      </c>
      <c r="GQM83">
        <f t="shared" ref="GQM83:GSX83" si="183">COUNTBLANK(GQM6:GQM81)</f>
        <v>75</v>
      </c>
      <c r="GQN83">
        <f t="shared" si="183"/>
        <v>75</v>
      </c>
      <c r="GQO83">
        <f t="shared" si="183"/>
        <v>75</v>
      </c>
      <c r="GQP83">
        <f t="shared" si="183"/>
        <v>75</v>
      </c>
      <c r="GQQ83">
        <f t="shared" si="183"/>
        <v>75</v>
      </c>
      <c r="GQR83">
        <f t="shared" si="183"/>
        <v>75</v>
      </c>
      <c r="GQS83">
        <f t="shared" si="183"/>
        <v>75</v>
      </c>
      <c r="GQT83">
        <f t="shared" si="183"/>
        <v>75</v>
      </c>
      <c r="GQU83">
        <f t="shared" si="183"/>
        <v>75</v>
      </c>
      <c r="GQV83">
        <f t="shared" si="183"/>
        <v>75</v>
      </c>
      <c r="GQW83">
        <f t="shared" si="183"/>
        <v>75</v>
      </c>
      <c r="GQX83">
        <f t="shared" si="183"/>
        <v>75</v>
      </c>
      <c r="GQY83">
        <f t="shared" si="183"/>
        <v>75</v>
      </c>
      <c r="GQZ83">
        <f t="shared" si="183"/>
        <v>75</v>
      </c>
      <c r="GRA83">
        <f t="shared" si="183"/>
        <v>75</v>
      </c>
      <c r="GRB83">
        <f t="shared" si="183"/>
        <v>75</v>
      </c>
      <c r="GRC83">
        <f t="shared" si="183"/>
        <v>75</v>
      </c>
      <c r="GRD83">
        <f t="shared" si="183"/>
        <v>75</v>
      </c>
      <c r="GRE83">
        <f t="shared" si="183"/>
        <v>75</v>
      </c>
      <c r="GRF83">
        <f t="shared" si="183"/>
        <v>75</v>
      </c>
      <c r="GRG83">
        <f t="shared" si="183"/>
        <v>75</v>
      </c>
      <c r="GRH83">
        <f t="shared" si="183"/>
        <v>75</v>
      </c>
      <c r="GRI83">
        <f t="shared" si="183"/>
        <v>75</v>
      </c>
      <c r="GRJ83">
        <f t="shared" si="183"/>
        <v>75</v>
      </c>
      <c r="GRK83">
        <f t="shared" si="183"/>
        <v>75</v>
      </c>
      <c r="GRL83">
        <f t="shared" si="183"/>
        <v>75</v>
      </c>
      <c r="GRM83">
        <f t="shared" si="183"/>
        <v>75</v>
      </c>
      <c r="GRN83">
        <f t="shared" si="183"/>
        <v>75</v>
      </c>
      <c r="GRO83">
        <f t="shared" si="183"/>
        <v>75</v>
      </c>
      <c r="GRP83">
        <f t="shared" si="183"/>
        <v>75</v>
      </c>
      <c r="GRQ83">
        <f t="shared" si="183"/>
        <v>75</v>
      </c>
      <c r="GRR83">
        <f t="shared" si="183"/>
        <v>75</v>
      </c>
      <c r="GRS83">
        <f t="shared" si="183"/>
        <v>75</v>
      </c>
      <c r="GRT83">
        <f t="shared" si="183"/>
        <v>75</v>
      </c>
      <c r="GRU83">
        <f t="shared" si="183"/>
        <v>75</v>
      </c>
      <c r="GRV83">
        <f t="shared" si="183"/>
        <v>75</v>
      </c>
      <c r="GRW83">
        <f t="shared" si="183"/>
        <v>75</v>
      </c>
      <c r="GRX83">
        <f t="shared" si="183"/>
        <v>75</v>
      </c>
      <c r="GRY83">
        <f t="shared" si="183"/>
        <v>75</v>
      </c>
      <c r="GRZ83">
        <f t="shared" si="183"/>
        <v>75</v>
      </c>
      <c r="GSA83">
        <f t="shared" si="183"/>
        <v>75</v>
      </c>
      <c r="GSB83">
        <f t="shared" si="183"/>
        <v>75</v>
      </c>
      <c r="GSC83">
        <f t="shared" si="183"/>
        <v>75</v>
      </c>
      <c r="GSD83">
        <f t="shared" si="183"/>
        <v>75</v>
      </c>
      <c r="GSE83">
        <f t="shared" si="183"/>
        <v>75</v>
      </c>
      <c r="GSF83">
        <f t="shared" si="183"/>
        <v>75</v>
      </c>
      <c r="GSG83">
        <f t="shared" si="183"/>
        <v>75</v>
      </c>
      <c r="GSH83">
        <f t="shared" si="183"/>
        <v>75</v>
      </c>
      <c r="GSI83">
        <f t="shared" si="183"/>
        <v>75</v>
      </c>
      <c r="GSJ83">
        <f t="shared" si="183"/>
        <v>75</v>
      </c>
      <c r="GSK83">
        <f t="shared" si="183"/>
        <v>75</v>
      </c>
      <c r="GSL83">
        <f t="shared" si="183"/>
        <v>75</v>
      </c>
      <c r="GSM83">
        <f t="shared" si="183"/>
        <v>75</v>
      </c>
      <c r="GSN83">
        <f t="shared" si="183"/>
        <v>75</v>
      </c>
      <c r="GSO83">
        <f t="shared" si="183"/>
        <v>75</v>
      </c>
      <c r="GSP83">
        <f t="shared" si="183"/>
        <v>75</v>
      </c>
      <c r="GSQ83">
        <f t="shared" si="183"/>
        <v>75</v>
      </c>
      <c r="GSR83">
        <f t="shared" si="183"/>
        <v>75</v>
      </c>
      <c r="GSS83">
        <f t="shared" si="183"/>
        <v>75</v>
      </c>
      <c r="GST83">
        <f t="shared" si="183"/>
        <v>75</v>
      </c>
      <c r="GSU83">
        <f t="shared" si="183"/>
        <v>75</v>
      </c>
      <c r="GSV83">
        <f t="shared" si="183"/>
        <v>75</v>
      </c>
      <c r="GSW83">
        <f t="shared" si="183"/>
        <v>75</v>
      </c>
      <c r="GSX83">
        <f t="shared" si="183"/>
        <v>75</v>
      </c>
      <c r="GSY83">
        <f t="shared" ref="GSY83:GVJ83" si="184">COUNTBLANK(GSY6:GSY81)</f>
        <v>75</v>
      </c>
      <c r="GSZ83">
        <f t="shared" si="184"/>
        <v>75</v>
      </c>
      <c r="GTA83">
        <f t="shared" si="184"/>
        <v>75</v>
      </c>
      <c r="GTB83">
        <f t="shared" si="184"/>
        <v>75</v>
      </c>
      <c r="GTC83">
        <f t="shared" si="184"/>
        <v>75</v>
      </c>
      <c r="GTD83">
        <f t="shared" si="184"/>
        <v>75</v>
      </c>
      <c r="GTE83">
        <f t="shared" si="184"/>
        <v>75</v>
      </c>
      <c r="GTF83">
        <f t="shared" si="184"/>
        <v>75</v>
      </c>
      <c r="GTG83">
        <f t="shared" si="184"/>
        <v>75</v>
      </c>
      <c r="GTH83">
        <f t="shared" si="184"/>
        <v>75</v>
      </c>
      <c r="GTI83">
        <f t="shared" si="184"/>
        <v>75</v>
      </c>
      <c r="GTJ83">
        <f t="shared" si="184"/>
        <v>75</v>
      </c>
      <c r="GTK83">
        <f t="shared" si="184"/>
        <v>75</v>
      </c>
      <c r="GTL83">
        <f t="shared" si="184"/>
        <v>75</v>
      </c>
      <c r="GTM83">
        <f t="shared" si="184"/>
        <v>75</v>
      </c>
      <c r="GTN83">
        <f t="shared" si="184"/>
        <v>75</v>
      </c>
      <c r="GTO83">
        <f t="shared" si="184"/>
        <v>75</v>
      </c>
      <c r="GTP83">
        <f t="shared" si="184"/>
        <v>75</v>
      </c>
      <c r="GTQ83">
        <f t="shared" si="184"/>
        <v>75</v>
      </c>
      <c r="GTR83">
        <f t="shared" si="184"/>
        <v>75</v>
      </c>
      <c r="GTS83">
        <f t="shared" si="184"/>
        <v>75</v>
      </c>
      <c r="GTT83">
        <f t="shared" si="184"/>
        <v>75</v>
      </c>
      <c r="GTU83">
        <f t="shared" si="184"/>
        <v>75</v>
      </c>
      <c r="GTV83">
        <f t="shared" si="184"/>
        <v>75</v>
      </c>
      <c r="GTW83">
        <f t="shared" si="184"/>
        <v>75</v>
      </c>
      <c r="GTX83">
        <f t="shared" si="184"/>
        <v>75</v>
      </c>
      <c r="GTY83">
        <f t="shared" si="184"/>
        <v>75</v>
      </c>
      <c r="GTZ83">
        <f t="shared" si="184"/>
        <v>75</v>
      </c>
      <c r="GUA83">
        <f t="shared" si="184"/>
        <v>75</v>
      </c>
      <c r="GUB83">
        <f t="shared" si="184"/>
        <v>75</v>
      </c>
      <c r="GUC83">
        <f t="shared" si="184"/>
        <v>75</v>
      </c>
      <c r="GUD83">
        <f t="shared" si="184"/>
        <v>75</v>
      </c>
      <c r="GUE83">
        <f t="shared" si="184"/>
        <v>75</v>
      </c>
      <c r="GUF83">
        <f t="shared" si="184"/>
        <v>75</v>
      </c>
      <c r="GUG83">
        <f t="shared" si="184"/>
        <v>75</v>
      </c>
      <c r="GUH83">
        <f t="shared" si="184"/>
        <v>75</v>
      </c>
      <c r="GUI83">
        <f t="shared" si="184"/>
        <v>75</v>
      </c>
      <c r="GUJ83">
        <f t="shared" si="184"/>
        <v>75</v>
      </c>
      <c r="GUK83">
        <f t="shared" si="184"/>
        <v>75</v>
      </c>
      <c r="GUL83">
        <f t="shared" si="184"/>
        <v>75</v>
      </c>
      <c r="GUM83">
        <f t="shared" si="184"/>
        <v>75</v>
      </c>
      <c r="GUN83">
        <f t="shared" si="184"/>
        <v>75</v>
      </c>
      <c r="GUO83">
        <f t="shared" si="184"/>
        <v>75</v>
      </c>
      <c r="GUP83">
        <f t="shared" si="184"/>
        <v>75</v>
      </c>
      <c r="GUQ83">
        <f t="shared" si="184"/>
        <v>75</v>
      </c>
      <c r="GUR83">
        <f t="shared" si="184"/>
        <v>75</v>
      </c>
      <c r="GUS83">
        <f t="shared" si="184"/>
        <v>75</v>
      </c>
      <c r="GUT83">
        <f t="shared" si="184"/>
        <v>75</v>
      </c>
      <c r="GUU83">
        <f t="shared" si="184"/>
        <v>75</v>
      </c>
      <c r="GUV83">
        <f t="shared" si="184"/>
        <v>75</v>
      </c>
      <c r="GUW83">
        <f t="shared" si="184"/>
        <v>75</v>
      </c>
      <c r="GUX83">
        <f t="shared" si="184"/>
        <v>75</v>
      </c>
      <c r="GUY83">
        <f t="shared" si="184"/>
        <v>75</v>
      </c>
      <c r="GUZ83">
        <f t="shared" si="184"/>
        <v>75</v>
      </c>
      <c r="GVA83">
        <f t="shared" si="184"/>
        <v>75</v>
      </c>
      <c r="GVB83">
        <f t="shared" si="184"/>
        <v>75</v>
      </c>
      <c r="GVC83">
        <f t="shared" si="184"/>
        <v>75</v>
      </c>
      <c r="GVD83">
        <f t="shared" si="184"/>
        <v>75</v>
      </c>
      <c r="GVE83">
        <f t="shared" si="184"/>
        <v>75</v>
      </c>
      <c r="GVF83">
        <f t="shared" si="184"/>
        <v>75</v>
      </c>
      <c r="GVG83">
        <f t="shared" si="184"/>
        <v>75</v>
      </c>
      <c r="GVH83">
        <f t="shared" si="184"/>
        <v>75</v>
      </c>
      <c r="GVI83">
        <f t="shared" si="184"/>
        <v>75</v>
      </c>
      <c r="GVJ83">
        <f t="shared" si="184"/>
        <v>75</v>
      </c>
      <c r="GVK83">
        <f t="shared" ref="GVK83:GXV83" si="185">COUNTBLANK(GVK6:GVK81)</f>
        <v>75</v>
      </c>
      <c r="GVL83">
        <f t="shared" si="185"/>
        <v>75</v>
      </c>
      <c r="GVM83">
        <f t="shared" si="185"/>
        <v>75</v>
      </c>
      <c r="GVN83">
        <f t="shared" si="185"/>
        <v>75</v>
      </c>
      <c r="GVO83">
        <f t="shared" si="185"/>
        <v>75</v>
      </c>
      <c r="GVP83">
        <f t="shared" si="185"/>
        <v>75</v>
      </c>
      <c r="GVQ83">
        <f t="shared" si="185"/>
        <v>74</v>
      </c>
      <c r="GVR83">
        <f t="shared" si="185"/>
        <v>74</v>
      </c>
      <c r="GVS83">
        <f t="shared" si="185"/>
        <v>74</v>
      </c>
      <c r="GVT83">
        <f t="shared" si="185"/>
        <v>74</v>
      </c>
      <c r="GVU83">
        <f t="shared" si="185"/>
        <v>74</v>
      </c>
      <c r="GVV83">
        <f t="shared" si="185"/>
        <v>74</v>
      </c>
      <c r="GVW83">
        <f t="shared" si="185"/>
        <v>74</v>
      </c>
      <c r="GVX83">
        <f t="shared" si="185"/>
        <v>74</v>
      </c>
      <c r="GVY83">
        <f t="shared" si="185"/>
        <v>74</v>
      </c>
      <c r="GVZ83">
        <f t="shared" si="185"/>
        <v>74</v>
      </c>
      <c r="GWA83">
        <f t="shared" si="185"/>
        <v>74</v>
      </c>
      <c r="GWB83">
        <f t="shared" si="185"/>
        <v>74</v>
      </c>
      <c r="GWC83">
        <f t="shared" si="185"/>
        <v>74</v>
      </c>
      <c r="GWD83">
        <f t="shared" si="185"/>
        <v>74</v>
      </c>
      <c r="GWE83">
        <f t="shared" si="185"/>
        <v>74</v>
      </c>
      <c r="GWF83">
        <f t="shared" si="185"/>
        <v>74</v>
      </c>
      <c r="GWG83">
        <f t="shared" si="185"/>
        <v>74</v>
      </c>
      <c r="GWH83">
        <f t="shared" si="185"/>
        <v>74</v>
      </c>
      <c r="GWI83">
        <f t="shared" si="185"/>
        <v>74</v>
      </c>
      <c r="GWJ83">
        <f t="shared" si="185"/>
        <v>75</v>
      </c>
      <c r="GWK83">
        <f t="shared" si="185"/>
        <v>75</v>
      </c>
      <c r="GWL83">
        <f t="shared" si="185"/>
        <v>75</v>
      </c>
      <c r="GWM83">
        <f t="shared" si="185"/>
        <v>75</v>
      </c>
      <c r="GWN83">
        <f t="shared" si="185"/>
        <v>75</v>
      </c>
      <c r="GWO83">
        <f t="shared" si="185"/>
        <v>75</v>
      </c>
      <c r="GWP83">
        <f t="shared" si="185"/>
        <v>75</v>
      </c>
      <c r="GWQ83">
        <f t="shared" si="185"/>
        <v>75</v>
      </c>
      <c r="GWR83">
        <f t="shared" si="185"/>
        <v>75</v>
      </c>
      <c r="GWS83">
        <f t="shared" si="185"/>
        <v>75</v>
      </c>
      <c r="GWT83">
        <f t="shared" si="185"/>
        <v>75</v>
      </c>
      <c r="GWU83">
        <f t="shared" si="185"/>
        <v>75</v>
      </c>
      <c r="GWV83">
        <f t="shared" si="185"/>
        <v>75</v>
      </c>
      <c r="GWW83">
        <f t="shared" si="185"/>
        <v>75</v>
      </c>
      <c r="GWX83">
        <f t="shared" si="185"/>
        <v>75</v>
      </c>
      <c r="GWY83">
        <f t="shared" si="185"/>
        <v>75</v>
      </c>
      <c r="GWZ83">
        <f t="shared" si="185"/>
        <v>75</v>
      </c>
      <c r="GXA83">
        <f t="shared" si="185"/>
        <v>75</v>
      </c>
      <c r="GXB83">
        <f t="shared" si="185"/>
        <v>75</v>
      </c>
      <c r="GXC83">
        <f t="shared" si="185"/>
        <v>75</v>
      </c>
      <c r="GXD83">
        <f t="shared" si="185"/>
        <v>75</v>
      </c>
      <c r="GXE83">
        <f t="shared" si="185"/>
        <v>75</v>
      </c>
      <c r="GXF83">
        <f t="shared" si="185"/>
        <v>75</v>
      </c>
      <c r="GXG83">
        <f t="shared" si="185"/>
        <v>75</v>
      </c>
      <c r="GXH83">
        <f t="shared" si="185"/>
        <v>75</v>
      </c>
      <c r="GXI83">
        <f t="shared" si="185"/>
        <v>75</v>
      </c>
      <c r="GXJ83">
        <f t="shared" si="185"/>
        <v>75</v>
      </c>
      <c r="GXK83">
        <f t="shared" si="185"/>
        <v>75</v>
      </c>
      <c r="GXL83">
        <f t="shared" si="185"/>
        <v>75</v>
      </c>
      <c r="GXM83">
        <f t="shared" si="185"/>
        <v>75</v>
      </c>
      <c r="GXN83">
        <f t="shared" si="185"/>
        <v>75</v>
      </c>
      <c r="GXO83">
        <f t="shared" si="185"/>
        <v>75</v>
      </c>
      <c r="GXP83">
        <f t="shared" si="185"/>
        <v>75</v>
      </c>
      <c r="GXQ83">
        <f t="shared" si="185"/>
        <v>75</v>
      </c>
      <c r="GXR83">
        <f t="shared" si="185"/>
        <v>75</v>
      </c>
      <c r="GXS83">
        <f t="shared" si="185"/>
        <v>75</v>
      </c>
      <c r="GXT83">
        <f t="shared" si="185"/>
        <v>75</v>
      </c>
      <c r="GXU83">
        <f t="shared" si="185"/>
        <v>75</v>
      </c>
      <c r="GXV83">
        <f t="shared" si="185"/>
        <v>75</v>
      </c>
      <c r="GXW83">
        <f t="shared" ref="GXW83:HAH83" si="186">COUNTBLANK(GXW6:GXW81)</f>
        <v>75</v>
      </c>
      <c r="GXX83">
        <f t="shared" si="186"/>
        <v>75</v>
      </c>
      <c r="GXY83">
        <f t="shared" si="186"/>
        <v>75</v>
      </c>
      <c r="GXZ83">
        <f t="shared" si="186"/>
        <v>75</v>
      </c>
      <c r="GYA83">
        <f t="shared" si="186"/>
        <v>75</v>
      </c>
      <c r="GYB83">
        <f t="shared" si="186"/>
        <v>75</v>
      </c>
      <c r="GYC83">
        <f t="shared" si="186"/>
        <v>75</v>
      </c>
      <c r="GYD83">
        <f t="shared" si="186"/>
        <v>75</v>
      </c>
      <c r="GYE83">
        <f t="shared" si="186"/>
        <v>75</v>
      </c>
      <c r="GYF83">
        <f t="shared" si="186"/>
        <v>75</v>
      </c>
      <c r="GYG83">
        <f t="shared" si="186"/>
        <v>75</v>
      </c>
      <c r="GYH83">
        <f t="shared" si="186"/>
        <v>75</v>
      </c>
      <c r="GYI83">
        <f t="shared" si="186"/>
        <v>75</v>
      </c>
      <c r="GYJ83">
        <f t="shared" si="186"/>
        <v>75</v>
      </c>
      <c r="GYK83">
        <f t="shared" si="186"/>
        <v>75</v>
      </c>
      <c r="GYL83">
        <f t="shared" si="186"/>
        <v>75</v>
      </c>
      <c r="GYM83">
        <f t="shared" si="186"/>
        <v>75</v>
      </c>
      <c r="GYN83">
        <f t="shared" si="186"/>
        <v>75</v>
      </c>
      <c r="GYO83">
        <f t="shared" si="186"/>
        <v>75</v>
      </c>
      <c r="GYP83">
        <f t="shared" si="186"/>
        <v>75</v>
      </c>
      <c r="GYQ83">
        <f t="shared" si="186"/>
        <v>75</v>
      </c>
      <c r="GYR83">
        <f t="shared" si="186"/>
        <v>75</v>
      </c>
      <c r="GYS83">
        <f t="shared" si="186"/>
        <v>75</v>
      </c>
      <c r="GYT83">
        <f t="shared" si="186"/>
        <v>75</v>
      </c>
      <c r="GYU83">
        <f t="shared" si="186"/>
        <v>75</v>
      </c>
      <c r="GYV83">
        <f t="shared" si="186"/>
        <v>75</v>
      </c>
      <c r="GYW83">
        <f t="shared" si="186"/>
        <v>75</v>
      </c>
      <c r="GYX83">
        <f t="shared" si="186"/>
        <v>75</v>
      </c>
      <c r="GYY83">
        <f t="shared" si="186"/>
        <v>75</v>
      </c>
      <c r="GYZ83">
        <f t="shared" si="186"/>
        <v>75</v>
      </c>
      <c r="GZA83">
        <f t="shared" si="186"/>
        <v>75</v>
      </c>
      <c r="GZB83">
        <f t="shared" si="186"/>
        <v>75</v>
      </c>
      <c r="GZC83">
        <f t="shared" si="186"/>
        <v>75</v>
      </c>
      <c r="GZD83">
        <f t="shared" si="186"/>
        <v>75</v>
      </c>
      <c r="GZE83">
        <f t="shared" si="186"/>
        <v>75</v>
      </c>
      <c r="GZF83">
        <f t="shared" si="186"/>
        <v>75</v>
      </c>
      <c r="GZG83">
        <f t="shared" si="186"/>
        <v>75</v>
      </c>
      <c r="GZH83">
        <f t="shared" si="186"/>
        <v>75</v>
      </c>
      <c r="GZI83">
        <f t="shared" si="186"/>
        <v>75</v>
      </c>
      <c r="GZJ83">
        <f t="shared" si="186"/>
        <v>75</v>
      </c>
      <c r="GZK83">
        <f t="shared" si="186"/>
        <v>75</v>
      </c>
      <c r="GZL83">
        <f t="shared" si="186"/>
        <v>75</v>
      </c>
      <c r="GZM83">
        <f t="shared" si="186"/>
        <v>75</v>
      </c>
      <c r="GZN83">
        <f t="shared" si="186"/>
        <v>75</v>
      </c>
      <c r="GZO83">
        <f t="shared" si="186"/>
        <v>75</v>
      </c>
      <c r="GZP83">
        <f t="shared" si="186"/>
        <v>75</v>
      </c>
      <c r="GZQ83">
        <f t="shared" si="186"/>
        <v>75</v>
      </c>
      <c r="GZR83">
        <f t="shared" si="186"/>
        <v>75</v>
      </c>
      <c r="GZS83">
        <f t="shared" si="186"/>
        <v>75</v>
      </c>
      <c r="GZT83">
        <f t="shared" si="186"/>
        <v>75</v>
      </c>
      <c r="GZU83">
        <f t="shared" si="186"/>
        <v>75</v>
      </c>
      <c r="GZV83">
        <f t="shared" si="186"/>
        <v>75</v>
      </c>
      <c r="GZW83">
        <f t="shared" si="186"/>
        <v>75</v>
      </c>
      <c r="GZX83">
        <f t="shared" si="186"/>
        <v>75</v>
      </c>
      <c r="GZY83">
        <f t="shared" si="186"/>
        <v>75</v>
      </c>
      <c r="GZZ83">
        <f t="shared" si="186"/>
        <v>75</v>
      </c>
      <c r="HAA83">
        <f t="shared" si="186"/>
        <v>75</v>
      </c>
      <c r="HAB83">
        <f t="shared" si="186"/>
        <v>75</v>
      </c>
      <c r="HAC83">
        <f t="shared" si="186"/>
        <v>75</v>
      </c>
      <c r="HAD83">
        <f t="shared" si="186"/>
        <v>75</v>
      </c>
      <c r="HAE83">
        <f t="shared" si="186"/>
        <v>75</v>
      </c>
      <c r="HAF83">
        <f t="shared" si="186"/>
        <v>75</v>
      </c>
      <c r="HAG83">
        <f t="shared" si="186"/>
        <v>75</v>
      </c>
      <c r="HAH83">
        <f t="shared" si="186"/>
        <v>75</v>
      </c>
      <c r="HAI83">
        <f t="shared" ref="HAI83:HCT83" si="187">COUNTBLANK(HAI6:HAI81)</f>
        <v>75</v>
      </c>
      <c r="HAJ83">
        <f t="shared" si="187"/>
        <v>75</v>
      </c>
      <c r="HAK83">
        <f t="shared" si="187"/>
        <v>75</v>
      </c>
      <c r="HAL83">
        <f t="shared" si="187"/>
        <v>75</v>
      </c>
      <c r="HAM83">
        <f t="shared" si="187"/>
        <v>75</v>
      </c>
      <c r="HAN83">
        <f t="shared" si="187"/>
        <v>75</v>
      </c>
      <c r="HAO83">
        <f t="shared" si="187"/>
        <v>75</v>
      </c>
      <c r="HAP83">
        <f t="shared" si="187"/>
        <v>75</v>
      </c>
      <c r="HAQ83">
        <f t="shared" si="187"/>
        <v>75</v>
      </c>
      <c r="HAR83">
        <f t="shared" si="187"/>
        <v>75</v>
      </c>
      <c r="HAS83">
        <f t="shared" si="187"/>
        <v>75</v>
      </c>
      <c r="HAT83">
        <f t="shared" si="187"/>
        <v>75</v>
      </c>
      <c r="HAU83">
        <f t="shared" si="187"/>
        <v>75</v>
      </c>
      <c r="HAV83">
        <f t="shared" si="187"/>
        <v>75</v>
      </c>
      <c r="HAW83">
        <f t="shared" si="187"/>
        <v>75</v>
      </c>
      <c r="HAX83">
        <f t="shared" si="187"/>
        <v>75</v>
      </c>
      <c r="HAY83">
        <f t="shared" si="187"/>
        <v>75</v>
      </c>
      <c r="HAZ83">
        <f t="shared" si="187"/>
        <v>75</v>
      </c>
      <c r="HBA83">
        <f t="shared" si="187"/>
        <v>75</v>
      </c>
      <c r="HBB83">
        <f t="shared" si="187"/>
        <v>75</v>
      </c>
      <c r="HBC83">
        <f t="shared" si="187"/>
        <v>75</v>
      </c>
      <c r="HBD83">
        <f t="shared" si="187"/>
        <v>75</v>
      </c>
      <c r="HBE83">
        <f t="shared" si="187"/>
        <v>75</v>
      </c>
      <c r="HBF83">
        <f t="shared" si="187"/>
        <v>75</v>
      </c>
      <c r="HBG83">
        <f t="shared" si="187"/>
        <v>75</v>
      </c>
      <c r="HBH83">
        <f t="shared" si="187"/>
        <v>75</v>
      </c>
      <c r="HBI83">
        <f t="shared" si="187"/>
        <v>75</v>
      </c>
      <c r="HBJ83">
        <f t="shared" si="187"/>
        <v>75</v>
      </c>
      <c r="HBK83">
        <f t="shared" si="187"/>
        <v>75</v>
      </c>
      <c r="HBL83">
        <f t="shared" si="187"/>
        <v>75</v>
      </c>
      <c r="HBM83">
        <f t="shared" si="187"/>
        <v>75</v>
      </c>
      <c r="HBN83">
        <f t="shared" si="187"/>
        <v>75</v>
      </c>
      <c r="HBO83">
        <f t="shared" si="187"/>
        <v>75</v>
      </c>
      <c r="HBP83">
        <f t="shared" si="187"/>
        <v>75</v>
      </c>
      <c r="HBQ83">
        <f t="shared" si="187"/>
        <v>75</v>
      </c>
      <c r="HBR83">
        <f t="shared" si="187"/>
        <v>75</v>
      </c>
      <c r="HBS83">
        <f t="shared" si="187"/>
        <v>75</v>
      </c>
      <c r="HBT83">
        <f t="shared" si="187"/>
        <v>75</v>
      </c>
      <c r="HBU83">
        <f t="shared" si="187"/>
        <v>75</v>
      </c>
      <c r="HBV83">
        <f t="shared" si="187"/>
        <v>75</v>
      </c>
      <c r="HBW83">
        <f t="shared" si="187"/>
        <v>75</v>
      </c>
      <c r="HBX83">
        <f t="shared" si="187"/>
        <v>75</v>
      </c>
      <c r="HBY83">
        <f t="shared" si="187"/>
        <v>75</v>
      </c>
      <c r="HBZ83">
        <f t="shared" si="187"/>
        <v>75</v>
      </c>
      <c r="HCA83">
        <f t="shared" si="187"/>
        <v>75</v>
      </c>
      <c r="HCB83">
        <f t="shared" si="187"/>
        <v>75</v>
      </c>
      <c r="HCC83">
        <f t="shared" si="187"/>
        <v>75</v>
      </c>
      <c r="HCD83">
        <f t="shared" si="187"/>
        <v>75</v>
      </c>
      <c r="HCE83">
        <f t="shared" si="187"/>
        <v>75</v>
      </c>
      <c r="HCF83">
        <f t="shared" si="187"/>
        <v>75</v>
      </c>
      <c r="HCG83">
        <f t="shared" si="187"/>
        <v>75</v>
      </c>
      <c r="HCH83">
        <f t="shared" si="187"/>
        <v>75</v>
      </c>
      <c r="HCI83">
        <f t="shared" si="187"/>
        <v>75</v>
      </c>
      <c r="HCJ83">
        <f t="shared" si="187"/>
        <v>75</v>
      </c>
      <c r="HCK83">
        <f t="shared" si="187"/>
        <v>75</v>
      </c>
      <c r="HCL83">
        <f t="shared" si="187"/>
        <v>75</v>
      </c>
      <c r="HCM83">
        <f t="shared" si="187"/>
        <v>75</v>
      </c>
      <c r="HCN83">
        <f t="shared" si="187"/>
        <v>75</v>
      </c>
      <c r="HCO83">
        <f t="shared" si="187"/>
        <v>75</v>
      </c>
      <c r="HCP83">
        <f t="shared" si="187"/>
        <v>75</v>
      </c>
      <c r="HCQ83">
        <f t="shared" si="187"/>
        <v>75</v>
      </c>
      <c r="HCR83">
        <f t="shared" si="187"/>
        <v>75</v>
      </c>
      <c r="HCS83">
        <f t="shared" si="187"/>
        <v>75</v>
      </c>
      <c r="HCT83">
        <f t="shared" si="187"/>
        <v>75</v>
      </c>
      <c r="HCU83">
        <f t="shared" ref="HCU83:HFF83" si="188">COUNTBLANK(HCU6:HCU81)</f>
        <v>75</v>
      </c>
      <c r="HCV83">
        <f t="shared" si="188"/>
        <v>75</v>
      </c>
      <c r="HCW83">
        <f t="shared" si="188"/>
        <v>75</v>
      </c>
      <c r="HCX83">
        <f t="shared" si="188"/>
        <v>75</v>
      </c>
      <c r="HCY83">
        <f t="shared" si="188"/>
        <v>75</v>
      </c>
      <c r="HCZ83">
        <f t="shared" si="188"/>
        <v>75</v>
      </c>
      <c r="HDA83">
        <f t="shared" si="188"/>
        <v>75</v>
      </c>
      <c r="HDB83">
        <f t="shared" si="188"/>
        <v>75</v>
      </c>
      <c r="HDC83">
        <f t="shared" si="188"/>
        <v>75</v>
      </c>
      <c r="HDD83">
        <f t="shared" si="188"/>
        <v>75</v>
      </c>
      <c r="HDE83">
        <f t="shared" si="188"/>
        <v>75</v>
      </c>
      <c r="HDF83">
        <f t="shared" si="188"/>
        <v>75</v>
      </c>
      <c r="HDG83">
        <f t="shared" si="188"/>
        <v>75</v>
      </c>
      <c r="HDH83">
        <f t="shared" si="188"/>
        <v>75</v>
      </c>
      <c r="HDI83">
        <f t="shared" si="188"/>
        <v>75</v>
      </c>
      <c r="HDJ83">
        <f t="shared" si="188"/>
        <v>75</v>
      </c>
      <c r="HDK83">
        <f t="shared" si="188"/>
        <v>75</v>
      </c>
      <c r="HDL83">
        <f t="shared" si="188"/>
        <v>75</v>
      </c>
      <c r="HDM83">
        <f t="shared" si="188"/>
        <v>75</v>
      </c>
      <c r="HDN83">
        <f t="shared" si="188"/>
        <v>75</v>
      </c>
      <c r="HDO83">
        <f t="shared" si="188"/>
        <v>75</v>
      </c>
      <c r="HDP83">
        <f t="shared" si="188"/>
        <v>75</v>
      </c>
      <c r="HDQ83">
        <f t="shared" si="188"/>
        <v>75</v>
      </c>
      <c r="HDR83">
        <f t="shared" si="188"/>
        <v>75</v>
      </c>
      <c r="HDS83">
        <f t="shared" si="188"/>
        <v>75</v>
      </c>
      <c r="HDT83">
        <f t="shared" si="188"/>
        <v>75</v>
      </c>
      <c r="HDU83">
        <f t="shared" si="188"/>
        <v>75</v>
      </c>
      <c r="HDV83">
        <f t="shared" si="188"/>
        <v>75</v>
      </c>
      <c r="HDW83">
        <f t="shared" si="188"/>
        <v>75</v>
      </c>
      <c r="HDX83">
        <f t="shared" si="188"/>
        <v>75</v>
      </c>
      <c r="HDY83">
        <f t="shared" si="188"/>
        <v>75</v>
      </c>
      <c r="HDZ83">
        <f t="shared" si="188"/>
        <v>75</v>
      </c>
      <c r="HEA83">
        <f t="shared" si="188"/>
        <v>75</v>
      </c>
      <c r="HEB83">
        <f t="shared" si="188"/>
        <v>75</v>
      </c>
      <c r="HEC83">
        <f t="shared" si="188"/>
        <v>75</v>
      </c>
      <c r="HED83">
        <f t="shared" si="188"/>
        <v>75</v>
      </c>
      <c r="HEE83">
        <f t="shared" si="188"/>
        <v>75</v>
      </c>
      <c r="HEF83">
        <f t="shared" si="188"/>
        <v>75</v>
      </c>
      <c r="HEG83">
        <f t="shared" si="188"/>
        <v>75</v>
      </c>
      <c r="HEH83">
        <f t="shared" si="188"/>
        <v>75</v>
      </c>
      <c r="HEI83">
        <f t="shared" si="188"/>
        <v>75</v>
      </c>
      <c r="HEJ83">
        <f t="shared" si="188"/>
        <v>75</v>
      </c>
      <c r="HEK83">
        <f t="shared" si="188"/>
        <v>75</v>
      </c>
      <c r="HEL83">
        <f t="shared" si="188"/>
        <v>75</v>
      </c>
      <c r="HEM83">
        <f t="shared" si="188"/>
        <v>75</v>
      </c>
      <c r="HEN83">
        <f t="shared" si="188"/>
        <v>75</v>
      </c>
      <c r="HEO83">
        <f t="shared" si="188"/>
        <v>75</v>
      </c>
      <c r="HEP83">
        <f t="shared" si="188"/>
        <v>75</v>
      </c>
      <c r="HEQ83">
        <f t="shared" si="188"/>
        <v>75</v>
      </c>
      <c r="HER83">
        <f t="shared" si="188"/>
        <v>75</v>
      </c>
      <c r="HES83">
        <f t="shared" si="188"/>
        <v>75</v>
      </c>
      <c r="HET83">
        <f t="shared" si="188"/>
        <v>75</v>
      </c>
      <c r="HEU83">
        <f t="shared" si="188"/>
        <v>75</v>
      </c>
      <c r="HEV83">
        <f t="shared" si="188"/>
        <v>75</v>
      </c>
      <c r="HEW83">
        <f t="shared" si="188"/>
        <v>75</v>
      </c>
      <c r="HEX83">
        <f t="shared" si="188"/>
        <v>75</v>
      </c>
      <c r="HEY83">
        <f t="shared" si="188"/>
        <v>75</v>
      </c>
      <c r="HEZ83">
        <f t="shared" si="188"/>
        <v>75</v>
      </c>
      <c r="HFA83">
        <f t="shared" si="188"/>
        <v>75</v>
      </c>
      <c r="HFB83">
        <f t="shared" si="188"/>
        <v>75</v>
      </c>
      <c r="HFC83">
        <f t="shared" si="188"/>
        <v>75</v>
      </c>
      <c r="HFD83">
        <f t="shared" si="188"/>
        <v>75</v>
      </c>
      <c r="HFE83">
        <f t="shared" si="188"/>
        <v>75</v>
      </c>
      <c r="HFF83">
        <f t="shared" si="188"/>
        <v>75</v>
      </c>
      <c r="HFG83">
        <f t="shared" ref="HFG83:HHR83" si="189">COUNTBLANK(HFG6:HFG81)</f>
        <v>75</v>
      </c>
      <c r="HFH83">
        <f t="shared" si="189"/>
        <v>75</v>
      </c>
      <c r="HFI83">
        <f t="shared" si="189"/>
        <v>75</v>
      </c>
      <c r="HFJ83">
        <f t="shared" si="189"/>
        <v>75</v>
      </c>
      <c r="HFK83">
        <f t="shared" si="189"/>
        <v>75</v>
      </c>
      <c r="HFL83">
        <f t="shared" si="189"/>
        <v>75</v>
      </c>
      <c r="HFM83">
        <f t="shared" si="189"/>
        <v>75</v>
      </c>
      <c r="HFN83">
        <f t="shared" si="189"/>
        <v>75</v>
      </c>
      <c r="HFO83">
        <f t="shared" si="189"/>
        <v>75</v>
      </c>
      <c r="HFP83">
        <f t="shared" si="189"/>
        <v>75</v>
      </c>
      <c r="HFQ83">
        <f t="shared" si="189"/>
        <v>75</v>
      </c>
      <c r="HFR83">
        <f t="shared" si="189"/>
        <v>75</v>
      </c>
      <c r="HFS83">
        <f t="shared" si="189"/>
        <v>75</v>
      </c>
      <c r="HFT83">
        <f t="shared" si="189"/>
        <v>75</v>
      </c>
      <c r="HFU83">
        <f t="shared" si="189"/>
        <v>75</v>
      </c>
      <c r="HFV83">
        <f t="shared" si="189"/>
        <v>75</v>
      </c>
      <c r="HFW83">
        <f t="shared" si="189"/>
        <v>75</v>
      </c>
      <c r="HFX83">
        <f t="shared" si="189"/>
        <v>75</v>
      </c>
      <c r="HFY83">
        <f t="shared" si="189"/>
        <v>75</v>
      </c>
      <c r="HFZ83">
        <f t="shared" si="189"/>
        <v>75</v>
      </c>
      <c r="HGA83">
        <f t="shared" si="189"/>
        <v>75</v>
      </c>
      <c r="HGB83">
        <f t="shared" si="189"/>
        <v>75</v>
      </c>
      <c r="HGC83">
        <f t="shared" si="189"/>
        <v>75</v>
      </c>
      <c r="HGD83">
        <f t="shared" si="189"/>
        <v>75</v>
      </c>
      <c r="HGE83">
        <f t="shared" si="189"/>
        <v>75</v>
      </c>
      <c r="HGF83">
        <f t="shared" si="189"/>
        <v>75</v>
      </c>
      <c r="HGG83">
        <f t="shared" si="189"/>
        <v>75</v>
      </c>
      <c r="HGH83">
        <f t="shared" si="189"/>
        <v>75</v>
      </c>
      <c r="HGI83">
        <f t="shared" si="189"/>
        <v>75</v>
      </c>
      <c r="HGJ83">
        <f t="shared" si="189"/>
        <v>75</v>
      </c>
      <c r="HGK83">
        <f t="shared" si="189"/>
        <v>75</v>
      </c>
      <c r="HGL83">
        <f t="shared" si="189"/>
        <v>75</v>
      </c>
      <c r="HGM83">
        <f t="shared" si="189"/>
        <v>75</v>
      </c>
      <c r="HGN83">
        <f t="shared" si="189"/>
        <v>75</v>
      </c>
      <c r="HGO83">
        <f t="shared" si="189"/>
        <v>75</v>
      </c>
      <c r="HGP83">
        <f t="shared" si="189"/>
        <v>75</v>
      </c>
      <c r="HGQ83">
        <f t="shared" si="189"/>
        <v>75</v>
      </c>
      <c r="HGR83">
        <f t="shared" si="189"/>
        <v>75</v>
      </c>
      <c r="HGS83">
        <f t="shared" si="189"/>
        <v>75</v>
      </c>
      <c r="HGT83">
        <f t="shared" si="189"/>
        <v>75</v>
      </c>
      <c r="HGU83">
        <f t="shared" si="189"/>
        <v>75</v>
      </c>
      <c r="HGV83">
        <f t="shared" si="189"/>
        <v>75</v>
      </c>
      <c r="HGW83">
        <f t="shared" si="189"/>
        <v>75</v>
      </c>
      <c r="HGX83">
        <f t="shared" si="189"/>
        <v>75</v>
      </c>
      <c r="HGY83">
        <f t="shared" si="189"/>
        <v>75</v>
      </c>
      <c r="HGZ83">
        <f t="shared" si="189"/>
        <v>75</v>
      </c>
      <c r="HHA83">
        <f t="shared" si="189"/>
        <v>75</v>
      </c>
      <c r="HHB83">
        <f t="shared" si="189"/>
        <v>75</v>
      </c>
      <c r="HHC83">
        <f t="shared" si="189"/>
        <v>75</v>
      </c>
      <c r="HHD83">
        <f t="shared" si="189"/>
        <v>75</v>
      </c>
      <c r="HHE83">
        <f t="shared" si="189"/>
        <v>75</v>
      </c>
      <c r="HHF83">
        <f t="shared" si="189"/>
        <v>75</v>
      </c>
      <c r="HHG83">
        <f t="shared" si="189"/>
        <v>75</v>
      </c>
      <c r="HHH83">
        <f t="shared" si="189"/>
        <v>75</v>
      </c>
      <c r="HHI83">
        <f t="shared" si="189"/>
        <v>75</v>
      </c>
      <c r="HHJ83">
        <f t="shared" si="189"/>
        <v>75</v>
      </c>
      <c r="HHK83">
        <f t="shared" si="189"/>
        <v>75</v>
      </c>
      <c r="HHL83">
        <f t="shared" si="189"/>
        <v>75</v>
      </c>
      <c r="HHM83">
        <f t="shared" si="189"/>
        <v>75</v>
      </c>
      <c r="HHN83">
        <f t="shared" si="189"/>
        <v>75</v>
      </c>
      <c r="HHO83">
        <f t="shared" si="189"/>
        <v>75</v>
      </c>
      <c r="HHP83">
        <f t="shared" si="189"/>
        <v>75</v>
      </c>
      <c r="HHQ83">
        <f t="shared" si="189"/>
        <v>75</v>
      </c>
      <c r="HHR83">
        <f t="shared" si="189"/>
        <v>75</v>
      </c>
      <c r="HHS83">
        <f t="shared" ref="HHS83:HKD83" si="190">COUNTBLANK(HHS6:HHS81)</f>
        <v>75</v>
      </c>
      <c r="HHT83">
        <f t="shared" si="190"/>
        <v>75</v>
      </c>
      <c r="HHU83">
        <f t="shared" si="190"/>
        <v>75</v>
      </c>
      <c r="HHV83">
        <f t="shared" si="190"/>
        <v>75</v>
      </c>
      <c r="HHW83">
        <f t="shared" si="190"/>
        <v>75</v>
      </c>
      <c r="HHX83">
        <f t="shared" si="190"/>
        <v>75</v>
      </c>
      <c r="HHY83">
        <f t="shared" si="190"/>
        <v>75</v>
      </c>
      <c r="HHZ83">
        <f t="shared" si="190"/>
        <v>75</v>
      </c>
      <c r="HIA83">
        <f t="shared" si="190"/>
        <v>75</v>
      </c>
      <c r="HIB83">
        <f t="shared" si="190"/>
        <v>75</v>
      </c>
      <c r="HIC83">
        <f t="shared" si="190"/>
        <v>75</v>
      </c>
      <c r="HID83">
        <f t="shared" si="190"/>
        <v>75</v>
      </c>
      <c r="HIE83">
        <f t="shared" si="190"/>
        <v>75</v>
      </c>
      <c r="HIF83">
        <f t="shared" si="190"/>
        <v>75</v>
      </c>
      <c r="HIG83">
        <f t="shared" si="190"/>
        <v>75</v>
      </c>
      <c r="HIH83">
        <f t="shared" si="190"/>
        <v>75</v>
      </c>
      <c r="HII83">
        <f t="shared" si="190"/>
        <v>75</v>
      </c>
      <c r="HIJ83">
        <f t="shared" si="190"/>
        <v>75</v>
      </c>
      <c r="HIK83">
        <f t="shared" si="190"/>
        <v>75</v>
      </c>
      <c r="HIL83">
        <f t="shared" si="190"/>
        <v>75</v>
      </c>
      <c r="HIM83">
        <f t="shared" si="190"/>
        <v>75</v>
      </c>
      <c r="HIN83">
        <f t="shared" si="190"/>
        <v>75</v>
      </c>
      <c r="HIO83">
        <f t="shared" si="190"/>
        <v>75</v>
      </c>
      <c r="HIP83">
        <f t="shared" si="190"/>
        <v>75</v>
      </c>
      <c r="HIQ83">
        <f t="shared" si="190"/>
        <v>75</v>
      </c>
      <c r="HIR83">
        <f t="shared" si="190"/>
        <v>75</v>
      </c>
      <c r="HIS83">
        <f t="shared" si="190"/>
        <v>75</v>
      </c>
      <c r="HIT83">
        <f t="shared" si="190"/>
        <v>75</v>
      </c>
      <c r="HIU83">
        <f t="shared" si="190"/>
        <v>75</v>
      </c>
      <c r="HIV83">
        <f t="shared" si="190"/>
        <v>75</v>
      </c>
      <c r="HIW83">
        <f t="shared" si="190"/>
        <v>75</v>
      </c>
      <c r="HIX83">
        <f t="shared" si="190"/>
        <v>75</v>
      </c>
      <c r="HIY83">
        <f t="shared" si="190"/>
        <v>75</v>
      </c>
      <c r="HIZ83">
        <f t="shared" si="190"/>
        <v>75</v>
      </c>
      <c r="HJA83">
        <f t="shared" si="190"/>
        <v>75</v>
      </c>
      <c r="HJB83">
        <f t="shared" si="190"/>
        <v>75</v>
      </c>
      <c r="HJC83">
        <f t="shared" si="190"/>
        <v>75</v>
      </c>
      <c r="HJD83">
        <f t="shared" si="190"/>
        <v>75</v>
      </c>
      <c r="HJE83">
        <f t="shared" si="190"/>
        <v>75</v>
      </c>
      <c r="HJF83">
        <f t="shared" si="190"/>
        <v>75</v>
      </c>
      <c r="HJG83">
        <f t="shared" si="190"/>
        <v>75</v>
      </c>
      <c r="HJH83">
        <f t="shared" si="190"/>
        <v>75</v>
      </c>
      <c r="HJI83">
        <f t="shared" si="190"/>
        <v>75</v>
      </c>
      <c r="HJJ83">
        <f t="shared" si="190"/>
        <v>75</v>
      </c>
      <c r="HJK83">
        <f t="shared" si="190"/>
        <v>75</v>
      </c>
      <c r="HJL83">
        <f t="shared" si="190"/>
        <v>75</v>
      </c>
      <c r="HJM83">
        <f t="shared" si="190"/>
        <v>75</v>
      </c>
      <c r="HJN83">
        <f t="shared" si="190"/>
        <v>75</v>
      </c>
      <c r="HJO83">
        <f t="shared" si="190"/>
        <v>75</v>
      </c>
      <c r="HJP83">
        <f t="shared" si="190"/>
        <v>75</v>
      </c>
      <c r="HJQ83">
        <f t="shared" si="190"/>
        <v>75</v>
      </c>
      <c r="HJR83">
        <f t="shared" si="190"/>
        <v>75</v>
      </c>
      <c r="HJS83">
        <f t="shared" si="190"/>
        <v>75</v>
      </c>
      <c r="HJT83">
        <f t="shared" si="190"/>
        <v>75</v>
      </c>
      <c r="HJU83">
        <f t="shared" si="190"/>
        <v>75</v>
      </c>
      <c r="HJV83">
        <f t="shared" si="190"/>
        <v>75</v>
      </c>
      <c r="HJW83">
        <f t="shared" si="190"/>
        <v>75</v>
      </c>
      <c r="HJX83">
        <f t="shared" si="190"/>
        <v>75</v>
      </c>
      <c r="HJY83">
        <f t="shared" si="190"/>
        <v>75</v>
      </c>
      <c r="HJZ83">
        <f t="shared" si="190"/>
        <v>75</v>
      </c>
      <c r="HKA83">
        <f t="shared" si="190"/>
        <v>75</v>
      </c>
      <c r="HKB83">
        <f t="shared" si="190"/>
        <v>75</v>
      </c>
      <c r="HKC83">
        <f t="shared" si="190"/>
        <v>75</v>
      </c>
      <c r="HKD83">
        <f t="shared" si="190"/>
        <v>75</v>
      </c>
      <c r="HKE83">
        <f t="shared" ref="HKE83:HMP83" si="191">COUNTBLANK(HKE6:HKE81)</f>
        <v>75</v>
      </c>
      <c r="HKF83">
        <f t="shared" si="191"/>
        <v>75</v>
      </c>
      <c r="HKG83">
        <f t="shared" si="191"/>
        <v>75</v>
      </c>
      <c r="HKH83">
        <f t="shared" si="191"/>
        <v>75</v>
      </c>
      <c r="HKI83">
        <f t="shared" si="191"/>
        <v>75</v>
      </c>
      <c r="HKJ83">
        <f t="shared" si="191"/>
        <v>75</v>
      </c>
      <c r="HKK83">
        <f t="shared" si="191"/>
        <v>75</v>
      </c>
      <c r="HKL83">
        <f t="shared" si="191"/>
        <v>75</v>
      </c>
      <c r="HKM83">
        <f t="shared" si="191"/>
        <v>75</v>
      </c>
      <c r="HKN83">
        <f t="shared" si="191"/>
        <v>75</v>
      </c>
      <c r="HKO83">
        <f t="shared" si="191"/>
        <v>75</v>
      </c>
      <c r="HKP83">
        <f t="shared" si="191"/>
        <v>75</v>
      </c>
      <c r="HKQ83">
        <f t="shared" si="191"/>
        <v>75</v>
      </c>
      <c r="HKR83">
        <f t="shared" si="191"/>
        <v>75</v>
      </c>
      <c r="HKS83">
        <f t="shared" si="191"/>
        <v>75</v>
      </c>
      <c r="HKT83">
        <f t="shared" si="191"/>
        <v>75</v>
      </c>
      <c r="HKU83">
        <f t="shared" si="191"/>
        <v>75</v>
      </c>
      <c r="HKV83">
        <f t="shared" si="191"/>
        <v>75</v>
      </c>
      <c r="HKW83">
        <f t="shared" si="191"/>
        <v>75</v>
      </c>
      <c r="HKX83">
        <f t="shared" si="191"/>
        <v>75</v>
      </c>
      <c r="HKY83">
        <f t="shared" si="191"/>
        <v>75</v>
      </c>
      <c r="HKZ83">
        <f t="shared" si="191"/>
        <v>75</v>
      </c>
      <c r="HLA83">
        <f t="shared" si="191"/>
        <v>75</v>
      </c>
      <c r="HLB83">
        <f t="shared" si="191"/>
        <v>75</v>
      </c>
      <c r="HLC83">
        <f t="shared" si="191"/>
        <v>75</v>
      </c>
      <c r="HLD83">
        <f t="shared" si="191"/>
        <v>75</v>
      </c>
      <c r="HLE83">
        <f t="shared" si="191"/>
        <v>75</v>
      </c>
      <c r="HLF83">
        <f t="shared" si="191"/>
        <v>75</v>
      </c>
      <c r="HLG83">
        <f t="shared" si="191"/>
        <v>75</v>
      </c>
      <c r="HLH83">
        <f t="shared" si="191"/>
        <v>75</v>
      </c>
      <c r="HLI83">
        <f t="shared" si="191"/>
        <v>75</v>
      </c>
      <c r="HLJ83">
        <f t="shared" si="191"/>
        <v>75</v>
      </c>
      <c r="HLK83">
        <f t="shared" si="191"/>
        <v>75</v>
      </c>
      <c r="HLL83">
        <f t="shared" si="191"/>
        <v>75</v>
      </c>
      <c r="HLM83">
        <f t="shared" si="191"/>
        <v>75</v>
      </c>
      <c r="HLN83">
        <f t="shared" si="191"/>
        <v>75</v>
      </c>
      <c r="HLO83">
        <f t="shared" si="191"/>
        <v>75</v>
      </c>
      <c r="HLP83">
        <f t="shared" si="191"/>
        <v>75</v>
      </c>
      <c r="HLQ83">
        <f t="shared" si="191"/>
        <v>75</v>
      </c>
      <c r="HLR83">
        <f t="shared" si="191"/>
        <v>75</v>
      </c>
      <c r="HLS83">
        <f t="shared" si="191"/>
        <v>75</v>
      </c>
      <c r="HLT83">
        <f t="shared" si="191"/>
        <v>75</v>
      </c>
      <c r="HLU83">
        <f t="shared" si="191"/>
        <v>75</v>
      </c>
      <c r="HLV83">
        <f t="shared" si="191"/>
        <v>75</v>
      </c>
      <c r="HLW83">
        <f t="shared" si="191"/>
        <v>75</v>
      </c>
      <c r="HLX83">
        <f t="shared" si="191"/>
        <v>75</v>
      </c>
      <c r="HLY83">
        <f t="shared" si="191"/>
        <v>75</v>
      </c>
      <c r="HLZ83">
        <f t="shared" si="191"/>
        <v>75</v>
      </c>
      <c r="HMA83">
        <f t="shared" si="191"/>
        <v>75</v>
      </c>
      <c r="HMB83">
        <f t="shared" si="191"/>
        <v>75</v>
      </c>
      <c r="HMC83">
        <f t="shared" si="191"/>
        <v>75</v>
      </c>
      <c r="HMD83">
        <f t="shared" si="191"/>
        <v>75</v>
      </c>
      <c r="HME83">
        <f t="shared" si="191"/>
        <v>75</v>
      </c>
      <c r="HMF83">
        <f t="shared" si="191"/>
        <v>75</v>
      </c>
      <c r="HMG83">
        <f t="shared" si="191"/>
        <v>75</v>
      </c>
      <c r="HMH83">
        <f t="shared" si="191"/>
        <v>75</v>
      </c>
      <c r="HMI83">
        <f t="shared" si="191"/>
        <v>75</v>
      </c>
      <c r="HMJ83">
        <f t="shared" si="191"/>
        <v>75</v>
      </c>
      <c r="HMK83">
        <f t="shared" si="191"/>
        <v>75</v>
      </c>
      <c r="HML83">
        <f t="shared" si="191"/>
        <v>75</v>
      </c>
      <c r="HMM83">
        <f t="shared" si="191"/>
        <v>75</v>
      </c>
      <c r="HMN83">
        <f t="shared" si="191"/>
        <v>75</v>
      </c>
      <c r="HMO83">
        <f t="shared" si="191"/>
        <v>75</v>
      </c>
      <c r="HMP83">
        <f t="shared" si="191"/>
        <v>75</v>
      </c>
      <c r="HMQ83">
        <f t="shared" ref="HMQ83:HPB83" si="192">COUNTBLANK(HMQ6:HMQ81)</f>
        <v>75</v>
      </c>
      <c r="HMR83">
        <f t="shared" si="192"/>
        <v>75</v>
      </c>
      <c r="HMS83">
        <f t="shared" si="192"/>
        <v>75</v>
      </c>
      <c r="HMT83">
        <f t="shared" si="192"/>
        <v>75</v>
      </c>
      <c r="HMU83">
        <f t="shared" si="192"/>
        <v>75</v>
      </c>
      <c r="HMV83">
        <f t="shared" si="192"/>
        <v>75</v>
      </c>
      <c r="HMW83">
        <f t="shared" si="192"/>
        <v>75</v>
      </c>
      <c r="HMX83">
        <f t="shared" si="192"/>
        <v>75</v>
      </c>
      <c r="HMY83">
        <f t="shared" si="192"/>
        <v>75</v>
      </c>
      <c r="HMZ83">
        <f t="shared" si="192"/>
        <v>75</v>
      </c>
      <c r="HNA83">
        <f t="shared" si="192"/>
        <v>75</v>
      </c>
      <c r="HNB83">
        <f t="shared" si="192"/>
        <v>75</v>
      </c>
      <c r="HNC83">
        <f t="shared" si="192"/>
        <v>75</v>
      </c>
      <c r="HND83">
        <f t="shared" si="192"/>
        <v>75</v>
      </c>
      <c r="HNE83">
        <f t="shared" si="192"/>
        <v>75</v>
      </c>
      <c r="HNF83">
        <f t="shared" si="192"/>
        <v>75</v>
      </c>
      <c r="HNG83">
        <f t="shared" si="192"/>
        <v>75</v>
      </c>
      <c r="HNH83">
        <f t="shared" si="192"/>
        <v>75</v>
      </c>
      <c r="HNI83">
        <f t="shared" si="192"/>
        <v>75</v>
      </c>
      <c r="HNJ83">
        <f t="shared" si="192"/>
        <v>75</v>
      </c>
      <c r="HNK83">
        <f t="shared" si="192"/>
        <v>75</v>
      </c>
      <c r="HNL83">
        <f t="shared" si="192"/>
        <v>75</v>
      </c>
      <c r="HNM83">
        <f t="shared" si="192"/>
        <v>75</v>
      </c>
      <c r="HNN83">
        <f t="shared" si="192"/>
        <v>75</v>
      </c>
      <c r="HNO83">
        <f t="shared" si="192"/>
        <v>75</v>
      </c>
      <c r="HNP83">
        <f t="shared" si="192"/>
        <v>75</v>
      </c>
      <c r="HNQ83">
        <f t="shared" si="192"/>
        <v>75</v>
      </c>
      <c r="HNR83">
        <f t="shared" si="192"/>
        <v>75</v>
      </c>
      <c r="HNS83">
        <f t="shared" si="192"/>
        <v>75</v>
      </c>
      <c r="HNT83">
        <f t="shared" si="192"/>
        <v>75</v>
      </c>
      <c r="HNU83">
        <f t="shared" si="192"/>
        <v>75</v>
      </c>
      <c r="HNV83">
        <f t="shared" si="192"/>
        <v>75</v>
      </c>
      <c r="HNW83">
        <f t="shared" si="192"/>
        <v>75</v>
      </c>
      <c r="HNX83">
        <f t="shared" si="192"/>
        <v>75</v>
      </c>
      <c r="HNY83">
        <f t="shared" si="192"/>
        <v>75</v>
      </c>
      <c r="HNZ83">
        <f t="shared" si="192"/>
        <v>75</v>
      </c>
      <c r="HOA83">
        <f t="shared" si="192"/>
        <v>75</v>
      </c>
      <c r="HOB83">
        <f t="shared" si="192"/>
        <v>75</v>
      </c>
      <c r="HOC83">
        <f t="shared" si="192"/>
        <v>75</v>
      </c>
      <c r="HOD83">
        <f t="shared" si="192"/>
        <v>75</v>
      </c>
      <c r="HOE83">
        <f t="shared" si="192"/>
        <v>75</v>
      </c>
      <c r="HOF83">
        <f t="shared" si="192"/>
        <v>75</v>
      </c>
      <c r="HOG83">
        <f t="shared" si="192"/>
        <v>75</v>
      </c>
      <c r="HOH83">
        <f t="shared" si="192"/>
        <v>75</v>
      </c>
      <c r="HOI83">
        <f t="shared" si="192"/>
        <v>75</v>
      </c>
      <c r="HOJ83">
        <f t="shared" si="192"/>
        <v>75</v>
      </c>
      <c r="HOK83">
        <f t="shared" si="192"/>
        <v>75</v>
      </c>
      <c r="HOL83">
        <f t="shared" si="192"/>
        <v>75</v>
      </c>
      <c r="HOM83">
        <f t="shared" si="192"/>
        <v>75</v>
      </c>
      <c r="HON83">
        <f t="shared" si="192"/>
        <v>75</v>
      </c>
      <c r="HOO83">
        <f t="shared" si="192"/>
        <v>75</v>
      </c>
      <c r="HOP83">
        <f t="shared" si="192"/>
        <v>75</v>
      </c>
      <c r="HOQ83">
        <f t="shared" si="192"/>
        <v>75</v>
      </c>
      <c r="HOR83">
        <f t="shared" si="192"/>
        <v>75</v>
      </c>
      <c r="HOS83">
        <f t="shared" si="192"/>
        <v>75</v>
      </c>
      <c r="HOT83">
        <f t="shared" si="192"/>
        <v>75</v>
      </c>
      <c r="HOU83">
        <f t="shared" si="192"/>
        <v>75</v>
      </c>
      <c r="HOV83">
        <f t="shared" si="192"/>
        <v>75</v>
      </c>
      <c r="HOW83">
        <f t="shared" si="192"/>
        <v>75</v>
      </c>
      <c r="HOX83">
        <f t="shared" si="192"/>
        <v>75</v>
      </c>
      <c r="HOY83">
        <f t="shared" si="192"/>
        <v>75</v>
      </c>
      <c r="HOZ83">
        <f t="shared" si="192"/>
        <v>75</v>
      </c>
      <c r="HPA83">
        <f t="shared" si="192"/>
        <v>75</v>
      </c>
      <c r="HPB83">
        <f t="shared" si="192"/>
        <v>75</v>
      </c>
      <c r="HPC83">
        <f t="shared" ref="HPC83:HRN83" si="193">COUNTBLANK(HPC6:HPC81)</f>
        <v>75</v>
      </c>
      <c r="HPD83">
        <f t="shared" si="193"/>
        <v>75</v>
      </c>
      <c r="HPE83">
        <f t="shared" si="193"/>
        <v>75</v>
      </c>
      <c r="HPF83">
        <f t="shared" si="193"/>
        <v>75</v>
      </c>
      <c r="HPG83">
        <f t="shared" si="193"/>
        <v>75</v>
      </c>
      <c r="HPH83">
        <f t="shared" si="193"/>
        <v>75</v>
      </c>
      <c r="HPI83">
        <f t="shared" si="193"/>
        <v>75</v>
      </c>
      <c r="HPJ83">
        <f t="shared" si="193"/>
        <v>75</v>
      </c>
      <c r="HPK83">
        <f t="shared" si="193"/>
        <v>75</v>
      </c>
      <c r="HPL83">
        <f t="shared" si="193"/>
        <v>75</v>
      </c>
      <c r="HPM83">
        <f t="shared" si="193"/>
        <v>75</v>
      </c>
      <c r="HPN83">
        <f t="shared" si="193"/>
        <v>75</v>
      </c>
      <c r="HPO83">
        <f t="shared" si="193"/>
        <v>75</v>
      </c>
      <c r="HPP83">
        <f t="shared" si="193"/>
        <v>75</v>
      </c>
      <c r="HPQ83">
        <f t="shared" si="193"/>
        <v>75</v>
      </c>
      <c r="HPR83">
        <f t="shared" si="193"/>
        <v>75</v>
      </c>
      <c r="HPS83">
        <f t="shared" si="193"/>
        <v>75</v>
      </c>
      <c r="HPT83">
        <f t="shared" si="193"/>
        <v>75</v>
      </c>
      <c r="HPU83">
        <f t="shared" si="193"/>
        <v>75</v>
      </c>
      <c r="HPV83">
        <f t="shared" si="193"/>
        <v>75</v>
      </c>
      <c r="HPW83">
        <f t="shared" si="193"/>
        <v>75</v>
      </c>
      <c r="HPX83">
        <f t="shared" si="193"/>
        <v>75</v>
      </c>
      <c r="HPY83">
        <f t="shared" si="193"/>
        <v>75</v>
      </c>
      <c r="HPZ83">
        <f t="shared" si="193"/>
        <v>75</v>
      </c>
      <c r="HQA83">
        <f t="shared" si="193"/>
        <v>75</v>
      </c>
      <c r="HQB83">
        <f t="shared" si="193"/>
        <v>75</v>
      </c>
      <c r="HQC83">
        <f t="shared" si="193"/>
        <v>75</v>
      </c>
      <c r="HQD83">
        <f t="shared" si="193"/>
        <v>75</v>
      </c>
      <c r="HQE83">
        <f t="shared" si="193"/>
        <v>75</v>
      </c>
      <c r="HQF83">
        <f t="shared" si="193"/>
        <v>75</v>
      </c>
      <c r="HQG83">
        <f t="shared" si="193"/>
        <v>75</v>
      </c>
      <c r="HQH83">
        <f t="shared" si="193"/>
        <v>75</v>
      </c>
      <c r="HQI83">
        <f t="shared" si="193"/>
        <v>75</v>
      </c>
      <c r="HQJ83">
        <f t="shared" si="193"/>
        <v>75</v>
      </c>
      <c r="HQK83">
        <f t="shared" si="193"/>
        <v>75</v>
      </c>
      <c r="HQL83">
        <f t="shared" si="193"/>
        <v>75</v>
      </c>
      <c r="HQM83">
        <f t="shared" si="193"/>
        <v>75</v>
      </c>
      <c r="HQN83">
        <f t="shared" si="193"/>
        <v>75</v>
      </c>
      <c r="HQO83">
        <f t="shared" si="193"/>
        <v>75</v>
      </c>
      <c r="HQP83">
        <f t="shared" si="193"/>
        <v>75</v>
      </c>
      <c r="HQQ83">
        <f t="shared" si="193"/>
        <v>75</v>
      </c>
      <c r="HQR83">
        <f t="shared" si="193"/>
        <v>75</v>
      </c>
      <c r="HQS83">
        <f t="shared" si="193"/>
        <v>75</v>
      </c>
      <c r="HQT83">
        <f t="shared" si="193"/>
        <v>75</v>
      </c>
      <c r="HQU83">
        <f t="shared" si="193"/>
        <v>75</v>
      </c>
      <c r="HQV83">
        <f t="shared" si="193"/>
        <v>75</v>
      </c>
      <c r="HQW83">
        <f t="shared" si="193"/>
        <v>75</v>
      </c>
      <c r="HQX83">
        <f t="shared" si="193"/>
        <v>75</v>
      </c>
      <c r="HQY83">
        <f t="shared" si="193"/>
        <v>75</v>
      </c>
      <c r="HQZ83">
        <f t="shared" si="193"/>
        <v>75</v>
      </c>
      <c r="HRA83">
        <f t="shared" si="193"/>
        <v>75</v>
      </c>
      <c r="HRB83">
        <f t="shared" si="193"/>
        <v>75</v>
      </c>
      <c r="HRC83">
        <f t="shared" si="193"/>
        <v>75</v>
      </c>
      <c r="HRD83">
        <f t="shared" si="193"/>
        <v>75</v>
      </c>
      <c r="HRE83">
        <f t="shared" si="193"/>
        <v>75</v>
      </c>
      <c r="HRF83">
        <f t="shared" si="193"/>
        <v>75</v>
      </c>
      <c r="HRG83">
        <f t="shared" si="193"/>
        <v>75</v>
      </c>
      <c r="HRH83">
        <f t="shared" si="193"/>
        <v>75</v>
      </c>
      <c r="HRI83">
        <f t="shared" si="193"/>
        <v>75</v>
      </c>
      <c r="HRJ83">
        <f t="shared" si="193"/>
        <v>75</v>
      </c>
      <c r="HRK83">
        <f t="shared" si="193"/>
        <v>75</v>
      </c>
      <c r="HRL83">
        <f t="shared" si="193"/>
        <v>75</v>
      </c>
      <c r="HRM83">
        <f t="shared" si="193"/>
        <v>75</v>
      </c>
      <c r="HRN83">
        <f t="shared" si="193"/>
        <v>75</v>
      </c>
      <c r="HRO83">
        <f t="shared" ref="HRO83:HTZ83" si="194">COUNTBLANK(HRO6:HRO81)</f>
        <v>75</v>
      </c>
      <c r="HRP83">
        <f t="shared" si="194"/>
        <v>75</v>
      </c>
      <c r="HRQ83">
        <f t="shared" si="194"/>
        <v>75</v>
      </c>
      <c r="HRR83">
        <f t="shared" si="194"/>
        <v>75</v>
      </c>
      <c r="HRS83">
        <f t="shared" si="194"/>
        <v>75</v>
      </c>
      <c r="HRT83">
        <f t="shared" si="194"/>
        <v>75</v>
      </c>
      <c r="HRU83">
        <f t="shared" si="194"/>
        <v>75</v>
      </c>
      <c r="HRV83">
        <f t="shared" si="194"/>
        <v>75</v>
      </c>
      <c r="HRW83">
        <f t="shared" si="194"/>
        <v>75</v>
      </c>
      <c r="HRX83">
        <f t="shared" si="194"/>
        <v>75</v>
      </c>
      <c r="HRY83">
        <f t="shared" si="194"/>
        <v>75</v>
      </c>
      <c r="HRZ83">
        <f t="shared" si="194"/>
        <v>75</v>
      </c>
      <c r="HSA83">
        <f t="shared" si="194"/>
        <v>75</v>
      </c>
      <c r="HSB83">
        <f t="shared" si="194"/>
        <v>75</v>
      </c>
      <c r="HSC83">
        <f t="shared" si="194"/>
        <v>75</v>
      </c>
      <c r="HSD83">
        <f t="shared" si="194"/>
        <v>75</v>
      </c>
      <c r="HSE83">
        <f t="shared" si="194"/>
        <v>75</v>
      </c>
      <c r="HSF83">
        <f t="shared" si="194"/>
        <v>75</v>
      </c>
      <c r="HSG83">
        <f t="shared" si="194"/>
        <v>75</v>
      </c>
      <c r="HSH83">
        <f t="shared" si="194"/>
        <v>75</v>
      </c>
      <c r="HSI83">
        <f t="shared" si="194"/>
        <v>75</v>
      </c>
      <c r="HSJ83">
        <f t="shared" si="194"/>
        <v>75</v>
      </c>
      <c r="HSK83">
        <f t="shared" si="194"/>
        <v>75</v>
      </c>
      <c r="HSL83">
        <f t="shared" si="194"/>
        <v>75</v>
      </c>
      <c r="HSM83">
        <f t="shared" si="194"/>
        <v>75</v>
      </c>
      <c r="HSN83">
        <f t="shared" si="194"/>
        <v>75</v>
      </c>
      <c r="HSO83">
        <f t="shared" si="194"/>
        <v>75</v>
      </c>
      <c r="HSP83">
        <f t="shared" si="194"/>
        <v>75</v>
      </c>
      <c r="HSQ83">
        <f t="shared" si="194"/>
        <v>75</v>
      </c>
      <c r="HSR83">
        <f t="shared" si="194"/>
        <v>75</v>
      </c>
      <c r="HSS83">
        <f t="shared" si="194"/>
        <v>75</v>
      </c>
      <c r="HST83">
        <f t="shared" si="194"/>
        <v>75</v>
      </c>
      <c r="HSU83">
        <f t="shared" si="194"/>
        <v>75</v>
      </c>
      <c r="HSV83">
        <f t="shared" si="194"/>
        <v>75</v>
      </c>
      <c r="HSW83">
        <f t="shared" si="194"/>
        <v>75</v>
      </c>
      <c r="HSX83">
        <f t="shared" si="194"/>
        <v>75</v>
      </c>
      <c r="HSY83">
        <f t="shared" si="194"/>
        <v>75</v>
      </c>
      <c r="HSZ83">
        <f t="shared" si="194"/>
        <v>75</v>
      </c>
      <c r="HTA83">
        <f t="shared" si="194"/>
        <v>75</v>
      </c>
      <c r="HTB83">
        <f t="shared" si="194"/>
        <v>75</v>
      </c>
      <c r="HTC83">
        <f t="shared" si="194"/>
        <v>75</v>
      </c>
      <c r="HTD83">
        <f t="shared" si="194"/>
        <v>75</v>
      </c>
      <c r="HTE83">
        <f t="shared" si="194"/>
        <v>75</v>
      </c>
      <c r="HTF83">
        <f t="shared" si="194"/>
        <v>75</v>
      </c>
      <c r="HTG83">
        <f t="shared" si="194"/>
        <v>75</v>
      </c>
      <c r="HTH83">
        <f t="shared" si="194"/>
        <v>75</v>
      </c>
      <c r="HTI83">
        <f t="shared" si="194"/>
        <v>75</v>
      </c>
      <c r="HTJ83">
        <f t="shared" si="194"/>
        <v>75</v>
      </c>
      <c r="HTK83">
        <f t="shared" si="194"/>
        <v>75</v>
      </c>
      <c r="HTL83">
        <f t="shared" si="194"/>
        <v>75</v>
      </c>
      <c r="HTM83">
        <f t="shared" si="194"/>
        <v>75</v>
      </c>
      <c r="HTN83">
        <f t="shared" si="194"/>
        <v>75</v>
      </c>
      <c r="HTO83">
        <f t="shared" si="194"/>
        <v>75</v>
      </c>
      <c r="HTP83">
        <f t="shared" si="194"/>
        <v>75</v>
      </c>
      <c r="HTQ83">
        <f t="shared" si="194"/>
        <v>75</v>
      </c>
      <c r="HTR83">
        <f t="shared" si="194"/>
        <v>75</v>
      </c>
      <c r="HTS83">
        <f t="shared" si="194"/>
        <v>75</v>
      </c>
      <c r="HTT83">
        <f t="shared" si="194"/>
        <v>75</v>
      </c>
      <c r="HTU83">
        <f t="shared" si="194"/>
        <v>75</v>
      </c>
      <c r="HTV83">
        <f t="shared" si="194"/>
        <v>75</v>
      </c>
      <c r="HTW83">
        <f t="shared" si="194"/>
        <v>75</v>
      </c>
      <c r="HTX83">
        <f t="shared" si="194"/>
        <v>75</v>
      </c>
      <c r="HTY83">
        <f t="shared" si="194"/>
        <v>75</v>
      </c>
      <c r="HTZ83">
        <f t="shared" si="194"/>
        <v>75</v>
      </c>
      <c r="HUA83">
        <f t="shared" ref="HUA83:HWL83" si="195">COUNTBLANK(HUA6:HUA81)</f>
        <v>75</v>
      </c>
      <c r="HUB83">
        <f t="shared" si="195"/>
        <v>75</v>
      </c>
      <c r="HUC83">
        <f t="shared" si="195"/>
        <v>75</v>
      </c>
      <c r="HUD83">
        <f t="shared" si="195"/>
        <v>75</v>
      </c>
      <c r="HUE83">
        <f t="shared" si="195"/>
        <v>75</v>
      </c>
      <c r="HUF83">
        <f t="shared" si="195"/>
        <v>75</v>
      </c>
      <c r="HUG83">
        <f t="shared" si="195"/>
        <v>75</v>
      </c>
      <c r="HUH83">
        <f t="shared" si="195"/>
        <v>75</v>
      </c>
      <c r="HUI83">
        <f t="shared" si="195"/>
        <v>75</v>
      </c>
      <c r="HUJ83">
        <f t="shared" si="195"/>
        <v>75</v>
      </c>
      <c r="HUK83">
        <f t="shared" si="195"/>
        <v>75</v>
      </c>
      <c r="HUL83">
        <f t="shared" si="195"/>
        <v>75</v>
      </c>
      <c r="HUM83">
        <f t="shared" si="195"/>
        <v>74</v>
      </c>
      <c r="HUN83">
        <f t="shared" si="195"/>
        <v>74</v>
      </c>
      <c r="HUO83">
        <f t="shared" si="195"/>
        <v>74</v>
      </c>
      <c r="HUP83">
        <f t="shared" si="195"/>
        <v>74</v>
      </c>
      <c r="HUQ83">
        <f t="shared" si="195"/>
        <v>74</v>
      </c>
      <c r="HUR83">
        <f t="shared" si="195"/>
        <v>74</v>
      </c>
      <c r="HUS83">
        <f t="shared" si="195"/>
        <v>74</v>
      </c>
      <c r="HUT83">
        <f t="shared" si="195"/>
        <v>74</v>
      </c>
      <c r="HUU83">
        <f t="shared" si="195"/>
        <v>74</v>
      </c>
      <c r="HUV83">
        <f t="shared" si="195"/>
        <v>74</v>
      </c>
      <c r="HUW83">
        <f t="shared" si="195"/>
        <v>74</v>
      </c>
      <c r="HUX83">
        <f t="shared" si="195"/>
        <v>74</v>
      </c>
      <c r="HUY83">
        <f t="shared" si="195"/>
        <v>74</v>
      </c>
      <c r="HUZ83">
        <f t="shared" si="195"/>
        <v>74</v>
      </c>
      <c r="HVA83">
        <f t="shared" si="195"/>
        <v>74</v>
      </c>
      <c r="HVB83">
        <f t="shared" si="195"/>
        <v>74</v>
      </c>
      <c r="HVC83">
        <f t="shared" si="195"/>
        <v>74</v>
      </c>
      <c r="HVD83">
        <f t="shared" si="195"/>
        <v>74</v>
      </c>
      <c r="HVE83">
        <f t="shared" si="195"/>
        <v>74</v>
      </c>
      <c r="HVF83">
        <f t="shared" si="195"/>
        <v>74</v>
      </c>
      <c r="HVG83">
        <f t="shared" si="195"/>
        <v>74</v>
      </c>
      <c r="HVH83">
        <f t="shared" si="195"/>
        <v>74</v>
      </c>
      <c r="HVI83">
        <f t="shared" si="195"/>
        <v>74</v>
      </c>
      <c r="HVJ83">
        <f t="shared" si="195"/>
        <v>74</v>
      </c>
      <c r="HVK83">
        <f t="shared" si="195"/>
        <v>74</v>
      </c>
      <c r="HVL83">
        <f t="shared" si="195"/>
        <v>74</v>
      </c>
      <c r="HVM83">
        <f t="shared" si="195"/>
        <v>74</v>
      </c>
      <c r="HVN83">
        <f t="shared" si="195"/>
        <v>74</v>
      </c>
      <c r="HVO83">
        <f t="shared" si="195"/>
        <v>74</v>
      </c>
      <c r="HVP83">
        <f t="shared" si="195"/>
        <v>74</v>
      </c>
      <c r="HVQ83">
        <f t="shared" si="195"/>
        <v>74</v>
      </c>
      <c r="HVR83">
        <f t="shared" si="195"/>
        <v>74</v>
      </c>
      <c r="HVS83">
        <f t="shared" si="195"/>
        <v>74</v>
      </c>
      <c r="HVT83">
        <f t="shared" si="195"/>
        <v>74</v>
      </c>
      <c r="HVU83">
        <f t="shared" si="195"/>
        <v>74</v>
      </c>
      <c r="HVV83">
        <f t="shared" si="195"/>
        <v>74</v>
      </c>
      <c r="HVW83">
        <f t="shared" si="195"/>
        <v>74</v>
      </c>
      <c r="HVX83">
        <f t="shared" si="195"/>
        <v>74</v>
      </c>
      <c r="HVY83">
        <f t="shared" si="195"/>
        <v>74</v>
      </c>
      <c r="HVZ83">
        <f t="shared" si="195"/>
        <v>74</v>
      </c>
      <c r="HWA83">
        <f t="shared" si="195"/>
        <v>74</v>
      </c>
      <c r="HWB83">
        <f t="shared" si="195"/>
        <v>74</v>
      </c>
      <c r="HWC83">
        <f t="shared" si="195"/>
        <v>74</v>
      </c>
      <c r="HWD83">
        <f t="shared" si="195"/>
        <v>74</v>
      </c>
      <c r="HWE83">
        <f t="shared" si="195"/>
        <v>74</v>
      </c>
      <c r="HWF83">
        <f t="shared" si="195"/>
        <v>74</v>
      </c>
      <c r="HWG83">
        <f t="shared" si="195"/>
        <v>74</v>
      </c>
      <c r="HWH83">
        <f t="shared" si="195"/>
        <v>75</v>
      </c>
      <c r="HWI83">
        <f t="shared" si="195"/>
        <v>75</v>
      </c>
      <c r="HWJ83">
        <f t="shared" si="195"/>
        <v>75</v>
      </c>
      <c r="HWK83">
        <f t="shared" si="195"/>
        <v>75</v>
      </c>
      <c r="HWL83">
        <f t="shared" si="195"/>
        <v>75</v>
      </c>
      <c r="HWM83">
        <f t="shared" ref="HWM83:HYX83" si="196">COUNTBLANK(HWM6:HWM81)</f>
        <v>75</v>
      </c>
      <c r="HWN83">
        <f t="shared" si="196"/>
        <v>75</v>
      </c>
      <c r="HWO83">
        <f t="shared" si="196"/>
        <v>75</v>
      </c>
      <c r="HWP83">
        <f t="shared" si="196"/>
        <v>75</v>
      </c>
      <c r="HWQ83">
        <f t="shared" si="196"/>
        <v>75</v>
      </c>
      <c r="HWR83">
        <f t="shared" si="196"/>
        <v>75</v>
      </c>
      <c r="HWS83">
        <f t="shared" si="196"/>
        <v>75</v>
      </c>
      <c r="HWT83">
        <f t="shared" si="196"/>
        <v>75</v>
      </c>
      <c r="HWU83">
        <f t="shared" si="196"/>
        <v>75</v>
      </c>
      <c r="HWV83">
        <f t="shared" si="196"/>
        <v>75</v>
      </c>
      <c r="HWW83">
        <f t="shared" si="196"/>
        <v>75</v>
      </c>
      <c r="HWX83">
        <f t="shared" si="196"/>
        <v>75</v>
      </c>
      <c r="HWY83">
        <f t="shared" si="196"/>
        <v>75</v>
      </c>
      <c r="HWZ83">
        <f t="shared" si="196"/>
        <v>75</v>
      </c>
      <c r="HXA83">
        <f t="shared" si="196"/>
        <v>75</v>
      </c>
      <c r="HXB83">
        <f t="shared" si="196"/>
        <v>75</v>
      </c>
      <c r="HXC83">
        <f t="shared" si="196"/>
        <v>75</v>
      </c>
      <c r="HXD83">
        <f t="shared" si="196"/>
        <v>75</v>
      </c>
      <c r="HXE83">
        <f t="shared" si="196"/>
        <v>75</v>
      </c>
      <c r="HXF83">
        <f t="shared" si="196"/>
        <v>75</v>
      </c>
      <c r="HXG83">
        <f t="shared" si="196"/>
        <v>75</v>
      </c>
      <c r="HXH83">
        <f t="shared" si="196"/>
        <v>75</v>
      </c>
      <c r="HXI83">
        <f t="shared" si="196"/>
        <v>74</v>
      </c>
      <c r="HXJ83">
        <f t="shared" si="196"/>
        <v>74</v>
      </c>
      <c r="HXK83">
        <f t="shared" si="196"/>
        <v>74</v>
      </c>
      <c r="HXL83">
        <f t="shared" si="196"/>
        <v>74</v>
      </c>
      <c r="HXM83">
        <f t="shared" si="196"/>
        <v>74</v>
      </c>
      <c r="HXN83">
        <f t="shared" si="196"/>
        <v>74</v>
      </c>
      <c r="HXO83">
        <f t="shared" si="196"/>
        <v>74</v>
      </c>
      <c r="HXP83">
        <f t="shared" si="196"/>
        <v>74</v>
      </c>
      <c r="HXQ83">
        <f t="shared" si="196"/>
        <v>74</v>
      </c>
      <c r="HXR83">
        <f t="shared" si="196"/>
        <v>74</v>
      </c>
      <c r="HXS83">
        <f t="shared" si="196"/>
        <v>74</v>
      </c>
      <c r="HXT83">
        <f t="shared" si="196"/>
        <v>74</v>
      </c>
      <c r="HXU83">
        <f t="shared" si="196"/>
        <v>74</v>
      </c>
      <c r="HXV83">
        <f t="shared" si="196"/>
        <v>74</v>
      </c>
      <c r="HXW83">
        <f t="shared" si="196"/>
        <v>74</v>
      </c>
      <c r="HXX83">
        <f t="shared" si="196"/>
        <v>74</v>
      </c>
      <c r="HXY83">
        <f t="shared" si="196"/>
        <v>74</v>
      </c>
      <c r="HXZ83">
        <f t="shared" si="196"/>
        <v>74</v>
      </c>
      <c r="HYA83">
        <f t="shared" si="196"/>
        <v>74</v>
      </c>
      <c r="HYB83">
        <f t="shared" si="196"/>
        <v>74</v>
      </c>
      <c r="HYC83">
        <f t="shared" si="196"/>
        <v>74</v>
      </c>
      <c r="HYD83">
        <f t="shared" si="196"/>
        <v>74</v>
      </c>
      <c r="HYE83">
        <f t="shared" si="196"/>
        <v>74</v>
      </c>
      <c r="HYF83">
        <f t="shared" si="196"/>
        <v>74</v>
      </c>
      <c r="HYG83">
        <f t="shared" si="196"/>
        <v>74</v>
      </c>
      <c r="HYH83">
        <f t="shared" si="196"/>
        <v>75</v>
      </c>
      <c r="HYI83">
        <f t="shared" si="196"/>
        <v>75</v>
      </c>
      <c r="HYJ83">
        <f t="shared" si="196"/>
        <v>75</v>
      </c>
      <c r="HYK83">
        <f t="shared" si="196"/>
        <v>75</v>
      </c>
      <c r="HYL83">
        <f t="shared" si="196"/>
        <v>75</v>
      </c>
      <c r="HYM83">
        <f t="shared" si="196"/>
        <v>75</v>
      </c>
      <c r="HYN83">
        <f t="shared" si="196"/>
        <v>75</v>
      </c>
      <c r="HYO83">
        <f t="shared" si="196"/>
        <v>75</v>
      </c>
      <c r="HYP83">
        <f t="shared" si="196"/>
        <v>75</v>
      </c>
      <c r="HYQ83">
        <f t="shared" si="196"/>
        <v>75</v>
      </c>
      <c r="HYR83">
        <f t="shared" si="196"/>
        <v>75</v>
      </c>
      <c r="HYS83">
        <f t="shared" si="196"/>
        <v>75</v>
      </c>
      <c r="HYT83">
        <f t="shared" si="196"/>
        <v>75</v>
      </c>
      <c r="HYU83">
        <f t="shared" si="196"/>
        <v>75</v>
      </c>
      <c r="HYV83">
        <f t="shared" si="196"/>
        <v>75</v>
      </c>
      <c r="HYW83">
        <f t="shared" si="196"/>
        <v>75</v>
      </c>
      <c r="HYX83">
        <f t="shared" si="196"/>
        <v>75</v>
      </c>
      <c r="HYY83">
        <f t="shared" ref="HYY83:IBJ83" si="197">COUNTBLANK(HYY6:HYY81)</f>
        <v>75</v>
      </c>
      <c r="HYZ83">
        <f t="shared" si="197"/>
        <v>75</v>
      </c>
      <c r="HZA83">
        <f t="shared" si="197"/>
        <v>75</v>
      </c>
      <c r="HZB83">
        <f t="shared" si="197"/>
        <v>75</v>
      </c>
      <c r="HZC83">
        <f t="shared" si="197"/>
        <v>75</v>
      </c>
      <c r="HZD83">
        <f t="shared" si="197"/>
        <v>75</v>
      </c>
      <c r="HZE83">
        <f t="shared" si="197"/>
        <v>75</v>
      </c>
      <c r="HZF83">
        <f t="shared" si="197"/>
        <v>75</v>
      </c>
      <c r="HZG83">
        <f t="shared" si="197"/>
        <v>75</v>
      </c>
      <c r="HZH83">
        <f t="shared" si="197"/>
        <v>75</v>
      </c>
      <c r="HZI83">
        <f t="shared" si="197"/>
        <v>75</v>
      </c>
      <c r="HZJ83">
        <f t="shared" si="197"/>
        <v>75</v>
      </c>
      <c r="HZK83">
        <f t="shared" si="197"/>
        <v>75</v>
      </c>
      <c r="HZL83">
        <f t="shared" si="197"/>
        <v>75</v>
      </c>
      <c r="HZM83">
        <f t="shared" si="197"/>
        <v>75</v>
      </c>
      <c r="HZN83">
        <f t="shared" si="197"/>
        <v>75</v>
      </c>
      <c r="HZO83">
        <f t="shared" si="197"/>
        <v>75</v>
      </c>
      <c r="HZP83">
        <f t="shared" si="197"/>
        <v>75</v>
      </c>
      <c r="HZQ83">
        <f t="shared" si="197"/>
        <v>75</v>
      </c>
      <c r="HZR83">
        <f t="shared" si="197"/>
        <v>75</v>
      </c>
      <c r="HZS83">
        <f t="shared" si="197"/>
        <v>75</v>
      </c>
      <c r="HZT83">
        <f t="shared" si="197"/>
        <v>75</v>
      </c>
      <c r="HZU83">
        <f t="shared" si="197"/>
        <v>75</v>
      </c>
      <c r="HZV83">
        <f t="shared" si="197"/>
        <v>75</v>
      </c>
      <c r="HZW83">
        <f t="shared" si="197"/>
        <v>75</v>
      </c>
      <c r="HZX83">
        <f t="shared" si="197"/>
        <v>75</v>
      </c>
      <c r="HZY83">
        <f t="shared" si="197"/>
        <v>75</v>
      </c>
      <c r="HZZ83">
        <f t="shared" si="197"/>
        <v>75</v>
      </c>
      <c r="IAA83">
        <f t="shared" si="197"/>
        <v>75</v>
      </c>
      <c r="IAB83">
        <f t="shared" si="197"/>
        <v>75</v>
      </c>
      <c r="IAC83">
        <f t="shared" si="197"/>
        <v>75</v>
      </c>
      <c r="IAD83">
        <f t="shared" si="197"/>
        <v>75</v>
      </c>
      <c r="IAE83">
        <f t="shared" si="197"/>
        <v>75</v>
      </c>
      <c r="IAF83">
        <f t="shared" si="197"/>
        <v>75</v>
      </c>
      <c r="IAG83">
        <f t="shared" si="197"/>
        <v>74</v>
      </c>
      <c r="IAH83">
        <f t="shared" si="197"/>
        <v>74</v>
      </c>
      <c r="IAI83">
        <f t="shared" si="197"/>
        <v>74</v>
      </c>
      <c r="IAJ83">
        <f t="shared" si="197"/>
        <v>74</v>
      </c>
      <c r="IAK83">
        <f t="shared" si="197"/>
        <v>74</v>
      </c>
      <c r="IAL83">
        <f t="shared" si="197"/>
        <v>74</v>
      </c>
      <c r="IAM83">
        <f t="shared" si="197"/>
        <v>74</v>
      </c>
      <c r="IAN83">
        <f t="shared" si="197"/>
        <v>74</v>
      </c>
      <c r="IAO83">
        <f t="shared" si="197"/>
        <v>74</v>
      </c>
      <c r="IAP83">
        <f t="shared" si="197"/>
        <v>74</v>
      </c>
      <c r="IAQ83">
        <f t="shared" si="197"/>
        <v>74</v>
      </c>
      <c r="IAR83">
        <f t="shared" si="197"/>
        <v>74</v>
      </c>
      <c r="IAS83">
        <f t="shared" si="197"/>
        <v>74</v>
      </c>
      <c r="IAT83">
        <f t="shared" si="197"/>
        <v>74</v>
      </c>
      <c r="IAU83">
        <f t="shared" si="197"/>
        <v>74</v>
      </c>
      <c r="IAV83">
        <f t="shared" si="197"/>
        <v>74</v>
      </c>
      <c r="IAW83">
        <f t="shared" si="197"/>
        <v>74</v>
      </c>
      <c r="IAX83">
        <f t="shared" si="197"/>
        <v>74</v>
      </c>
      <c r="IAY83">
        <f t="shared" si="197"/>
        <v>74</v>
      </c>
      <c r="IAZ83">
        <f t="shared" si="197"/>
        <v>74</v>
      </c>
      <c r="IBA83">
        <f t="shared" si="197"/>
        <v>74</v>
      </c>
      <c r="IBB83">
        <f t="shared" si="197"/>
        <v>74</v>
      </c>
      <c r="IBC83">
        <f t="shared" si="197"/>
        <v>74</v>
      </c>
      <c r="IBD83">
        <f t="shared" si="197"/>
        <v>74</v>
      </c>
      <c r="IBE83">
        <f t="shared" si="197"/>
        <v>74</v>
      </c>
      <c r="IBF83">
        <f t="shared" si="197"/>
        <v>74</v>
      </c>
      <c r="IBG83">
        <f t="shared" si="197"/>
        <v>74</v>
      </c>
      <c r="IBH83">
        <f t="shared" si="197"/>
        <v>74</v>
      </c>
      <c r="IBI83">
        <f t="shared" si="197"/>
        <v>75</v>
      </c>
      <c r="IBJ83">
        <f t="shared" si="197"/>
        <v>75</v>
      </c>
      <c r="IBK83">
        <f t="shared" ref="IBK83:IDV83" si="198">COUNTBLANK(IBK6:IBK81)</f>
        <v>75</v>
      </c>
      <c r="IBL83">
        <f t="shared" si="198"/>
        <v>75</v>
      </c>
      <c r="IBM83">
        <f t="shared" si="198"/>
        <v>75</v>
      </c>
      <c r="IBN83">
        <f t="shared" si="198"/>
        <v>75</v>
      </c>
      <c r="IBO83">
        <f t="shared" si="198"/>
        <v>75</v>
      </c>
      <c r="IBP83">
        <f t="shared" si="198"/>
        <v>75</v>
      </c>
      <c r="IBQ83">
        <f t="shared" si="198"/>
        <v>75</v>
      </c>
      <c r="IBR83">
        <f t="shared" si="198"/>
        <v>75</v>
      </c>
      <c r="IBS83">
        <f t="shared" si="198"/>
        <v>75</v>
      </c>
      <c r="IBT83">
        <f t="shared" si="198"/>
        <v>75</v>
      </c>
      <c r="IBU83">
        <f t="shared" si="198"/>
        <v>75</v>
      </c>
      <c r="IBV83">
        <f t="shared" si="198"/>
        <v>75</v>
      </c>
      <c r="IBW83">
        <f t="shared" si="198"/>
        <v>75</v>
      </c>
      <c r="IBX83">
        <f t="shared" si="198"/>
        <v>75</v>
      </c>
      <c r="IBY83">
        <f t="shared" si="198"/>
        <v>75</v>
      </c>
      <c r="IBZ83">
        <f t="shared" si="198"/>
        <v>75</v>
      </c>
      <c r="ICA83">
        <f t="shared" si="198"/>
        <v>75</v>
      </c>
      <c r="ICB83">
        <f t="shared" si="198"/>
        <v>75</v>
      </c>
      <c r="ICC83">
        <f t="shared" si="198"/>
        <v>75</v>
      </c>
      <c r="ICD83">
        <f t="shared" si="198"/>
        <v>75</v>
      </c>
      <c r="ICE83">
        <f t="shared" si="198"/>
        <v>75</v>
      </c>
      <c r="ICF83">
        <f t="shared" si="198"/>
        <v>75</v>
      </c>
      <c r="ICG83">
        <f t="shared" si="198"/>
        <v>75</v>
      </c>
      <c r="ICH83">
        <f t="shared" si="198"/>
        <v>75</v>
      </c>
      <c r="ICI83">
        <f t="shared" si="198"/>
        <v>75</v>
      </c>
      <c r="ICJ83">
        <f t="shared" si="198"/>
        <v>75</v>
      </c>
      <c r="ICK83">
        <f t="shared" si="198"/>
        <v>75</v>
      </c>
      <c r="ICL83">
        <f t="shared" si="198"/>
        <v>75</v>
      </c>
      <c r="ICM83">
        <f t="shared" si="198"/>
        <v>75</v>
      </c>
      <c r="ICN83">
        <f t="shared" si="198"/>
        <v>75</v>
      </c>
      <c r="ICO83">
        <f t="shared" si="198"/>
        <v>75</v>
      </c>
      <c r="ICP83">
        <f t="shared" si="198"/>
        <v>75</v>
      </c>
      <c r="ICQ83">
        <f t="shared" si="198"/>
        <v>75</v>
      </c>
      <c r="ICR83">
        <f t="shared" si="198"/>
        <v>75</v>
      </c>
      <c r="ICS83">
        <f t="shared" si="198"/>
        <v>75</v>
      </c>
      <c r="ICT83">
        <f t="shared" si="198"/>
        <v>75</v>
      </c>
      <c r="ICU83">
        <f t="shared" si="198"/>
        <v>75</v>
      </c>
      <c r="ICV83">
        <f t="shared" si="198"/>
        <v>75</v>
      </c>
      <c r="ICW83">
        <f t="shared" si="198"/>
        <v>75</v>
      </c>
      <c r="ICX83">
        <f t="shared" si="198"/>
        <v>75</v>
      </c>
      <c r="ICY83">
        <f t="shared" si="198"/>
        <v>75</v>
      </c>
      <c r="ICZ83">
        <f t="shared" si="198"/>
        <v>75</v>
      </c>
      <c r="IDA83">
        <f t="shared" si="198"/>
        <v>75</v>
      </c>
      <c r="IDB83">
        <f t="shared" si="198"/>
        <v>75</v>
      </c>
      <c r="IDC83">
        <f t="shared" si="198"/>
        <v>75</v>
      </c>
      <c r="IDD83">
        <f t="shared" si="198"/>
        <v>75</v>
      </c>
      <c r="IDE83">
        <f t="shared" si="198"/>
        <v>75</v>
      </c>
      <c r="IDF83">
        <f t="shared" si="198"/>
        <v>75</v>
      </c>
      <c r="IDG83">
        <f t="shared" si="198"/>
        <v>75</v>
      </c>
      <c r="IDH83">
        <f t="shared" si="198"/>
        <v>75</v>
      </c>
      <c r="IDI83">
        <f t="shared" si="198"/>
        <v>75</v>
      </c>
      <c r="IDJ83">
        <f t="shared" si="198"/>
        <v>75</v>
      </c>
      <c r="IDK83">
        <f t="shared" si="198"/>
        <v>75</v>
      </c>
      <c r="IDL83">
        <f t="shared" si="198"/>
        <v>75</v>
      </c>
      <c r="IDM83">
        <f t="shared" si="198"/>
        <v>75</v>
      </c>
      <c r="IDN83">
        <f t="shared" si="198"/>
        <v>75</v>
      </c>
      <c r="IDO83">
        <f t="shared" si="198"/>
        <v>75</v>
      </c>
      <c r="IDP83">
        <f t="shared" si="198"/>
        <v>75</v>
      </c>
      <c r="IDQ83">
        <f t="shared" si="198"/>
        <v>75</v>
      </c>
      <c r="IDR83">
        <f t="shared" si="198"/>
        <v>75</v>
      </c>
      <c r="IDS83">
        <f t="shared" si="198"/>
        <v>75</v>
      </c>
      <c r="IDT83">
        <f t="shared" si="198"/>
        <v>75</v>
      </c>
      <c r="IDU83">
        <f t="shared" si="198"/>
        <v>75</v>
      </c>
      <c r="IDV83">
        <f t="shared" si="198"/>
        <v>75</v>
      </c>
      <c r="IDW83">
        <f t="shared" ref="IDW83:IGH83" si="199">COUNTBLANK(IDW6:IDW81)</f>
        <v>75</v>
      </c>
      <c r="IDX83">
        <f t="shared" si="199"/>
        <v>75</v>
      </c>
      <c r="IDY83">
        <f t="shared" si="199"/>
        <v>75</v>
      </c>
      <c r="IDZ83">
        <f t="shared" si="199"/>
        <v>75</v>
      </c>
      <c r="IEA83">
        <f t="shared" si="199"/>
        <v>75</v>
      </c>
      <c r="IEB83">
        <f t="shared" si="199"/>
        <v>75</v>
      </c>
      <c r="IEC83">
        <f t="shared" si="199"/>
        <v>75</v>
      </c>
      <c r="IED83">
        <f t="shared" si="199"/>
        <v>75</v>
      </c>
      <c r="IEE83">
        <f t="shared" si="199"/>
        <v>75</v>
      </c>
      <c r="IEF83">
        <f t="shared" si="199"/>
        <v>75</v>
      </c>
      <c r="IEG83">
        <f t="shared" si="199"/>
        <v>75</v>
      </c>
      <c r="IEH83">
        <f t="shared" si="199"/>
        <v>75</v>
      </c>
      <c r="IEI83">
        <f t="shared" si="199"/>
        <v>75</v>
      </c>
      <c r="IEJ83">
        <f t="shared" si="199"/>
        <v>75</v>
      </c>
      <c r="IEK83">
        <f t="shared" si="199"/>
        <v>75</v>
      </c>
      <c r="IEL83">
        <f t="shared" si="199"/>
        <v>75</v>
      </c>
      <c r="IEM83">
        <f t="shared" si="199"/>
        <v>75</v>
      </c>
      <c r="IEN83">
        <f t="shared" si="199"/>
        <v>75</v>
      </c>
      <c r="IEO83">
        <f t="shared" si="199"/>
        <v>75</v>
      </c>
      <c r="IEP83">
        <f t="shared" si="199"/>
        <v>75</v>
      </c>
      <c r="IEQ83">
        <f t="shared" si="199"/>
        <v>75</v>
      </c>
      <c r="IER83">
        <f t="shared" si="199"/>
        <v>75</v>
      </c>
      <c r="IES83">
        <f t="shared" si="199"/>
        <v>75</v>
      </c>
      <c r="IET83">
        <f t="shared" si="199"/>
        <v>75</v>
      </c>
      <c r="IEU83">
        <f t="shared" si="199"/>
        <v>75</v>
      </c>
      <c r="IEV83">
        <f t="shared" si="199"/>
        <v>75</v>
      </c>
      <c r="IEW83">
        <f t="shared" si="199"/>
        <v>75</v>
      </c>
      <c r="IEX83">
        <f t="shared" si="199"/>
        <v>75</v>
      </c>
      <c r="IEY83">
        <f t="shared" si="199"/>
        <v>75</v>
      </c>
      <c r="IEZ83">
        <f t="shared" si="199"/>
        <v>75</v>
      </c>
      <c r="IFA83">
        <f t="shared" si="199"/>
        <v>75</v>
      </c>
      <c r="IFB83">
        <f t="shared" si="199"/>
        <v>75</v>
      </c>
      <c r="IFC83">
        <f t="shared" si="199"/>
        <v>75</v>
      </c>
      <c r="IFD83">
        <f t="shared" si="199"/>
        <v>75</v>
      </c>
      <c r="IFE83">
        <f t="shared" si="199"/>
        <v>75</v>
      </c>
      <c r="IFF83">
        <f t="shared" si="199"/>
        <v>75</v>
      </c>
      <c r="IFG83">
        <f t="shared" si="199"/>
        <v>75</v>
      </c>
      <c r="IFH83">
        <f t="shared" si="199"/>
        <v>75</v>
      </c>
      <c r="IFI83">
        <f t="shared" si="199"/>
        <v>75</v>
      </c>
      <c r="IFJ83">
        <f t="shared" si="199"/>
        <v>75</v>
      </c>
      <c r="IFK83">
        <f t="shared" si="199"/>
        <v>75</v>
      </c>
      <c r="IFL83">
        <f t="shared" si="199"/>
        <v>75</v>
      </c>
      <c r="IFM83">
        <f t="shared" si="199"/>
        <v>75</v>
      </c>
      <c r="IFN83">
        <f t="shared" si="199"/>
        <v>75</v>
      </c>
      <c r="IFO83">
        <f t="shared" si="199"/>
        <v>75</v>
      </c>
      <c r="IFP83">
        <f t="shared" si="199"/>
        <v>75</v>
      </c>
      <c r="IFQ83">
        <f t="shared" si="199"/>
        <v>75</v>
      </c>
      <c r="IFR83">
        <f t="shared" si="199"/>
        <v>75</v>
      </c>
      <c r="IFS83">
        <f t="shared" si="199"/>
        <v>75</v>
      </c>
      <c r="IFT83">
        <f t="shared" si="199"/>
        <v>75</v>
      </c>
      <c r="IFU83">
        <f t="shared" si="199"/>
        <v>75</v>
      </c>
      <c r="IFV83">
        <f t="shared" si="199"/>
        <v>75</v>
      </c>
      <c r="IFW83">
        <f t="shared" si="199"/>
        <v>75</v>
      </c>
      <c r="IFX83">
        <f t="shared" si="199"/>
        <v>75</v>
      </c>
      <c r="IFY83">
        <f t="shared" si="199"/>
        <v>75</v>
      </c>
      <c r="IFZ83">
        <f t="shared" si="199"/>
        <v>75</v>
      </c>
      <c r="IGA83">
        <f t="shared" si="199"/>
        <v>75</v>
      </c>
      <c r="IGB83">
        <f t="shared" si="199"/>
        <v>75</v>
      </c>
      <c r="IGC83">
        <f t="shared" si="199"/>
        <v>75</v>
      </c>
      <c r="IGD83">
        <f t="shared" si="199"/>
        <v>75</v>
      </c>
      <c r="IGE83">
        <f t="shared" si="199"/>
        <v>75</v>
      </c>
      <c r="IGF83">
        <f t="shared" si="199"/>
        <v>75</v>
      </c>
      <c r="IGG83">
        <f t="shared" si="199"/>
        <v>75</v>
      </c>
      <c r="IGH83">
        <f t="shared" si="199"/>
        <v>75</v>
      </c>
      <c r="IGI83">
        <f t="shared" ref="IGI83:IIT83" si="200">COUNTBLANK(IGI6:IGI81)</f>
        <v>75</v>
      </c>
      <c r="IGJ83">
        <f t="shared" si="200"/>
        <v>75</v>
      </c>
      <c r="IGK83">
        <f t="shared" si="200"/>
        <v>75</v>
      </c>
      <c r="IGL83">
        <f t="shared" si="200"/>
        <v>75</v>
      </c>
      <c r="IGM83">
        <f t="shared" si="200"/>
        <v>75</v>
      </c>
      <c r="IGN83">
        <f t="shared" si="200"/>
        <v>75</v>
      </c>
      <c r="IGO83">
        <f t="shared" si="200"/>
        <v>75</v>
      </c>
      <c r="IGP83">
        <f t="shared" si="200"/>
        <v>75</v>
      </c>
      <c r="IGQ83">
        <f t="shared" si="200"/>
        <v>75</v>
      </c>
      <c r="IGR83">
        <f t="shared" si="200"/>
        <v>75</v>
      </c>
      <c r="IGS83">
        <f t="shared" si="200"/>
        <v>75</v>
      </c>
      <c r="IGT83">
        <f t="shared" si="200"/>
        <v>75</v>
      </c>
      <c r="IGU83">
        <f t="shared" si="200"/>
        <v>75</v>
      </c>
      <c r="IGV83">
        <f t="shared" si="200"/>
        <v>75</v>
      </c>
      <c r="IGW83">
        <f t="shared" si="200"/>
        <v>75</v>
      </c>
      <c r="IGX83">
        <f t="shared" si="200"/>
        <v>75</v>
      </c>
      <c r="IGY83">
        <f t="shared" si="200"/>
        <v>75</v>
      </c>
      <c r="IGZ83">
        <f t="shared" si="200"/>
        <v>75</v>
      </c>
      <c r="IHA83">
        <f t="shared" si="200"/>
        <v>75</v>
      </c>
      <c r="IHB83">
        <f t="shared" si="200"/>
        <v>75</v>
      </c>
      <c r="IHC83">
        <f t="shared" si="200"/>
        <v>75</v>
      </c>
      <c r="IHD83">
        <f t="shared" si="200"/>
        <v>75</v>
      </c>
      <c r="IHE83">
        <f t="shared" si="200"/>
        <v>75</v>
      </c>
      <c r="IHF83">
        <f t="shared" si="200"/>
        <v>75</v>
      </c>
      <c r="IHG83">
        <f t="shared" si="200"/>
        <v>75</v>
      </c>
      <c r="IHH83">
        <f t="shared" si="200"/>
        <v>75</v>
      </c>
      <c r="IHI83">
        <f t="shared" si="200"/>
        <v>75</v>
      </c>
      <c r="IHJ83">
        <f t="shared" si="200"/>
        <v>75</v>
      </c>
      <c r="IHK83">
        <f t="shared" si="200"/>
        <v>75</v>
      </c>
      <c r="IHL83">
        <f t="shared" si="200"/>
        <v>75</v>
      </c>
      <c r="IHM83">
        <f t="shared" si="200"/>
        <v>75</v>
      </c>
      <c r="IHN83">
        <f t="shared" si="200"/>
        <v>75</v>
      </c>
      <c r="IHO83">
        <f t="shared" si="200"/>
        <v>75</v>
      </c>
      <c r="IHP83">
        <f t="shared" si="200"/>
        <v>75</v>
      </c>
      <c r="IHQ83">
        <f t="shared" si="200"/>
        <v>75</v>
      </c>
      <c r="IHR83">
        <f t="shared" si="200"/>
        <v>75</v>
      </c>
      <c r="IHS83">
        <f t="shared" si="200"/>
        <v>75</v>
      </c>
      <c r="IHT83">
        <f t="shared" si="200"/>
        <v>75</v>
      </c>
      <c r="IHU83">
        <f t="shared" si="200"/>
        <v>75</v>
      </c>
      <c r="IHV83">
        <f t="shared" si="200"/>
        <v>75</v>
      </c>
      <c r="IHW83">
        <f t="shared" si="200"/>
        <v>75</v>
      </c>
      <c r="IHX83">
        <f t="shared" si="200"/>
        <v>75</v>
      </c>
      <c r="IHY83">
        <f t="shared" si="200"/>
        <v>75</v>
      </c>
      <c r="IHZ83">
        <f t="shared" si="200"/>
        <v>75</v>
      </c>
      <c r="IIA83">
        <f t="shared" si="200"/>
        <v>75</v>
      </c>
      <c r="IIB83">
        <f t="shared" si="200"/>
        <v>75</v>
      </c>
      <c r="IIC83">
        <f t="shared" si="200"/>
        <v>75</v>
      </c>
      <c r="IID83">
        <f t="shared" si="200"/>
        <v>75</v>
      </c>
      <c r="IIE83">
        <f t="shared" si="200"/>
        <v>75</v>
      </c>
      <c r="IIF83">
        <f t="shared" si="200"/>
        <v>75</v>
      </c>
      <c r="IIG83">
        <f t="shared" si="200"/>
        <v>75</v>
      </c>
      <c r="IIH83">
        <f t="shared" si="200"/>
        <v>75</v>
      </c>
      <c r="III83">
        <f t="shared" si="200"/>
        <v>75</v>
      </c>
      <c r="IIJ83">
        <f t="shared" si="200"/>
        <v>75</v>
      </c>
      <c r="IIK83">
        <f t="shared" si="200"/>
        <v>75</v>
      </c>
      <c r="IIL83">
        <f t="shared" si="200"/>
        <v>75</v>
      </c>
      <c r="IIM83">
        <f t="shared" si="200"/>
        <v>75</v>
      </c>
      <c r="IIN83">
        <f t="shared" si="200"/>
        <v>75</v>
      </c>
      <c r="IIO83">
        <f t="shared" si="200"/>
        <v>75</v>
      </c>
      <c r="IIP83">
        <f t="shared" si="200"/>
        <v>75</v>
      </c>
      <c r="IIQ83">
        <f t="shared" si="200"/>
        <v>75</v>
      </c>
      <c r="IIR83">
        <f t="shared" si="200"/>
        <v>75</v>
      </c>
      <c r="IIS83">
        <f t="shared" si="200"/>
        <v>75</v>
      </c>
      <c r="IIT83">
        <f t="shared" si="200"/>
        <v>75</v>
      </c>
      <c r="IIU83">
        <f t="shared" ref="IIU83:ILF83" si="201">COUNTBLANK(IIU6:IIU81)</f>
        <v>75</v>
      </c>
      <c r="IIV83">
        <f t="shared" si="201"/>
        <v>75</v>
      </c>
      <c r="IIW83">
        <f t="shared" si="201"/>
        <v>75</v>
      </c>
      <c r="IIX83">
        <f t="shared" si="201"/>
        <v>75</v>
      </c>
      <c r="IIY83">
        <f t="shared" si="201"/>
        <v>75</v>
      </c>
      <c r="IIZ83">
        <f t="shared" si="201"/>
        <v>75</v>
      </c>
      <c r="IJA83">
        <f t="shared" si="201"/>
        <v>75</v>
      </c>
      <c r="IJB83">
        <f t="shared" si="201"/>
        <v>75</v>
      </c>
      <c r="IJC83">
        <f t="shared" si="201"/>
        <v>75</v>
      </c>
      <c r="IJD83">
        <f t="shared" si="201"/>
        <v>75</v>
      </c>
      <c r="IJE83">
        <f t="shared" si="201"/>
        <v>75</v>
      </c>
      <c r="IJF83">
        <f t="shared" si="201"/>
        <v>75</v>
      </c>
      <c r="IJG83">
        <f t="shared" si="201"/>
        <v>75</v>
      </c>
      <c r="IJH83">
        <f t="shared" si="201"/>
        <v>75</v>
      </c>
      <c r="IJI83">
        <f t="shared" si="201"/>
        <v>75</v>
      </c>
      <c r="IJJ83">
        <f t="shared" si="201"/>
        <v>75</v>
      </c>
      <c r="IJK83">
        <f t="shared" si="201"/>
        <v>75</v>
      </c>
      <c r="IJL83">
        <f t="shared" si="201"/>
        <v>75</v>
      </c>
      <c r="IJM83">
        <f t="shared" si="201"/>
        <v>75</v>
      </c>
      <c r="IJN83">
        <f t="shared" si="201"/>
        <v>75</v>
      </c>
      <c r="IJO83">
        <f t="shared" si="201"/>
        <v>75</v>
      </c>
      <c r="IJP83">
        <f t="shared" si="201"/>
        <v>75</v>
      </c>
      <c r="IJQ83">
        <f t="shared" si="201"/>
        <v>75</v>
      </c>
      <c r="IJR83">
        <f t="shared" si="201"/>
        <v>75</v>
      </c>
      <c r="IJS83">
        <f t="shared" si="201"/>
        <v>75</v>
      </c>
      <c r="IJT83">
        <f t="shared" si="201"/>
        <v>75</v>
      </c>
      <c r="IJU83">
        <f t="shared" si="201"/>
        <v>75</v>
      </c>
      <c r="IJV83">
        <f t="shared" si="201"/>
        <v>75</v>
      </c>
      <c r="IJW83">
        <f t="shared" si="201"/>
        <v>75</v>
      </c>
      <c r="IJX83">
        <f t="shared" si="201"/>
        <v>75</v>
      </c>
      <c r="IJY83">
        <f t="shared" si="201"/>
        <v>75</v>
      </c>
      <c r="IJZ83">
        <f t="shared" si="201"/>
        <v>75</v>
      </c>
      <c r="IKA83">
        <f t="shared" si="201"/>
        <v>75</v>
      </c>
      <c r="IKB83">
        <f t="shared" si="201"/>
        <v>75</v>
      </c>
      <c r="IKC83">
        <f t="shared" si="201"/>
        <v>75</v>
      </c>
      <c r="IKD83">
        <f t="shared" si="201"/>
        <v>75</v>
      </c>
      <c r="IKE83">
        <f t="shared" si="201"/>
        <v>75</v>
      </c>
      <c r="IKF83">
        <f t="shared" si="201"/>
        <v>75</v>
      </c>
      <c r="IKG83">
        <f t="shared" si="201"/>
        <v>75</v>
      </c>
      <c r="IKH83">
        <f t="shared" si="201"/>
        <v>75</v>
      </c>
      <c r="IKI83">
        <f t="shared" si="201"/>
        <v>75</v>
      </c>
      <c r="IKJ83">
        <f t="shared" si="201"/>
        <v>75</v>
      </c>
      <c r="IKK83">
        <f t="shared" si="201"/>
        <v>75</v>
      </c>
      <c r="IKL83">
        <f t="shared" si="201"/>
        <v>75</v>
      </c>
      <c r="IKM83">
        <f t="shared" si="201"/>
        <v>75</v>
      </c>
      <c r="IKN83">
        <f t="shared" si="201"/>
        <v>75</v>
      </c>
      <c r="IKO83">
        <f t="shared" si="201"/>
        <v>75</v>
      </c>
      <c r="IKP83">
        <f t="shared" si="201"/>
        <v>75</v>
      </c>
      <c r="IKQ83">
        <f t="shared" si="201"/>
        <v>75</v>
      </c>
      <c r="IKR83">
        <f t="shared" si="201"/>
        <v>75</v>
      </c>
      <c r="IKS83">
        <f t="shared" si="201"/>
        <v>75</v>
      </c>
      <c r="IKT83">
        <f t="shared" si="201"/>
        <v>75</v>
      </c>
      <c r="IKU83">
        <f t="shared" si="201"/>
        <v>75</v>
      </c>
      <c r="IKV83">
        <f t="shared" si="201"/>
        <v>75</v>
      </c>
      <c r="IKW83">
        <f t="shared" si="201"/>
        <v>75</v>
      </c>
      <c r="IKX83">
        <f t="shared" si="201"/>
        <v>75</v>
      </c>
      <c r="IKY83">
        <f t="shared" si="201"/>
        <v>75</v>
      </c>
      <c r="IKZ83">
        <f t="shared" si="201"/>
        <v>75</v>
      </c>
      <c r="ILA83">
        <f t="shared" si="201"/>
        <v>75</v>
      </c>
      <c r="ILB83">
        <f t="shared" si="201"/>
        <v>75</v>
      </c>
      <c r="ILC83">
        <f t="shared" si="201"/>
        <v>75</v>
      </c>
      <c r="ILD83">
        <f t="shared" si="201"/>
        <v>75</v>
      </c>
      <c r="ILE83">
        <f t="shared" si="201"/>
        <v>75</v>
      </c>
      <c r="ILF83">
        <f t="shared" si="201"/>
        <v>75</v>
      </c>
      <c r="ILG83">
        <f t="shared" ref="ILG83:INR83" si="202">COUNTBLANK(ILG6:ILG81)</f>
        <v>75</v>
      </c>
      <c r="ILH83">
        <f t="shared" si="202"/>
        <v>75</v>
      </c>
      <c r="ILI83">
        <f t="shared" si="202"/>
        <v>75</v>
      </c>
      <c r="ILJ83">
        <f t="shared" si="202"/>
        <v>75</v>
      </c>
      <c r="ILK83">
        <f t="shared" si="202"/>
        <v>75</v>
      </c>
      <c r="ILL83">
        <f t="shared" si="202"/>
        <v>75</v>
      </c>
      <c r="ILM83">
        <f t="shared" si="202"/>
        <v>75</v>
      </c>
      <c r="ILN83">
        <f t="shared" si="202"/>
        <v>75</v>
      </c>
      <c r="ILO83">
        <f t="shared" si="202"/>
        <v>75</v>
      </c>
      <c r="ILP83">
        <f t="shared" si="202"/>
        <v>75</v>
      </c>
      <c r="ILQ83">
        <f t="shared" si="202"/>
        <v>75</v>
      </c>
      <c r="ILR83">
        <f t="shared" si="202"/>
        <v>75</v>
      </c>
      <c r="ILS83">
        <f t="shared" si="202"/>
        <v>75</v>
      </c>
      <c r="ILT83">
        <f t="shared" si="202"/>
        <v>75</v>
      </c>
      <c r="ILU83">
        <f t="shared" si="202"/>
        <v>75</v>
      </c>
      <c r="ILV83">
        <f t="shared" si="202"/>
        <v>75</v>
      </c>
      <c r="ILW83">
        <f t="shared" si="202"/>
        <v>75</v>
      </c>
      <c r="ILX83">
        <f t="shared" si="202"/>
        <v>75</v>
      </c>
      <c r="ILY83">
        <f t="shared" si="202"/>
        <v>75</v>
      </c>
      <c r="ILZ83">
        <f t="shared" si="202"/>
        <v>75</v>
      </c>
      <c r="IMA83">
        <f t="shared" si="202"/>
        <v>75</v>
      </c>
      <c r="IMB83">
        <f t="shared" si="202"/>
        <v>75</v>
      </c>
      <c r="IMC83">
        <f t="shared" si="202"/>
        <v>75</v>
      </c>
      <c r="IMD83">
        <f t="shared" si="202"/>
        <v>75</v>
      </c>
      <c r="IME83">
        <f t="shared" si="202"/>
        <v>75</v>
      </c>
      <c r="IMF83">
        <f t="shared" si="202"/>
        <v>75</v>
      </c>
      <c r="IMG83">
        <f t="shared" si="202"/>
        <v>75</v>
      </c>
      <c r="IMH83">
        <f t="shared" si="202"/>
        <v>75</v>
      </c>
      <c r="IMI83">
        <f t="shared" si="202"/>
        <v>75</v>
      </c>
      <c r="IMJ83">
        <f t="shared" si="202"/>
        <v>75</v>
      </c>
      <c r="IMK83">
        <f t="shared" si="202"/>
        <v>75</v>
      </c>
      <c r="IML83">
        <f t="shared" si="202"/>
        <v>75</v>
      </c>
      <c r="IMM83">
        <f t="shared" si="202"/>
        <v>75</v>
      </c>
      <c r="IMN83">
        <f t="shared" si="202"/>
        <v>75</v>
      </c>
      <c r="IMO83">
        <f t="shared" si="202"/>
        <v>75</v>
      </c>
      <c r="IMP83">
        <f t="shared" si="202"/>
        <v>75</v>
      </c>
      <c r="IMQ83">
        <f t="shared" si="202"/>
        <v>75</v>
      </c>
      <c r="IMR83">
        <f t="shared" si="202"/>
        <v>75</v>
      </c>
      <c r="IMS83">
        <f t="shared" si="202"/>
        <v>75</v>
      </c>
      <c r="IMT83">
        <f t="shared" si="202"/>
        <v>75</v>
      </c>
      <c r="IMU83">
        <f t="shared" si="202"/>
        <v>75</v>
      </c>
      <c r="IMV83">
        <f t="shared" si="202"/>
        <v>75</v>
      </c>
      <c r="IMW83">
        <f t="shared" si="202"/>
        <v>75</v>
      </c>
      <c r="IMX83">
        <f t="shared" si="202"/>
        <v>75</v>
      </c>
      <c r="IMY83">
        <f t="shared" si="202"/>
        <v>75</v>
      </c>
      <c r="IMZ83">
        <f t="shared" si="202"/>
        <v>75</v>
      </c>
      <c r="INA83">
        <f t="shared" si="202"/>
        <v>75</v>
      </c>
      <c r="INB83">
        <f t="shared" si="202"/>
        <v>75</v>
      </c>
      <c r="INC83">
        <f t="shared" si="202"/>
        <v>75</v>
      </c>
      <c r="IND83">
        <f t="shared" si="202"/>
        <v>75</v>
      </c>
      <c r="INE83">
        <f t="shared" si="202"/>
        <v>75</v>
      </c>
      <c r="INF83">
        <f t="shared" si="202"/>
        <v>75</v>
      </c>
      <c r="ING83">
        <f t="shared" si="202"/>
        <v>75</v>
      </c>
      <c r="INH83">
        <f t="shared" si="202"/>
        <v>75</v>
      </c>
      <c r="INI83">
        <f t="shared" si="202"/>
        <v>75</v>
      </c>
      <c r="INJ83">
        <f t="shared" si="202"/>
        <v>75</v>
      </c>
      <c r="INK83">
        <f t="shared" si="202"/>
        <v>75</v>
      </c>
      <c r="INL83">
        <f t="shared" si="202"/>
        <v>75</v>
      </c>
      <c r="INM83">
        <f t="shared" si="202"/>
        <v>75</v>
      </c>
      <c r="INN83">
        <f t="shared" si="202"/>
        <v>75</v>
      </c>
      <c r="INO83">
        <f t="shared" si="202"/>
        <v>75</v>
      </c>
      <c r="INP83">
        <f t="shared" si="202"/>
        <v>75</v>
      </c>
      <c r="INQ83">
        <f t="shared" si="202"/>
        <v>75</v>
      </c>
      <c r="INR83">
        <f t="shared" si="202"/>
        <v>75</v>
      </c>
      <c r="INS83">
        <f t="shared" ref="INS83:IQD83" si="203">COUNTBLANK(INS6:INS81)</f>
        <v>75</v>
      </c>
      <c r="INT83">
        <f t="shared" si="203"/>
        <v>75</v>
      </c>
      <c r="INU83">
        <f t="shared" si="203"/>
        <v>75</v>
      </c>
      <c r="INV83">
        <f t="shared" si="203"/>
        <v>75</v>
      </c>
      <c r="INW83">
        <f t="shared" si="203"/>
        <v>75</v>
      </c>
      <c r="INX83">
        <f t="shared" si="203"/>
        <v>75</v>
      </c>
      <c r="INY83">
        <f t="shared" si="203"/>
        <v>75</v>
      </c>
      <c r="INZ83">
        <f t="shared" si="203"/>
        <v>75</v>
      </c>
      <c r="IOA83">
        <f t="shared" si="203"/>
        <v>75</v>
      </c>
      <c r="IOB83">
        <f t="shared" si="203"/>
        <v>75</v>
      </c>
      <c r="IOC83">
        <f t="shared" si="203"/>
        <v>75</v>
      </c>
      <c r="IOD83">
        <f t="shared" si="203"/>
        <v>75</v>
      </c>
      <c r="IOE83">
        <f t="shared" si="203"/>
        <v>75</v>
      </c>
      <c r="IOF83">
        <f t="shared" si="203"/>
        <v>75</v>
      </c>
      <c r="IOG83">
        <f t="shared" si="203"/>
        <v>75</v>
      </c>
      <c r="IOH83">
        <f t="shared" si="203"/>
        <v>75</v>
      </c>
      <c r="IOI83">
        <f t="shared" si="203"/>
        <v>75</v>
      </c>
      <c r="IOJ83">
        <f t="shared" si="203"/>
        <v>75</v>
      </c>
      <c r="IOK83">
        <f t="shared" si="203"/>
        <v>75</v>
      </c>
      <c r="IOL83">
        <f t="shared" si="203"/>
        <v>75</v>
      </c>
      <c r="IOM83">
        <f t="shared" si="203"/>
        <v>75</v>
      </c>
      <c r="ION83">
        <f t="shared" si="203"/>
        <v>75</v>
      </c>
      <c r="IOO83">
        <f t="shared" si="203"/>
        <v>75</v>
      </c>
      <c r="IOP83">
        <f t="shared" si="203"/>
        <v>75</v>
      </c>
      <c r="IOQ83">
        <f t="shared" si="203"/>
        <v>74</v>
      </c>
      <c r="IOR83">
        <f t="shared" si="203"/>
        <v>74</v>
      </c>
      <c r="IOS83">
        <f t="shared" si="203"/>
        <v>74</v>
      </c>
      <c r="IOT83">
        <f t="shared" si="203"/>
        <v>74</v>
      </c>
      <c r="IOU83">
        <f t="shared" si="203"/>
        <v>74</v>
      </c>
      <c r="IOV83">
        <f t="shared" si="203"/>
        <v>74</v>
      </c>
      <c r="IOW83">
        <f t="shared" si="203"/>
        <v>74</v>
      </c>
      <c r="IOX83">
        <f t="shared" si="203"/>
        <v>74</v>
      </c>
      <c r="IOY83">
        <f t="shared" si="203"/>
        <v>74</v>
      </c>
      <c r="IOZ83">
        <f t="shared" si="203"/>
        <v>74</v>
      </c>
      <c r="IPA83">
        <f t="shared" si="203"/>
        <v>74</v>
      </c>
      <c r="IPB83">
        <f t="shared" si="203"/>
        <v>74</v>
      </c>
      <c r="IPC83">
        <f t="shared" si="203"/>
        <v>74</v>
      </c>
      <c r="IPD83">
        <f t="shared" si="203"/>
        <v>74</v>
      </c>
      <c r="IPE83">
        <f t="shared" si="203"/>
        <v>74</v>
      </c>
      <c r="IPF83">
        <f t="shared" si="203"/>
        <v>74</v>
      </c>
      <c r="IPG83">
        <f t="shared" si="203"/>
        <v>74</v>
      </c>
      <c r="IPH83">
        <f t="shared" si="203"/>
        <v>74</v>
      </c>
      <c r="IPI83">
        <f t="shared" si="203"/>
        <v>74</v>
      </c>
      <c r="IPJ83">
        <f t="shared" si="203"/>
        <v>74</v>
      </c>
      <c r="IPK83">
        <f t="shared" si="203"/>
        <v>74</v>
      </c>
      <c r="IPL83">
        <f t="shared" si="203"/>
        <v>74</v>
      </c>
      <c r="IPM83">
        <f t="shared" si="203"/>
        <v>74</v>
      </c>
      <c r="IPN83">
        <f t="shared" si="203"/>
        <v>74</v>
      </c>
      <c r="IPO83">
        <f t="shared" si="203"/>
        <v>74</v>
      </c>
      <c r="IPP83">
        <f t="shared" si="203"/>
        <v>74</v>
      </c>
      <c r="IPQ83">
        <f t="shared" si="203"/>
        <v>74</v>
      </c>
      <c r="IPR83">
        <f t="shared" si="203"/>
        <v>74</v>
      </c>
      <c r="IPS83">
        <f t="shared" si="203"/>
        <v>74</v>
      </c>
      <c r="IPT83">
        <f t="shared" si="203"/>
        <v>74</v>
      </c>
      <c r="IPU83">
        <f t="shared" si="203"/>
        <v>74</v>
      </c>
      <c r="IPV83">
        <f t="shared" si="203"/>
        <v>74</v>
      </c>
      <c r="IPW83">
        <f t="shared" si="203"/>
        <v>74</v>
      </c>
      <c r="IPX83">
        <f t="shared" si="203"/>
        <v>74</v>
      </c>
      <c r="IPY83">
        <f t="shared" si="203"/>
        <v>74</v>
      </c>
      <c r="IPZ83">
        <f t="shared" si="203"/>
        <v>74</v>
      </c>
      <c r="IQA83">
        <f t="shared" si="203"/>
        <v>74</v>
      </c>
      <c r="IQB83">
        <f t="shared" si="203"/>
        <v>74</v>
      </c>
      <c r="IQC83">
        <f t="shared" si="203"/>
        <v>74</v>
      </c>
      <c r="IQD83">
        <f t="shared" si="203"/>
        <v>74</v>
      </c>
      <c r="IQE83">
        <f t="shared" ref="IQE83:ISP83" si="204">COUNTBLANK(IQE6:IQE81)</f>
        <v>74</v>
      </c>
      <c r="IQF83">
        <f t="shared" si="204"/>
        <v>74</v>
      </c>
      <c r="IQG83">
        <f t="shared" si="204"/>
        <v>74</v>
      </c>
      <c r="IQH83">
        <f t="shared" si="204"/>
        <v>74</v>
      </c>
      <c r="IQI83">
        <f t="shared" si="204"/>
        <v>74</v>
      </c>
      <c r="IQJ83">
        <f t="shared" si="204"/>
        <v>74</v>
      </c>
      <c r="IQK83">
        <f t="shared" si="204"/>
        <v>74</v>
      </c>
      <c r="IQL83">
        <f t="shared" si="204"/>
        <v>74</v>
      </c>
      <c r="IQM83">
        <f t="shared" si="204"/>
        <v>74</v>
      </c>
      <c r="IQN83">
        <f t="shared" si="204"/>
        <v>74</v>
      </c>
      <c r="IQO83">
        <f t="shared" si="204"/>
        <v>74</v>
      </c>
      <c r="IQP83">
        <f t="shared" si="204"/>
        <v>74</v>
      </c>
      <c r="IQQ83">
        <f t="shared" si="204"/>
        <v>74</v>
      </c>
      <c r="IQR83">
        <f t="shared" si="204"/>
        <v>74</v>
      </c>
      <c r="IQS83">
        <f t="shared" si="204"/>
        <v>74</v>
      </c>
      <c r="IQT83">
        <f t="shared" si="204"/>
        <v>74</v>
      </c>
      <c r="IQU83">
        <f t="shared" si="204"/>
        <v>74</v>
      </c>
      <c r="IQV83">
        <f t="shared" si="204"/>
        <v>74</v>
      </c>
      <c r="IQW83">
        <f t="shared" si="204"/>
        <v>74</v>
      </c>
      <c r="IQX83">
        <f t="shared" si="204"/>
        <v>74</v>
      </c>
      <c r="IQY83">
        <f t="shared" si="204"/>
        <v>74</v>
      </c>
      <c r="IQZ83">
        <f t="shared" si="204"/>
        <v>74</v>
      </c>
      <c r="IRA83">
        <f t="shared" si="204"/>
        <v>74</v>
      </c>
      <c r="IRB83">
        <f t="shared" si="204"/>
        <v>74</v>
      </c>
      <c r="IRC83">
        <f t="shared" si="204"/>
        <v>74</v>
      </c>
      <c r="IRD83">
        <f t="shared" si="204"/>
        <v>74</v>
      </c>
      <c r="IRE83">
        <f t="shared" si="204"/>
        <v>74</v>
      </c>
      <c r="IRF83">
        <f t="shared" si="204"/>
        <v>74</v>
      </c>
      <c r="IRG83">
        <f t="shared" si="204"/>
        <v>74</v>
      </c>
      <c r="IRH83">
        <f t="shared" si="204"/>
        <v>74</v>
      </c>
      <c r="IRI83">
        <f t="shared" si="204"/>
        <v>74</v>
      </c>
      <c r="IRJ83">
        <f t="shared" si="204"/>
        <v>74</v>
      </c>
      <c r="IRK83">
        <f t="shared" si="204"/>
        <v>74</v>
      </c>
      <c r="IRL83">
        <f t="shared" si="204"/>
        <v>74</v>
      </c>
      <c r="IRM83">
        <f t="shared" si="204"/>
        <v>74</v>
      </c>
      <c r="IRN83">
        <f t="shared" si="204"/>
        <v>75</v>
      </c>
      <c r="IRO83">
        <f t="shared" si="204"/>
        <v>75</v>
      </c>
      <c r="IRP83">
        <f t="shared" si="204"/>
        <v>75</v>
      </c>
      <c r="IRQ83">
        <f t="shared" si="204"/>
        <v>75</v>
      </c>
      <c r="IRR83">
        <f t="shared" si="204"/>
        <v>75</v>
      </c>
      <c r="IRS83">
        <f t="shared" si="204"/>
        <v>75</v>
      </c>
      <c r="IRT83">
        <f t="shared" si="204"/>
        <v>75</v>
      </c>
      <c r="IRU83">
        <f t="shared" si="204"/>
        <v>75</v>
      </c>
      <c r="IRV83">
        <f t="shared" si="204"/>
        <v>75</v>
      </c>
      <c r="IRW83">
        <f t="shared" si="204"/>
        <v>75</v>
      </c>
      <c r="IRX83">
        <f t="shared" si="204"/>
        <v>75</v>
      </c>
      <c r="IRY83">
        <f t="shared" si="204"/>
        <v>75</v>
      </c>
      <c r="IRZ83">
        <f t="shared" si="204"/>
        <v>75</v>
      </c>
      <c r="ISA83">
        <f t="shared" si="204"/>
        <v>75</v>
      </c>
      <c r="ISB83">
        <f t="shared" si="204"/>
        <v>75</v>
      </c>
      <c r="ISC83">
        <f t="shared" si="204"/>
        <v>75</v>
      </c>
      <c r="ISD83">
        <f t="shared" si="204"/>
        <v>75</v>
      </c>
      <c r="ISE83">
        <f t="shared" si="204"/>
        <v>75</v>
      </c>
      <c r="ISF83">
        <f t="shared" si="204"/>
        <v>75</v>
      </c>
      <c r="ISG83">
        <f t="shared" si="204"/>
        <v>75</v>
      </c>
      <c r="ISH83">
        <f t="shared" si="204"/>
        <v>75</v>
      </c>
      <c r="ISI83">
        <f t="shared" si="204"/>
        <v>75</v>
      </c>
      <c r="ISJ83">
        <f t="shared" si="204"/>
        <v>75</v>
      </c>
      <c r="ISK83">
        <f t="shared" si="204"/>
        <v>75</v>
      </c>
      <c r="ISL83">
        <f t="shared" si="204"/>
        <v>75</v>
      </c>
      <c r="ISM83">
        <f t="shared" si="204"/>
        <v>75</v>
      </c>
      <c r="ISN83">
        <f t="shared" si="204"/>
        <v>75</v>
      </c>
      <c r="ISO83">
        <f t="shared" si="204"/>
        <v>75</v>
      </c>
      <c r="ISP83">
        <f t="shared" si="204"/>
        <v>75</v>
      </c>
      <c r="ISQ83">
        <f t="shared" ref="ISQ83:IVB83" si="205">COUNTBLANK(ISQ6:ISQ81)</f>
        <v>75</v>
      </c>
      <c r="ISR83">
        <f t="shared" si="205"/>
        <v>75</v>
      </c>
      <c r="ISS83">
        <f t="shared" si="205"/>
        <v>75</v>
      </c>
      <c r="IST83">
        <f t="shared" si="205"/>
        <v>75</v>
      </c>
      <c r="ISU83">
        <f t="shared" si="205"/>
        <v>75</v>
      </c>
      <c r="ISV83">
        <f t="shared" si="205"/>
        <v>75</v>
      </c>
      <c r="ISW83">
        <f t="shared" si="205"/>
        <v>75</v>
      </c>
      <c r="ISX83">
        <f t="shared" si="205"/>
        <v>75</v>
      </c>
      <c r="ISY83">
        <f t="shared" si="205"/>
        <v>75</v>
      </c>
      <c r="ISZ83">
        <f t="shared" si="205"/>
        <v>75</v>
      </c>
      <c r="ITA83">
        <f t="shared" si="205"/>
        <v>75</v>
      </c>
      <c r="ITB83">
        <f t="shared" si="205"/>
        <v>75</v>
      </c>
      <c r="ITC83">
        <f t="shared" si="205"/>
        <v>75</v>
      </c>
      <c r="ITD83">
        <f t="shared" si="205"/>
        <v>75</v>
      </c>
      <c r="ITE83">
        <f t="shared" si="205"/>
        <v>75</v>
      </c>
      <c r="ITF83">
        <f t="shared" si="205"/>
        <v>75</v>
      </c>
      <c r="ITG83">
        <f t="shared" si="205"/>
        <v>75</v>
      </c>
      <c r="ITH83">
        <f t="shared" si="205"/>
        <v>75</v>
      </c>
      <c r="ITI83">
        <f t="shared" si="205"/>
        <v>75</v>
      </c>
      <c r="ITJ83">
        <f t="shared" si="205"/>
        <v>75</v>
      </c>
      <c r="ITK83">
        <f t="shared" si="205"/>
        <v>75</v>
      </c>
      <c r="ITL83">
        <f t="shared" si="205"/>
        <v>75</v>
      </c>
      <c r="ITM83">
        <f t="shared" si="205"/>
        <v>75</v>
      </c>
      <c r="ITN83">
        <f t="shared" si="205"/>
        <v>75</v>
      </c>
      <c r="ITO83">
        <f t="shared" si="205"/>
        <v>75</v>
      </c>
      <c r="ITP83">
        <f t="shared" si="205"/>
        <v>75</v>
      </c>
      <c r="ITQ83">
        <f t="shared" si="205"/>
        <v>75</v>
      </c>
      <c r="ITR83">
        <f t="shared" si="205"/>
        <v>75</v>
      </c>
      <c r="ITS83">
        <f t="shared" si="205"/>
        <v>75</v>
      </c>
      <c r="ITT83">
        <f t="shared" si="205"/>
        <v>75</v>
      </c>
      <c r="ITU83">
        <f t="shared" si="205"/>
        <v>75</v>
      </c>
      <c r="ITV83">
        <f t="shared" si="205"/>
        <v>75</v>
      </c>
      <c r="ITW83">
        <f t="shared" si="205"/>
        <v>75</v>
      </c>
      <c r="ITX83">
        <f t="shared" si="205"/>
        <v>75</v>
      </c>
      <c r="ITY83">
        <f t="shared" si="205"/>
        <v>75</v>
      </c>
      <c r="ITZ83">
        <f t="shared" si="205"/>
        <v>75</v>
      </c>
      <c r="IUA83">
        <f t="shared" si="205"/>
        <v>75</v>
      </c>
      <c r="IUB83">
        <f t="shared" si="205"/>
        <v>75</v>
      </c>
      <c r="IUC83">
        <f t="shared" si="205"/>
        <v>75</v>
      </c>
      <c r="IUD83">
        <f t="shared" si="205"/>
        <v>75</v>
      </c>
      <c r="IUE83">
        <f t="shared" si="205"/>
        <v>75</v>
      </c>
      <c r="IUF83">
        <f t="shared" si="205"/>
        <v>75</v>
      </c>
      <c r="IUG83">
        <f t="shared" si="205"/>
        <v>75</v>
      </c>
      <c r="IUH83">
        <f t="shared" si="205"/>
        <v>75</v>
      </c>
      <c r="IUI83">
        <f t="shared" si="205"/>
        <v>75</v>
      </c>
      <c r="IUJ83">
        <f t="shared" si="205"/>
        <v>75</v>
      </c>
      <c r="IUK83">
        <f t="shared" si="205"/>
        <v>75</v>
      </c>
      <c r="IUL83">
        <f t="shared" si="205"/>
        <v>75</v>
      </c>
      <c r="IUM83">
        <f t="shared" si="205"/>
        <v>75</v>
      </c>
      <c r="IUN83">
        <f t="shared" si="205"/>
        <v>75</v>
      </c>
      <c r="IUO83">
        <f t="shared" si="205"/>
        <v>75</v>
      </c>
      <c r="IUP83">
        <f t="shared" si="205"/>
        <v>75</v>
      </c>
      <c r="IUQ83">
        <f t="shared" si="205"/>
        <v>75</v>
      </c>
      <c r="IUR83">
        <f t="shared" si="205"/>
        <v>75</v>
      </c>
      <c r="IUS83">
        <f t="shared" si="205"/>
        <v>75</v>
      </c>
      <c r="IUT83">
        <f t="shared" si="205"/>
        <v>75</v>
      </c>
      <c r="IUU83">
        <f t="shared" si="205"/>
        <v>75</v>
      </c>
      <c r="IUV83">
        <f t="shared" si="205"/>
        <v>75</v>
      </c>
      <c r="IUW83">
        <f t="shared" si="205"/>
        <v>75</v>
      </c>
      <c r="IUX83">
        <f t="shared" si="205"/>
        <v>75</v>
      </c>
      <c r="IUY83">
        <f t="shared" si="205"/>
        <v>75</v>
      </c>
      <c r="IUZ83">
        <f t="shared" si="205"/>
        <v>75</v>
      </c>
      <c r="IVA83">
        <f t="shared" si="205"/>
        <v>75</v>
      </c>
      <c r="IVB83">
        <f t="shared" si="205"/>
        <v>75</v>
      </c>
      <c r="IVC83">
        <f t="shared" ref="IVC83:IXN83" si="206">COUNTBLANK(IVC6:IVC81)</f>
        <v>75</v>
      </c>
      <c r="IVD83">
        <f t="shared" si="206"/>
        <v>75</v>
      </c>
      <c r="IVE83">
        <f t="shared" si="206"/>
        <v>75</v>
      </c>
      <c r="IVF83">
        <f t="shared" si="206"/>
        <v>75</v>
      </c>
      <c r="IVG83">
        <f t="shared" si="206"/>
        <v>75</v>
      </c>
      <c r="IVH83">
        <f t="shared" si="206"/>
        <v>75</v>
      </c>
      <c r="IVI83">
        <f t="shared" si="206"/>
        <v>75</v>
      </c>
      <c r="IVJ83">
        <f t="shared" si="206"/>
        <v>75</v>
      </c>
      <c r="IVK83">
        <f t="shared" si="206"/>
        <v>75</v>
      </c>
      <c r="IVL83">
        <f t="shared" si="206"/>
        <v>75</v>
      </c>
      <c r="IVM83">
        <f t="shared" si="206"/>
        <v>75</v>
      </c>
      <c r="IVN83">
        <f t="shared" si="206"/>
        <v>75</v>
      </c>
      <c r="IVO83">
        <f t="shared" si="206"/>
        <v>75</v>
      </c>
      <c r="IVP83">
        <f t="shared" si="206"/>
        <v>75</v>
      </c>
      <c r="IVQ83">
        <f t="shared" si="206"/>
        <v>75</v>
      </c>
      <c r="IVR83">
        <f t="shared" si="206"/>
        <v>75</v>
      </c>
      <c r="IVS83">
        <f t="shared" si="206"/>
        <v>75</v>
      </c>
      <c r="IVT83">
        <f t="shared" si="206"/>
        <v>75</v>
      </c>
      <c r="IVU83">
        <f t="shared" si="206"/>
        <v>75</v>
      </c>
      <c r="IVV83">
        <f t="shared" si="206"/>
        <v>75</v>
      </c>
      <c r="IVW83">
        <f t="shared" si="206"/>
        <v>75</v>
      </c>
      <c r="IVX83">
        <f t="shared" si="206"/>
        <v>75</v>
      </c>
      <c r="IVY83">
        <f t="shared" si="206"/>
        <v>75</v>
      </c>
      <c r="IVZ83">
        <f t="shared" si="206"/>
        <v>75</v>
      </c>
      <c r="IWA83">
        <f t="shared" si="206"/>
        <v>75</v>
      </c>
      <c r="IWB83">
        <f t="shared" si="206"/>
        <v>75</v>
      </c>
      <c r="IWC83">
        <f t="shared" si="206"/>
        <v>75</v>
      </c>
      <c r="IWD83">
        <f t="shared" si="206"/>
        <v>75</v>
      </c>
      <c r="IWE83">
        <f t="shared" si="206"/>
        <v>75</v>
      </c>
      <c r="IWF83">
        <f t="shared" si="206"/>
        <v>75</v>
      </c>
      <c r="IWG83">
        <f t="shared" si="206"/>
        <v>75</v>
      </c>
      <c r="IWH83">
        <f t="shared" si="206"/>
        <v>75</v>
      </c>
      <c r="IWI83">
        <f t="shared" si="206"/>
        <v>75</v>
      </c>
      <c r="IWJ83">
        <f t="shared" si="206"/>
        <v>75</v>
      </c>
      <c r="IWK83">
        <f t="shared" si="206"/>
        <v>75</v>
      </c>
      <c r="IWL83">
        <f t="shared" si="206"/>
        <v>75</v>
      </c>
      <c r="IWM83">
        <f t="shared" si="206"/>
        <v>75</v>
      </c>
      <c r="IWN83">
        <f t="shared" si="206"/>
        <v>75</v>
      </c>
      <c r="IWO83">
        <f t="shared" si="206"/>
        <v>75</v>
      </c>
      <c r="IWP83">
        <f t="shared" si="206"/>
        <v>75</v>
      </c>
      <c r="IWQ83">
        <f t="shared" si="206"/>
        <v>75</v>
      </c>
      <c r="IWR83">
        <f t="shared" si="206"/>
        <v>75</v>
      </c>
      <c r="IWS83">
        <f t="shared" si="206"/>
        <v>75</v>
      </c>
      <c r="IWT83">
        <f t="shared" si="206"/>
        <v>75</v>
      </c>
      <c r="IWU83">
        <f t="shared" si="206"/>
        <v>75</v>
      </c>
      <c r="IWV83">
        <f t="shared" si="206"/>
        <v>75</v>
      </c>
      <c r="IWW83">
        <f t="shared" si="206"/>
        <v>75</v>
      </c>
      <c r="IWX83">
        <f t="shared" si="206"/>
        <v>75</v>
      </c>
      <c r="IWY83">
        <f t="shared" si="206"/>
        <v>75</v>
      </c>
      <c r="IWZ83">
        <f t="shared" si="206"/>
        <v>75</v>
      </c>
      <c r="IXA83">
        <f t="shared" si="206"/>
        <v>75</v>
      </c>
      <c r="IXB83">
        <f t="shared" si="206"/>
        <v>75</v>
      </c>
      <c r="IXC83">
        <f t="shared" si="206"/>
        <v>75</v>
      </c>
      <c r="IXD83">
        <f t="shared" si="206"/>
        <v>75</v>
      </c>
      <c r="IXE83">
        <f t="shared" si="206"/>
        <v>75</v>
      </c>
      <c r="IXF83">
        <f t="shared" si="206"/>
        <v>75</v>
      </c>
      <c r="IXG83">
        <f t="shared" si="206"/>
        <v>75</v>
      </c>
      <c r="IXH83">
        <f t="shared" si="206"/>
        <v>75</v>
      </c>
      <c r="IXI83">
        <f t="shared" si="206"/>
        <v>75</v>
      </c>
      <c r="IXJ83">
        <f t="shared" si="206"/>
        <v>75</v>
      </c>
      <c r="IXK83">
        <f t="shared" si="206"/>
        <v>75</v>
      </c>
      <c r="IXL83">
        <f t="shared" si="206"/>
        <v>75</v>
      </c>
      <c r="IXM83">
        <f t="shared" si="206"/>
        <v>75</v>
      </c>
      <c r="IXN83">
        <f t="shared" si="206"/>
        <v>75</v>
      </c>
      <c r="IXO83">
        <f t="shared" ref="IXO83:IZZ83" si="207">COUNTBLANK(IXO6:IXO81)</f>
        <v>75</v>
      </c>
      <c r="IXP83">
        <f t="shared" si="207"/>
        <v>75</v>
      </c>
      <c r="IXQ83">
        <f t="shared" si="207"/>
        <v>75</v>
      </c>
      <c r="IXR83">
        <f t="shared" si="207"/>
        <v>75</v>
      </c>
      <c r="IXS83">
        <f t="shared" si="207"/>
        <v>75</v>
      </c>
      <c r="IXT83">
        <f t="shared" si="207"/>
        <v>75</v>
      </c>
      <c r="IXU83">
        <f t="shared" si="207"/>
        <v>75</v>
      </c>
      <c r="IXV83">
        <f t="shared" si="207"/>
        <v>75</v>
      </c>
      <c r="IXW83">
        <f t="shared" si="207"/>
        <v>75</v>
      </c>
      <c r="IXX83">
        <f t="shared" si="207"/>
        <v>75</v>
      </c>
      <c r="IXY83">
        <f t="shared" si="207"/>
        <v>75</v>
      </c>
      <c r="IXZ83">
        <f t="shared" si="207"/>
        <v>75</v>
      </c>
      <c r="IYA83">
        <f t="shared" si="207"/>
        <v>75</v>
      </c>
      <c r="IYB83">
        <f t="shared" si="207"/>
        <v>75</v>
      </c>
      <c r="IYC83">
        <f t="shared" si="207"/>
        <v>75</v>
      </c>
      <c r="IYD83">
        <f t="shared" si="207"/>
        <v>75</v>
      </c>
      <c r="IYE83">
        <f t="shared" si="207"/>
        <v>75</v>
      </c>
      <c r="IYF83">
        <f t="shared" si="207"/>
        <v>75</v>
      </c>
      <c r="IYG83">
        <f t="shared" si="207"/>
        <v>75</v>
      </c>
      <c r="IYH83">
        <f t="shared" si="207"/>
        <v>75</v>
      </c>
      <c r="IYI83">
        <f t="shared" si="207"/>
        <v>75</v>
      </c>
      <c r="IYJ83">
        <f t="shared" si="207"/>
        <v>75</v>
      </c>
      <c r="IYK83">
        <f t="shared" si="207"/>
        <v>75</v>
      </c>
      <c r="IYL83">
        <f t="shared" si="207"/>
        <v>75</v>
      </c>
      <c r="IYM83">
        <f t="shared" si="207"/>
        <v>75</v>
      </c>
      <c r="IYN83">
        <f t="shared" si="207"/>
        <v>75</v>
      </c>
      <c r="IYO83">
        <f t="shared" si="207"/>
        <v>75</v>
      </c>
      <c r="IYP83">
        <f t="shared" si="207"/>
        <v>75</v>
      </c>
      <c r="IYQ83">
        <f t="shared" si="207"/>
        <v>75</v>
      </c>
      <c r="IYR83">
        <f t="shared" si="207"/>
        <v>75</v>
      </c>
      <c r="IYS83">
        <f t="shared" si="207"/>
        <v>75</v>
      </c>
      <c r="IYT83">
        <f t="shared" si="207"/>
        <v>75</v>
      </c>
      <c r="IYU83">
        <f t="shared" si="207"/>
        <v>75</v>
      </c>
      <c r="IYV83">
        <f t="shared" si="207"/>
        <v>75</v>
      </c>
      <c r="IYW83">
        <f t="shared" si="207"/>
        <v>75</v>
      </c>
      <c r="IYX83">
        <f t="shared" si="207"/>
        <v>75</v>
      </c>
      <c r="IYY83">
        <f t="shared" si="207"/>
        <v>75</v>
      </c>
      <c r="IYZ83">
        <f t="shared" si="207"/>
        <v>75</v>
      </c>
      <c r="IZA83">
        <f t="shared" si="207"/>
        <v>75</v>
      </c>
      <c r="IZB83">
        <f t="shared" si="207"/>
        <v>75</v>
      </c>
      <c r="IZC83">
        <f t="shared" si="207"/>
        <v>75</v>
      </c>
      <c r="IZD83">
        <f t="shared" si="207"/>
        <v>75</v>
      </c>
      <c r="IZE83">
        <f t="shared" si="207"/>
        <v>75</v>
      </c>
      <c r="IZF83">
        <f t="shared" si="207"/>
        <v>75</v>
      </c>
      <c r="IZG83">
        <f t="shared" si="207"/>
        <v>75</v>
      </c>
      <c r="IZH83">
        <f t="shared" si="207"/>
        <v>75</v>
      </c>
      <c r="IZI83">
        <f t="shared" si="207"/>
        <v>75</v>
      </c>
      <c r="IZJ83">
        <f t="shared" si="207"/>
        <v>75</v>
      </c>
      <c r="IZK83">
        <f t="shared" si="207"/>
        <v>75</v>
      </c>
      <c r="IZL83">
        <f t="shared" si="207"/>
        <v>75</v>
      </c>
      <c r="IZM83">
        <f t="shared" si="207"/>
        <v>75</v>
      </c>
      <c r="IZN83">
        <f t="shared" si="207"/>
        <v>75</v>
      </c>
      <c r="IZO83">
        <f t="shared" si="207"/>
        <v>75</v>
      </c>
      <c r="IZP83">
        <f t="shared" si="207"/>
        <v>75</v>
      </c>
      <c r="IZQ83">
        <f t="shared" si="207"/>
        <v>75</v>
      </c>
      <c r="IZR83">
        <f t="shared" si="207"/>
        <v>75</v>
      </c>
      <c r="IZS83">
        <f t="shared" si="207"/>
        <v>75</v>
      </c>
      <c r="IZT83">
        <f t="shared" si="207"/>
        <v>75</v>
      </c>
      <c r="IZU83">
        <f t="shared" si="207"/>
        <v>75</v>
      </c>
      <c r="IZV83">
        <f t="shared" si="207"/>
        <v>75</v>
      </c>
      <c r="IZW83">
        <f t="shared" si="207"/>
        <v>75</v>
      </c>
      <c r="IZX83">
        <f t="shared" si="207"/>
        <v>75</v>
      </c>
      <c r="IZY83">
        <f t="shared" si="207"/>
        <v>75</v>
      </c>
      <c r="IZZ83">
        <f t="shared" si="207"/>
        <v>75</v>
      </c>
      <c r="JAA83">
        <f t="shared" ref="JAA83:JCL83" si="208">COUNTBLANK(JAA6:JAA81)</f>
        <v>75</v>
      </c>
      <c r="JAB83">
        <f t="shared" si="208"/>
        <v>75</v>
      </c>
      <c r="JAC83">
        <f t="shared" si="208"/>
        <v>75</v>
      </c>
      <c r="JAD83">
        <f t="shared" si="208"/>
        <v>75</v>
      </c>
      <c r="JAE83">
        <f t="shared" si="208"/>
        <v>75</v>
      </c>
      <c r="JAF83">
        <f t="shared" si="208"/>
        <v>75</v>
      </c>
      <c r="JAG83">
        <f t="shared" si="208"/>
        <v>75</v>
      </c>
      <c r="JAH83">
        <f t="shared" si="208"/>
        <v>75</v>
      </c>
      <c r="JAI83">
        <f t="shared" si="208"/>
        <v>75</v>
      </c>
      <c r="JAJ83">
        <f t="shared" si="208"/>
        <v>75</v>
      </c>
      <c r="JAK83">
        <f t="shared" si="208"/>
        <v>75</v>
      </c>
      <c r="JAL83">
        <f t="shared" si="208"/>
        <v>75</v>
      </c>
      <c r="JAM83">
        <f t="shared" si="208"/>
        <v>74</v>
      </c>
      <c r="JAN83">
        <f t="shared" si="208"/>
        <v>74</v>
      </c>
      <c r="JAO83">
        <f t="shared" si="208"/>
        <v>74</v>
      </c>
      <c r="JAP83">
        <f t="shared" si="208"/>
        <v>74</v>
      </c>
      <c r="JAQ83">
        <f t="shared" si="208"/>
        <v>74</v>
      </c>
      <c r="JAR83">
        <f t="shared" si="208"/>
        <v>74</v>
      </c>
      <c r="JAS83">
        <f t="shared" si="208"/>
        <v>74</v>
      </c>
      <c r="JAT83">
        <f t="shared" si="208"/>
        <v>74</v>
      </c>
      <c r="JAU83">
        <f t="shared" si="208"/>
        <v>74</v>
      </c>
      <c r="JAV83">
        <f t="shared" si="208"/>
        <v>74</v>
      </c>
      <c r="JAW83">
        <f t="shared" si="208"/>
        <v>74</v>
      </c>
      <c r="JAX83">
        <f t="shared" si="208"/>
        <v>74</v>
      </c>
      <c r="JAY83">
        <f t="shared" si="208"/>
        <v>74</v>
      </c>
      <c r="JAZ83">
        <f t="shared" si="208"/>
        <v>74</v>
      </c>
      <c r="JBA83">
        <f t="shared" si="208"/>
        <v>74</v>
      </c>
      <c r="JBB83">
        <f t="shared" si="208"/>
        <v>74</v>
      </c>
      <c r="JBC83">
        <f t="shared" si="208"/>
        <v>74</v>
      </c>
      <c r="JBD83">
        <f t="shared" si="208"/>
        <v>74</v>
      </c>
      <c r="JBE83">
        <f t="shared" si="208"/>
        <v>74</v>
      </c>
      <c r="JBF83">
        <f t="shared" si="208"/>
        <v>74</v>
      </c>
      <c r="JBG83">
        <f t="shared" si="208"/>
        <v>74</v>
      </c>
      <c r="JBH83">
        <f t="shared" si="208"/>
        <v>74</v>
      </c>
      <c r="JBI83">
        <f t="shared" si="208"/>
        <v>74</v>
      </c>
      <c r="JBJ83">
        <f t="shared" si="208"/>
        <v>74</v>
      </c>
      <c r="JBK83">
        <f t="shared" si="208"/>
        <v>74</v>
      </c>
      <c r="JBL83">
        <f t="shared" si="208"/>
        <v>74</v>
      </c>
      <c r="JBM83">
        <f t="shared" si="208"/>
        <v>74</v>
      </c>
      <c r="JBN83">
        <f t="shared" si="208"/>
        <v>74</v>
      </c>
      <c r="JBO83">
        <f t="shared" si="208"/>
        <v>75</v>
      </c>
      <c r="JBP83">
        <f t="shared" si="208"/>
        <v>75</v>
      </c>
      <c r="JBQ83">
        <f t="shared" si="208"/>
        <v>75</v>
      </c>
      <c r="JBR83">
        <f t="shared" si="208"/>
        <v>75</v>
      </c>
      <c r="JBS83">
        <f t="shared" si="208"/>
        <v>75</v>
      </c>
      <c r="JBT83">
        <f t="shared" si="208"/>
        <v>75</v>
      </c>
      <c r="JBU83">
        <f t="shared" si="208"/>
        <v>75</v>
      </c>
      <c r="JBV83">
        <f t="shared" si="208"/>
        <v>75</v>
      </c>
      <c r="JBW83">
        <f t="shared" si="208"/>
        <v>75</v>
      </c>
      <c r="JBX83">
        <f t="shared" si="208"/>
        <v>75</v>
      </c>
      <c r="JBY83">
        <f t="shared" si="208"/>
        <v>75</v>
      </c>
      <c r="JBZ83">
        <f t="shared" si="208"/>
        <v>75</v>
      </c>
      <c r="JCA83">
        <f t="shared" si="208"/>
        <v>75</v>
      </c>
      <c r="JCB83">
        <f t="shared" si="208"/>
        <v>75</v>
      </c>
      <c r="JCC83">
        <f t="shared" si="208"/>
        <v>74</v>
      </c>
      <c r="JCD83">
        <f t="shared" si="208"/>
        <v>74</v>
      </c>
      <c r="JCE83">
        <f t="shared" si="208"/>
        <v>74</v>
      </c>
      <c r="JCF83">
        <f t="shared" si="208"/>
        <v>74</v>
      </c>
      <c r="JCG83">
        <f t="shared" si="208"/>
        <v>74</v>
      </c>
      <c r="JCH83">
        <f t="shared" si="208"/>
        <v>74</v>
      </c>
      <c r="JCI83">
        <f t="shared" si="208"/>
        <v>74</v>
      </c>
      <c r="JCJ83">
        <f t="shared" si="208"/>
        <v>74</v>
      </c>
      <c r="JCK83">
        <f t="shared" si="208"/>
        <v>74</v>
      </c>
      <c r="JCL83">
        <f t="shared" si="208"/>
        <v>74</v>
      </c>
      <c r="JCM83">
        <f t="shared" ref="JCM83:JEX83" si="209">COUNTBLANK(JCM6:JCM81)</f>
        <v>74</v>
      </c>
      <c r="JCN83">
        <f t="shared" si="209"/>
        <v>74</v>
      </c>
      <c r="JCO83">
        <f t="shared" si="209"/>
        <v>74</v>
      </c>
      <c r="JCP83">
        <f t="shared" si="209"/>
        <v>74</v>
      </c>
      <c r="JCQ83">
        <f t="shared" si="209"/>
        <v>74</v>
      </c>
      <c r="JCR83">
        <f t="shared" si="209"/>
        <v>74</v>
      </c>
      <c r="JCS83">
        <f t="shared" si="209"/>
        <v>74</v>
      </c>
      <c r="JCT83">
        <f t="shared" si="209"/>
        <v>74</v>
      </c>
      <c r="JCU83">
        <f t="shared" si="209"/>
        <v>74</v>
      </c>
      <c r="JCV83">
        <f t="shared" si="209"/>
        <v>74</v>
      </c>
      <c r="JCW83">
        <f t="shared" si="209"/>
        <v>75</v>
      </c>
      <c r="JCX83">
        <f t="shared" si="209"/>
        <v>75</v>
      </c>
      <c r="JCY83">
        <f t="shared" si="209"/>
        <v>75</v>
      </c>
      <c r="JCZ83">
        <f t="shared" si="209"/>
        <v>75</v>
      </c>
      <c r="JDA83">
        <f t="shared" si="209"/>
        <v>75</v>
      </c>
      <c r="JDB83">
        <f t="shared" si="209"/>
        <v>75</v>
      </c>
      <c r="JDC83">
        <f t="shared" si="209"/>
        <v>75</v>
      </c>
      <c r="JDD83">
        <f t="shared" si="209"/>
        <v>75</v>
      </c>
      <c r="JDE83">
        <f t="shared" si="209"/>
        <v>75</v>
      </c>
      <c r="JDF83">
        <f t="shared" si="209"/>
        <v>75</v>
      </c>
      <c r="JDG83">
        <f t="shared" si="209"/>
        <v>75</v>
      </c>
      <c r="JDH83">
        <f t="shared" si="209"/>
        <v>75</v>
      </c>
      <c r="JDI83">
        <f t="shared" si="209"/>
        <v>75</v>
      </c>
      <c r="JDJ83">
        <f t="shared" si="209"/>
        <v>75</v>
      </c>
      <c r="JDK83">
        <f t="shared" si="209"/>
        <v>75</v>
      </c>
      <c r="JDL83">
        <f t="shared" si="209"/>
        <v>75</v>
      </c>
      <c r="JDM83">
        <f t="shared" si="209"/>
        <v>75</v>
      </c>
      <c r="JDN83">
        <f t="shared" si="209"/>
        <v>75</v>
      </c>
      <c r="JDO83">
        <f t="shared" si="209"/>
        <v>75</v>
      </c>
      <c r="JDP83">
        <f t="shared" si="209"/>
        <v>75</v>
      </c>
      <c r="JDQ83">
        <f t="shared" si="209"/>
        <v>75</v>
      </c>
      <c r="JDR83">
        <f t="shared" si="209"/>
        <v>75</v>
      </c>
      <c r="JDS83">
        <f t="shared" si="209"/>
        <v>75</v>
      </c>
      <c r="JDT83">
        <f t="shared" si="209"/>
        <v>75</v>
      </c>
      <c r="JDU83">
        <f t="shared" si="209"/>
        <v>75</v>
      </c>
      <c r="JDV83">
        <f t="shared" si="209"/>
        <v>75</v>
      </c>
      <c r="JDW83">
        <f t="shared" si="209"/>
        <v>75</v>
      </c>
      <c r="JDX83">
        <f t="shared" si="209"/>
        <v>75</v>
      </c>
      <c r="JDY83">
        <f t="shared" si="209"/>
        <v>75</v>
      </c>
      <c r="JDZ83">
        <f t="shared" si="209"/>
        <v>75</v>
      </c>
      <c r="JEA83">
        <f t="shared" si="209"/>
        <v>75</v>
      </c>
      <c r="JEB83">
        <f t="shared" si="209"/>
        <v>75</v>
      </c>
      <c r="JEC83">
        <f t="shared" si="209"/>
        <v>75</v>
      </c>
      <c r="JED83">
        <f t="shared" si="209"/>
        <v>75</v>
      </c>
      <c r="JEE83">
        <f t="shared" si="209"/>
        <v>75</v>
      </c>
      <c r="JEF83">
        <f t="shared" si="209"/>
        <v>75</v>
      </c>
      <c r="JEG83">
        <f t="shared" si="209"/>
        <v>75</v>
      </c>
      <c r="JEH83">
        <f t="shared" si="209"/>
        <v>75</v>
      </c>
      <c r="JEI83">
        <f t="shared" si="209"/>
        <v>75</v>
      </c>
      <c r="JEJ83">
        <f t="shared" si="209"/>
        <v>75</v>
      </c>
      <c r="JEK83">
        <f t="shared" si="209"/>
        <v>75</v>
      </c>
      <c r="JEL83">
        <f t="shared" si="209"/>
        <v>75</v>
      </c>
      <c r="JEM83">
        <f t="shared" si="209"/>
        <v>75</v>
      </c>
      <c r="JEN83">
        <f t="shared" si="209"/>
        <v>75</v>
      </c>
      <c r="JEO83">
        <f t="shared" si="209"/>
        <v>75</v>
      </c>
      <c r="JEP83">
        <f t="shared" si="209"/>
        <v>75</v>
      </c>
      <c r="JEQ83">
        <f t="shared" si="209"/>
        <v>75</v>
      </c>
      <c r="JER83">
        <f t="shared" si="209"/>
        <v>75</v>
      </c>
      <c r="JES83">
        <f t="shared" si="209"/>
        <v>75</v>
      </c>
      <c r="JET83">
        <f t="shared" si="209"/>
        <v>75</v>
      </c>
      <c r="JEU83">
        <f t="shared" si="209"/>
        <v>75</v>
      </c>
      <c r="JEV83">
        <f t="shared" si="209"/>
        <v>75</v>
      </c>
      <c r="JEW83">
        <f t="shared" si="209"/>
        <v>75</v>
      </c>
      <c r="JEX83">
        <f t="shared" si="209"/>
        <v>75</v>
      </c>
      <c r="JEY83">
        <f t="shared" ref="JEY83:JHJ83" si="210">COUNTBLANK(JEY6:JEY81)</f>
        <v>75</v>
      </c>
      <c r="JEZ83">
        <f t="shared" si="210"/>
        <v>75</v>
      </c>
      <c r="JFA83">
        <f t="shared" si="210"/>
        <v>75</v>
      </c>
      <c r="JFB83">
        <f t="shared" si="210"/>
        <v>75</v>
      </c>
      <c r="JFC83">
        <f t="shared" si="210"/>
        <v>75</v>
      </c>
      <c r="JFD83">
        <f t="shared" si="210"/>
        <v>75</v>
      </c>
      <c r="JFE83">
        <f t="shared" si="210"/>
        <v>75</v>
      </c>
      <c r="JFF83">
        <f t="shared" si="210"/>
        <v>75</v>
      </c>
      <c r="JFG83">
        <f t="shared" si="210"/>
        <v>75</v>
      </c>
      <c r="JFH83">
        <f t="shared" si="210"/>
        <v>75</v>
      </c>
      <c r="JFI83">
        <f t="shared" si="210"/>
        <v>75</v>
      </c>
      <c r="JFJ83">
        <f t="shared" si="210"/>
        <v>75</v>
      </c>
      <c r="JFK83">
        <f t="shared" si="210"/>
        <v>75</v>
      </c>
      <c r="JFL83">
        <f t="shared" si="210"/>
        <v>75</v>
      </c>
      <c r="JFM83">
        <f t="shared" si="210"/>
        <v>75</v>
      </c>
      <c r="JFN83">
        <f t="shared" si="210"/>
        <v>75</v>
      </c>
      <c r="JFO83">
        <f t="shared" si="210"/>
        <v>75</v>
      </c>
      <c r="JFP83">
        <f t="shared" si="210"/>
        <v>75</v>
      </c>
      <c r="JFQ83">
        <f t="shared" si="210"/>
        <v>75</v>
      </c>
      <c r="JFR83">
        <f t="shared" si="210"/>
        <v>75</v>
      </c>
      <c r="JFS83">
        <f t="shared" si="210"/>
        <v>75</v>
      </c>
      <c r="JFT83">
        <f t="shared" si="210"/>
        <v>75</v>
      </c>
      <c r="JFU83">
        <f t="shared" si="210"/>
        <v>75</v>
      </c>
      <c r="JFV83">
        <f t="shared" si="210"/>
        <v>75</v>
      </c>
      <c r="JFW83">
        <f t="shared" si="210"/>
        <v>75</v>
      </c>
      <c r="JFX83">
        <f t="shared" si="210"/>
        <v>75</v>
      </c>
      <c r="JFY83">
        <f t="shared" si="210"/>
        <v>75</v>
      </c>
      <c r="JFZ83">
        <f t="shared" si="210"/>
        <v>75</v>
      </c>
      <c r="JGA83">
        <f t="shared" si="210"/>
        <v>75</v>
      </c>
      <c r="JGB83">
        <f t="shared" si="210"/>
        <v>75</v>
      </c>
      <c r="JGC83">
        <f t="shared" si="210"/>
        <v>75</v>
      </c>
      <c r="JGD83">
        <f t="shared" si="210"/>
        <v>75</v>
      </c>
      <c r="JGE83">
        <f t="shared" si="210"/>
        <v>75</v>
      </c>
      <c r="JGF83">
        <f t="shared" si="210"/>
        <v>75</v>
      </c>
      <c r="JGG83">
        <f t="shared" si="210"/>
        <v>75</v>
      </c>
      <c r="JGH83">
        <f t="shared" si="210"/>
        <v>75</v>
      </c>
      <c r="JGI83">
        <f t="shared" si="210"/>
        <v>75</v>
      </c>
      <c r="JGJ83">
        <f t="shared" si="210"/>
        <v>75</v>
      </c>
      <c r="JGK83">
        <f t="shared" si="210"/>
        <v>75</v>
      </c>
      <c r="JGL83">
        <f t="shared" si="210"/>
        <v>75</v>
      </c>
      <c r="JGM83">
        <f t="shared" si="210"/>
        <v>75</v>
      </c>
      <c r="JGN83">
        <f t="shared" si="210"/>
        <v>75</v>
      </c>
      <c r="JGO83">
        <f t="shared" si="210"/>
        <v>75</v>
      </c>
      <c r="JGP83">
        <f t="shared" si="210"/>
        <v>75</v>
      </c>
      <c r="JGQ83">
        <f t="shared" si="210"/>
        <v>75</v>
      </c>
      <c r="JGR83">
        <f t="shared" si="210"/>
        <v>75</v>
      </c>
      <c r="JGS83">
        <f t="shared" si="210"/>
        <v>75</v>
      </c>
      <c r="JGT83">
        <f t="shared" si="210"/>
        <v>75</v>
      </c>
      <c r="JGU83">
        <f t="shared" si="210"/>
        <v>75</v>
      </c>
      <c r="JGV83">
        <f t="shared" si="210"/>
        <v>75</v>
      </c>
      <c r="JGW83">
        <f t="shared" si="210"/>
        <v>75</v>
      </c>
      <c r="JGX83">
        <f t="shared" si="210"/>
        <v>75</v>
      </c>
      <c r="JGY83">
        <f t="shared" si="210"/>
        <v>75</v>
      </c>
      <c r="JGZ83">
        <f t="shared" si="210"/>
        <v>75</v>
      </c>
      <c r="JHA83">
        <f t="shared" si="210"/>
        <v>75</v>
      </c>
      <c r="JHB83">
        <f t="shared" si="210"/>
        <v>75</v>
      </c>
      <c r="JHC83">
        <f t="shared" si="210"/>
        <v>75</v>
      </c>
      <c r="JHD83">
        <f t="shared" si="210"/>
        <v>75</v>
      </c>
      <c r="JHE83">
        <f t="shared" si="210"/>
        <v>75</v>
      </c>
      <c r="JHF83">
        <f t="shared" si="210"/>
        <v>75</v>
      </c>
      <c r="JHG83">
        <f t="shared" si="210"/>
        <v>75</v>
      </c>
      <c r="JHH83">
        <f t="shared" si="210"/>
        <v>75</v>
      </c>
      <c r="JHI83">
        <f t="shared" si="210"/>
        <v>75</v>
      </c>
      <c r="JHJ83">
        <f t="shared" si="210"/>
        <v>75</v>
      </c>
      <c r="JHK83">
        <f t="shared" ref="JHK83:JJV83" si="211">COUNTBLANK(JHK6:JHK81)</f>
        <v>75</v>
      </c>
      <c r="JHL83">
        <f t="shared" si="211"/>
        <v>75</v>
      </c>
      <c r="JHM83">
        <f t="shared" si="211"/>
        <v>75</v>
      </c>
      <c r="JHN83">
        <f t="shared" si="211"/>
        <v>75</v>
      </c>
      <c r="JHO83">
        <f t="shared" si="211"/>
        <v>75</v>
      </c>
      <c r="JHP83">
        <f t="shared" si="211"/>
        <v>75</v>
      </c>
      <c r="JHQ83">
        <f t="shared" si="211"/>
        <v>75</v>
      </c>
      <c r="JHR83">
        <f t="shared" si="211"/>
        <v>75</v>
      </c>
      <c r="JHS83">
        <f t="shared" si="211"/>
        <v>75</v>
      </c>
      <c r="JHT83">
        <f t="shared" si="211"/>
        <v>75</v>
      </c>
      <c r="JHU83">
        <f t="shared" si="211"/>
        <v>75</v>
      </c>
      <c r="JHV83">
        <f t="shared" si="211"/>
        <v>75</v>
      </c>
      <c r="JHW83">
        <f t="shared" si="211"/>
        <v>75</v>
      </c>
      <c r="JHX83">
        <f t="shared" si="211"/>
        <v>75</v>
      </c>
      <c r="JHY83">
        <f t="shared" si="211"/>
        <v>75</v>
      </c>
      <c r="JHZ83">
        <f t="shared" si="211"/>
        <v>75</v>
      </c>
      <c r="JIA83">
        <f t="shared" si="211"/>
        <v>75</v>
      </c>
      <c r="JIB83">
        <f t="shared" si="211"/>
        <v>75</v>
      </c>
      <c r="JIC83">
        <f t="shared" si="211"/>
        <v>75</v>
      </c>
      <c r="JID83">
        <f t="shared" si="211"/>
        <v>75</v>
      </c>
      <c r="JIE83">
        <f t="shared" si="211"/>
        <v>75</v>
      </c>
      <c r="JIF83">
        <f t="shared" si="211"/>
        <v>75</v>
      </c>
      <c r="JIG83">
        <f t="shared" si="211"/>
        <v>75</v>
      </c>
      <c r="JIH83">
        <f t="shared" si="211"/>
        <v>75</v>
      </c>
      <c r="JII83">
        <f t="shared" si="211"/>
        <v>75</v>
      </c>
      <c r="JIJ83">
        <f t="shared" si="211"/>
        <v>75</v>
      </c>
      <c r="JIK83">
        <f t="shared" si="211"/>
        <v>75</v>
      </c>
      <c r="JIL83">
        <f t="shared" si="211"/>
        <v>75</v>
      </c>
      <c r="JIM83">
        <f t="shared" si="211"/>
        <v>75</v>
      </c>
      <c r="JIN83">
        <f t="shared" si="211"/>
        <v>75</v>
      </c>
      <c r="JIO83">
        <f t="shared" si="211"/>
        <v>75</v>
      </c>
      <c r="JIP83">
        <f t="shared" si="211"/>
        <v>75</v>
      </c>
      <c r="JIQ83">
        <f t="shared" si="211"/>
        <v>75</v>
      </c>
      <c r="JIR83">
        <f t="shared" si="211"/>
        <v>75</v>
      </c>
      <c r="JIS83">
        <f t="shared" si="211"/>
        <v>75</v>
      </c>
      <c r="JIT83">
        <f t="shared" si="211"/>
        <v>75</v>
      </c>
      <c r="JIU83">
        <f t="shared" si="211"/>
        <v>75</v>
      </c>
      <c r="JIV83">
        <f t="shared" si="211"/>
        <v>75</v>
      </c>
      <c r="JIW83">
        <f t="shared" si="211"/>
        <v>75</v>
      </c>
      <c r="JIX83">
        <f t="shared" si="211"/>
        <v>75</v>
      </c>
      <c r="JIY83">
        <f t="shared" si="211"/>
        <v>75</v>
      </c>
      <c r="JIZ83">
        <f t="shared" si="211"/>
        <v>75</v>
      </c>
      <c r="JJA83">
        <f t="shared" si="211"/>
        <v>75</v>
      </c>
      <c r="JJB83">
        <f t="shared" si="211"/>
        <v>75</v>
      </c>
      <c r="JJC83">
        <f t="shared" si="211"/>
        <v>75</v>
      </c>
      <c r="JJD83">
        <f t="shared" si="211"/>
        <v>75</v>
      </c>
      <c r="JJE83">
        <f t="shared" si="211"/>
        <v>75</v>
      </c>
      <c r="JJF83">
        <f t="shared" si="211"/>
        <v>75</v>
      </c>
      <c r="JJG83">
        <f t="shared" si="211"/>
        <v>75</v>
      </c>
      <c r="JJH83">
        <f t="shared" si="211"/>
        <v>75</v>
      </c>
      <c r="JJI83">
        <f t="shared" si="211"/>
        <v>75</v>
      </c>
      <c r="JJJ83">
        <f t="shared" si="211"/>
        <v>75</v>
      </c>
      <c r="JJK83">
        <f t="shared" si="211"/>
        <v>75</v>
      </c>
      <c r="JJL83">
        <f t="shared" si="211"/>
        <v>75</v>
      </c>
      <c r="JJM83">
        <f t="shared" si="211"/>
        <v>75</v>
      </c>
      <c r="JJN83">
        <f t="shared" si="211"/>
        <v>75</v>
      </c>
      <c r="JJO83">
        <f t="shared" si="211"/>
        <v>75</v>
      </c>
      <c r="JJP83">
        <f t="shared" si="211"/>
        <v>75</v>
      </c>
      <c r="JJQ83">
        <f t="shared" si="211"/>
        <v>75</v>
      </c>
      <c r="JJR83">
        <f t="shared" si="211"/>
        <v>75</v>
      </c>
      <c r="JJS83">
        <f t="shared" si="211"/>
        <v>75</v>
      </c>
      <c r="JJT83">
        <f t="shared" si="211"/>
        <v>75</v>
      </c>
      <c r="JJU83">
        <f t="shared" si="211"/>
        <v>75</v>
      </c>
      <c r="JJV83">
        <f t="shared" si="211"/>
        <v>75</v>
      </c>
      <c r="JJW83">
        <f t="shared" ref="JJW83:JMH83" si="212">COUNTBLANK(JJW6:JJW81)</f>
        <v>75</v>
      </c>
      <c r="JJX83">
        <f t="shared" si="212"/>
        <v>75</v>
      </c>
      <c r="JJY83">
        <f t="shared" si="212"/>
        <v>75</v>
      </c>
      <c r="JJZ83">
        <f t="shared" si="212"/>
        <v>75</v>
      </c>
      <c r="JKA83">
        <f t="shared" si="212"/>
        <v>75</v>
      </c>
      <c r="JKB83">
        <f t="shared" si="212"/>
        <v>75</v>
      </c>
      <c r="JKC83">
        <f t="shared" si="212"/>
        <v>75</v>
      </c>
      <c r="JKD83">
        <f t="shared" si="212"/>
        <v>75</v>
      </c>
      <c r="JKE83">
        <f t="shared" si="212"/>
        <v>75</v>
      </c>
      <c r="JKF83">
        <f t="shared" si="212"/>
        <v>75</v>
      </c>
      <c r="JKG83">
        <f t="shared" si="212"/>
        <v>75</v>
      </c>
      <c r="JKH83">
        <f t="shared" si="212"/>
        <v>75</v>
      </c>
      <c r="JKI83">
        <f t="shared" si="212"/>
        <v>75</v>
      </c>
      <c r="JKJ83">
        <f t="shared" si="212"/>
        <v>75</v>
      </c>
      <c r="JKK83">
        <f t="shared" si="212"/>
        <v>75</v>
      </c>
      <c r="JKL83">
        <f t="shared" si="212"/>
        <v>75</v>
      </c>
      <c r="JKM83">
        <f t="shared" si="212"/>
        <v>75</v>
      </c>
      <c r="JKN83">
        <f t="shared" si="212"/>
        <v>75</v>
      </c>
      <c r="JKO83">
        <f t="shared" si="212"/>
        <v>75</v>
      </c>
      <c r="JKP83">
        <f t="shared" si="212"/>
        <v>75</v>
      </c>
      <c r="JKQ83">
        <f t="shared" si="212"/>
        <v>75</v>
      </c>
      <c r="JKR83">
        <f t="shared" si="212"/>
        <v>75</v>
      </c>
      <c r="JKS83">
        <f t="shared" si="212"/>
        <v>75</v>
      </c>
      <c r="JKT83">
        <f t="shared" si="212"/>
        <v>75</v>
      </c>
      <c r="JKU83">
        <f t="shared" si="212"/>
        <v>75</v>
      </c>
      <c r="JKV83">
        <f t="shared" si="212"/>
        <v>75</v>
      </c>
      <c r="JKW83">
        <f t="shared" si="212"/>
        <v>75</v>
      </c>
      <c r="JKX83">
        <f t="shared" si="212"/>
        <v>75</v>
      </c>
      <c r="JKY83">
        <f t="shared" si="212"/>
        <v>75</v>
      </c>
      <c r="JKZ83">
        <f t="shared" si="212"/>
        <v>75</v>
      </c>
      <c r="JLA83">
        <f t="shared" si="212"/>
        <v>75</v>
      </c>
      <c r="JLB83">
        <f t="shared" si="212"/>
        <v>75</v>
      </c>
      <c r="JLC83">
        <f t="shared" si="212"/>
        <v>75</v>
      </c>
      <c r="JLD83">
        <f t="shared" si="212"/>
        <v>75</v>
      </c>
      <c r="JLE83">
        <f t="shared" si="212"/>
        <v>75</v>
      </c>
      <c r="JLF83">
        <f t="shared" si="212"/>
        <v>75</v>
      </c>
      <c r="JLG83">
        <f t="shared" si="212"/>
        <v>75</v>
      </c>
      <c r="JLH83">
        <f t="shared" si="212"/>
        <v>75</v>
      </c>
      <c r="JLI83">
        <f t="shared" si="212"/>
        <v>75</v>
      </c>
      <c r="JLJ83">
        <f t="shared" si="212"/>
        <v>75</v>
      </c>
      <c r="JLK83">
        <f t="shared" si="212"/>
        <v>75</v>
      </c>
      <c r="JLL83">
        <f t="shared" si="212"/>
        <v>75</v>
      </c>
      <c r="JLM83">
        <f t="shared" si="212"/>
        <v>75</v>
      </c>
      <c r="JLN83">
        <f t="shared" si="212"/>
        <v>75</v>
      </c>
      <c r="JLO83">
        <f t="shared" si="212"/>
        <v>75</v>
      </c>
      <c r="JLP83">
        <f t="shared" si="212"/>
        <v>75</v>
      </c>
      <c r="JLQ83">
        <f t="shared" si="212"/>
        <v>75</v>
      </c>
      <c r="JLR83">
        <f t="shared" si="212"/>
        <v>75</v>
      </c>
      <c r="JLS83">
        <f t="shared" si="212"/>
        <v>75</v>
      </c>
      <c r="JLT83">
        <f t="shared" si="212"/>
        <v>75</v>
      </c>
      <c r="JLU83">
        <f t="shared" si="212"/>
        <v>75</v>
      </c>
      <c r="JLV83">
        <f t="shared" si="212"/>
        <v>75</v>
      </c>
      <c r="JLW83">
        <f t="shared" si="212"/>
        <v>75</v>
      </c>
      <c r="JLX83">
        <f t="shared" si="212"/>
        <v>75</v>
      </c>
      <c r="JLY83">
        <f t="shared" si="212"/>
        <v>75</v>
      </c>
      <c r="JLZ83">
        <f t="shared" si="212"/>
        <v>75</v>
      </c>
      <c r="JMA83">
        <f t="shared" si="212"/>
        <v>75</v>
      </c>
      <c r="JMB83">
        <f t="shared" si="212"/>
        <v>75</v>
      </c>
      <c r="JMC83">
        <f t="shared" si="212"/>
        <v>75</v>
      </c>
      <c r="JMD83">
        <f t="shared" si="212"/>
        <v>75</v>
      </c>
      <c r="JME83">
        <f t="shared" si="212"/>
        <v>75</v>
      </c>
      <c r="JMF83">
        <f t="shared" si="212"/>
        <v>75</v>
      </c>
      <c r="JMG83">
        <f t="shared" si="212"/>
        <v>75</v>
      </c>
      <c r="JMH83">
        <f t="shared" si="212"/>
        <v>75</v>
      </c>
      <c r="JMI83">
        <f t="shared" ref="JMI83:JOT83" si="213">COUNTBLANK(JMI6:JMI81)</f>
        <v>75</v>
      </c>
      <c r="JMJ83">
        <f t="shared" si="213"/>
        <v>75</v>
      </c>
      <c r="JMK83">
        <f t="shared" si="213"/>
        <v>75</v>
      </c>
      <c r="JML83">
        <f t="shared" si="213"/>
        <v>75</v>
      </c>
      <c r="JMM83">
        <f t="shared" si="213"/>
        <v>75</v>
      </c>
      <c r="JMN83">
        <f t="shared" si="213"/>
        <v>75</v>
      </c>
      <c r="JMO83">
        <f t="shared" si="213"/>
        <v>75</v>
      </c>
      <c r="JMP83">
        <f t="shared" si="213"/>
        <v>75</v>
      </c>
      <c r="JMQ83">
        <f t="shared" si="213"/>
        <v>75</v>
      </c>
      <c r="JMR83">
        <f t="shared" si="213"/>
        <v>75</v>
      </c>
      <c r="JMS83">
        <f t="shared" si="213"/>
        <v>75</v>
      </c>
      <c r="JMT83">
        <f t="shared" si="213"/>
        <v>75</v>
      </c>
      <c r="JMU83">
        <f t="shared" si="213"/>
        <v>75</v>
      </c>
      <c r="JMV83">
        <f t="shared" si="213"/>
        <v>75</v>
      </c>
      <c r="JMW83">
        <f t="shared" si="213"/>
        <v>75</v>
      </c>
      <c r="JMX83">
        <f t="shared" si="213"/>
        <v>75</v>
      </c>
      <c r="JMY83">
        <f t="shared" si="213"/>
        <v>75</v>
      </c>
      <c r="JMZ83">
        <f t="shared" si="213"/>
        <v>75</v>
      </c>
      <c r="JNA83">
        <f t="shared" si="213"/>
        <v>75</v>
      </c>
      <c r="JNB83">
        <f t="shared" si="213"/>
        <v>75</v>
      </c>
      <c r="JNC83">
        <f t="shared" si="213"/>
        <v>75</v>
      </c>
      <c r="JND83">
        <f t="shared" si="213"/>
        <v>75</v>
      </c>
      <c r="JNE83">
        <f t="shared" si="213"/>
        <v>75</v>
      </c>
      <c r="JNF83">
        <f t="shared" si="213"/>
        <v>75</v>
      </c>
      <c r="JNG83">
        <f t="shared" si="213"/>
        <v>75</v>
      </c>
      <c r="JNH83">
        <f t="shared" si="213"/>
        <v>75</v>
      </c>
      <c r="JNI83">
        <f t="shared" si="213"/>
        <v>75</v>
      </c>
      <c r="JNJ83">
        <f t="shared" si="213"/>
        <v>75</v>
      </c>
      <c r="JNK83">
        <f t="shared" si="213"/>
        <v>75</v>
      </c>
      <c r="JNL83">
        <f t="shared" si="213"/>
        <v>75</v>
      </c>
      <c r="JNM83">
        <f t="shared" si="213"/>
        <v>75</v>
      </c>
      <c r="JNN83">
        <f t="shared" si="213"/>
        <v>75</v>
      </c>
      <c r="JNO83">
        <f t="shared" si="213"/>
        <v>75</v>
      </c>
      <c r="JNP83">
        <f t="shared" si="213"/>
        <v>75</v>
      </c>
      <c r="JNQ83">
        <f t="shared" si="213"/>
        <v>75</v>
      </c>
      <c r="JNR83">
        <f t="shared" si="213"/>
        <v>75</v>
      </c>
      <c r="JNS83">
        <f t="shared" si="213"/>
        <v>75</v>
      </c>
      <c r="JNT83">
        <f t="shared" si="213"/>
        <v>75</v>
      </c>
      <c r="JNU83">
        <f t="shared" si="213"/>
        <v>75</v>
      </c>
      <c r="JNV83">
        <f t="shared" si="213"/>
        <v>75</v>
      </c>
      <c r="JNW83">
        <f t="shared" si="213"/>
        <v>75</v>
      </c>
      <c r="JNX83">
        <f t="shared" si="213"/>
        <v>75</v>
      </c>
      <c r="JNY83">
        <f t="shared" si="213"/>
        <v>75</v>
      </c>
      <c r="JNZ83">
        <f t="shared" si="213"/>
        <v>75</v>
      </c>
      <c r="JOA83">
        <f t="shared" si="213"/>
        <v>75</v>
      </c>
      <c r="JOB83">
        <f t="shared" si="213"/>
        <v>75</v>
      </c>
      <c r="JOC83">
        <f t="shared" si="213"/>
        <v>75</v>
      </c>
      <c r="JOD83">
        <f t="shared" si="213"/>
        <v>75</v>
      </c>
      <c r="JOE83">
        <f t="shared" si="213"/>
        <v>75</v>
      </c>
      <c r="JOF83">
        <f t="shared" si="213"/>
        <v>75</v>
      </c>
      <c r="JOG83">
        <f t="shared" si="213"/>
        <v>75</v>
      </c>
      <c r="JOH83">
        <f t="shared" si="213"/>
        <v>75</v>
      </c>
      <c r="JOI83">
        <f t="shared" si="213"/>
        <v>75</v>
      </c>
      <c r="JOJ83">
        <f t="shared" si="213"/>
        <v>75</v>
      </c>
      <c r="JOK83">
        <f t="shared" si="213"/>
        <v>75</v>
      </c>
      <c r="JOL83">
        <f t="shared" si="213"/>
        <v>75</v>
      </c>
      <c r="JOM83">
        <f t="shared" si="213"/>
        <v>75</v>
      </c>
      <c r="JON83">
        <f t="shared" si="213"/>
        <v>75</v>
      </c>
      <c r="JOO83">
        <f t="shared" si="213"/>
        <v>75</v>
      </c>
      <c r="JOP83">
        <f t="shared" si="213"/>
        <v>75</v>
      </c>
      <c r="JOQ83">
        <f t="shared" si="213"/>
        <v>75</v>
      </c>
      <c r="JOR83">
        <f t="shared" si="213"/>
        <v>75</v>
      </c>
      <c r="JOS83">
        <f t="shared" si="213"/>
        <v>75</v>
      </c>
      <c r="JOT83">
        <f t="shared" si="213"/>
        <v>75</v>
      </c>
      <c r="JOU83">
        <f t="shared" ref="JOU83:JRF83" si="214">COUNTBLANK(JOU6:JOU81)</f>
        <v>75</v>
      </c>
      <c r="JOV83">
        <f t="shared" si="214"/>
        <v>75</v>
      </c>
      <c r="JOW83">
        <f t="shared" si="214"/>
        <v>75</v>
      </c>
      <c r="JOX83">
        <f t="shared" si="214"/>
        <v>75</v>
      </c>
      <c r="JOY83">
        <f t="shared" si="214"/>
        <v>75</v>
      </c>
      <c r="JOZ83">
        <f t="shared" si="214"/>
        <v>75</v>
      </c>
      <c r="JPA83">
        <f t="shared" si="214"/>
        <v>75</v>
      </c>
      <c r="JPB83">
        <f t="shared" si="214"/>
        <v>75</v>
      </c>
      <c r="JPC83">
        <f t="shared" si="214"/>
        <v>75</v>
      </c>
      <c r="JPD83">
        <f t="shared" si="214"/>
        <v>75</v>
      </c>
      <c r="JPE83">
        <f t="shared" si="214"/>
        <v>75</v>
      </c>
      <c r="JPF83">
        <f t="shared" si="214"/>
        <v>74</v>
      </c>
      <c r="JPG83">
        <f t="shared" si="214"/>
        <v>74</v>
      </c>
      <c r="JPH83">
        <f t="shared" si="214"/>
        <v>74</v>
      </c>
      <c r="JPI83">
        <f t="shared" si="214"/>
        <v>74</v>
      </c>
      <c r="JPJ83">
        <f t="shared" si="214"/>
        <v>74</v>
      </c>
      <c r="JPK83">
        <f t="shared" si="214"/>
        <v>74</v>
      </c>
      <c r="JPL83">
        <f t="shared" si="214"/>
        <v>74</v>
      </c>
      <c r="JPM83">
        <f t="shared" si="214"/>
        <v>74</v>
      </c>
      <c r="JPN83">
        <f t="shared" si="214"/>
        <v>74</v>
      </c>
      <c r="JPO83">
        <f t="shared" si="214"/>
        <v>74</v>
      </c>
      <c r="JPP83">
        <f t="shared" si="214"/>
        <v>74</v>
      </c>
      <c r="JPQ83">
        <f t="shared" si="214"/>
        <v>74</v>
      </c>
      <c r="JPR83">
        <f t="shared" si="214"/>
        <v>74</v>
      </c>
      <c r="JPS83">
        <f t="shared" si="214"/>
        <v>74</v>
      </c>
      <c r="JPT83">
        <f t="shared" si="214"/>
        <v>74</v>
      </c>
      <c r="JPU83">
        <f t="shared" si="214"/>
        <v>74</v>
      </c>
      <c r="JPV83">
        <f t="shared" si="214"/>
        <v>74</v>
      </c>
      <c r="JPW83">
        <f t="shared" si="214"/>
        <v>74</v>
      </c>
      <c r="JPX83">
        <f t="shared" si="214"/>
        <v>74</v>
      </c>
      <c r="JPY83">
        <f t="shared" si="214"/>
        <v>74</v>
      </c>
      <c r="JPZ83">
        <f t="shared" si="214"/>
        <v>74</v>
      </c>
      <c r="JQA83">
        <f t="shared" si="214"/>
        <v>74</v>
      </c>
      <c r="JQB83">
        <f t="shared" si="214"/>
        <v>74</v>
      </c>
      <c r="JQC83">
        <f t="shared" si="214"/>
        <v>74</v>
      </c>
      <c r="JQD83">
        <f t="shared" si="214"/>
        <v>74</v>
      </c>
      <c r="JQE83">
        <f t="shared" si="214"/>
        <v>75</v>
      </c>
      <c r="JQF83">
        <f t="shared" si="214"/>
        <v>75</v>
      </c>
      <c r="JQG83">
        <f t="shared" si="214"/>
        <v>75</v>
      </c>
      <c r="JQH83">
        <f t="shared" si="214"/>
        <v>75</v>
      </c>
      <c r="JQI83">
        <f t="shared" si="214"/>
        <v>75</v>
      </c>
      <c r="JQJ83">
        <f t="shared" si="214"/>
        <v>75</v>
      </c>
      <c r="JQK83">
        <f t="shared" si="214"/>
        <v>75</v>
      </c>
      <c r="JQL83">
        <f t="shared" si="214"/>
        <v>75</v>
      </c>
      <c r="JQM83">
        <f t="shared" si="214"/>
        <v>75</v>
      </c>
      <c r="JQN83">
        <f t="shared" si="214"/>
        <v>75</v>
      </c>
      <c r="JQO83">
        <f t="shared" si="214"/>
        <v>75</v>
      </c>
      <c r="JQP83">
        <f t="shared" si="214"/>
        <v>75</v>
      </c>
      <c r="JQQ83">
        <f t="shared" si="214"/>
        <v>75</v>
      </c>
      <c r="JQR83">
        <f t="shared" si="214"/>
        <v>75</v>
      </c>
      <c r="JQS83">
        <f t="shared" si="214"/>
        <v>75</v>
      </c>
      <c r="JQT83">
        <f t="shared" si="214"/>
        <v>75</v>
      </c>
      <c r="JQU83">
        <f t="shared" si="214"/>
        <v>75</v>
      </c>
      <c r="JQV83">
        <f t="shared" si="214"/>
        <v>75</v>
      </c>
      <c r="JQW83">
        <f t="shared" si="214"/>
        <v>75</v>
      </c>
      <c r="JQX83">
        <f t="shared" si="214"/>
        <v>75</v>
      </c>
      <c r="JQY83">
        <f t="shared" si="214"/>
        <v>75</v>
      </c>
      <c r="JQZ83">
        <f t="shared" si="214"/>
        <v>75</v>
      </c>
      <c r="JRA83">
        <f t="shared" si="214"/>
        <v>75</v>
      </c>
      <c r="JRB83">
        <f t="shared" si="214"/>
        <v>75</v>
      </c>
      <c r="JRC83">
        <f t="shared" si="214"/>
        <v>75</v>
      </c>
      <c r="JRD83">
        <f t="shared" si="214"/>
        <v>75</v>
      </c>
      <c r="JRE83">
        <f t="shared" si="214"/>
        <v>75</v>
      </c>
      <c r="JRF83">
        <f t="shared" si="214"/>
        <v>75</v>
      </c>
      <c r="JRG83">
        <f t="shared" ref="JRG83:JTR83" si="215">COUNTBLANK(JRG6:JRG81)</f>
        <v>75</v>
      </c>
      <c r="JRH83">
        <f t="shared" si="215"/>
        <v>75</v>
      </c>
      <c r="JRI83">
        <f t="shared" si="215"/>
        <v>75</v>
      </c>
      <c r="JRJ83">
        <f t="shared" si="215"/>
        <v>75</v>
      </c>
      <c r="JRK83">
        <f t="shared" si="215"/>
        <v>75</v>
      </c>
      <c r="JRL83">
        <f t="shared" si="215"/>
        <v>75</v>
      </c>
      <c r="JRM83">
        <f t="shared" si="215"/>
        <v>75</v>
      </c>
      <c r="JRN83">
        <f t="shared" si="215"/>
        <v>75</v>
      </c>
      <c r="JRO83">
        <f t="shared" si="215"/>
        <v>75</v>
      </c>
      <c r="JRP83">
        <f t="shared" si="215"/>
        <v>75</v>
      </c>
      <c r="JRQ83">
        <f t="shared" si="215"/>
        <v>75</v>
      </c>
      <c r="JRR83">
        <f t="shared" si="215"/>
        <v>75</v>
      </c>
      <c r="JRS83">
        <f t="shared" si="215"/>
        <v>75</v>
      </c>
      <c r="JRT83">
        <f t="shared" si="215"/>
        <v>75</v>
      </c>
      <c r="JRU83">
        <f t="shared" si="215"/>
        <v>75</v>
      </c>
      <c r="JRV83">
        <f t="shared" si="215"/>
        <v>75</v>
      </c>
      <c r="JRW83">
        <f t="shared" si="215"/>
        <v>75</v>
      </c>
      <c r="JRX83">
        <f t="shared" si="215"/>
        <v>75</v>
      </c>
      <c r="JRY83">
        <f t="shared" si="215"/>
        <v>75</v>
      </c>
      <c r="JRZ83">
        <f t="shared" si="215"/>
        <v>75</v>
      </c>
      <c r="JSA83">
        <f t="shared" si="215"/>
        <v>75</v>
      </c>
      <c r="JSB83">
        <f t="shared" si="215"/>
        <v>75</v>
      </c>
      <c r="JSC83">
        <f t="shared" si="215"/>
        <v>75</v>
      </c>
      <c r="JSD83">
        <f t="shared" si="215"/>
        <v>75</v>
      </c>
      <c r="JSE83">
        <f t="shared" si="215"/>
        <v>75</v>
      </c>
      <c r="JSF83">
        <f t="shared" si="215"/>
        <v>75</v>
      </c>
      <c r="JSG83">
        <f t="shared" si="215"/>
        <v>75</v>
      </c>
      <c r="JSH83">
        <f t="shared" si="215"/>
        <v>75</v>
      </c>
      <c r="JSI83">
        <f t="shared" si="215"/>
        <v>75</v>
      </c>
      <c r="JSJ83">
        <f t="shared" si="215"/>
        <v>75</v>
      </c>
      <c r="JSK83">
        <f t="shared" si="215"/>
        <v>75</v>
      </c>
      <c r="JSL83">
        <f t="shared" si="215"/>
        <v>75</v>
      </c>
      <c r="JSM83">
        <f t="shared" si="215"/>
        <v>75</v>
      </c>
      <c r="JSN83">
        <f t="shared" si="215"/>
        <v>75</v>
      </c>
      <c r="JSO83">
        <f t="shared" si="215"/>
        <v>75</v>
      </c>
      <c r="JSP83">
        <f t="shared" si="215"/>
        <v>75</v>
      </c>
      <c r="JSQ83">
        <f t="shared" si="215"/>
        <v>75</v>
      </c>
      <c r="JSR83">
        <f t="shared" si="215"/>
        <v>75</v>
      </c>
      <c r="JSS83">
        <f t="shared" si="215"/>
        <v>75</v>
      </c>
      <c r="JST83">
        <f t="shared" si="215"/>
        <v>75</v>
      </c>
      <c r="JSU83">
        <f t="shared" si="215"/>
        <v>75</v>
      </c>
      <c r="JSV83">
        <f t="shared" si="215"/>
        <v>75</v>
      </c>
      <c r="JSW83">
        <f t="shared" si="215"/>
        <v>75</v>
      </c>
      <c r="JSX83">
        <f t="shared" si="215"/>
        <v>75</v>
      </c>
      <c r="JSY83">
        <f t="shared" si="215"/>
        <v>75</v>
      </c>
      <c r="JSZ83">
        <f t="shared" si="215"/>
        <v>75</v>
      </c>
      <c r="JTA83">
        <f t="shared" si="215"/>
        <v>75</v>
      </c>
      <c r="JTB83">
        <f t="shared" si="215"/>
        <v>75</v>
      </c>
      <c r="JTC83">
        <f t="shared" si="215"/>
        <v>75</v>
      </c>
      <c r="JTD83">
        <f t="shared" si="215"/>
        <v>75</v>
      </c>
      <c r="JTE83">
        <f t="shared" si="215"/>
        <v>75</v>
      </c>
      <c r="JTF83">
        <f t="shared" si="215"/>
        <v>75</v>
      </c>
      <c r="JTG83">
        <f t="shared" si="215"/>
        <v>75</v>
      </c>
      <c r="JTH83">
        <f t="shared" si="215"/>
        <v>75</v>
      </c>
      <c r="JTI83">
        <f t="shared" si="215"/>
        <v>75</v>
      </c>
      <c r="JTJ83">
        <f t="shared" si="215"/>
        <v>75</v>
      </c>
      <c r="JTK83">
        <f t="shared" si="215"/>
        <v>75</v>
      </c>
      <c r="JTL83">
        <f t="shared" si="215"/>
        <v>75</v>
      </c>
      <c r="JTM83">
        <f t="shared" si="215"/>
        <v>75</v>
      </c>
      <c r="JTN83">
        <f t="shared" si="215"/>
        <v>75</v>
      </c>
      <c r="JTO83">
        <f t="shared" si="215"/>
        <v>75</v>
      </c>
      <c r="JTP83">
        <f t="shared" si="215"/>
        <v>75</v>
      </c>
      <c r="JTQ83">
        <f t="shared" si="215"/>
        <v>75</v>
      </c>
      <c r="JTR83">
        <f t="shared" si="215"/>
        <v>75</v>
      </c>
      <c r="JTS83">
        <f t="shared" ref="JTS83:JWD83" si="216">COUNTBLANK(JTS6:JTS81)</f>
        <v>75</v>
      </c>
      <c r="JTT83">
        <f t="shared" si="216"/>
        <v>75</v>
      </c>
      <c r="JTU83">
        <f t="shared" si="216"/>
        <v>75</v>
      </c>
      <c r="JTV83">
        <f t="shared" si="216"/>
        <v>75</v>
      </c>
      <c r="JTW83">
        <f t="shared" si="216"/>
        <v>75</v>
      </c>
      <c r="JTX83">
        <f t="shared" si="216"/>
        <v>75</v>
      </c>
      <c r="JTY83">
        <f t="shared" si="216"/>
        <v>75</v>
      </c>
      <c r="JTZ83">
        <f t="shared" si="216"/>
        <v>75</v>
      </c>
      <c r="JUA83">
        <f t="shared" si="216"/>
        <v>75</v>
      </c>
      <c r="JUB83">
        <f t="shared" si="216"/>
        <v>75</v>
      </c>
      <c r="JUC83">
        <f t="shared" si="216"/>
        <v>75</v>
      </c>
      <c r="JUD83">
        <f t="shared" si="216"/>
        <v>75</v>
      </c>
      <c r="JUE83">
        <f t="shared" si="216"/>
        <v>75</v>
      </c>
      <c r="JUF83">
        <f t="shared" si="216"/>
        <v>75</v>
      </c>
      <c r="JUG83">
        <f t="shared" si="216"/>
        <v>75</v>
      </c>
      <c r="JUH83">
        <f t="shared" si="216"/>
        <v>75</v>
      </c>
      <c r="JUI83">
        <f t="shared" si="216"/>
        <v>75</v>
      </c>
      <c r="JUJ83">
        <f t="shared" si="216"/>
        <v>75</v>
      </c>
      <c r="JUK83">
        <f t="shared" si="216"/>
        <v>75</v>
      </c>
      <c r="JUL83">
        <f t="shared" si="216"/>
        <v>75</v>
      </c>
      <c r="JUM83">
        <f t="shared" si="216"/>
        <v>75</v>
      </c>
      <c r="JUN83">
        <f t="shared" si="216"/>
        <v>75</v>
      </c>
      <c r="JUO83">
        <f t="shared" si="216"/>
        <v>75</v>
      </c>
      <c r="JUP83">
        <f t="shared" si="216"/>
        <v>75</v>
      </c>
      <c r="JUQ83">
        <f t="shared" si="216"/>
        <v>75</v>
      </c>
      <c r="JUR83">
        <f t="shared" si="216"/>
        <v>75</v>
      </c>
      <c r="JUS83">
        <f t="shared" si="216"/>
        <v>75</v>
      </c>
      <c r="JUT83">
        <f t="shared" si="216"/>
        <v>75</v>
      </c>
      <c r="JUU83">
        <f t="shared" si="216"/>
        <v>75</v>
      </c>
      <c r="JUV83">
        <f t="shared" si="216"/>
        <v>75</v>
      </c>
      <c r="JUW83">
        <f t="shared" si="216"/>
        <v>75</v>
      </c>
      <c r="JUX83">
        <f t="shared" si="216"/>
        <v>75</v>
      </c>
      <c r="JUY83">
        <f t="shared" si="216"/>
        <v>75</v>
      </c>
      <c r="JUZ83">
        <f t="shared" si="216"/>
        <v>75</v>
      </c>
      <c r="JVA83">
        <f t="shared" si="216"/>
        <v>75</v>
      </c>
      <c r="JVB83">
        <f t="shared" si="216"/>
        <v>75</v>
      </c>
      <c r="JVC83">
        <f t="shared" si="216"/>
        <v>75</v>
      </c>
      <c r="JVD83">
        <f t="shared" si="216"/>
        <v>75</v>
      </c>
      <c r="JVE83">
        <f t="shared" si="216"/>
        <v>75</v>
      </c>
      <c r="JVF83">
        <f t="shared" si="216"/>
        <v>75</v>
      </c>
      <c r="JVG83">
        <f t="shared" si="216"/>
        <v>75</v>
      </c>
      <c r="JVH83">
        <f t="shared" si="216"/>
        <v>75</v>
      </c>
      <c r="JVI83">
        <f t="shared" si="216"/>
        <v>75</v>
      </c>
      <c r="JVJ83">
        <f t="shared" si="216"/>
        <v>75</v>
      </c>
      <c r="JVK83">
        <f t="shared" si="216"/>
        <v>75</v>
      </c>
      <c r="JVL83">
        <f t="shared" si="216"/>
        <v>75</v>
      </c>
      <c r="JVM83">
        <f t="shared" si="216"/>
        <v>75</v>
      </c>
      <c r="JVN83">
        <f t="shared" si="216"/>
        <v>75</v>
      </c>
      <c r="JVO83">
        <f t="shared" si="216"/>
        <v>75</v>
      </c>
      <c r="JVP83">
        <f t="shared" si="216"/>
        <v>75</v>
      </c>
      <c r="JVQ83">
        <f t="shared" si="216"/>
        <v>75</v>
      </c>
      <c r="JVR83">
        <f t="shared" si="216"/>
        <v>75</v>
      </c>
      <c r="JVS83">
        <f t="shared" si="216"/>
        <v>75</v>
      </c>
      <c r="JVT83">
        <f t="shared" si="216"/>
        <v>75</v>
      </c>
      <c r="JVU83">
        <f t="shared" si="216"/>
        <v>75</v>
      </c>
      <c r="JVV83">
        <f t="shared" si="216"/>
        <v>75</v>
      </c>
      <c r="JVW83">
        <f t="shared" si="216"/>
        <v>75</v>
      </c>
      <c r="JVX83">
        <f t="shared" si="216"/>
        <v>75</v>
      </c>
      <c r="JVY83">
        <f t="shared" si="216"/>
        <v>75</v>
      </c>
      <c r="JVZ83">
        <f t="shared" si="216"/>
        <v>75</v>
      </c>
      <c r="JWA83">
        <f t="shared" si="216"/>
        <v>75</v>
      </c>
      <c r="JWB83">
        <f t="shared" si="216"/>
        <v>75</v>
      </c>
      <c r="JWC83">
        <f t="shared" si="216"/>
        <v>75</v>
      </c>
      <c r="JWD83">
        <f t="shared" si="216"/>
        <v>75</v>
      </c>
      <c r="JWE83">
        <f t="shared" ref="JWE83:JYP83" si="217">COUNTBLANK(JWE6:JWE81)</f>
        <v>75</v>
      </c>
      <c r="JWF83">
        <f t="shared" si="217"/>
        <v>75</v>
      </c>
      <c r="JWG83">
        <f t="shared" si="217"/>
        <v>75</v>
      </c>
      <c r="JWH83">
        <f t="shared" si="217"/>
        <v>75</v>
      </c>
      <c r="JWI83">
        <f t="shared" si="217"/>
        <v>75</v>
      </c>
      <c r="JWJ83">
        <f t="shared" si="217"/>
        <v>75</v>
      </c>
      <c r="JWK83">
        <f t="shared" si="217"/>
        <v>75</v>
      </c>
      <c r="JWL83">
        <f t="shared" si="217"/>
        <v>75</v>
      </c>
      <c r="JWM83">
        <f t="shared" si="217"/>
        <v>75</v>
      </c>
      <c r="JWN83">
        <f t="shared" si="217"/>
        <v>75</v>
      </c>
      <c r="JWO83">
        <f t="shared" si="217"/>
        <v>75</v>
      </c>
      <c r="JWP83">
        <f t="shared" si="217"/>
        <v>75</v>
      </c>
      <c r="JWQ83">
        <f t="shared" si="217"/>
        <v>75</v>
      </c>
      <c r="JWR83">
        <f t="shared" si="217"/>
        <v>75</v>
      </c>
      <c r="JWS83">
        <f t="shared" si="217"/>
        <v>75</v>
      </c>
      <c r="JWT83">
        <f t="shared" si="217"/>
        <v>75</v>
      </c>
      <c r="JWU83">
        <f t="shared" si="217"/>
        <v>75</v>
      </c>
      <c r="JWV83">
        <f t="shared" si="217"/>
        <v>75</v>
      </c>
      <c r="JWW83">
        <f t="shared" si="217"/>
        <v>75</v>
      </c>
      <c r="JWX83">
        <f t="shared" si="217"/>
        <v>75</v>
      </c>
      <c r="JWY83">
        <f t="shared" si="217"/>
        <v>75</v>
      </c>
      <c r="JWZ83">
        <f t="shared" si="217"/>
        <v>75</v>
      </c>
      <c r="JXA83">
        <f t="shared" si="217"/>
        <v>75</v>
      </c>
      <c r="JXB83">
        <f t="shared" si="217"/>
        <v>75</v>
      </c>
      <c r="JXC83">
        <f t="shared" si="217"/>
        <v>75</v>
      </c>
      <c r="JXD83">
        <f t="shared" si="217"/>
        <v>75</v>
      </c>
      <c r="JXE83">
        <f t="shared" si="217"/>
        <v>75</v>
      </c>
      <c r="JXF83">
        <f t="shared" si="217"/>
        <v>75</v>
      </c>
      <c r="JXG83">
        <f t="shared" si="217"/>
        <v>75</v>
      </c>
      <c r="JXH83">
        <f t="shared" si="217"/>
        <v>75</v>
      </c>
      <c r="JXI83">
        <f t="shared" si="217"/>
        <v>75</v>
      </c>
      <c r="JXJ83">
        <f t="shared" si="217"/>
        <v>75</v>
      </c>
      <c r="JXK83">
        <f t="shared" si="217"/>
        <v>75</v>
      </c>
      <c r="JXL83">
        <f t="shared" si="217"/>
        <v>75</v>
      </c>
      <c r="JXM83">
        <f t="shared" si="217"/>
        <v>75</v>
      </c>
      <c r="JXN83">
        <f t="shared" si="217"/>
        <v>75</v>
      </c>
      <c r="JXO83">
        <f t="shared" si="217"/>
        <v>75</v>
      </c>
      <c r="JXP83">
        <f t="shared" si="217"/>
        <v>75</v>
      </c>
      <c r="JXQ83">
        <f t="shared" si="217"/>
        <v>75</v>
      </c>
      <c r="JXR83">
        <f t="shared" si="217"/>
        <v>75</v>
      </c>
      <c r="JXS83">
        <f t="shared" si="217"/>
        <v>75</v>
      </c>
      <c r="JXT83">
        <f t="shared" si="217"/>
        <v>75</v>
      </c>
      <c r="JXU83">
        <f t="shared" si="217"/>
        <v>75</v>
      </c>
      <c r="JXV83">
        <f t="shared" si="217"/>
        <v>75</v>
      </c>
      <c r="JXW83">
        <f t="shared" si="217"/>
        <v>75</v>
      </c>
      <c r="JXX83">
        <f t="shared" si="217"/>
        <v>75</v>
      </c>
      <c r="JXY83">
        <f t="shared" si="217"/>
        <v>75</v>
      </c>
      <c r="JXZ83">
        <f t="shared" si="217"/>
        <v>75</v>
      </c>
      <c r="JYA83">
        <f t="shared" si="217"/>
        <v>75</v>
      </c>
      <c r="JYB83">
        <f t="shared" si="217"/>
        <v>75</v>
      </c>
      <c r="JYC83">
        <f t="shared" si="217"/>
        <v>75</v>
      </c>
      <c r="JYD83">
        <f t="shared" si="217"/>
        <v>75</v>
      </c>
      <c r="JYE83">
        <f t="shared" si="217"/>
        <v>75</v>
      </c>
      <c r="JYF83">
        <f t="shared" si="217"/>
        <v>75</v>
      </c>
      <c r="JYG83">
        <f t="shared" si="217"/>
        <v>74</v>
      </c>
      <c r="JYH83">
        <f t="shared" si="217"/>
        <v>74</v>
      </c>
      <c r="JYI83">
        <f t="shared" si="217"/>
        <v>74</v>
      </c>
      <c r="JYJ83">
        <f t="shared" si="217"/>
        <v>74</v>
      </c>
      <c r="JYK83">
        <f t="shared" si="217"/>
        <v>74</v>
      </c>
      <c r="JYL83">
        <f t="shared" si="217"/>
        <v>74</v>
      </c>
      <c r="JYM83">
        <f t="shared" si="217"/>
        <v>74</v>
      </c>
      <c r="JYN83">
        <f t="shared" si="217"/>
        <v>74</v>
      </c>
      <c r="JYO83">
        <f t="shared" si="217"/>
        <v>74</v>
      </c>
      <c r="JYP83">
        <f t="shared" si="217"/>
        <v>74</v>
      </c>
      <c r="JYQ83">
        <f t="shared" ref="JYQ83:KBB83" si="218">COUNTBLANK(JYQ6:JYQ81)</f>
        <v>74</v>
      </c>
      <c r="JYR83">
        <f t="shared" si="218"/>
        <v>74</v>
      </c>
      <c r="JYS83">
        <f t="shared" si="218"/>
        <v>74</v>
      </c>
      <c r="JYT83">
        <f t="shared" si="218"/>
        <v>74</v>
      </c>
      <c r="JYU83">
        <f t="shared" si="218"/>
        <v>74</v>
      </c>
      <c r="JYV83">
        <f t="shared" si="218"/>
        <v>74</v>
      </c>
      <c r="JYW83">
        <f t="shared" si="218"/>
        <v>74</v>
      </c>
      <c r="JYX83">
        <f t="shared" si="218"/>
        <v>74</v>
      </c>
      <c r="JYY83">
        <f t="shared" si="218"/>
        <v>74</v>
      </c>
      <c r="JYZ83">
        <f t="shared" si="218"/>
        <v>74</v>
      </c>
      <c r="JZA83">
        <f t="shared" si="218"/>
        <v>74</v>
      </c>
      <c r="JZB83">
        <f t="shared" si="218"/>
        <v>74</v>
      </c>
      <c r="JZC83">
        <f t="shared" si="218"/>
        <v>74</v>
      </c>
      <c r="JZD83">
        <f t="shared" si="218"/>
        <v>74</v>
      </c>
      <c r="JZE83">
        <f t="shared" si="218"/>
        <v>74</v>
      </c>
      <c r="JZF83">
        <f t="shared" si="218"/>
        <v>74</v>
      </c>
      <c r="JZG83">
        <f t="shared" si="218"/>
        <v>74</v>
      </c>
      <c r="JZH83">
        <f t="shared" si="218"/>
        <v>74</v>
      </c>
      <c r="JZI83">
        <f t="shared" si="218"/>
        <v>74</v>
      </c>
      <c r="JZJ83">
        <f t="shared" si="218"/>
        <v>74</v>
      </c>
      <c r="JZK83">
        <f t="shared" si="218"/>
        <v>74</v>
      </c>
      <c r="JZL83">
        <f t="shared" si="218"/>
        <v>74</v>
      </c>
      <c r="JZM83">
        <f t="shared" si="218"/>
        <v>74</v>
      </c>
      <c r="JZN83">
        <f t="shared" si="218"/>
        <v>74</v>
      </c>
      <c r="JZO83">
        <f t="shared" si="218"/>
        <v>74</v>
      </c>
      <c r="JZP83">
        <f t="shared" si="218"/>
        <v>74</v>
      </c>
      <c r="JZQ83">
        <f t="shared" si="218"/>
        <v>74</v>
      </c>
      <c r="JZR83">
        <f t="shared" si="218"/>
        <v>74</v>
      </c>
      <c r="JZS83">
        <f t="shared" si="218"/>
        <v>74</v>
      </c>
      <c r="JZT83">
        <f t="shared" si="218"/>
        <v>74</v>
      </c>
      <c r="JZU83">
        <f t="shared" si="218"/>
        <v>74</v>
      </c>
      <c r="JZV83">
        <f t="shared" si="218"/>
        <v>74</v>
      </c>
      <c r="JZW83">
        <f t="shared" si="218"/>
        <v>74</v>
      </c>
      <c r="JZX83">
        <f t="shared" si="218"/>
        <v>74</v>
      </c>
      <c r="JZY83">
        <f t="shared" si="218"/>
        <v>74</v>
      </c>
      <c r="JZZ83">
        <f t="shared" si="218"/>
        <v>74</v>
      </c>
      <c r="KAA83">
        <f t="shared" si="218"/>
        <v>74</v>
      </c>
      <c r="KAB83">
        <f t="shared" si="218"/>
        <v>74</v>
      </c>
      <c r="KAC83">
        <f t="shared" si="218"/>
        <v>74</v>
      </c>
      <c r="KAD83">
        <f t="shared" si="218"/>
        <v>74</v>
      </c>
      <c r="KAE83">
        <f t="shared" si="218"/>
        <v>74</v>
      </c>
      <c r="KAF83">
        <f t="shared" si="218"/>
        <v>74</v>
      </c>
      <c r="KAG83">
        <f t="shared" si="218"/>
        <v>74</v>
      </c>
      <c r="KAH83">
        <f t="shared" si="218"/>
        <v>74</v>
      </c>
      <c r="KAI83">
        <f t="shared" si="218"/>
        <v>74</v>
      </c>
      <c r="KAJ83">
        <f t="shared" si="218"/>
        <v>74</v>
      </c>
      <c r="KAK83">
        <f t="shared" si="218"/>
        <v>74</v>
      </c>
      <c r="KAL83">
        <f t="shared" si="218"/>
        <v>74</v>
      </c>
      <c r="KAM83">
        <f t="shared" si="218"/>
        <v>74</v>
      </c>
      <c r="KAN83">
        <f t="shared" si="218"/>
        <v>74</v>
      </c>
      <c r="KAO83">
        <f t="shared" si="218"/>
        <v>74</v>
      </c>
      <c r="KAP83">
        <f t="shared" si="218"/>
        <v>74</v>
      </c>
      <c r="KAQ83">
        <f t="shared" si="218"/>
        <v>74</v>
      </c>
      <c r="KAR83">
        <f t="shared" si="218"/>
        <v>74</v>
      </c>
      <c r="KAS83">
        <f t="shared" si="218"/>
        <v>74</v>
      </c>
      <c r="KAT83">
        <f t="shared" si="218"/>
        <v>74</v>
      </c>
      <c r="KAU83">
        <f t="shared" si="218"/>
        <v>74</v>
      </c>
      <c r="KAV83">
        <f t="shared" si="218"/>
        <v>74</v>
      </c>
      <c r="KAW83">
        <f t="shared" si="218"/>
        <v>74</v>
      </c>
      <c r="KAX83">
        <f t="shared" si="218"/>
        <v>74</v>
      </c>
      <c r="KAY83">
        <f t="shared" si="218"/>
        <v>74</v>
      </c>
      <c r="KAZ83">
        <f t="shared" si="218"/>
        <v>74</v>
      </c>
      <c r="KBA83">
        <f t="shared" si="218"/>
        <v>74</v>
      </c>
      <c r="KBB83">
        <f t="shared" si="218"/>
        <v>74</v>
      </c>
      <c r="KBC83">
        <f t="shared" ref="KBC83:KDN83" si="219">COUNTBLANK(KBC6:KBC81)</f>
        <v>74</v>
      </c>
      <c r="KBD83">
        <f t="shared" si="219"/>
        <v>74</v>
      </c>
      <c r="KBE83">
        <f t="shared" si="219"/>
        <v>74</v>
      </c>
      <c r="KBF83">
        <f t="shared" si="219"/>
        <v>74</v>
      </c>
      <c r="KBG83">
        <f t="shared" si="219"/>
        <v>74</v>
      </c>
      <c r="KBH83">
        <f t="shared" si="219"/>
        <v>74</v>
      </c>
      <c r="KBI83">
        <f t="shared" si="219"/>
        <v>74</v>
      </c>
      <c r="KBJ83">
        <f t="shared" si="219"/>
        <v>74</v>
      </c>
      <c r="KBK83">
        <f t="shared" si="219"/>
        <v>74</v>
      </c>
      <c r="KBL83">
        <f t="shared" si="219"/>
        <v>74</v>
      </c>
      <c r="KBM83">
        <f t="shared" si="219"/>
        <v>74</v>
      </c>
      <c r="KBN83">
        <f t="shared" si="219"/>
        <v>74</v>
      </c>
      <c r="KBO83">
        <f t="shared" si="219"/>
        <v>74</v>
      </c>
      <c r="KBP83">
        <f t="shared" si="219"/>
        <v>74</v>
      </c>
      <c r="KBQ83">
        <f t="shared" si="219"/>
        <v>74</v>
      </c>
      <c r="KBR83">
        <f t="shared" si="219"/>
        <v>74</v>
      </c>
      <c r="KBS83">
        <f t="shared" si="219"/>
        <v>74</v>
      </c>
      <c r="KBT83">
        <f t="shared" si="219"/>
        <v>74</v>
      </c>
      <c r="KBU83">
        <f t="shared" si="219"/>
        <v>74</v>
      </c>
      <c r="KBV83">
        <f t="shared" si="219"/>
        <v>74</v>
      </c>
      <c r="KBW83">
        <f t="shared" si="219"/>
        <v>74</v>
      </c>
      <c r="KBX83">
        <f t="shared" si="219"/>
        <v>74</v>
      </c>
      <c r="KBY83">
        <f t="shared" si="219"/>
        <v>74</v>
      </c>
      <c r="KBZ83">
        <f t="shared" si="219"/>
        <v>74</v>
      </c>
      <c r="KCA83">
        <f t="shared" si="219"/>
        <v>74</v>
      </c>
      <c r="KCB83">
        <f t="shared" si="219"/>
        <v>74</v>
      </c>
      <c r="KCC83">
        <f t="shared" si="219"/>
        <v>74</v>
      </c>
      <c r="KCD83">
        <f t="shared" si="219"/>
        <v>74</v>
      </c>
      <c r="KCE83">
        <f t="shared" si="219"/>
        <v>74</v>
      </c>
      <c r="KCF83">
        <f t="shared" si="219"/>
        <v>74</v>
      </c>
      <c r="KCG83">
        <f t="shared" si="219"/>
        <v>75</v>
      </c>
      <c r="KCH83">
        <f t="shared" si="219"/>
        <v>75</v>
      </c>
      <c r="KCI83">
        <f t="shared" si="219"/>
        <v>75</v>
      </c>
      <c r="KCJ83">
        <f t="shared" si="219"/>
        <v>75</v>
      </c>
      <c r="KCK83">
        <f t="shared" si="219"/>
        <v>75</v>
      </c>
      <c r="KCL83">
        <f t="shared" si="219"/>
        <v>75</v>
      </c>
      <c r="KCM83">
        <f t="shared" si="219"/>
        <v>75</v>
      </c>
      <c r="KCN83">
        <f t="shared" si="219"/>
        <v>75</v>
      </c>
      <c r="KCO83">
        <f t="shared" si="219"/>
        <v>75</v>
      </c>
      <c r="KCP83">
        <f t="shared" si="219"/>
        <v>75</v>
      </c>
      <c r="KCQ83">
        <f t="shared" si="219"/>
        <v>75</v>
      </c>
      <c r="KCR83">
        <f t="shared" si="219"/>
        <v>75</v>
      </c>
      <c r="KCS83">
        <f t="shared" si="219"/>
        <v>75</v>
      </c>
      <c r="KCT83">
        <f t="shared" si="219"/>
        <v>75</v>
      </c>
      <c r="KCU83">
        <f t="shared" si="219"/>
        <v>75</v>
      </c>
      <c r="KCV83">
        <f t="shared" si="219"/>
        <v>75</v>
      </c>
      <c r="KCW83">
        <f t="shared" si="219"/>
        <v>75</v>
      </c>
      <c r="KCX83">
        <f t="shared" si="219"/>
        <v>75</v>
      </c>
      <c r="KCY83">
        <f t="shared" si="219"/>
        <v>75</v>
      </c>
      <c r="KCZ83">
        <f t="shared" si="219"/>
        <v>75</v>
      </c>
      <c r="KDA83">
        <f t="shared" si="219"/>
        <v>75</v>
      </c>
      <c r="KDB83">
        <f t="shared" si="219"/>
        <v>75</v>
      </c>
      <c r="KDC83">
        <f t="shared" si="219"/>
        <v>75</v>
      </c>
      <c r="KDD83">
        <f t="shared" si="219"/>
        <v>75</v>
      </c>
      <c r="KDE83">
        <f t="shared" si="219"/>
        <v>75</v>
      </c>
      <c r="KDF83">
        <f t="shared" si="219"/>
        <v>75</v>
      </c>
      <c r="KDG83">
        <f t="shared" si="219"/>
        <v>75</v>
      </c>
      <c r="KDH83">
        <f t="shared" si="219"/>
        <v>75</v>
      </c>
      <c r="KDI83">
        <f t="shared" si="219"/>
        <v>75</v>
      </c>
      <c r="KDJ83">
        <f t="shared" si="219"/>
        <v>75</v>
      </c>
      <c r="KDK83">
        <f t="shared" si="219"/>
        <v>75</v>
      </c>
      <c r="KDL83">
        <f t="shared" si="219"/>
        <v>75</v>
      </c>
      <c r="KDM83">
        <f t="shared" si="219"/>
        <v>75</v>
      </c>
      <c r="KDN83">
        <f t="shared" si="219"/>
        <v>75</v>
      </c>
      <c r="KDO83">
        <f t="shared" ref="KDO83:KFZ83" si="220">COUNTBLANK(KDO6:KDO81)</f>
        <v>75</v>
      </c>
      <c r="KDP83">
        <f t="shared" si="220"/>
        <v>75</v>
      </c>
      <c r="KDQ83">
        <f t="shared" si="220"/>
        <v>75</v>
      </c>
      <c r="KDR83">
        <f t="shared" si="220"/>
        <v>75</v>
      </c>
      <c r="KDS83">
        <f t="shared" si="220"/>
        <v>75</v>
      </c>
      <c r="KDT83">
        <f t="shared" si="220"/>
        <v>75</v>
      </c>
      <c r="KDU83">
        <f t="shared" si="220"/>
        <v>75</v>
      </c>
      <c r="KDV83">
        <f t="shared" si="220"/>
        <v>75</v>
      </c>
      <c r="KDW83">
        <f t="shared" si="220"/>
        <v>75</v>
      </c>
      <c r="KDX83">
        <f t="shared" si="220"/>
        <v>75</v>
      </c>
      <c r="KDY83">
        <f t="shared" si="220"/>
        <v>75</v>
      </c>
      <c r="KDZ83">
        <f t="shared" si="220"/>
        <v>75</v>
      </c>
      <c r="KEA83">
        <f t="shared" si="220"/>
        <v>75</v>
      </c>
      <c r="KEB83">
        <f t="shared" si="220"/>
        <v>75</v>
      </c>
      <c r="KEC83">
        <f t="shared" si="220"/>
        <v>75</v>
      </c>
      <c r="KED83">
        <f t="shared" si="220"/>
        <v>75</v>
      </c>
      <c r="KEE83">
        <f t="shared" si="220"/>
        <v>75</v>
      </c>
      <c r="KEF83">
        <f t="shared" si="220"/>
        <v>75</v>
      </c>
      <c r="KEG83">
        <f t="shared" si="220"/>
        <v>75</v>
      </c>
      <c r="KEH83">
        <f t="shared" si="220"/>
        <v>75</v>
      </c>
      <c r="KEI83">
        <f t="shared" si="220"/>
        <v>75</v>
      </c>
      <c r="KEJ83">
        <f t="shared" si="220"/>
        <v>75</v>
      </c>
      <c r="KEK83">
        <f t="shared" si="220"/>
        <v>75</v>
      </c>
      <c r="KEL83">
        <f t="shared" si="220"/>
        <v>75</v>
      </c>
      <c r="KEM83">
        <f t="shared" si="220"/>
        <v>75</v>
      </c>
      <c r="KEN83">
        <f t="shared" si="220"/>
        <v>76</v>
      </c>
      <c r="KEO83">
        <f t="shared" si="220"/>
        <v>76</v>
      </c>
      <c r="KEP83">
        <f t="shared" si="220"/>
        <v>76</v>
      </c>
      <c r="KEQ83">
        <f t="shared" si="220"/>
        <v>76</v>
      </c>
      <c r="KER83">
        <f t="shared" si="220"/>
        <v>76</v>
      </c>
      <c r="KES83">
        <f t="shared" si="220"/>
        <v>76</v>
      </c>
      <c r="KET83">
        <f t="shared" si="220"/>
        <v>76</v>
      </c>
      <c r="KEU83">
        <f t="shared" si="220"/>
        <v>76</v>
      </c>
      <c r="KEV83">
        <f t="shared" si="220"/>
        <v>76</v>
      </c>
      <c r="KEW83">
        <f t="shared" si="220"/>
        <v>76</v>
      </c>
      <c r="KEX83">
        <f t="shared" si="220"/>
        <v>76</v>
      </c>
      <c r="KEY83">
        <f t="shared" si="220"/>
        <v>76</v>
      </c>
      <c r="KEZ83">
        <f t="shared" si="220"/>
        <v>76</v>
      </c>
      <c r="KFA83">
        <f t="shared" si="220"/>
        <v>76</v>
      </c>
      <c r="KFB83">
        <f t="shared" si="220"/>
        <v>76</v>
      </c>
      <c r="KFC83">
        <f t="shared" si="220"/>
        <v>76</v>
      </c>
      <c r="KFD83">
        <f t="shared" si="220"/>
        <v>76</v>
      </c>
      <c r="KFE83">
        <f t="shared" si="220"/>
        <v>76</v>
      </c>
      <c r="KFF83">
        <f t="shared" si="220"/>
        <v>76</v>
      </c>
      <c r="KFG83">
        <f t="shared" si="220"/>
        <v>76</v>
      </c>
      <c r="KFH83">
        <f t="shared" si="220"/>
        <v>76</v>
      </c>
      <c r="KFI83">
        <f t="shared" si="220"/>
        <v>76</v>
      </c>
      <c r="KFJ83">
        <f t="shared" si="220"/>
        <v>76</v>
      </c>
      <c r="KFK83">
        <f t="shared" si="220"/>
        <v>76</v>
      </c>
      <c r="KFL83">
        <f t="shared" si="220"/>
        <v>76</v>
      </c>
      <c r="KFM83">
        <f t="shared" si="220"/>
        <v>76</v>
      </c>
      <c r="KFN83">
        <f t="shared" si="220"/>
        <v>76</v>
      </c>
      <c r="KFO83">
        <f t="shared" si="220"/>
        <v>76</v>
      </c>
      <c r="KFP83">
        <f t="shared" si="220"/>
        <v>76</v>
      </c>
      <c r="KFQ83">
        <f t="shared" si="220"/>
        <v>76</v>
      </c>
      <c r="KFR83">
        <f t="shared" si="220"/>
        <v>76</v>
      </c>
      <c r="KFS83">
        <f t="shared" si="220"/>
        <v>76</v>
      </c>
      <c r="KFT83">
        <f t="shared" si="220"/>
        <v>76</v>
      </c>
      <c r="KFU83">
        <f t="shared" si="220"/>
        <v>76</v>
      </c>
      <c r="KFV83">
        <f t="shared" si="220"/>
        <v>76</v>
      </c>
      <c r="KFW83">
        <f t="shared" si="220"/>
        <v>76</v>
      </c>
      <c r="KFX83">
        <f t="shared" si="220"/>
        <v>76</v>
      </c>
      <c r="KFY83">
        <f t="shared" si="220"/>
        <v>76</v>
      </c>
      <c r="KFZ83">
        <f t="shared" si="220"/>
        <v>76</v>
      </c>
      <c r="KGA83">
        <f t="shared" ref="KGA83:KGT83" si="221">COUNTBLANK(KGA6:KGA81)</f>
        <v>76</v>
      </c>
      <c r="KGB83">
        <f t="shared" si="221"/>
        <v>76</v>
      </c>
      <c r="KGC83">
        <f t="shared" si="221"/>
        <v>76</v>
      </c>
      <c r="KGD83">
        <f t="shared" si="221"/>
        <v>76</v>
      </c>
      <c r="KGE83">
        <f t="shared" si="221"/>
        <v>76</v>
      </c>
      <c r="KGF83">
        <f t="shared" si="221"/>
        <v>76</v>
      </c>
      <c r="KGG83">
        <f t="shared" si="221"/>
        <v>76</v>
      </c>
      <c r="KGH83">
        <f t="shared" si="221"/>
        <v>76</v>
      </c>
      <c r="KGI83">
        <f t="shared" si="221"/>
        <v>76</v>
      </c>
      <c r="KGJ83">
        <f t="shared" si="221"/>
        <v>76</v>
      </c>
      <c r="KGK83">
        <f t="shared" si="221"/>
        <v>76</v>
      </c>
      <c r="KGL83">
        <f t="shared" si="221"/>
        <v>76</v>
      </c>
      <c r="KGM83">
        <f t="shared" si="221"/>
        <v>76</v>
      </c>
      <c r="KGN83">
        <f t="shared" si="221"/>
        <v>76</v>
      </c>
      <c r="KGO83">
        <f t="shared" si="221"/>
        <v>76</v>
      </c>
      <c r="KGP83">
        <f t="shared" si="221"/>
        <v>76</v>
      </c>
      <c r="KGQ83">
        <f t="shared" si="221"/>
        <v>76</v>
      </c>
      <c r="KGR83">
        <f t="shared" si="221"/>
        <v>76</v>
      </c>
      <c r="KGS83">
        <f t="shared" si="221"/>
        <v>76</v>
      </c>
      <c r="KGT83">
        <f t="shared" si="221"/>
        <v>76</v>
      </c>
      <c r="KGU83" s="1"/>
      <c r="KKR83">
        <f>SUM(KKR2:KKR80)</f>
        <v>15972</v>
      </c>
      <c r="KKS83">
        <f>SUM(KKS2:KKS80)</f>
        <v>7855</v>
      </c>
      <c r="KKT83">
        <f>SUM(KKT2:KKT80)</f>
        <v>8117</v>
      </c>
      <c r="KKU83">
        <f>SUM(KKU2:KKU80)</f>
        <v>638.88</v>
      </c>
      <c r="KKV83">
        <f>SUM(KKV2:KKV80)</f>
        <v>314.20000000000005</v>
      </c>
      <c r="KKW83">
        <f>SUM(KKW2:KKW81)</f>
        <v>332.43999999999994</v>
      </c>
    </row>
    <row r="84" spans="1:7745">
      <c r="A84" s="1" t="s">
        <v>7548</v>
      </c>
      <c r="B84" s="1" t="s">
        <v>7595</v>
      </c>
      <c r="C84" s="1">
        <f>COUNTBLANK(C2:C5)</f>
        <v>4</v>
      </c>
      <c r="D84" s="1">
        <f t="shared" ref="D84:DV84" si="222">COUNTBLANK(D2:D5)</f>
        <v>4</v>
      </c>
      <c r="E84" s="1">
        <f t="shared" si="222"/>
        <v>4</v>
      </c>
      <c r="F84" s="1">
        <f t="shared" si="222"/>
        <v>4</v>
      </c>
      <c r="G84">
        <f t="shared" si="222"/>
        <v>4</v>
      </c>
      <c r="H84">
        <f t="shared" si="222"/>
        <v>4</v>
      </c>
      <c r="I84">
        <f t="shared" si="222"/>
        <v>4</v>
      </c>
      <c r="J84">
        <f t="shared" si="222"/>
        <v>4</v>
      </c>
      <c r="K84">
        <f t="shared" si="222"/>
        <v>4</v>
      </c>
      <c r="L84">
        <f t="shared" si="222"/>
        <v>4</v>
      </c>
      <c r="M84">
        <f t="shared" si="222"/>
        <v>4</v>
      </c>
      <c r="N84">
        <f t="shared" si="222"/>
        <v>4</v>
      </c>
      <c r="O84">
        <f t="shared" si="222"/>
        <v>4</v>
      </c>
      <c r="P84">
        <f t="shared" si="222"/>
        <v>4</v>
      </c>
      <c r="Q84">
        <f t="shared" si="222"/>
        <v>4</v>
      </c>
      <c r="R84">
        <f t="shared" si="222"/>
        <v>4</v>
      </c>
      <c r="S84">
        <f t="shared" si="222"/>
        <v>4</v>
      </c>
      <c r="T84">
        <f t="shared" si="222"/>
        <v>4</v>
      </c>
      <c r="U84">
        <f t="shared" si="222"/>
        <v>4</v>
      </c>
      <c r="V84">
        <f t="shared" si="222"/>
        <v>4</v>
      </c>
      <c r="W84">
        <f t="shared" si="222"/>
        <v>4</v>
      </c>
      <c r="X84">
        <f t="shared" si="222"/>
        <v>4</v>
      </c>
      <c r="Y84">
        <f t="shared" si="222"/>
        <v>4</v>
      </c>
      <c r="Z84">
        <f t="shared" si="222"/>
        <v>4</v>
      </c>
      <c r="AA84">
        <f t="shared" si="222"/>
        <v>4</v>
      </c>
      <c r="AB84">
        <f t="shared" si="222"/>
        <v>4</v>
      </c>
      <c r="AC84">
        <f t="shared" si="222"/>
        <v>4</v>
      </c>
      <c r="AD84">
        <f t="shared" si="222"/>
        <v>4</v>
      </c>
      <c r="AE84">
        <f t="shared" si="222"/>
        <v>4</v>
      </c>
      <c r="AF84">
        <f t="shared" si="222"/>
        <v>4</v>
      </c>
      <c r="AG84">
        <f t="shared" si="222"/>
        <v>4</v>
      </c>
      <c r="AH84">
        <f t="shared" si="222"/>
        <v>4</v>
      </c>
      <c r="AI84">
        <f t="shared" si="222"/>
        <v>4</v>
      </c>
      <c r="AJ84">
        <f t="shared" si="222"/>
        <v>4</v>
      </c>
      <c r="AK84">
        <f t="shared" si="222"/>
        <v>4</v>
      </c>
      <c r="AL84">
        <f t="shared" si="222"/>
        <v>4</v>
      </c>
      <c r="AM84">
        <f t="shared" si="222"/>
        <v>4</v>
      </c>
      <c r="AN84">
        <f t="shared" si="222"/>
        <v>4</v>
      </c>
      <c r="AO84">
        <f t="shared" si="222"/>
        <v>4</v>
      </c>
      <c r="AP84">
        <f t="shared" si="222"/>
        <v>4</v>
      </c>
      <c r="AQ84">
        <f t="shared" si="222"/>
        <v>4</v>
      </c>
      <c r="AR84">
        <f t="shared" si="222"/>
        <v>4</v>
      </c>
      <c r="AS84">
        <f t="shared" si="222"/>
        <v>4</v>
      </c>
      <c r="AT84">
        <f t="shared" si="222"/>
        <v>4</v>
      </c>
      <c r="AU84">
        <f t="shared" si="222"/>
        <v>4</v>
      </c>
      <c r="AV84">
        <f t="shared" si="222"/>
        <v>4</v>
      </c>
      <c r="AW84">
        <f t="shared" si="222"/>
        <v>4</v>
      </c>
      <c r="AX84">
        <f t="shared" si="222"/>
        <v>4</v>
      </c>
      <c r="AY84">
        <f t="shared" si="222"/>
        <v>4</v>
      </c>
      <c r="AZ84">
        <f t="shared" si="222"/>
        <v>4</v>
      </c>
      <c r="BA84">
        <f t="shared" si="222"/>
        <v>4</v>
      </c>
      <c r="BB84">
        <f t="shared" si="222"/>
        <v>4</v>
      </c>
      <c r="BC84">
        <f t="shared" si="222"/>
        <v>4</v>
      </c>
      <c r="BD84">
        <f t="shared" si="222"/>
        <v>4</v>
      </c>
      <c r="BE84">
        <f t="shared" si="222"/>
        <v>4</v>
      </c>
      <c r="BF84">
        <f t="shared" si="222"/>
        <v>4</v>
      </c>
      <c r="BG84">
        <f t="shared" si="222"/>
        <v>4</v>
      </c>
      <c r="BH84">
        <f t="shared" si="222"/>
        <v>4</v>
      </c>
      <c r="BI84">
        <f t="shared" ref="BI84:CQ84" si="223">COUNTBLANK(BI2:BI5)</f>
        <v>4</v>
      </c>
      <c r="BJ84">
        <f t="shared" si="223"/>
        <v>4</v>
      </c>
      <c r="BK84">
        <f t="shared" si="223"/>
        <v>4</v>
      </c>
      <c r="BL84">
        <f t="shared" si="223"/>
        <v>4</v>
      </c>
      <c r="BM84">
        <f t="shared" si="223"/>
        <v>4</v>
      </c>
      <c r="BN84">
        <f t="shared" si="223"/>
        <v>4</v>
      </c>
      <c r="BO84">
        <f t="shared" si="223"/>
        <v>4</v>
      </c>
      <c r="BP84">
        <f t="shared" si="223"/>
        <v>4</v>
      </c>
      <c r="BQ84">
        <f t="shared" si="223"/>
        <v>4</v>
      </c>
      <c r="BR84">
        <f t="shared" si="223"/>
        <v>4</v>
      </c>
      <c r="BS84">
        <f t="shared" si="223"/>
        <v>4</v>
      </c>
      <c r="BT84">
        <f t="shared" si="223"/>
        <v>4</v>
      </c>
      <c r="BU84">
        <f t="shared" si="223"/>
        <v>4</v>
      </c>
      <c r="BV84">
        <f t="shared" si="223"/>
        <v>4</v>
      </c>
      <c r="BW84">
        <f t="shared" si="223"/>
        <v>4</v>
      </c>
      <c r="BX84">
        <f t="shared" si="223"/>
        <v>4</v>
      </c>
      <c r="BY84">
        <f t="shared" si="223"/>
        <v>4</v>
      </c>
      <c r="BZ84">
        <f t="shared" si="223"/>
        <v>3</v>
      </c>
      <c r="CA84">
        <f t="shared" si="223"/>
        <v>3</v>
      </c>
      <c r="CB84">
        <f t="shared" si="223"/>
        <v>3</v>
      </c>
      <c r="CC84">
        <f t="shared" si="223"/>
        <v>3</v>
      </c>
      <c r="CD84">
        <f t="shared" si="223"/>
        <v>3</v>
      </c>
      <c r="CE84">
        <f t="shared" si="223"/>
        <v>3</v>
      </c>
      <c r="CF84">
        <f t="shared" si="223"/>
        <v>3</v>
      </c>
      <c r="CG84">
        <f t="shared" si="223"/>
        <v>3</v>
      </c>
      <c r="CH84">
        <f t="shared" si="223"/>
        <v>3</v>
      </c>
      <c r="CI84">
        <f t="shared" si="223"/>
        <v>3</v>
      </c>
      <c r="CJ84">
        <f t="shared" si="223"/>
        <v>3</v>
      </c>
      <c r="CK84">
        <f t="shared" si="223"/>
        <v>3</v>
      </c>
      <c r="CL84">
        <f t="shared" si="223"/>
        <v>3</v>
      </c>
      <c r="CM84">
        <f t="shared" si="223"/>
        <v>3</v>
      </c>
      <c r="CN84">
        <f t="shared" si="223"/>
        <v>3</v>
      </c>
      <c r="CO84">
        <f t="shared" si="223"/>
        <v>3</v>
      </c>
      <c r="CP84">
        <f t="shared" si="223"/>
        <v>3</v>
      </c>
      <c r="CQ84">
        <f t="shared" si="223"/>
        <v>3</v>
      </c>
      <c r="CR84">
        <f t="shared" si="222"/>
        <v>3</v>
      </c>
      <c r="CS84">
        <f t="shared" si="222"/>
        <v>3</v>
      </c>
      <c r="CT84">
        <f t="shared" si="222"/>
        <v>3</v>
      </c>
      <c r="CU84">
        <f t="shared" si="222"/>
        <v>3</v>
      </c>
      <c r="CV84">
        <f t="shared" si="222"/>
        <v>3</v>
      </c>
      <c r="CW84">
        <f t="shared" si="222"/>
        <v>3</v>
      </c>
      <c r="CX84">
        <f t="shared" si="222"/>
        <v>3</v>
      </c>
      <c r="CY84">
        <f t="shared" si="222"/>
        <v>3</v>
      </c>
      <c r="CZ84">
        <f t="shared" si="222"/>
        <v>3</v>
      </c>
      <c r="DA84">
        <f t="shared" si="222"/>
        <v>3</v>
      </c>
      <c r="DB84">
        <f t="shared" si="222"/>
        <v>3</v>
      </c>
      <c r="DC84">
        <f t="shared" si="222"/>
        <v>3</v>
      </c>
      <c r="DD84">
        <f t="shared" si="222"/>
        <v>3</v>
      </c>
      <c r="DE84">
        <f t="shared" si="222"/>
        <v>3</v>
      </c>
      <c r="DF84">
        <f t="shared" si="222"/>
        <v>3</v>
      </c>
      <c r="DG84">
        <f t="shared" si="222"/>
        <v>3</v>
      </c>
      <c r="DH84">
        <f t="shared" si="222"/>
        <v>3</v>
      </c>
      <c r="DI84">
        <f t="shared" si="222"/>
        <v>3</v>
      </c>
      <c r="DJ84">
        <f t="shared" si="222"/>
        <v>3</v>
      </c>
      <c r="DK84">
        <f t="shared" si="222"/>
        <v>3</v>
      </c>
      <c r="DL84">
        <f t="shared" si="222"/>
        <v>3</v>
      </c>
      <c r="DM84">
        <f t="shared" si="222"/>
        <v>3</v>
      </c>
      <c r="DN84">
        <f t="shared" si="222"/>
        <v>3</v>
      </c>
      <c r="DO84">
        <f t="shared" si="222"/>
        <v>3</v>
      </c>
      <c r="DP84">
        <f t="shared" si="222"/>
        <v>3</v>
      </c>
      <c r="DQ84">
        <f t="shared" si="222"/>
        <v>3</v>
      </c>
      <c r="DR84">
        <f t="shared" si="222"/>
        <v>3</v>
      </c>
      <c r="DS84">
        <f t="shared" si="222"/>
        <v>3</v>
      </c>
      <c r="DT84">
        <f t="shared" si="222"/>
        <v>3</v>
      </c>
      <c r="DU84">
        <f t="shared" si="222"/>
        <v>3</v>
      </c>
      <c r="DV84">
        <f t="shared" si="222"/>
        <v>3</v>
      </c>
      <c r="DW84">
        <f t="shared" ref="DW84:GH84" si="224">COUNTBLANK(DW2:DW5)</f>
        <v>3</v>
      </c>
      <c r="DX84">
        <f t="shared" si="224"/>
        <v>3</v>
      </c>
      <c r="DY84">
        <f t="shared" si="224"/>
        <v>3</v>
      </c>
      <c r="DZ84">
        <f t="shared" si="224"/>
        <v>3</v>
      </c>
      <c r="EA84">
        <f t="shared" si="224"/>
        <v>3</v>
      </c>
      <c r="EB84">
        <f t="shared" si="224"/>
        <v>3</v>
      </c>
      <c r="EC84">
        <f t="shared" si="224"/>
        <v>3</v>
      </c>
      <c r="ED84">
        <f t="shared" si="224"/>
        <v>3</v>
      </c>
      <c r="EE84">
        <f t="shared" si="224"/>
        <v>3</v>
      </c>
      <c r="EF84">
        <f t="shared" si="224"/>
        <v>3</v>
      </c>
      <c r="EG84">
        <f t="shared" si="224"/>
        <v>3</v>
      </c>
      <c r="EH84">
        <f t="shared" si="224"/>
        <v>3</v>
      </c>
      <c r="EI84">
        <f t="shared" si="224"/>
        <v>3</v>
      </c>
      <c r="EJ84">
        <f t="shared" si="224"/>
        <v>3</v>
      </c>
      <c r="EK84">
        <f t="shared" si="224"/>
        <v>3</v>
      </c>
      <c r="EL84">
        <f t="shared" si="224"/>
        <v>3</v>
      </c>
      <c r="EM84">
        <f t="shared" si="224"/>
        <v>3</v>
      </c>
      <c r="EN84">
        <f t="shared" si="224"/>
        <v>3</v>
      </c>
      <c r="EO84">
        <f t="shared" si="224"/>
        <v>3</v>
      </c>
      <c r="EP84">
        <f t="shared" si="224"/>
        <v>3</v>
      </c>
      <c r="EQ84">
        <f t="shared" si="224"/>
        <v>3</v>
      </c>
      <c r="ER84">
        <f t="shared" si="224"/>
        <v>3</v>
      </c>
      <c r="ES84">
        <f t="shared" si="224"/>
        <v>3</v>
      </c>
      <c r="ET84">
        <f t="shared" si="224"/>
        <v>3</v>
      </c>
      <c r="EU84">
        <f t="shared" si="224"/>
        <v>3</v>
      </c>
      <c r="EV84">
        <f t="shared" si="224"/>
        <v>3</v>
      </c>
      <c r="EW84">
        <f t="shared" si="224"/>
        <v>3</v>
      </c>
      <c r="EX84">
        <f t="shared" si="224"/>
        <v>3</v>
      </c>
      <c r="EY84">
        <f t="shared" si="224"/>
        <v>3</v>
      </c>
      <c r="EZ84">
        <f t="shared" si="224"/>
        <v>3</v>
      </c>
      <c r="FA84">
        <f t="shared" si="224"/>
        <v>3</v>
      </c>
      <c r="FB84">
        <f t="shared" si="224"/>
        <v>3</v>
      </c>
      <c r="FC84">
        <f t="shared" si="224"/>
        <v>3</v>
      </c>
      <c r="FD84">
        <f t="shared" si="224"/>
        <v>3</v>
      </c>
      <c r="FE84">
        <f t="shared" si="224"/>
        <v>3</v>
      </c>
      <c r="FF84">
        <f t="shared" si="224"/>
        <v>3</v>
      </c>
      <c r="FG84">
        <f t="shared" si="224"/>
        <v>3</v>
      </c>
      <c r="FH84">
        <f t="shared" si="224"/>
        <v>3</v>
      </c>
      <c r="FI84">
        <f t="shared" si="224"/>
        <v>3</v>
      </c>
      <c r="FJ84">
        <f t="shared" si="224"/>
        <v>3</v>
      </c>
      <c r="FK84">
        <f t="shared" si="224"/>
        <v>3</v>
      </c>
      <c r="FL84">
        <f t="shared" si="224"/>
        <v>3</v>
      </c>
      <c r="FM84">
        <f t="shared" si="224"/>
        <v>3</v>
      </c>
      <c r="FN84">
        <f t="shared" si="224"/>
        <v>3</v>
      </c>
      <c r="FO84">
        <f t="shared" si="224"/>
        <v>3</v>
      </c>
      <c r="FP84">
        <f t="shared" si="224"/>
        <v>3</v>
      </c>
      <c r="FQ84">
        <f t="shared" si="224"/>
        <v>3</v>
      </c>
      <c r="FR84">
        <f t="shared" si="224"/>
        <v>3</v>
      </c>
      <c r="FS84">
        <f t="shared" si="224"/>
        <v>3</v>
      </c>
      <c r="FT84">
        <f t="shared" si="224"/>
        <v>3</v>
      </c>
      <c r="FU84">
        <f t="shared" si="224"/>
        <v>3</v>
      </c>
      <c r="FV84">
        <f t="shared" si="224"/>
        <v>3</v>
      </c>
      <c r="FW84">
        <f t="shared" si="224"/>
        <v>3</v>
      </c>
      <c r="FX84">
        <f t="shared" si="224"/>
        <v>3</v>
      </c>
      <c r="FY84">
        <f t="shared" si="224"/>
        <v>3</v>
      </c>
      <c r="FZ84">
        <f t="shared" si="224"/>
        <v>3</v>
      </c>
      <c r="GA84">
        <f t="shared" si="224"/>
        <v>3</v>
      </c>
      <c r="GB84">
        <f t="shared" si="224"/>
        <v>3</v>
      </c>
      <c r="GC84">
        <f t="shared" si="224"/>
        <v>3</v>
      </c>
      <c r="GD84">
        <f t="shared" si="224"/>
        <v>3</v>
      </c>
      <c r="GE84">
        <f t="shared" si="224"/>
        <v>3</v>
      </c>
      <c r="GF84">
        <f t="shared" si="224"/>
        <v>3</v>
      </c>
      <c r="GG84">
        <f t="shared" si="224"/>
        <v>3</v>
      </c>
      <c r="GH84">
        <f t="shared" si="224"/>
        <v>3</v>
      </c>
      <c r="GI84">
        <f t="shared" ref="GI84:IT84" si="225">COUNTBLANK(GI2:GI5)</f>
        <v>3</v>
      </c>
      <c r="GJ84">
        <f t="shared" si="225"/>
        <v>3</v>
      </c>
      <c r="GK84">
        <f t="shared" si="225"/>
        <v>3</v>
      </c>
      <c r="GL84">
        <f t="shared" si="225"/>
        <v>3</v>
      </c>
      <c r="GM84">
        <f t="shared" si="225"/>
        <v>3</v>
      </c>
      <c r="GN84">
        <f t="shared" si="225"/>
        <v>3</v>
      </c>
      <c r="GO84">
        <f t="shared" si="225"/>
        <v>3</v>
      </c>
      <c r="GP84">
        <f t="shared" si="225"/>
        <v>3</v>
      </c>
      <c r="GQ84">
        <f t="shared" si="225"/>
        <v>3</v>
      </c>
      <c r="GR84">
        <f t="shared" si="225"/>
        <v>3</v>
      </c>
      <c r="GS84">
        <f t="shared" si="225"/>
        <v>3</v>
      </c>
      <c r="GT84">
        <f t="shared" si="225"/>
        <v>3</v>
      </c>
      <c r="GU84">
        <f t="shared" si="225"/>
        <v>3</v>
      </c>
      <c r="GV84">
        <f t="shared" si="225"/>
        <v>3</v>
      </c>
      <c r="GW84">
        <f t="shared" si="225"/>
        <v>3</v>
      </c>
      <c r="GX84">
        <f t="shared" si="225"/>
        <v>3</v>
      </c>
      <c r="GY84">
        <f t="shared" si="225"/>
        <v>3</v>
      </c>
      <c r="GZ84">
        <f t="shared" si="225"/>
        <v>3</v>
      </c>
      <c r="HA84">
        <f t="shared" si="225"/>
        <v>3</v>
      </c>
      <c r="HB84">
        <f t="shared" si="225"/>
        <v>3</v>
      </c>
      <c r="HC84">
        <f t="shared" si="225"/>
        <v>3</v>
      </c>
      <c r="HD84">
        <f t="shared" si="225"/>
        <v>3</v>
      </c>
      <c r="HE84">
        <f t="shared" si="225"/>
        <v>3</v>
      </c>
      <c r="HF84">
        <f t="shared" si="225"/>
        <v>3</v>
      </c>
      <c r="HG84">
        <f t="shared" si="225"/>
        <v>3</v>
      </c>
      <c r="HH84">
        <f t="shared" si="225"/>
        <v>3</v>
      </c>
      <c r="HI84">
        <f t="shared" si="225"/>
        <v>3</v>
      </c>
      <c r="HJ84">
        <f t="shared" si="225"/>
        <v>3</v>
      </c>
      <c r="HK84">
        <f t="shared" si="225"/>
        <v>3</v>
      </c>
      <c r="HL84">
        <f t="shared" si="225"/>
        <v>3</v>
      </c>
      <c r="HM84">
        <f t="shared" si="225"/>
        <v>3</v>
      </c>
      <c r="HN84">
        <f t="shared" si="225"/>
        <v>3</v>
      </c>
      <c r="HO84">
        <f t="shared" si="225"/>
        <v>3</v>
      </c>
      <c r="HP84">
        <f t="shared" si="225"/>
        <v>3</v>
      </c>
      <c r="HQ84">
        <f t="shared" si="225"/>
        <v>3</v>
      </c>
      <c r="HR84">
        <f t="shared" si="225"/>
        <v>3</v>
      </c>
      <c r="HS84">
        <f t="shared" si="225"/>
        <v>3</v>
      </c>
      <c r="HT84">
        <f t="shared" si="225"/>
        <v>3</v>
      </c>
      <c r="HU84">
        <f t="shared" si="225"/>
        <v>3</v>
      </c>
      <c r="HV84">
        <f t="shared" si="225"/>
        <v>3</v>
      </c>
      <c r="HW84">
        <f t="shared" si="225"/>
        <v>3</v>
      </c>
      <c r="HX84">
        <f t="shared" si="225"/>
        <v>3</v>
      </c>
      <c r="HY84">
        <f t="shared" si="225"/>
        <v>3</v>
      </c>
      <c r="HZ84">
        <f t="shared" si="225"/>
        <v>3</v>
      </c>
      <c r="IA84">
        <f t="shared" si="225"/>
        <v>3</v>
      </c>
      <c r="IB84">
        <f t="shared" si="225"/>
        <v>3</v>
      </c>
      <c r="IC84">
        <f t="shared" si="225"/>
        <v>3</v>
      </c>
      <c r="ID84">
        <f t="shared" si="225"/>
        <v>3</v>
      </c>
      <c r="IE84">
        <f t="shared" si="225"/>
        <v>3</v>
      </c>
      <c r="IF84">
        <f t="shared" si="225"/>
        <v>3</v>
      </c>
      <c r="IG84">
        <f t="shared" si="225"/>
        <v>3</v>
      </c>
      <c r="IH84">
        <f t="shared" si="225"/>
        <v>3</v>
      </c>
      <c r="II84">
        <f t="shared" si="225"/>
        <v>3</v>
      </c>
      <c r="IJ84">
        <f t="shared" si="225"/>
        <v>3</v>
      </c>
      <c r="IK84">
        <f t="shared" si="225"/>
        <v>3</v>
      </c>
      <c r="IL84">
        <f t="shared" si="225"/>
        <v>3</v>
      </c>
      <c r="IM84">
        <f t="shared" si="225"/>
        <v>3</v>
      </c>
      <c r="IN84">
        <f t="shared" si="225"/>
        <v>3</v>
      </c>
      <c r="IO84">
        <f t="shared" si="225"/>
        <v>3</v>
      </c>
      <c r="IP84">
        <f t="shared" si="225"/>
        <v>3</v>
      </c>
      <c r="IQ84">
        <f t="shared" si="225"/>
        <v>3</v>
      </c>
      <c r="IR84">
        <f t="shared" si="225"/>
        <v>3</v>
      </c>
      <c r="IS84">
        <f t="shared" si="225"/>
        <v>3</v>
      </c>
      <c r="IT84">
        <f t="shared" si="225"/>
        <v>3</v>
      </c>
      <c r="IU84">
        <f t="shared" ref="IU84:LF84" si="226">COUNTBLANK(IU2:IU5)</f>
        <v>3</v>
      </c>
      <c r="IV84">
        <f t="shared" si="226"/>
        <v>3</v>
      </c>
      <c r="IW84">
        <f t="shared" si="226"/>
        <v>3</v>
      </c>
      <c r="IX84">
        <f t="shared" si="226"/>
        <v>3</v>
      </c>
      <c r="IY84">
        <f t="shared" si="226"/>
        <v>3</v>
      </c>
      <c r="IZ84">
        <f t="shared" si="226"/>
        <v>3</v>
      </c>
      <c r="JA84">
        <f t="shared" si="226"/>
        <v>3</v>
      </c>
      <c r="JB84">
        <f t="shared" si="226"/>
        <v>3</v>
      </c>
      <c r="JC84">
        <f t="shared" si="226"/>
        <v>3</v>
      </c>
      <c r="JD84">
        <f t="shared" si="226"/>
        <v>3</v>
      </c>
      <c r="JE84">
        <f t="shared" si="226"/>
        <v>3</v>
      </c>
      <c r="JF84">
        <f t="shared" si="226"/>
        <v>3</v>
      </c>
      <c r="JG84">
        <f t="shared" si="226"/>
        <v>3</v>
      </c>
      <c r="JH84">
        <f t="shared" si="226"/>
        <v>3</v>
      </c>
      <c r="JI84">
        <f t="shared" si="226"/>
        <v>2</v>
      </c>
      <c r="JJ84">
        <f t="shared" si="226"/>
        <v>2</v>
      </c>
      <c r="JK84">
        <f t="shared" si="226"/>
        <v>2</v>
      </c>
      <c r="JL84">
        <f t="shared" si="226"/>
        <v>2</v>
      </c>
      <c r="JM84">
        <f t="shared" si="226"/>
        <v>2</v>
      </c>
      <c r="JN84">
        <f t="shared" si="226"/>
        <v>2</v>
      </c>
      <c r="JO84">
        <f t="shared" si="226"/>
        <v>2</v>
      </c>
      <c r="JP84">
        <f t="shared" si="226"/>
        <v>2</v>
      </c>
      <c r="JQ84">
        <f t="shared" si="226"/>
        <v>2</v>
      </c>
      <c r="JR84">
        <f t="shared" si="226"/>
        <v>2</v>
      </c>
      <c r="JS84">
        <f t="shared" si="226"/>
        <v>3</v>
      </c>
      <c r="JT84">
        <f t="shared" si="226"/>
        <v>3</v>
      </c>
      <c r="JU84">
        <f t="shared" si="226"/>
        <v>3</v>
      </c>
      <c r="JV84">
        <f t="shared" si="226"/>
        <v>3</v>
      </c>
      <c r="JW84">
        <f t="shared" si="226"/>
        <v>3</v>
      </c>
      <c r="JX84">
        <f t="shared" si="226"/>
        <v>3</v>
      </c>
      <c r="JY84">
        <f t="shared" si="226"/>
        <v>3</v>
      </c>
      <c r="JZ84">
        <f t="shared" si="226"/>
        <v>3</v>
      </c>
      <c r="KA84">
        <f t="shared" si="226"/>
        <v>3</v>
      </c>
      <c r="KB84">
        <f t="shared" si="226"/>
        <v>3</v>
      </c>
      <c r="KC84">
        <f t="shared" si="226"/>
        <v>3</v>
      </c>
      <c r="KD84">
        <f t="shared" si="226"/>
        <v>3</v>
      </c>
      <c r="KE84">
        <f t="shared" si="226"/>
        <v>3</v>
      </c>
      <c r="KF84">
        <f t="shared" si="226"/>
        <v>3</v>
      </c>
      <c r="KG84">
        <f t="shared" si="226"/>
        <v>3</v>
      </c>
      <c r="KH84">
        <f t="shared" si="226"/>
        <v>3</v>
      </c>
      <c r="KI84">
        <f t="shared" si="226"/>
        <v>3</v>
      </c>
      <c r="KJ84">
        <f t="shared" si="226"/>
        <v>3</v>
      </c>
      <c r="KK84">
        <f t="shared" si="226"/>
        <v>3</v>
      </c>
      <c r="KL84">
        <f t="shared" si="226"/>
        <v>3</v>
      </c>
      <c r="KM84">
        <f t="shared" si="226"/>
        <v>3</v>
      </c>
      <c r="KN84">
        <f t="shared" si="226"/>
        <v>3</v>
      </c>
      <c r="KO84">
        <f t="shared" si="226"/>
        <v>3</v>
      </c>
      <c r="KP84">
        <f t="shared" si="226"/>
        <v>3</v>
      </c>
      <c r="KQ84">
        <f t="shared" si="226"/>
        <v>3</v>
      </c>
      <c r="KR84">
        <f t="shared" si="226"/>
        <v>3</v>
      </c>
      <c r="KS84">
        <f t="shared" si="226"/>
        <v>3</v>
      </c>
      <c r="KT84">
        <f t="shared" si="226"/>
        <v>3</v>
      </c>
      <c r="KU84">
        <f t="shared" si="226"/>
        <v>3</v>
      </c>
      <c r="KV84">
        <f t="shared" si="226"/>
        <v>3</v>
      </c>
      <c r="KW84">
        <f t="shared" si="226"/>
        <v>3</v>
      </c>
      <c r="KX84">
        <f t="shared" si="226"/>
        <v>3</v>
      </c>
      <c r="KY84">
        <f t="shared" si="226"/>
        <v>3</v>
      </c>
      <c r="KZ84">
        <f t="shared" si="226"/>
        <v>3</v>
      </c>
      <c r="LA84">
        <f t="shared" si="226"/>
        <v>3</v>
      </c>
      <c r="LB84">
        <f t="shared" si="226"/>
        <v>3</v>
      </c>
      <c r="LC84">
        <f t="shared" si="226"/>
        <v>3</v>
      </c>
      <c r="LD84">
        <f t="shared" si="226"/>
        <v>3</v>
      </c>
      <c r="LE84">
        <f t="shared" si="226"/>
        <v>3</v>
      </c>
      <c r="LF84">
        <f t="shared" si="226"/>
        <v>3</v>
      </c>
      <c r="LG84">
        <f t="shared" ref="LG84:NR84" si="227">COUNTBLANK(LG2:LG5)</f>
        <v>3</v>
      </c>
      <c r="LH84">
        <f t="shared" si="227"/>
        <v>3</v>
      </c>
      <c r="LI84">
        <f t="shared" si="227"/>
        <v>3</v>
      </c>
      <c r="LJ84">
        <f t="shared" si="227"/>
        <v>3</v>
      </c>
      <c r="LK84">
        <f t="shared" si="227"/>
        <v>3</v>
      </c>
      <c r="LL84">
        <f t="shared" si="227"/>
        <v>3</v>
      </c>
      <c r="LM84">
        <f t="shared" si="227"/>
        <v>3</v>
      </c>
      <c r="LN84">
        <f t="shared" si="227"/>
        <v>3</v>
      </c>
      <c r="LO84">
        <f t="shared" si="227"/>
        <v>3</v>
      </c>
      <c r="LP84">
        <f t="shared" si="227"/>
        <v>3</v>
      </c>
      <c r="LQ84">
        <f t="shared" si="227"/>
        <v>3</v>
      </c>
      <c r="LR84">
        <f t="shared" si="227"/>
        <v>3</v>
      </c>
      <c r="LS84">
        <f t="shared" si="227"/>
        <v>3</v>
      </c>
      <c r="LT84">
        <f t="shared" si="227"/>
        <v>3</v>
      </c>
      <c r="LU84">
        <f t="shared" si="227"/>
        <v>3</v>
      </c>
      <c r="LV84">
        <f t="shared" si="227"/>
        <v>3</v>
      </c>
      <c r="LW84">
        <f t="shared" si="227"/>
        <v>3</v>
      </c>
      <c r="LX84">
        <f t="shared" si="227"/>
        <v>3</v>
      </c>
      <c r="LY84">
        <f t="shared" si="227"/>
        <v>3</v>
      </c>
      <c r="LZ84">
        <f t="shared" si="227"/>
        <v>3</v>
      </c>
      <c r="MA84">
        <f t="shared" si="227"/>
        <v>3</v>
      </c>
      <c r="MB84">
        <f t="shared" si="227"/>
        <v>3</v>
      </c>
      <c r="MC84">
        <f t="shared" si="227"/>
        <v>3</v>
      </c>
      <c r="MD84">
        <f t="shared" si="227"/>
        <v>3</v>
      </c>
      <c r="ME84">
        <f t="shared" si="227"/>
        <v>3</v>
      </c>
      <c r="MF84">
        <f t="shared" si="227"/>
        <v>3</v>
      </c>
      <c r="MG84">
        <f t="shared" si="227"/>
        <v>3</v>
      </c>
      <c r="MH84">
        <f t="shared" si="227"/>
        <v>3</v>
      </c>
      <c r="MI84">
        <f t="shared" si="227"/>
        <v>3</v>
      </c>
      <c r="MJ84">
        <f t="shared" si="227"/>
        <v>3</v>
      </c>
      <c r="MK84">
        <f t="shared" si="227"/>
        <v>3</v>
      </c>
      <c r="ML84">
        <f t="shared" si="227"/>
        <v>3</v>
      </c>
      <c r="MM84">
        <f t="shared" si="227"/>
        <v>3</v>
      </c>
      <c r="MN84">
        <f t="shared" si="227"/>
        <v>3</v>
      </c>
      <c r="MO84">
        <f t="shared" si="227"/>
        <v>3</v>
      </c>
      <c r="MP84">
        <f t="shared" si="227"/>
        <v>3</v>
      </c>
      <c r="MQ84">
        <f t="shared" si="227"/>
        <v>3</v>
      </c>
      <c r="MR84">
        <f t="shared" si="227"/>
        <v>3</v>
      </c>
      <c r="MS84">
        <f t="shared" si="227"/>
        <v>3</v>
      </c>
      <c r="MT84">
        <f t="shared" si="227"/>
        <v>3</v>
      </c>
      <c r="MU84">
        <f t="shared" si="227"/>
        <v>3</v>
      </c>
      <c r="MV84">
        <f t="shared" si="227"/>
        <v>3</v>
      </c>
      <c r="MW84">
        <f t="shared" si="227"/>
        <v>3</v>
      </c>
      <c r="MX84">
        <f t="shared" si="227"/>
        <v>3</v>
      </c>
      <c r="MY84">
        <f t="shared" si="227"/>
        <v>3</v>
      </c>
      <c r="MZ84">
        <f t="shared" si="227"/>
        <v>3</v>
      </c>
      <c r="NA84">
        <f t="shared" si="227"/>
        <v>3</v>
      </c>
      <c r="NB84">
        <f t="shared" si="227"/>
        <v>3</v>
      </c>
      <c r="NC84">
        <f t="shared" si="227"/>
        <v>3</v>
      </c>
      <c r="ND84">
        <f t="shared" si="227"/>
        <v>3</v>
      </c>
      <c r="NE84">
        <f t="shared" si="227"/>
        <v>3</v>
      </c>
      <c r="NF84">
        <f t="shared" si="227"/>
        <v>3</v>
      </c>
      <c r="NG84">
        <f t="shared" si="227"/>
        <v>3</v>
      </c>
      <c r="NH84">
        <f t="shared" si="227"/>
        <v>3</v>
      </c>
      <c r="NI84">
        <f t="shared" si="227"/>
        <v>3</v>
      </c>
      <c r="NJ84">
        <f t="shared" si="227"/>
        <v>3</v>
      </c>
      <c r="NK84">
        <f t="shared" si="227"/>
        <v>3</v>
      </c>
      <c r="NL84">
        <f t="shared" si="227"/>
        <v>3</v>
      </c>
      <c r="NM84">
        <f t="shared" si="227"/>
        <v>3</v>
      </c>
      <c r="NN84">
        <f t="shared" si="227"/>
        <v>3</v>
      </c>
      <c r="NO84">
        <f t="shared" si="227"/>
        <v>3</v>
      </c>
      <c r="NP84">
        <f t="shared" si="227"/>
        <v>3</v>
      </c>
      <c r="NQ84">
        <f t="shared" si="227"/>
        <v>3</v>
      </c>
      <c r="NR84">
        <f t="shared" si="227"/>
        <v>3</v>
      </c>
      <c r="NS84">
        <f t="shared" ref="NS84:QD84" si="228">COUNTBLANK(NS2:NS5)</f>
        <v>3</v>
      </c>
      <c r="NT84">
        <f t="shared" si="228"/>
        <v>3</v>
      </c>
      <c r="NU84">
        <f t="shared" si="228"/>
        <v>3</v>
      </c>
      <c r="NV84">
        <f t="shared" si="228"/>
        <v>3</v>
      </c>
      <c r="NW84">
        <f t="shared" si="228"/>
        <v>3</v>
      </c>
      <c r="NX84">
        <f t="shared" si="228"/>
        <v>3</v>
      </c>
      <c r="NY84">
        <f t="shared" si="228"/>
        <v>3</v>
      </c>
      <c r="NZ84">
        <f t="shared" si="228"/>
        <v>3</v>
      </c>
      <c r="OA84">
        <f t="shared" si="228"/>
        <v>3</v>
      </c>
      <c r="OB84">
        <f t="shared" si="228"/>
        <v>3</v>
      </c>
      <c r="OC84">
        <f t="shared" si="228"/>
        <v>3</v>
      </c>
      <c r="OD84">
        <f t="shared" si="228"/>
        <v>3</v>
      </c>
      <c r="OE84">
        <f t="shared" si="228"/>
        <v>3</v>
      </c>
      <c r="OF84">
        <f t="shared" si="228"/>
        <v>3</v>
      </c>
      <c r="OG84">
        <f t="shared" si="228"/>
        <v>3</v>
      </c>
      <c r="OH84">
        <f t="shared" si="228"/>
        <v>3</v>
      </c>
      <c r="OI84">
        <f t="shared" si="228"/>
        <v>3</v>
      </c>
      <c r="OJ84">
        <f t="shared" si="228"/>
        <v>3</v>
      </c>
      <c r="OK84">
        <f t="shared" si="228"/>
        <v>3</v>
      </c>
      <c r="OL84">
        <f t="shared" si="228"/>
        <v>3</v>
      </c>
      <c r="OM84">
        <f t="shared" si="228"/>
        <v>3</v>
      </c>
      <c r="ON84">
        <f t="shared" si="228"/>
        <v>3</v>
      </c>
      <c r="OO84">
        <f t="shared" si="228"/>
        <v>3</v>
      </c>
      <c r="OP84">
        <f t="shared" si="228"/>
        <v>3</v>
      </c>
      <c r="OQ84">
        <f t="shared" si="228"/>
        <v>3</v>
      </c>
      <c r="OR84">
        <f t="shared" si="228"/>
        <v>3</v>
      </c>
      <c r="OS84">
        <f t="shared" si="228"/>
        <v>3</v>
      </c>
      <c r="OT84">
        <f t="shared" si="228"/>
        <v>3</v>
      </c>
      <c r="OU84">
        <f t="shared" si="228"/>
        <v>3</v>
      </c>
      <c r="OV84">
        <f t="shared" si="228"/>
        <v>3</v>
      </c>
      <c r="OW84">
        <f t="shared" si="228"/>
        <v>3</v>
      </c>
      <c r="OX84">
        <f t="shared" si="228"/>
        <v>3</v>
      </c>
      <c r="OY84">
        <f t="shared" si="228"/>
        <v>3</v>
      </c>
      <c r="OZ84">
        <f t="shared" si="228"/>
        <v>3</v>
      </c>
      <c r="PA84">
        <f t="shared" si="228"/>
        <v>3</v>
      </c>
      <c r="PB84">
        <f t="shared" si="228"/>
        <v>3</v>
      </c>
      <c r="PC84">
        <f t="shared" si="228"/>
        <v>3</v>
      </c>
      <c r="PD84">
        <f t="shared" si="228"/>
        <v>3</v>
      </c>
      <c r="PE84">
        <f t="shared" si="228"/>
        <v>3</v>
      </c>
      <c r="PF84">
        <f t="shared" si="228"/>
        <v>3</v>
      </c>
      <c r="PG84">
        <f t="shared" si="228"/>
        <v>3</v>
      </c>
      <c r="PH84">
        <f t="shared" si="228"/>
        <v>3</v>
      </c>
      <c r="PI84">
        <f t="shared" si="228"/>
        <v>3</v>
      </c>
      <c r="PJ84">
        <f t="shared" si="228"/>
        <v>3</v>
      </c>
      <c r="PK84">
        <f t="shared" si="228"/>
        <v>3</v>
      </c>
      <c r="PL84">
        <f t="shared" si="228"/>
        <v>3</v>
      </c>
      <c r="PM84">
        <f t="shared" si="228"/>
        <v>3</v>
      </c>
      <c r="PN84">
        <f t="shared" si="228"/>
        <v>3</v>
      </c>
      <c r="PO84">
        <f t="shared" si="228"/>
        <v>3</v>
      </c>
      <c r="PP84">
        <f t="shared" si="228"/>
        <v>3</v>
      </c>
      <c r="PQ84">
        <f t="shared" si="228"/>
        <v>3</v>
      </c>
      <c r="PR84">
        <f t="shared" si="228"/>
        <v>3</v>
      </c>
      <c r="PS84">
        <f t="shared" si="228"/>
        <v>3</v>
      </c>
      <c r="PT84">
        <f t="shared" si="228"/>
        <v>3</v>
      </c>
      <c r="PU84">
        <f t="shared" si="228"/>
        <v>3</v>
      </c>
      <c r="PV84">
        <f t="shared" si="228"/>
        <v>3</v>
      </c>
      <c r="PW84">
        <f t="shared" si="228"/>
        <v>3</v>
      </c>
      <c r="PX84">
        <f t="shared" si="228"/>
        <v>3</v>
      </c>
      <c r="PY84">
        <f t="shared" si="228"/>
        <v>3</v>
      </c>
      <c r="PZ84">
        <f t="shared" si="228"/>
        <v>3</v>
      </c>
      <c r="QA84">
        <f t="shared" si="228"/>
        <v>3</v>
      </c>
      <c r="QB84">
        <f t="shared" si="228"/>
        <v>3</v>
      </c>
      <c r="QC84">
        <f t="shared" si="228"/>
        <v>3</v>
      </c>
      <c r="QD84">
        <f t="shared" si="228"/>
        <v>3</v>
      </c>
      <c r="QE84">
        <f t="shared" ref="QE84:SP84" si="229">COUNTBLANK(QE2:QE5)</f>
        <v>3</v>
      </c>
      <c r="QF84">
        <f t="shared" si="229"/>
        <v>3</v>
      </c>
      <c r="QG84">
        <f t="shared" si="229"/>
        <v>3</v>
      </c>
      <c r="QH84">
        <f t="shared" si="229"/>
        <v>3</v>
      </c>
      <c r="QI84">
        <f t="shared" si="229"/>
        <v>3</v>
      </c>
      <c r="QJ84">
        <f t="shared" si="229"/>
        <v>3</v>
      </c>
      <c r="QK84">
        <f t="shared" si="229"/>
        <v>3</v>
      </c>
      <c r="QL84">
        <f t="shared" si="229"/>
        <v>3</v>
      </c>
      <c r="QM84">
        <f t="shared" si="229"/>
        <v>3</v>
      </c>
      <c r="QN84">
        <f t="shared" si="229"/>
        <v>3</v>
      </c>
      <c r="QO84">
        <f t="shared" si="229"/>
        <v>3</v>
      </c>
      <c r="QP84">
        <f t="shared" si="229"/>
        <v>3</v>
      </c>
      <c r="QQ84">
        <f t="shared" si="229"/>
        <v>3</v>
      </c>
      <c r="QR84">
        <f t="shared" si="229"/>
        <v>3</v>
      </c>
      <c r="QS84">
        <f t="shared" si="229"/>
        <v>3</v>
      </c>
      <c r="QT84">
        <f t="shared" si="229"/>
        <v>3</v>
      </c>
      <c r="QU84">
        <f t="shared" si="229"/>
        <v>3</v>
      </c>
      <c r="QV84">
        <f t="shared" si="229"/>
        <v>3</v>
      </c>
      <c r="QW84">
        <f t="shared" si="229"/>
        <v>3</v>
      </c>
      <c r="QX84">
        <f t="shared" si="229"/>
        <v>3</v>
      </c>
      <c r="QY84">
        <f t="shared" si="229"/>
        <v>3</v>
      </c>
      <c r="QZ84">
        <f t="shared" si="229"/>
        <v>3</v>
      </c>
      <c r="RA84">
        <f t="shared" si="229"/>
        <v>3</v>
      </c>
      <c r="RB84">
        <f t="shared" si="229"/>
        <v>3</v>
      </c>
      <c r="RC84">
        <f t="shared" si="229"/>
        <v>3</v>
      </c>
      <c r="RD84">
        <f t="shared" si="229"/>
        <v>3</v>
      </c>
      <c r="RE84">
        <f t="shared" si="229"/>
        <v>3</v>
      </c>
      <c r="RF84">
        <f t="shared" si="229"/>
        <v>3</v>
      </c>
      <c r="RG84">
        <f t="shared" si="229"/>
        <v>3</v>
      </c>
      <c r="RH84">
        <f t="shared" si="229"/>
        <v>3</v>
      </c>
      <c r="RI84">
        <f t="shared" si="229"/>
        <v>3</v>
      </c>
      <c r="RJ84">
        <f t="shared" si="229"/>
        <v>3</v>
      </c>
      <c r="RK84">
        <f t="shared" si="229"/>
        <v>3</v>
      </c>
      <c r="RL84">
        <f t="shared" si="229"/>
        <v>3</v>
      </c>
      <c r="RM84">
        <f t="shared" si="229"/>
        <v>3</v>
      </c>
      <c r="RN84">
        <f t="shared" si="229"/>
        <v>3</v>
      </c>
      <c r="RO84">
        <f t="shared" si="229"/>
        <v>3</v>
      </c>
      <c r="RP84">
        <f t="shared" si="229"/>
        <v>3</v>
      </c>
      <c r="RQ84">
        <f t="shared" si="229"/>
        <v>3</v>
      </c>
      <c r="RR84">
        <f t="shared" si="229"/>
        <v>3</v>
      </c>
      <c r="RS84">
        <f t="shared" si="229"/>
        <v>3</v>
      </c>
      <c r="RT84">
        <f t="shared" si="229"/>
        <v>3</v>
      </c>
      <c r="RU84">
        <f t="shared" si="229"/>
        <v>3</v>
      </c>
      <c r="RV84">
        <f t="shared" si="229"/>
        <v>3</v>
      </c>
      <c r="RW84">
        <f t="shared" si="229"/>
        <v>3</v>
      </c>
      <c r="RX84">
        <f t="shared" si="229"/>
        <v>3</v>
      </c>
      <c r="RY84">
        <f t="shared" si="229"/>
        <v>3</v>
      </c>
      <c r="RZ84">
        <f t="shared" si="229"/>
        <v>3</v>
      </c>
      <c r="SA84">
        <f t="shared" si="229"/>
        <v>3</v>
      </c>
      <c r="SB84">
        <f t="shared" si="229"/>
        <v>3</v>
      </c>
      <c r="SC84">
        <f t="shared" si="229"/>
        <v>3</v>
      </c>
      <c r="SD84">
        <f t="shared" si="229"/>
        <v>3</v>
      </c>
      <c r="SE84">
        <f t="shared" si="229"/>
        <v>3</v>
      </c>
      <c r="SF84">
        <f t="shared" si="229"/>
        <v>3</v>
      </c>
      <c r="SG84">
        <f t="shared" si="229"/>
        <v>3</v>
      </c>
      <c r="SH84">
        <f t="shared" si="229"/>
        <v>3</v>
      </c>
      <c r="SI84">
        <f t="shared" si="229"/>
        <v>3</v>
      </c>
      <c r="SJ84">
        <f t="shared" si="229"/>
        <v>3</v>
      </c>
      <c r="SK84">
        <f t="shared" si="229"/>
        <v>3</v>
      </c>
      <c r="SL84">
        <f t="shared" si="229"/>
        <v>3</v>
      </c>
      <c r="SM84">
        <f t="shared" si="229"/>
        <v>3</v>
      </c>
      <c r="SN84">
        <f t="shared" si="229"/>
        <v>3</v>
      </c>
      <c r="SO84">
        <f t="shared" si="229"/>
        <v>3</v>
      </c>
      <c r="SP84">
        <f t="shared" si="229"/>
        <v>3</v>
      </c>
      <c r="SQ84">
        <f t="shared" ref="SQ84:VB84" si="230">COUNTBLANK(SQ2:SQ5)</f>
        <v>3</v>
      </c>
      <c r="SR84">
        <f t="shared" si="230"/>
        <v>3</v>
      </c>
      <c r="SS84">
        <f t="shared" si="230"/>
        <v>3</v>
      </c>
      <c r="ST84">
        <f t="shared" si="230"/>
        <v>3</v>
      </c>
      <c r="SU84">
        <f t="shared" si="230"/>
        <v>3</v>
      </c>
      <c r="SV84">
        <f t="shared" si="230"/>
        <v>3</v>
      </c>
      <c r="SW84">
        <f t="shared" si="230"/>
        <v>3</v>
      </c>
      <c r="SX84">
        <f t="shared" si="230"/>
        <v>3</v>
      </c>
      <c r="SY84">
        <f t="shared" si="230"/>
        <v>3</v>
      </c>
      <c r="SZ84">
        <f t="shared" si="230"/>
        <v>3</v>
      </c>
      <c r="TA84">
        <f t="shared" si="230"/>
        <v>3</v>
      </c>
      <c r="TB84">
        <f t="shared" si="230"/>
        <v>3</v>
      </c>
      <c r="TC84">
        <f t="shared" si="230"/>
        <v>3</v>
      </c>
      <c r="TD84">
        <f t="shared" si="230"/>
        <v>3</v>
      </c>
      <c r="TE84">
        <f t="shared" si="230"/>
        <v>3</v>
      </c>
      <c r="TF84">
        <f t="shared" si="230"/>
        <v>3</v>
      </c>
      <c r="TG84">
        <f t="shared" si="230"/>
        <v>3</v>
      </c>
      <c r="TH84">
        <f t="shared" si="230"/>
        <v>3</v>
      </c>
      <c r="TI84">
        <f t="shared" si="230"/>
        <v>3</v>
      </c>
      <c r="TJ84">
        <f t="shared" si="230"/>
        <v>3</v>
      </c>
      <c r="TK84">
        <f t="shared" si="230"/>
        <v>3</v>
      </c>
      <c r="TL84">
        <f t="shared" si="230"/>
        <v>3</v>
      </c>
      <c r="TM84">
        <f t="shared" si="230"/>
        <v>3</v>
      </c>
      <c r="TN84">
        <f t="shared" si="230"/>
        <v>3</v>
      </c>
      <c r="TO84">
        <f t="shared" si="230"/>
        <v>3</v>
      </c>
      <c r="TP84">
        <f t="shared" si="230"/>
        <v>3</v>
      </c>
      <c r="TQ84">
        <f t="shared" si="230"/>
        <v>3</v>
      </c>
      <c r="TR84">
        <f t="shared" si="230"/>
        <v>3</v>
      </c>
      <c r="TS84">
        <f t="shared" si="230"/>
        <v>3</v>
      </c>
      <c r="TT84">
        <f t="shared" si="230"/>
        <v>3</v>
      </c>
      <c r="TU84">
        <f t="shared" si="230"/>
        <v>3</v>
      </c>
      <c r="TV84">
        <f t="shared" si="230"/>
        <v>3</v>
      </c>
      <c r="TW84">
        <f t="shared" si="230"/>
        <v>3</v>
      </c>
      <c r="TX84">
        <f t="shared" si="230"/>
        <v>3</v>
      </c>
      <c r="TY84">
        <f t="shared" si="230"/>
        <v>3</v>
      </c>
      <c r="TZ84">
        <f t="shared" si="230"/>
        <v>3</v>
      </c>
      <c r="UA84">
        <f t="shared" si="230"/>
        <v>3</v>
      </c>
      <c r="UB84">
        <f t="shared" si="230"/>
        <v>3</v>
      </c>
      <c r="UC84">
        <f t="shared" si="230"/>
        <v>3</v>
      </c>
      <c r="UD84">
        <f t="shared" si="230"/>
        <v>3</v>
      </c>
      <c r="UE84">
        <f t="shared" si="230"/>
        <v>3</v>
      </c>
      <c r="UF84">
        <f t="shared" si="230"/>
        <v>3</v>
      </c>
      <c r="UG84">
        <f t="shared" si="230"/>
        <v>3</v>
      </c>
      <c r="UH84">
        <f t="shared" si="230"/>
        <v>3</v>
      </c>
      <c r="UI84">
        <f t="shared" si="230"/>
        <v>3</v>
      </c>
      <c r="UJ84">
        <f t="shared" si="230"/>
        <v>3</v>
      </c>
      <c r="UK84">
        <f t="shared" si="230"/>
        <v>3</v>
      </c>
      <c r="UL84">
        <f t="shared" si="230"/>
        <v>3</v>
      </c>
      <c r="UM84">
        <f t="shared" si="230"/>
        <v>3</v>
      </c>
      <c r="UN84">
        <f t="shared" si="230"/>
        <v>3</v>
      </c>
      <c r="UO84">
        <f t="shared" si="230"/>
        <v>3</v>
      </c>
      <c r="UP84">
        <f t="shared" si="230"/>
        <v>3</v>
      </c>
      <c r="UQ84">
        <f t="shared" si="230"/>
        <v>3</v>
      </c>
      <c r="UR84">
        <f t="shared" si="230"/>
        <v>3</v>
      </c>
      <c r="US84">
        <f t="shared" si="230"/>
        <v>3</v>
      </c>
      <c r="UT84">
        <f t="shared" si="230"/>
        <v>3</v>
      </c>
      <c r="UU84">
        <f t="shared" si="230"/>
        <v>3</v>
      </c>
      <c r="UV84">
        <f t="shared" si="230"/>
        <v>3</v>
      </c>
      <c r="UW84">
        <f t="shared" si="230"/>
        <v>3</v>
      </c>
      <c r="UX84">
        <f t="shared" si="230"/>
        <v>3</v>
      </c>
      <c r="UY84">
        <f t="shared" si="230"/>
        <v>3</v>
      </c>
      <c r="UZ84">
        <f t="shared" si="230"/>
        <v>3</v>
      </c>
      <c r="VA84">
        <f t="shared" si="230"/>
        <v>3</v>
      </c>
      <c r="VB84">
        <f t="shared" si="230"/>
        <v>3</v>
      </c>
      <c r="VC84">
        <f t="shared" ref="VC84:XN84" si="231">COUNTBLANK(VC2:VC5)</f>
        <v>3</v>
      </c>
      <c r="VD84">
        <f t="shared" si="231"/>
        <v>3</v>
      </c>
      <c r="VE84">
        <f t="shared" si="231"/>
        <v>3</v>
      </c>
      <c r="VF84">
        <f t="shared" si="231"/>
        <v>3</v>
      </c>
      <c r="VG84">
        <f t="shared" si="231"/>
        <v>3</v>
      </c>
      <c r="VH84">
        <f t="shared" si="231"/>
        <v>3</v>
      </c>
      <c r="VI84">
        <f t="shared" si="231"/>
        <v>3</v>
      </c>
      <c r="VJ84">
        <f t="shared" si="231"/>
        <v>3</v>
      </c>
      <c r="VK84">
        <f t="shared" si="231"/>
        <v>3</v>
      </c>
      <c r="VL84">
        <f t="shared" si="231"/>
        <v>3</v>
      </c>
      <c r="VM84">
        <f t="shared" si="231"/>
        <v>3</v>
      </c>
      <c r="VN84">
        <f t="shared" si="231"/>
        <v>3</v>
      </c>
      <c r="VO84">
        <f t="shared" si="231"/>
        <v>3</v>
      </c>
      <c r="VP84">
        <f t="shared" si="231"/>
        <v>3</v>
      </c>
      <c r="VQ84">
        <f t="shared" si="231"/>
        <v>3</v>
      </c>
      <c r="VR84">
        <f t="shared" si="231"/>
        <v>3</v>
      </c>
      <c r="VS84">
        <f t="shared" si="231"/>
        <v>3</v>
      </c>
      <c r="VT84">
        <f t="shared" si="231"/>
        <v>3</v>
      </c>
      <c r="VU84">
        <f t="shared" si="231"/>
        <v>3</v>
      </c>
      <c r="VV84">
        <f t="shared" si="231"/>
        <v>3</v>
      </c>
      <c r="VW84">
        <f t="shared" si="231"/>
        <v>3</v>
      </c>
      <c r="VX84">
        <f t="shared" si="231"/>
        <v>3</v>
      </c>
      <c r="VY84">
        <f t="shared" si="231"/>
        <v>3</v>
      </c>
      <c r="VZ84">
        <f t="shared" si="231"/>
        <v>3</v>
      </c>
      <c r="WA84">
        <f t="shared" si="231"/>
        <v>3</v>
      </c>
      <c r="WB84">
        <f t="shared" si="231"/>
        <v>3</v>
      </c>
      <c r="WC84">
        <f t="shared" si="231"/>
        <v>3</v>
      </c>
      <c r="WD84">
        <f t="shared" si="231"/>
        <v>3</v>
      </c>
      <c r="WE84">
        <f t="shared" si="231"/>
        <v>3</v>
      </c>
      <c r="WF84">
        <f t="shared" si="231"/>
        <v>3</v>
      </c>
      <c r="WG84">
        <f t="shared" si="231"/>
        <v>3</v>
      </c>
      <c r="WH84">
        <f t="shared" si="231"/>
        <v>3</v>
      </c>
      <c r="WI84">
        <f t="shared" si="231"/>
        <v>3</v>
      </c>
      <c r="WJ84">
        <f t="shared" si="231"/>
        <v>3</v>
      </c>
      <c r="WK84">
        <f t="shared" si="231"/>
        <v>3</v>
      </c>
      <c r="WL84">
        <f t="shared" si="231"/>
        <v>3</v>
      </c>
      <c r="WM84">
        <f t="shared" si="231"/>
        <v>3</v>
      </c>
      <c r="WN84">
        <f t="shared" si="231"/>
        <v>3</v>
      </c>
      <c r="WO84">
        <f t="shared" si="231"/>
        <v>3</v>
      </c>
      <c r="WP84">
        <f t="shared" si="231"/>
        <v>3</v>
      </c>
      <c r="WQ84">
        <f t="shared" si="231"/>
        <v>3</v>
      </c>
      <c r="WR84">
        <f t="shared" si="231"/>
        <v>3</v>
      </c>
      <c r="WS84">
        <f t="shared" si="231"/>
        <v>3</v>
      </c>
      <c r="WT84">
        <f t="shared" si="231"/>
        <v>3</v>
      </c>
      <c r="WU84">
        <f t="shared" si="231"/>
        <v>3</v>
      </c>
      <c r="WV84">
        <f t="shared" si="231"/>
        <v>3</v>
      </c>
      <c r="WW84">
        <f t="shared" si="231"/>
        <v>3</v>
      </c>
      <c r="WX84">
        <f t="shared" si="231"/>
        <v>3</v>
      </c>
      <c r="WY84">
        <f t="shared" si="231"/>
        <v>3</v>
      </c>
      <c r="WZ84">
        <f t="shared" si="231"/>
        <v>3</v>
      </c>
      <c r="XA84">
        <f t="shared" si="231"/>
        <v>3</v>
      </c>
      <c r="XB84">
        <f t="shared" si="231"/>
        <v>3</v>
      </c>
      <c r="XC84">
        <f t="shared" si="231"/>
        <v>3</v>
      </c>
      <c r="XD84">
        <f t="shared" si="231"/>
        <v>3</v>
      </c>
      <c r="XE84">
        <f t="shared" si="231"/>
        <v>3</v>
      </c>
      <c r="XF84">
        <f t="shared" si="231"/>
        <v>3</v>
      </c>
      <c r="XG84">
        <f t="shared" si="231"/>
        <v>3</v>
      </c>
      <c r="XH84">
        <f t="shared" si="231"/>
        <v>3</v>
      </c>
      <c r="XI84">
        <f t="shared" si="231"/>
        <v>3</v>
      </c>
      <c r="XJ84">
        <f t="shared" si="231"/>
        <v>3</v>
      </c>
      <c r="XK84">
        <f t="shared" si="231"/>
        <v>3</v>
      </c>
      <c r="XL84">
        <f t="shared" si="231"/>
        <v>3</v>
      </c>
      <c r="XM84">
        <f t="shared" si="231"/>
        <v>3</v>
      </c>
      <c r="XN84">
        <f t="shared" si="231"/>
        <v>3</v>
      </c>
      <c r="XO84">
        <f t="shared" ref="XO84:ZZ84" si="232">COUNTBLANK(XO2:XO5)</f>
        <v>3</v>
      </c>
      <c r="XP84">
        <f t="shared" si="232"/>
        <v>3</v>
      </c>
      <c r="XQ84">
        <f t="shared" si="232"/>
        <v>3</v>
      </c>
      <c r="XR84">
        <f t="shared" si="232"/>
        <v>3</v>
      </c>
      <c r="XS84">
        <f t="shared" si="232"/>
        <v>3</v>
      </c>
      <c r="XT84">
        <f t="shared" si="232"/>
        <v>3</v>
      </c>
      <c r="XU84">
        <f t="shared" si="232"/>
        <v>3</v>
      </c>
      <c r="XV84">
        <f t="shared" si="232"/>
        <v>3</v>
      </c>
      <c r="XW84">
        <f t="shared" si="232"/>
        <v>3</v>
      </c>
      <c r="XX84">
        <f t="shared" si="232"/>
        <v>3</v>
      </c>
      <c r="XY84">
        <f t="shared" si="232"/>
        <v>3</v>
      </c>
      <c r="XZ84">
        <f t="shared" si="232"/>
        <v>3</v>
      </c>
      <c r="YA84">
        <f t="shared" si="232"/>
        <v>3</v>
      </c>
      <c r="YB84">
        <f t="shared" si="232"/>
        <v>3</v>
      </c>
      <c r="YC84">
        <f t="shared" si="232"/>
        <v>3</v>
      </c>
      <c r="YD84">
        <f t="shared" si="232"/>
        <v>3</v>
      </c>
      <c r="YE84">
        <f t="shared" si="232"/>
        <v>3</v>
      </c>
      <c r="YF84">
        <f t="shared" si="232"/>
        <v>3</v>
      </c>
      <c r="YG84">
        <f t="shared" si="232"/>
        <v>3</v>
      </c>
      <c r="YH84">
        <f t="shared" si="232"/>
        <v>3</v>
      </c>
      <c r="YI84">
        <f t="shared" si="232"/>
        <v>3</v>
      </c>
      <c r="YJ84">
        <f t="shared" si="232"/>
        <v>2</v>
      </c>
      <c r="YK84">
        <f t="shared" si="232"/>
        <v>2</v>
      </c>
      <c r="YL84">
        <f t="shared" si="232"/>
        <v>2</v>
      </c>
      <c r="YM84">
        <f t="shared" si="232"/>
        <v>2</v>
      </c>
      <c r="YN84">
        <f t="shared" si="232"/>
        <v>2</v>
      </c>
      <c r="YO84">
        <f t="shared" si="232"/>
        <v>2</v>
      </c>
      <c r="YP84">
        <f t="shared" si="232"/>
        <v>2</v>
      </c>
      <c r="YQ84">
        <f t="shared" si="232"/>
        <v>2</v>
      </c>
      <c r="YR84">
        <f t="shared" si="232"/>
        <v>2</v>
      </c>
      <c r="YS84">
        <f t="shared" si="232"/>
        <v>2</v>
      </c>
      <c r="YT84">
        <f t="shared" si="232"/>
        <v>2</v>
      </c>
      <c r="YU84">
        <f t="shared" si="232"/>
        <v>2</v>
      </c>
      <c r="YV84">
        <f t="shared" si="232"/>
        <v>2</v>
      </c>
      <c r="YW84">
        <f t="shared" si="232"/>
        <v>2</v>
      </c>
      <c r="YX84">
        <f t="shared" si="232"/>
        <v>2</v>
      </c>
      <c r="YY84">
        <f t="shared" si="232"/>
        <v>2</v>
      </c>
      <c r="YZ84">
        <f t="shared" si="232"/>
        <v>2</v>
      </c>
      <c r="ZA84">
        <f t="shared" si="232"/>
        <v>2</v>
      </c>
      <c r="ZB84">
        <f t="shared" si="232"/>
        <v>2</v>
      </c>
      <c r="ZC84">
        <f t="shared" si="232"/>
        <v>2</v>
      </c>
      <c r="ZD84">
        <f t="shared" si="232"/>
        <v>2</v>
      </c>
      <c r="ZE84">
        <f t="shared" si="232"/>
        <v>2</v>
      </c>
      <c r="ZF84">
        <f t="shared" si="232"/>
        <v>2</v>
      </c>
      <c r="ZG84">
        <f t="shared" si="232"/>
        <v>2</v>
      </c>
      <c r="ZH84">
        <f t="shared" si="232"/>
        <v>2</v>
      </c>
      <c r="ZI84">
        <f t="shared" si="232"/>
        <v>2</v>
      </c>
      <c r="ZJ84">
        <f t="shared" si="232"/>
        <v>2</v>
      </c>
      <c r="ZK84">
        <f t="shared" si="232"/>
        <v>2</v>
      </c>
      <c r="ZL84">
        <f t="shared" si="232"/>
        <v>2</v>
      </c>
      <c r="ZM84">
        <f t="shared" si="232"/>
        <v>2</v>
      </c>
      <c r="ZN84">
        <f t="shared" si="232"/>
        <v>2</v>
      </c>
      <c r="ZO84">
        <f t="shared" si="232"/>
        <v>2</v>
      </c>
      <c r="ZP84">
        <f t="shared" si="232"/>
        <v>2</v>
      </c>
      <c r="ZQ84">
        <f t="shared" si="232"/>
        <v>2</v>
      </c>
      <c r="ZR84">
        <f t="shared" si="232"/>
        <v>3</v>
      </c>
      <c r="ZS84">
        <f t="shared" si="232"/>
        <v>3</v>
      </c>
      <c r="ZT84">
        <f t="shared" si="232"/>
        <v>3</v>
      </c>
      <c r="ZU84">
        <f t="shared" si="232"/>
        <v>3</v>
      </c>
      <c r="ZV84">
        <f t="shared" si="232"/>
        <v>3</v>
      </c>
      <c r="ZW84">
        <f t="shared" si="232"/>
        <v>3</v>
      </c>
      <c r="ZX84">
        <f t="shared" si="232"/>
        <v>3</v>
      </c>
      <c r="ZY84">
        <f t="shared" si="232"/>
        <v>3</v>
      </c>
      <c r="ZZ84">
        <f t="shared" si="232"/>
        <v>3</v>
      </c>
      <c r="AAA84">
        <f t="shared" ref="AAA84:ACL84" si="233">COUNTBLANK(AAA2:AAA5)</f>
        <v>3</v>
      </c>
      <c r="AAB84">
        <f t="shared" si="233"/>
        <v>3</v>
      </c>
      <c r="AAC84">
        <f t="shared" si="233"/>
        <v>3</v>
      </c>
      <c r="AAD84">
        <f t="shared" si="233"/>
        <v>3</v>
      </c>
      <c r="AAE84">
        <f t="shared" si="233"/>
        <v>3</v>
      </c>
      <c r="AAF84">
        <f t="shared" si="233"/>
        <v>3</v>
      </c>
      <c r="AAG84">
        <f t="shared" si="233"/>
        <v>3</v>
      </c>
      <c r="AAH84">
        <f t="shared" si="233"/>
        <v>3</v>
      </c>
      <c r="AAI84">
        <f t="shared" si="233"/>
        <v>3</v>
      </c>
      <c r="AAJ84">
        <f t="shared" si="233"/>
        <v>3</v>
      </c>
      <c r="AAK84">
        <f t="shared" si="233"/>
        <v>3</v>
      </c>
      <c r="AAL84">
        <f t="shared" si="233"/>
        <v>3</v>
      </c>
      <c r="AAM84">
        <f t="shared" si="233"/>
        <v>3</v>
      </c>
      <c r="AAN84">
        <f t="shared" si="233"/>
        <v>3</v>
      </c>
      <c r="AAO84">
        <f t="shared" si="233"/>
        <v>3</v>
      </c>
      <c r="AAP84">
        <f t="shared" si="233"/>
        <v>3</v>
      </c>
      <c r="AAQ84">
        <f t="shared" si="233"/>
        <v>3</v>
      </c>
      <c r="AAR84">
        <f t="shared" si="233"/>
        <v>3</v>
      </c>
      <c r="AAS84">
        <f t="shared" si="233"/>
        <v>3</v>
      </c>
      <c r="AAT84">
        <f t="shared" si="233"/>
        <v>3</v>
      </c>
      <c r="AAU84">
        <f t="shared" si="233"/>
        <v>3</v>
      </c>
      <c r="AAV84">
        <f t="shared" si="233"/>
        <v>3</v>
      </c>
      <c r="AAW84">
        <f t="shared" si="233"/>
        <v>3</v>
      </c>
      <c r="AAX84">
        <f t="shared" si="233"/>
        <v>3</v>
      </c>
      <c r="AAY84">
        <f t="shared" si="233"/>
        <v>3</v>
      </c>
      <c r="AAZ84">
        <f t="shared" si="233"/>
        <v>3</v>
      </c>
      <c r="ABA84">
        <f t="shared" si="233"/>
        <v>3</v>
      </c>
      <c r="ABB84">
        <f t="shared" si="233"/>
        <v>3</v>
      </c>
      <c r="ABC84">
        <f t="shared" si="233"/>
        <v>3</v>
      </c>
      <c r="ABD84">
        <f t="shared" si="233"/>
        <v>3</v>
      </c>
      <c r="ABE84">
        <f t="shared" si="233"/>
        <v>3</v>
      </c>
      <c r="ABF84">
        <f t="shared" si="233"/>
        <v>3</v>
      </c>
      <c r="ABG84">
        <f t="shared" si="233"/>
        <v>3</v>
      </c>
      <c r="ABH84">
        <f t="shared" si="233"/>
        <v>3</v>
      </c>
      <c r="ABI84">
        <f t="shared" si="233"/>
        <v>3</v>
      </c>
      <c r="ABJ84">
        <f t="shared" si="233"/>
        <v>3</v>
      </c>
      <c r="ABK84">
        <f t="shared" si="233"/>
        <v>3</v>
      </c>
      <c r="ABL84">
        <f t="shared" si="233"/>
        <v>3</v>
      </c>
      <c r="ABM84">
        <f t="shared" si="233"/>
        <v>3</v>
      </c>
      <c r="ABN84">
        <f t="shared" si="233"/>
        <v>3</v>
      </c>
      <c r="ABO84">
        <f t="shared" si="233"/>
        <v>3</v>
      </c>
      <c r="ABP84">
        <f t="shared" si="233"/>
        <v>3</v>
      </c>
      <c r="ABQ84">
        <f t="shared" si="233"/>
        <v>3</v>
      </c>
      <c r="ABR84">
        <f t="shared" si="233"/>
        <v>3</v>
      </c>
      <c r="ABS84">
        <f t="shared" si="233"/>
        <v>3</v>
      </c>
      <c r="ABT84">
        <f t="shared" si="233"/>
        <v>3</v>
      </c>
      <c r="ABU84">
        <f t="shared" si="233"/>
        <v>3</v>
      </c>
      <c r="ABV84">
        <f t="shared" si="233"/>
        <v>3</v>
      </c>
      <c r="ABW84">
        <f t="shared" si="233"/>
        <v>3</v>
      </c>
      <c r="ABX84">
        <f t="shared" si="233"/>
        <v>3</v>
      </c>
      <c r="ABY84">
        <f t="shared" si="233"/>
        <v>3</v>
      </c>
      <c r="ABZ84">
        <f t="shared" si="233"/>
        <v>3</v>
      </c>
      <c r="ACA84">
        <f t="shared" si="233"/>
        <v>3</v>
      </c>
      <c r="ACB84">
        <f t="shared" si="233"/>
        <v>3</v>
      </c>
      <c r="ACC84">
        <f t="shared" si="233"/>
        <v>3</v>
      </c>
      <c r="ACD84">
        <f t="shared" si="233"/>
        <v>3</v>
      </c>
      <c r="ACE84">
        <f t="shared" si="233"/>
        <v>3</v>
      </c>
      <c r="ACF84">
        <f t="shared" si="233"/>
        <v>3</v>
      </c>
      <c r="ACG84">
        <f t="shared" si="233"/>
        <v>3</v>
      </c>
      <c r="ACH84">
        <f t="shared" si="233"/>
        <v>3</v>
      </c>
      <c r="ACI84">
        <f t="shared" si="233"/>
        <v>3</v>
      </c>
      <c r="ACJ84">
        <f t="shared" si="233"/>
        <v>3</v>
      </c>
      <c r="ACK84">
        <f t="shared" si="233"/>
        <v>3</v>
      </c>
      <c r="ACL84">
        <f t="shared" si="233"/>
        <v>3</v>
      </c>
      <c r="ACM84">
        <f t="shared" ref="ACM84:AEX84" si="234">COUNTBLANK(ACM2:ACM5)</f>
        <v>3</v>
      </c>
      <c r="ACN84">
        <f t="shared" si="234"/>
        <v>3</v>
      </c>
      <c r="ACO84">
        <f t="shared" si="234"/>
        <v>3</v>
      </c>
      <c r="ACP84">
        <f t="shared" si="234"/>
        <v>3</v>
      </c>
      <c r="ACQ84">
        <f t="shared" si="234"/>
        <v>3</v>
      </c>
      <c r="ACR84">
        <f t="shared" si="234"/>
        <v>3</v>
      </c>
      <c r="ACS84">
        <f t="shared" si="234"/>
        <v>3</v>
      </c>
      <c r="ACT84">
        <f t="shared" si="234"/>
        <v>3</v>
      </c>
      <c r="ACU84">
        <f t="shared" si="234"/>
        <v>3</v>
      </c>
      <c r="ACV84">
        <f t="shared" si="234"/>
        <v>3</v>
      </c>
      <c r="ACW84">
        <f t="shared" si="234"/>
        <v>3</v>
      </c>
      <c r="ACX84">
        <f t="shared" si="234"/>
        <v>3</v>
      </c>
      <c r="ACY84">
        <f t="shared" si="234"/>
        <v>3</v>
      </c>
      <c r="ACZ84">
        <f t="shared" si="234"/>
        <v>3</v>
      </c>
      <c r="ADA84">
        <f t="shared" si="234"/>
        <v>3</v>
      </c>
      <c r="ADB84">
        <f>COUNTBLANK(ADB2:ADB5)</f>
        <v>3</v>
      </c>
      <c r="ADC84">
        <f t="shared" si="234"/>
        <v>3</v>
      </c>
      <c r="ADD84">
        <f t="shared" si="234"/>
        <v>3</v>
      </c>
      <c r="ADE84">
        <f t="shared" si="234"/>
        <v>3</v>
      </c>
      <c r="ADF84">
        <f t="shared" si="234"/>
        <v>3</v>
      </c>
      <c r="ADG84">
        <f t="shared" si="234"/>
        <v>3</v>
      </c>
      <c r="ADH84">
        <f t="shared" si="234"/>
        <v>3</v>
      </c>
      <c r="ADI84">
        <f t="shared" si="234"/>
        <v>3</v>
      </c>
      <c r="ADJ84">
        <f t="shared" si="234"/>
        <v>3</v>
      </c>
      <c r="ADK84">
        <f t="shared" si="234"/>
        <v>3</v>
      </c>
      <c r="ADL84">
        <f t="shared" si="234"/>
        <v>3</v>
      </c>
      <c r="ADM84">
        <f t="shared" si="234"/>
        <v>3</v>
      </c>
      <c r="ADN84">
        <f t="shared" si="234"/>
        <v>3</v>
      </c>
      <c r="ADO84">
        <f t="shared" si="234"/>
        <v>3</v>
      </c>
      <c r="ADP84">
        <f t="shared" si="234"/>
        <v>3</v>
      </c>
      <c r="ADQ84">
        <f t="shared" si="234"/>
        <v>3</v>
      </c>
      <c r="ADR84">
        <f t="shared" si="234"/>
        <v>3</v>
      </c>
      <c r="ADS84">
        <f t="shared" si="234"/>
        <v>3</v>
      </c>
      <c r="ADT84">
        <f t="shared" si="234"/>
        <v>3</v>
      </c>
      <c r="ADU84">
        <f t="shared" si="234"/>
        <v>3</v>
      </c>
      <c r="ADV84">
        <f t="shared" si="234"/>
        <v>3</v>
      </c>
      <c r="ADW84">
        <f t="shared" si="234"/>
        <v>3</v>
      </c>
      <c r="ADX84">
        <f t="shared" si="234"/>
        <v>3</v>
      </c>
      <c r="ADY84">
        <f t="shared" si="234"/>
        <v>3</v>
      </c>
      <c r="ADZ84">
        <f t="shared" si="234"/>
        <v>3</v>
      </c>
      <c r="AEA84">
        <f t="shared" si="234"/>
        <v>3</v>
      </c>
      <c r="AEB84">
        <f t="shared" si="234"/>
        <v>3</v>
      </c>
      <c r="AEC84">
        <f t="shared" si="234"/>
        <v>3</v>
      </c>
      <c r="AED84">
        <f t="shared" si="234"/>
        <v>3</v>
      </c>
      <c r="AEE84">
        <f t="shared" si="234"/>
        <v>3</v>
      </c>
      <c r="AEF84">
        <f t="shared" si="234"/>
        <v>3</v>
      </c>
      <c r="AEG84">
        <f t="shared" si="234"/>
        <v>3</v>
      </c>
      <c r="AEH84">
        <f t="shared" si="234"/>
        <v>3</v>
      </c>
      <c r="AEI84">
        <f t="shared" si="234"/>
        <v>3</v>
      </c>
      <c r="AEJ84">
        <f t="shared" si="234"/>
        <v>3</v>
      </c>
      <c r="AEK84">
        <f t="shared" si="234"/>
        <v>3</v>
      </c>
      <c r="AEL84">
        <f t="shared" si="234"/>
        <v>3</v>
      </c>
      <c r="AEM84">
        <f t="shared" si="234"/>
        <v>3</v>
      </c>
      <c r="AEN84">
        <f t="shared" si="234"/>
        <v>3</v>
      </c>
      <c r="AEO84">
        <f t="shared" si="234"/>
        <v>3</v>
      </c>
      <c r="AEP84">
        <f t="shared" si="234"/>
        <v>3</v>
      </c>
      <c r="AEQ84">
        <f t="shared" si="234"/>
        <v>3</v>
      </c>
      <c r="AER84">
        <f t="shared" si="234"/>
        <v>3</v>
      </c>
      <c r="AES84">
        <f t="shared" si="234"/>
        <v>3</v>
      </c>
      <c r="AET84">
        <f t="shared" si="234"/>
        <v>3</v>
      </c>
      <c r="AEU84">
        <f t="shared" si="234"/>
        <v>3</v>
      </c>
      <c r="AEV84">
        <f t="shared" si="234"/>
        <v>3</v>
      </c>
      <c r="AEW84">
        <f t="shared" si="234"/>
        <v>3</v>
      </c>
      <c r="AEX84">
        <f t="shared" si="234"/>
        <v>3</v>
      </c>
      <c r="AEY84">
        <f t="shared" ref="AEY84:AHJ84" si="235">COUNTBLANK(AEY2:AEY5)</f>
        <v>3</v>
      </c>
      <c r="AEZ84">
        <f t="shared" si="235"/>
        <v>3</v>
      </c>
      <c r="AFA84">
        <f t="shared" si="235"/>
        <v>3</v>
      </c>
      <c r="AFB84">
        <f t="shared" si="235"/>
        <v>3</v>
      </c>
      <c r="AFC84">
        <f t="shared" si="235"/>
        <v>3</v>
      </c>
      <c r="AFD84">
        <f t="shared" si="235"/>
        <v>3</v>
      </c>
      <c r="AFE84">
        <f t="shared" si="235"/>
        <v>3</v>
      </c>
      <c r="AFF84">
        <f t="shared" si="235"/>
        <v>3</v>
      </c>
      <c r="AFG84">
        <f t="shared" si="235"/>
        <v>3</v>
      </c>
      <c r="AFH84">
        <f t="shared" si="235"/>
        <v>3</v>
      </c>
      <c r="AFI84">
        <f t="shared" si="235"/>
        <v>3</v>
      </c>
      <c r="AFJ84">
        <f t="shared" si="235"/>
        <v>3</v>
      </c>
      <c r="AFK84">
        <f t="shared" si="235"/>
        <v>3</v>
      </c>
      <c r="AFL84">
        <f t="shared" si="235"/>
        <v>3</v>
      </c>
      <c r="AFM84">
        <f t="shared" si="235"/>
        <v>3</v>
      </c>
      <c r="AFN84">
        <f t="shared" si="235"/>
        <v>3</v>
      </c>
      <c r="AFO84">
        <f t="shared" si="235"/>
        <v>3</v>
      </c>
      <c r="AFP84">
        <f t="shared" si="235"/>
        <v>3</v>
      </c>
      <c r="AFQ84">
        <f t="shared" si="235"/>
        <v>3</v>
      </c>
      <c r="AFR84">
        <f t="shared" si="235"/>
        <v>3</v>
      </c>
      <c r="AFS84">
        <f t="shared" si="235"/>
        <v>3</v>
      </c>
      <c r="AFT84">
        <f t="shared" si="235"/>
        <v>3</v>
      </c>
      <c r="AFU84">
        <f t="shared" si="235"/>
        <v>3</v>
      </c>
      <c r="AFV84">
        <f t="shared" si="235"/>
        <v>3</v>
      </c>
      <c r="AFW84">
        <f t="shared" si="235"/>
        <v>3</v>
      </c>
      <c r="AFX84">
        <f t="shared" si="235"/>
        <v>3</v>
      </c>
      <c r="AFY84">
        <f t="shared" si="235"/>
        <v>3</v>
      </c>
      <c r="AFZ84">
        <f t="shared" si="235"/>
        <v>3</v>
      </c>
      <c r="AGA84">
        <f t="shared" si="235"/>
        <v>3</v>
      </c>
      <c r="AGB84">
        <f t="shared" si="235"/>
        <v>3</v>
      </c>
      <c r="AGC84">
        <f t="shared" si="235"/>
        <v>3</v>
      </c>
      <c r="AGD84">
        <f t="shared" si="235"/>
        <v>3</v>
      </c>
      <c r="AGE84">
        <f t="shared" si="235"/>
        <v>3</v>
      </c>
      <c r="AGF84">
        <f t="shared" si="235"/>
        <v>3</v>
      </c>
      <c r="AGG84">
        <f t="shared" si="235"/>
        <v>3</v>
      </c>
      <c r="AGH84">
        <f t="shared" si="235"/>
        <v>3</v>
      </c>
      <c r="AGI84">
        <f t="shared" si="235"/>
        <v>3</v>
      </c>
      <c r="AGJ84">
        <f t="shared" si="235"/>
        <v>3</v>
      </c>
      <c r="AGK84">
        <f t="shared" si="235"/>
        <v>3</v>
      </c>
      <c r="AGL84">
        <f t="shared" si="235"/>
        <v>3</v>
      </c>
      <c r="AGM84">
        <f t="shared" si="235"/>
        <v>3</v>
      </c>
      <c r="AGN84">
        <f t="shared" si="235"/>
        <v>3</v>
      </c>
      <c r="AGO84">
        <f t="shared" si="235"/>
        <v>3</v>
      </c>
      <c r="AGP84">
        <f t="shared" si="235"/>
        <v>3</v>
      </c>
      <c r="AGQ84">
        <f t="shared" si="235"/>
        <v>3</v>
      </c>
      <c r="AGR84">
        <f t="shared" si="235"/>
        <v>3</v>
      </c>
      <c r="AGS84">
        <f t="shared" si="235"/>
        <v>3</v>
      </c>
      <c r="AGT84">
        <f t="shared" si="235"/>
        <v>3</v>
      </c>
      <c r="AGU84">
        <f t="shared" si="235"/>
        <v>3</v>
      </c>
      <c r="AGV84">
        <f t="shared" si="235"/>
        <v>3</v>
      </c>
      <c r="AGW84">
        <f t="shared" si="235"/>
        <v>3</v>
      </c>
      <c r="AGX84">
        <f t="shared" si="235"/>
        <v>3</v>
      </c>
      <c r="AGY84">
        <f t="shared" si="235"/>
        <v>3</v>
      </c>
      <c r="AGZ84">
        <f t="shared" si="235"/>
        <v>3</v>
      </c>
      <c r="AHA84">
        <f t="shared" si="235"/>
        <v>3</v>
      </c>
      <c r="AHB84">
        <f t="shared" si="235"/>
        <v>3</v>
      </c>
      <c r="AHC84">
        <f t="shared" si="235"/>
        <v>3</v>
      </c>
      <c r="AHD84">
        <f t="shared" si="235"/>
        <v>3</v>
      </c>
      <c r="AHE84">
        <f t="shared" si="235"/>
        <v>3</v>
      </c>
      <c r="AHF84">
        <f t="shared" si="235"/>
        <v>3</v>
      </c>
      <c r="AHG84">
        <f t="shared" si="235"/>
        <v>3</v>
      </c>
      <c r="AHH84">
        <f t="shared" si="235"/>
        <v>3</v>
      </c>
      <c r="AHI84">
        <f t="shared" si="235"/>
        <v>3</v>
      </c>
      <c r="AHJ84">
        <f t="shared" si="235"/>
        <v>3</v>
      </c>
      <c r="AHK84">
        <f t="shared" ref="AHK84:AJV84" si="236">COUNTBLANK(AHK2:AHK5)</f>
        <v>3</v>
      </c>
      <c r="AHL84">
        <f t="shared" si="236"/>
        <v>3</v>
      </c>
      <c r="AHM84">
        <f t="shared" si="236"/>
        <v>3</v>
      </c>
      <c r="AHN84">
        <f t="shared" si="236"/>
        <v>3</v>
      </c>
      <c r="AHO84">
        <f t="shared" si="236"/>
        <v>3</v>
      </c>
      <c r="AHP84">
        <f t="shared" si="236"/>
        <v>2</v>
      </c>
      <c r="AHQ84">
        <f t="shared" si="236"/>
        <v>2</v>
      </c>
      <c r="AHR84">
        <f t="shared" si="236"/>
        <v>2</v>
      </c>
      <c r="AHS84">
        <f t="shared" si="236"/>
        <v>2</v>
      </c>
      <c r="AHT84">
        <f t="shared" si="236"/>
        <v>2</v>
      </c>
      <c r="AHU84">
        <f t="shared" si="236"/>
        <v>2</v>
      </c>
      <c r="AHV84">
        <f t="shared" si="236"/>
        <v>2</v>
      </c>
      <c r="AHW84">
        <f t="shared" si="236"/>
        <v>2</v>
      </c>
      <c r="AHX84">
        <f t="shared" si="236"/>
        <v>2</v>
      </c>
      <c r="AHY84">
        <f t="shared" si="236"/>
        <v>2</v>
      </c>
      <c r="AHZ84">
        <f t="shared" si="236"/>
        <v>2</v>
      </c>
      <c r="AIA84">
        <f t="shared" si="236"/>
        <v>2</v>
      </c>
      <c r="AIB84">
        <f t="shared" si="236"/>
        <v>2</v>
      </c>
      <c r="AIC84">
        <f t="shared" si="236"/>
        <v>2</v>
      </c>
      <c r="AID84">
        <f t="shared" si="236"/>
        <v>2</v>
      </c>
      <c r="AIE84">
        <f t="shared" si="236"/>
        <v>2</v>
      </c>
      <c r="AIF84">
        <f t="shared" si="236"/>
        <v>3</v>
      </c>
      <c r="AIG84">
        <f t="shared" si="236"/>
        <v>3</v>
      </c>
      <c r="AIH84">
        <f t="shared" si="236"/>
        <v>3</v>
      </c>
      <c r="AII84">
        <f t="shared" si="236"/>
        <v>3</v>
      </c>
      <c r="AIJ84">
        <f t="shared" si="236"/>
        <v>3</v>
      </c>
      <c r="AIK84">
        <f t="shared" si="236"/>
        <v>3</v>
      </c>
      <c r="AIL84">
        <f t="shared" si="236"/>
        <v>3</v>
      </c>
      <c r="AIM84">
        <f t="shared" si="236"/>
        <v>3</v>
      </c>
      <c r="AIN84">
        <f t="shared" si="236"/>
        <v>3</v>
      </c>
      <c r="AIO84">
        <f t="shared" si="236"/>
        <v>3</v>
      </c>
      <c r="AIP84">
        <f t="shared" si="236"/>
        <v>3</v>
      </c>
      <c r="AIQ84">
        <f t="shared" si="236"/>
        <v>3</v>
      </c>
      <c r="AIR84">
        <f t="shared" si="236"/>
        <v>3</v>
      </c>
      <c r="AIS84">
        <f t="shared" si="236"/>
        <v>3</v>
      </c>
      <c r="AIT84">
        <f t="shared" si="236"/>
        <v>3</v>
      </c>
      <c r="AIU84">
        <f t="shared" si="236"/>
        <v>3</v>
      </c>
      <c r="AIV84">
        <f t="shared" si="236"/>
        <v>3</v>
      </c>
      <c r="AIW84">
        <f t="shared" si="236"/>
        <v>3</v>
      </c>
      <c r="AIX84">
        <f t="shared" si="236"/>
        <v>3</v>
      </c>
      <c r="AIY84">
        <f t="shared" si="236"/>
        <v>3</v>
      </c>
      <c r="AIZ84">
        <f t="shared" si="236"/>
        <v>3</v>
      </c>
      <c r="AJA84">
        <f t="shared" si="236"/>
        <v>3</v>
      </c>
      <c r="AJB84">
        <f t="shared" si="236"/>
        <v>3</v>
      </c>
      <c r="AJC84">
        <f t="shared" si="236"/>
        <v>3</v>
      </c>
      <c r="AJD84">
        <f t="shared" si="236"/>
        <v>3</v>
      </c>
      <c r="AJE84">
        <f t="shared" si="236"/>
        <v>3</v>
      </c>
      <c r="AJF84">
        <f t="shared" si="236"/>
        <v>3</v>
      </c>
      <c r="AJG84">
        <f t="shared" si="236"/>
        <v>3</v>
      </c>
      <c r="AJH84">
        <f t="shared" si="236"/>
        <v>3</v>
      </c>
      <c r="AJI84">
        <f t="shared" si="236"/>
        <v>3</v>
      </c>
      <c r="AJJ84">
        <f t="shared" si="236"/>
        <v>3</v>
      </c>
      <c r="AJK84">
        <f t="shared" si="236"/>
        <v>3</v>
      </c>
      <c r="AJL84">
        <f t="shared" si="236"/>
        <v>3</v>
      </c>
      <c r="AJM84">
        <f t="shared" si="236"/>
        <v>3</v>
      </c>
      <c r="AJN84">
        <f t="shared" si="236"/>
        <v>3</v>
      </c>
      <c r="AJO84">
        <f t="shared" si="236"/>
        <v>3</v>
      </c>
      <c r="AJP84">
        <f t="shared" si="236"/>
        <v>3</v>
      </c>
      <c r="AJQ84">
        <f t="shared" si="236"/>
        <v>3</v>
      </c>
      <c r="AJR84">
        <f t="shared" si="236"/>
        <v>3</v>
      </c>
      <c r="AJS84">
        <f t="shared" si="236"/>
        <v>3</v>
      </c>
      <c r="AJT84">
        <f t="shared" si="236"/>
        <v>3</v>
      </c>
      <c r="AJU84">
        <f t="shared" si="236"/>
        <v>3</v>
      </c>
      <c r="AJV84">
        <f t="shared" si="236"/>
        <v>3</v>
      </c>
      <c r="AJW84">
        <f t="shared" ref="AJW84:AMH84" si="237">COUNTBLANK(AJW2:AJW5)</f>
        <v>3</v>
      </c>
      <c r="AJX84">
        <f t="shared" si="237"/>
        <v>3</v>
      </c>
      <c r="AJY84">
        <f t="shared" si="237"/>
        <v>3</v>
      </c>
      <c r="AJZ84">
        <f t="shared" si="237"/>
        <v>3</v>
      </c>
      <c r="AKA84">
        <f t="shared" si="237"/>
        <v>3</v>
      </c>
      <c r="AKB84">
        <f t="shared" si="237"/>
        <v>3</v>
      </c>
      <c r="AKC84">
        <f t="shared" si="237"/>
        <v>3</v>
      </c>
      <c r="AKD84">
        <f t="shared" si="237"/>
        <v>3</v>
      </c>
      <c r="AKE84">
        <f t="shared" si="237"/>
        <v>3</v>
      </c>
      <c r="AKF84">
        <f t="shared" si="237"/>
        <v>3</v>
      </c>
      <c r="AKG84">
        <f t="shared" si="237"/>
        <v>3</v>
      </c>
      <c r="AKH84">
        <f t="shared" si="237"/>
        <v>3</v>
      </c>
      <c r="AKI84">
        <f t="shared" si="237"/>
        <v>3</v>
      </c>
      <c r="AKJ84">
        <f t="shared" si="237"/>
        <v>3</v>
      </c>
      <c r="AKK84">
        <f t="shared" si="237"/>
        <v>3</v>
      </c>
      <c r="AKL84">
        <f t="shared" si="237"/>
        <v>3</v>
      </c>
      <c r="AKM84">
        <f t="shared" si="237"/>
        <v>3</v>
      </c>
      <c r="AKN84">
        <f t="shared" si="237"/>
        <v>3</v>
      </c>
      <c r="AKO84">
        <f t="shared" si="237"/>
        <v>3</v>
      </c>
      <c r="AKP84">
        <f t="shared" si="237"/>
        <v>3</v>
      </c>
      <c r="AKQ84">
        <f t="shared" si="237"/>
        <v>3</v>
      </c>
      <c r="AKR84">
        <f t="shared" si="237"/>
        <v>3</v>
      </c>
      <c r="AKS84">
        <f t="shared" si="237"/>
        <v>3</v>
      </c>
      <c r="AKT84">
        <f t="shared" si="237"/>
        <v>3</v>
      </c>
      <c r="AKU84">
        <f t="shared" si="237"/>
        <v>3</v>
      </c>
      <c r="AKV84">
        <f t="shared" si="237"/>
        <v>3</v>
      </c>
      <c r="AKW84">
        <f t="shared" si="237"/>
        <v>3</v>
      </c>
      <c r="AKX84">
        <f t="shared" si="237"/>
        <v>3</v>
      </c>
      <c r="AKY84">
        <f t="shared" si="237"/>
        <v>3</v>
      </c>
      <c r="AKZ84">
        <f t="shared" si="237"/>
        <v>3</v>
      </c>
      <c r="ALA84">
        <f t="shared" si="237"/>
        <v>3</v>
      </c>
      <c r="ALB84">
        <f t="shared" si="237"/>
        <v>3</v>
      </c>
      <c r="ALC84">
        <f t="shared" si="237"/>
        <v>3</v>
      </c>
      <c r="ALD84">
        <f t="shared" si="237"/>
        <v>3</v>
      </c>
      <c r="ALE84">
        <f t="shared" si="237"/>
        <v>3</v>
      </c>
      <c r="ALF84">
        <f t="shared" si="237"/>
        <v>3</v>
      </c>
      <c r="ALG84">
        <f t="shared" si="237"/>
        <v>3</v>
      </c>
      <c r="ALH84">
        <f t="shared" si="237"/>
        <v>3</v>
      </c>
      <c r="ALI84">
        <f t="shared" si="237"/>
        <v>3</v>
      </c>
      <c r="ALJ84">
        <f t="shared" si="237"/>
        <v>3</v>
      </c>
      <c r="ALK84">
        <f t="shared" si="237"/>
        <v>3</v>
      </c>
      <c r="ALL84">
        <f t="shared" si="237"/>
        <v>3</v>
      </c>
      <c r="ALM84">
        <f t="shared" si="237"/>
        <v>3</v>
      </c>
      <c r="ALN84">
        <f t="shared" si="237"/>
        <v>3</v>
      </c>
      <c r="ALO84">
        <f t="shared" si="237"/>
        <v>3</v>
      </c>
      <c r="ALP84">
        <f t="shared" si="237"/>
        <v>3</v>
      </c>
      <c r="ALQ84">
        <f t="shared" si="237"/>
        <v>3</v>
      </c>
      <c r="ALR84">
        <f t="shared" si="237"/>
        <v>3</v>
      </c>
      <c r="ALS84">
        <f t="shared" si="237"/>
        <v>3</v>
      </c>
      <c r="ALT84">
        <f t="shared" si="237"/>
        <v>3</v>
      </c>
      <c r="ALU84">
        <f t="shared" si="237"/>
        <v>3</v>
      </c>
      <c r="ALV84">
        <f t="shared" si="237"/>
        <v>3</v>
      </c>
      <c r="ALW84">
        <f t="shared" si="237"/>
        <v>3</v>
      </c>
      <c r="ALX84">
        <f t="shared" si="237"/>
        <v>3</v>
      </c>
      <c r="ALY84">
        <f t="shared" si="237"/>
        <v>3</v>
      </c>
      <c r="ALZ84">
        <f t="shared" si="237"/>
        <v>3</v>
      </c>
      <c r="AMA84">
        <f t="shared" si="237"/>
        <v>3</v>
      </c>
      <c r="AMB84">
        <f t="shared" si="237"/>
        <v>3</v>
      </c>
      <c r="AMC84">
        <f t="shared" si="237"/>
        <v>3</v>
      </c>
      <c r="AMD84">
        <f t="shared" si="237"/>
        <v>3</v>
      </c>
      <c r="AME84">
        <f t="shared" si="237"/>
        <v>3</v>
      </c>
      <c r="AMF84">
        <f t="shared" si="237"/>
        <v>3</v>
      </c>
      <c r="AMG84">
        <f t="shared" si="237"/>
        <v>3</v>
      </c>
      <c r="AMH84">
        <f t="shared" si="237"/>
        <v>3</v>
      </c>
      <c r="AMI84">
        <f t="shared" ref="AMI84:AOT84" si="238">COUNTBLANK(AMI2:AMI5)</f>
        <v>3</v>
      </c>
      <c r="AMJ84">
        <f t="shared" si="238"/>
        <v>3</v>
      </c>
      <c r="AMK84">
        <f t="shared" si="238"/>
        <v>3</v>
      </c>
      <c r="AML84">
        <f t="shared" si="238"/>
        <v>3</v>
      </c>
      <c r="AMM84">
        <f t="shared" si="238"/>
        <v>3</v>
      </c>
      <c r="AMN84">
        <f t="shared" si="238"/>
        <v>3</v>
      </c>
      <c r="AMO84">
        <f t="shared" si="238"/>
        <v>3</v>
      </c>
      <c r="AMP84">
        <f t="shared" si="238"/>
        <v>3</v>
      </c>
      <c r="AMQ84">
        <f t="shared" si="238"/>
        <v>3</v>
      </c>
      <c r="AMR84">
        <f t="shared" si="238"/>
        <v>3</v>
      </c>
      <c r="AMS84">
        <f t="shared" si="238"/>
        <v>3</v>
      </c>
      <c r="AMT84">
        <f t="shared" si="238"/>
        <v>3</v>
      </c>
      <c r="AMU84">
        <f t="shared" si="238"/>
        <v>3</v>
      </c>
      <c r="AMV84">
        <f t="shared" si="238"/>
        <v>3</v>
      </c>
      <c r="AMW84">
        <f t="shared" si="238"/>
        <v>3</v>
      </c>
      <c r="AMX84">
        <f t="shared" si="238"/>
        <v>3</v>
      </c>
      <c r="AMY84">
        <f t="shared" si="238"/>
        <v>3</v>
      </c>
      <c r="AMZ84">
        <f t="shared" si="238"/>
        <v>3</v>
      </c>
      <c r="ANA84">
        <f t="shared" si="238"/>
        <v>3</v>
      </c>
      <c r="ANB84">
        <f t="shared" si="238"/>
        <v>3</v>
      </c>
      <c r="ANC84">
        <f t="shared" si="238"/>
        <v>3</v>
      </c>
      <c r="AND84">
        <f t="shared" si="238"/>
        <v>3</v>
      </c>
      <c r="ANE84">
        <f t="shared" si="238"/>
        <v>3</v>
      </c>
      <c r="ANF84">
        <f t="shared" si="238"/>
        <v>3</v>
      </c>
      <c r="ANG84">
        <f t="shared" si="238"/>
        <v>3</v>
      </c>
      <c r="ANH84">
        <f t="shared" si="238"/>
        <v>3</v>
      </c>
      <c r="ANI84">
        <f t="shared" si="238"/>
        <v>3</v>
      </c>
      <c r="ANJ84">
        <f t="shared" si="238"/>
        <v>3</v>
      </c>
      <c r="ANK84">
        <f t="shared" si="238"/>
        <v>3</v>
      </c>
      <c r="ANL84">
        <f t="shared" si="238"/>
        <v>3</v>
      </c>
      <c r="ANM84">
        <f t="shared" si="238"/>
        <v>3</v>
      </c>
      <c r="ANN84">
        <f t="shared" si="238"/>
        <v>3</v>
      </c>
      <c r="ANO84">
        <f t="shared" si="238"/>
        <v>3</v>
      </c>
      <c r="ANP84">
        <f t="shared" si="238"/>
        <v>3</v>
      </c>
      <c r="ANQ84">
        <f t="shared" si="238"/>
        <v>3</v>
      </c>
      <c r="ANR84">
        <f t="shared" si="238"/>
        <v>3</v>
      </c>
      <c r="ANS84">
        <f t="shared" si="238"/>
        <v>3</v>
      </c>
      <c r="ANT84">
        <f t="shared" si="238"/>
        <v>3</v>
      </c>
      <c r="ANU84">
        <f t="shared" si="238"/>
        <v>3</v>
      </c>
      <c r="ANV84">
        <f t="shared" si="238"/>
        <v>3</v>
      </c>
      <c r="ANW84">
        <f t="shared" si="238"/>
        <v>3</v>
      </c>
      <c r="ANX84">
        <f t="shared" si="238"/>
        <v>3</v>
      </c>
      <c r="ANY84">
        <f t="shared" si="238"/>
        <v>3</v>
      </c>
      <c r="ANZ84">
        <f t="shared" si="238"/>
        <v>3</v>
      </c>
      <c r="AOA84">
        <f t="shared" si="238"/>
        <v>3</v>
      </c>
      <c r="AOB84">
        <f t="shared" si="238"/>
        <v>3</v>
      </c>
      <c r="AOC84">
        <f t="shared" si="238"/>
        <v>3</v>
      </c>
      <c r="AOD84">
        <f t="shared" si="238"/>
        <v>3</v>
      </c>
      <c r="AOE84">
        <f t="shared" si="238"/>
        <v>3</v>
      </c>
      <c r="AOF84">
        <f t="shared" si="238"/>
        <v>3</v>
      </c>
      <c r="AOG84">
        <f t="shared" si="238"/>
        <v>3</v>
      </c>
      <c r="AOH84">
        <f t="shared" si="238"/>
        <v>3</v>
      </c>
      <c r="AOI84">
        <f t="shared" si="238"/>
        <v>3</v>
      </c>
      <c r="AOJ84">
        <f t="shared" si="238"/>
        <v>3</v>
      </c>
      <c r="AOK84">
        <f t="shared" si="238"/>
        <v>3</v>
      </c>
      <c r="AOL84">
        <f t="shared" si="238"/>
        <v>3</v>
      </c>
      <c r="AOM84">
        <f t="shared" si="238"/>
        <v>3</v>
      </c>
      <c r="AON84">
        <f t="shared" si="238"/>
        <v>3</v>
      </c>
      <c r="AOO84">
        <f t="shared" si="238"/>
        <v>3</v>
      </c>
      <c r="AOP84">
        <f t="shared" si="238"/>
        <v>3</v>
      </c>
      <c r="AOQ84">
        <f t="shared" si="238"/>
        <v>3</v>
      </c>
      <c r="AOR84">
        <f t="shared" si="238"/>
        <v>3</v>
      </c>
      <c r="AOS84">
        <f t="shared" si="238"/>
        <v>3</v>
      </c>
      <c r="AOT84">
        <f t="shared" si="238"/>
        <v>3</v>
      </c>
      <c r="AOU84">
        <f t="shared" ref="AOU84:ARF84" si="239">COUNTBLANK(AOU2:AOU5)</f>
        <v>3</v>
      </c>
      <c r="AOV84">
        <f t="shared" si="239"/>
        <v>3</v>
      </c>
      <c r="AOW84">
        <f t="shared" si="239"/>
        <v>3</v>
      </c>
      <c r="AOX84">
        <f t="shared" si="239"/>
        <v>3</v>
      </c>
      <c r="AOY84">
        <f t="shared" si="239"/>
        <v>3</v>
      </c>
      <c r="AOZ84">
        <f t="shared" si="239"/>
        <v>3</v>
      </c>
      <c r="APA84">
        <f t="shared" si="239"/>
        <v>3</v>
      </c>
      <c r="APB84">
        <f t="shared" si="239"/>
        <v>3</v>
      </c>
      <c r="APC84">
        <f t="shared" si="239"/>
        <v>3</v>
      </c>
      <c r="APD84">
        <f t="shared" si="239"/>
        <v>3</v>
      </c>
      <c r="APE84">
        <f t="shared" si="239"/>
        <v>3</v>
      </c>
      <c r="APF84">
        <f t="shared" si="239"/>
        <v>3</v>
      </c>
      <c r="APG84">
        <f t="shared" si="239"/>
        <v>2</v>
      </c>
      <c r="APH84">
        <f t="shared" si="239"/>
        <v>2</v>
      </c>
      <c r="API84">
        <f t="shared" si="239"/>
        <v>2</v>
      </c>
      <c r="APJ84">
        <f t="shared" si="239"/>
        <v>2</v>
      </c>
      <c r="APK84">
        <f t="shared" si="239"/>
        <v>2</v>
      </c>
      <c r="APL84">
        <f t="shared" si="239"/>
        <v>2</v>
      </c>
      <c r="APM84">
        <f t="shared" si="239"/>
        <v>2</v>
      </c>
      <c r="APN84">
        <f t="shared" si="239"/>
        <v>2</v>
      </c>
      <c r="APO84">
        <f t="shared" si="239"/>
        <v>2</v>
      </c>
      <c r="APP84">
        <f t="shared" si="239"/>
        <v>2</v>
      </c>
      <c r="APQ84">
        <f t="shared" si="239"/>
        <v>3</v>
      </c>
      <c r="APR84">
        <f t="shared" si="239"/>
        <v>3</v>
      </c>
      <c r="APS84">
        <f t="shared" si="239"/>
        <v>3</v>
      </c>
      <c r="APT84">
        <f t="shared" si="239"/>
        <v>3</v>
      </c>
      <c r="APU84">
        <f t="shared" si="239"/>
        <v>3</v>
      </c>
      <c r="APV84">
        <f t="shared" si="239"/>
        <v>3</v>
      </c>
      <c r="APW84">
        <f t="shared" si="239"/>
        <v>3</v>
      </c>
      <c r="APX84">
        <f t="shared" si="239"/>
        <v>3</v>
      </c>
      <c r="APY84">
        <f t="shared" si="239"/>
        <v>3</v>
      </c>
      <c r="APZ84">
        <f t="shared" si="239"/>
        <v>3</v>
      </c>
      <c r="AQA84">
        <f t="shared" si="239"/>
        <v>3</v>
      </c>
      <c r="AQB84">
        <f t="shared" si="239"/>
        <v>3</v>
      </c>
      <c r="AQC84">
        <f t="shared" si="239"/>
        <v>3</v>
      </c>
      <c r="AQD84">
        <f t="shared" si="239"/>
        <v>3</v>
      </c>
      <c r="AQE84">
        <f t="shared" si="239"/>
        <v>3</v>
      </c>
      <c r="AQF84">
        <f t="shared" si="239"/>
        <v>3</v>
      </c>
      <c r="AQG84">
        <f t="shared" si="239"/>
        <v>3</v>
      </c>
      <c r="AQH84">
        <f t="shared" si="239"/>
        <v>3</v>
      </c>
      <c r="AQI84">
        <f t="shared" si="239"/>
        <v>3</v>
      </c>
      <c r="AQJ84">
        <f t="shared" si="239"/>
        <v>3</v>
      </c>
      <c r="AQK84">
        <f t="shared" si="239"/>
        <v>3</v>
      </c>
      <c r="AQL84">
        <f t="shared" si="239"/>
        <v>3</v>
      </c>
      <c r="AQM84">
        <f t="shared" si="239"/>
        <v>3</v>
      </c>
      <c r="AQN84">
        <f t="shared" si="239"/>
        <v>3</v>
      </c>
      <c r="AQO84">
        <f t="shared" si="239"/>
        <v>3</v>
      </c>
      <c r="AQP84">
        <f t="shared" si="239"/>
        <v>3</v>
      </c>
      <c r="AQQ84">
        <f t="shared" si="239"/>
        <v>3</v>
      </c>
      <c r="AQR84">
        <f t="shared" si="239"/>
        <v>3</v>
      </c>
      <c r="AQS84">
        <f t="shared" si="239"/>
        <v>3</v>
      </c>
      <c r="AQT84">
        <f t="shared" si="239"/>
        <v>3</v>
      </c>
      <c r="AQU84">
        <f t="shared" si="239"/>
        <v>3</v>
      </c>
      <c r="AQV84">
        <f t="shared" si="239"/>
        <v>3</v>
      </c>
      <c r="AQW84">
        <f t="shared" si="239"/>
        <v>3</v>
      </c>
      <c r="AQX84">
        <f t="shared" si="239"/>
        <v>3</v>
      </c>
      <c r="AQY84">
        <f t="shared" si="239"/>
        <v>3</v>
      </c>
      <c r="AQZ84">
        <f t="shared" si="239"/>
        <v>3</v>
      </c>
      <c r="ARA84">
        <f t="shared" si="239"/>
        <v>3</v>
      </c>
      <c r="ARB84">
        <f t="shared" si="239"/>
        <v>3</v>
      </c>
      <c r="ARC84">
        <f t="shared" si="239"/>
        <v>3</v>
      </c>
      <c r="ARD84">
        <f t="shared" si="239"/>
        <v>3</v>
      </c>
      <c r="ARE84">
        <f t="shared" si="239"/>
        <v>3</v>
      </c>
      <c r="ARF84">
        <f t="shared" si="239"/>
        <v>3</v>
      </c>
      <c r="ARG84">
        <f t="shared" ref="ARG84:ATR84" si="240">COUNTBLANK(ARG2:ARG5)</f>
        <v>3</v>
      </c>
      <c r="ARH84">
        <f t="shared" si="240"/>
        <v>3</v>
      </c>
      <c r="ARI84">
        <f t="shared" si="240"/>
        <v>3</v>
      </c>
      <c r="ARJ84">
        <f t="shared" si="240"/>
        <v>3</v>
      </c>
      <c r="ARK84">
        <f t="shared" si="240"/>
        <v>3</v>
      </c>
      <c r="ARL84">
        <f t="shared" si="240"/>
        <v>3</v>
      </c>
      <c r="ARM84">
        <f t="shared" si="240"/>
        <v>3</v>
      </c>
      <c r="ARN84">
        <f t="shared" si="240"/>
        <v>3</v>
      </c>
      <c r="ARO84">
        <f t="shared" si="240"/>
        <v>3</v>
      </c>
      <c r="ARP84">
        <f t="shared" si="240"/>
        <v>3</v>
      </c>
      <c r="ARQ84">
        <f t="shared" si="240"/>
        <v>3</v>
      </c>
      <c r="ARR84">
        <f t="shared" si="240"/>
        <v>3</v>
      </c>
      <c r="ARS84">
        <f t="shared" si="240"/>
        <v>3</v>
      </c>
      <c r="ART84">
        <f t="shared" si="240"/>
        <v>3</v>
      </c>
      <c r="ARU84">
        <f t="shared" si="240"/>
        <v>3</v>
      </c>
      <c r="ARV84">
        <f t="shared" si="240"/>
        <v>3</v>
      </c>
      <c r="ARW84">
        <f t="shared" si="240"/>
        <v>3</v>
      </c>
      <c r="ARX84">
        <f t="shared" si="240"/>
        <v>3</v>
      </c>
      <c r="ARY84">
        <f t="shared" si="240"/>
        <v>3</v>
      </c>
      <c r="ARZ84">
        <f t="shared" si="240"/>
        <v>3</v>
      </c>
      <c r="ASA84">
        <f t="shared" si="240"/>
        <v>3</v>
      </c>
      <c r="ASB84">
        <f t="shared" si="240"/>
        <v>3</v>
      </c>
      <c r="ASC84">
        <f t="shared" si="240"/>
        <v>3</v>
      </c>
      <c r="ASD84">
        <f t="shared" si="240"/>
        <v>3</v>
      </c>
      <c r="ASE84">
        <f t="shared" si="240"/>
        <v>3</v>
      </c>
      <c r="ASF84">
        <f t="shared" si="240"/>
        <v>3</v>
      </c>
      <c r="ASG84">
        <f t="shared" si="240"/>
        <v>3</v>
      </c>
      <c r="ASH84">
        <f t="shared" si="240"/>
        <v>3</v>
      </c>
      <c r="ASI84">
        <f t="shared" si="240"/>
        <v>3</v>
      </c>
      <c r="ASJ84">
        <f t="shared" si="240"/>
        <v>3</v>
      </c>
      <c r="ASK84">
        <f t="shared" si="240"/>
        <v>3</v>
      </c>
      <c r="ASL84">
        <f t="shared" si="240"/>
        <v>3</v>
      </c>
      <c r="ASM84">
        <f t="shared" si="240"/>
        <v>3</v>
      </c>
      <c r="ASN84">
        <f t="shared" si="240"/>
        <v>3</v>
      </c>
      <c r="ASO84">
        <f t="shared" si="240"/>
        <v>3</v>
      </c>
      <c r="ASP84">
        <f t="shared" si="240"/>
        <v>3</v>
      </c>
      <c r="ASQ84">
        <f t="shared" si="240"/>
        <v>3</v>
      </c>
      <c r="ASR84">
        <f t="shared" si="240"/>
        <v>3</v>
      </c>
      <c r="ASS84">
        <f t="shared" si="240"/>
        <v>3</v>
      </c>
      <c r="AST84">
        <f t="shared" si="240"/>
        <v>3</v>
      </c>
      <c r="ASU84">
        <f t="shared" si="240"/>
        <v>3</v>
      </c>
      <c r="ASV84">
        <f t="shared" si="240"/>
        <v>3</v>
      </c>
      <c r="ASW84">
        <f t="shared" si="240"/>
        <v>3</v>
      </c>
      <c r="ASX84">
        <f t="shared" si="240"/>
        <v>3</v>
      </c>
      <c r="ASY84">
        <f t="shared" si="240"/>
        <v>3</v>
      </c>
      <c r="ASZ84">
        <f t="shared" si="240"/>
        <v>3</v>
      </c>
      <c r="ATA84">
        <f t="shared" si="240"/>
        <v>3</v>
      </c>
      <c r="ATB84">
        <f t="shared" si="240"/>
        <v>3</v>
      </c>
      <c r="ATC84">
        <f t="shared" si="240"/>
        <v>3</v>
      </c>
      <c r="ATD84">
        <f t="shared" si="240"/>
        <v>3</v>
      </c>
      <c r="ATE84">
        <f t="shared" si="240"/>
        <v>3</v>
      </c>
      <c r="ATF84">
        <f t="shared" si="240"/>
        <v>3</v>
      </c>
      <c r="ATG84">
        <f t="shared" si="240"/>
        <v>3</v>
      </c>
      <c r="ATH84">
        <f t="shared" si="240"/>
        <v>3</v>
      </c>
      <c r="ATI84">
        <f t="shared" si="240"/>
        <v>3</v>
      </c>
      <c r="ATJ84">
        <f t="shared" si="240"/>
        <v>3</v>
      </c>
      <c r="ATK84">
        <f t="shared" si="240"/>
        <v>3</v>
      </c>
      <c r="ATL84">
        <f t="shared" si="240"/>
        <v>3</v>
      </c>
      <c r="ATM84">
        <f t="shared" si="240"/>
        <v>3</v>
      </c>
      <c r="ATN84">
        <f t="shared" si="240"/>
        <v>3</v>
      </c>
      <c r="ATO84">
        <f t="shared" si="240"/>
        <v>3</v>
      </c>
      <c r="ATP84">
        <f t="shared" si="240"/>
        <v>3</v>
      </c>
      <c r="ATQ84">
        <f t="shared" si="240"/>
        <v>3</v>
      </c>
      <c r="ATR84">
        <f t="shared" si="240"/>
        <v>3</v>
      </c>
      <c r="ATS84">
        <f t="shared" ref="ATS84:AWD84" si="241">COUNTBLANK(ATS2:ATS5)</f>
        <v>3</v>
      </c>
      <c r="ATT84">
        <f t="shared" si="241"/>
        <v>3</v>
      </c>
      <c r="ATU84">
        <f t="shared" si="241"/>
        <v>3</v>
      </c>
      <c r="ATV84">
        <f t="shared" si="241"/>
        <v>3</v>
      </c>
      <c r="ATW84">
        <f t="shared" si="241"/>
        <v>3</v>
      </c>
      <c r="ATX84">
        <f t="shared" si="241"/>
        <v>3</v>
      </c>
      <c r="ATY84">
        <f t="shared" si="241"/>
        <v>3</v>
      </c>
      <c r="ATZ84">
        <f t="shared" si="241"/>
        <v>3</v>
      </c>
      <c r="AUA84">
        <f t="shared" si="241"/>
        <v>3</v>
      </c>
      <c r="AUB84">
        <f t="shared" si="241"/>
        <v>3</v>
      </c>
      <c r="AUC84">
        <f t="shared" si="241"/>
        <v>3</v>
      </c>
      <c r="AUD84">
        <f t="shared" si="241"/>
        <v>3</v>
      </c>
      <c r="AUE84">
        <f t="shared" si="241"/>
        <v>3</v>
      </c>
      <c r="AUF84">
        <f t="shared" si="241"/>
        <v>3</v>
      </c>
      <c r="AUG84">
        <f t="shared" si="241"/>
        <v>3</v>
      </c>
      <c r="AUH84">
        <f t="shared" si="241"/>
        <v>3</v>
      </c>
      <c r="AUI84">
        <f t="shared" si="241"/>
        <v>3</v>
      </c>
      <c r="AUJ84">
        <f t="shared" si="241"/>
        <v>3</v>
      </c>
      <c r="AUK84">
        <f t="shared" si="241"/>
        <v>3</v>
      </c>
      <c r="AUL84">
        <f t="shared" si="241"/>
        <v>3</v>
      </c>
      <c r="AUM84">
        <f t="shared" si="241"/>
        <v>3</v>
      </c>
      <c r="AUN84">
        <f t="shared" si="241"/>
        <v>3</v>
      </c>
      <c r="AUO84">
        <f t="shared" si="241"/>
        <v>3</v>
      </c>
      <c r="AUP84">
        <f t="shared" si="241"/>
        <v>3</v>
      </c>
      <c r="AUQ84">
        <f t="shared" si="241"/>
        <v>3</v>
      </c>
      <c r="AUR84">
        <f t="shared" si="241"/>
        <v>3</v>
      </c>
      <c r="AUS84">
        <f t="shared" si="241"/>
        <v>3</v>
      </c>
      <c r="AUT84">
        <f t="shared" si="241"/>
        <v>3</v>
      </c>
      <c r="AUU84">
        <f t="shared" si="241"/>
        <v>3</v>
      </c>
      <c r="AUV84">
        <f t="shared" si="241"/>
        <v>3</v>
      </c>
      <c r="AUW84">
        <f t="shared" si="241"/>
        <v>3</v>
      </c>
      <c r="AUX84">
        <f t="shared" si="241"/>
        <v>3</v>
      </c>
      <c r="AUY84">
        <f t="shared" si="241"/>
        <v>3</v>
      </c>
      <c r="AUZ84">
        <f t="shared" si="241"/>
        <v>3</v>
      </c>
      <c r="AVA84">
        <f t="shared" si="241"/>
        <v>3</v>
      </c>
      <c r="AVB84">
        <f t="shared" si="241"/>
        <v>3</v>
      </c>
      <c r="AVC84">
        <f t="shared" si="241"/>
        <v>3</v>
      </c>
      <c r="AVD84">
        <f t="shared" si="241"/>
        <v>3</v>
      </c>
      <c r="AVE84">
        <f t="shared" si="241"/>
        <v>3</v>
      </c>
      <c r="AVF84">
        <f t="shared" si="241"/>
        <v>3</v>
      </c>
      <c r="AVG84">
        <f t="shared" si="241"/>
        <v>3</v>
      </c>
      <c r="AVH84">
        <f t="shared" si="241"/>
        <v>3</v>
      </c>
      <c r="AVI84">
        <f t="shared" si="241"/>
        <v>3</v>
      </c>
      <c r="AVJ84">
        <f t="shared" si="241"/>
        <v>3</v>
      </c>
      <c r="AVK84">
        <f t="shared" si="241"/>
        <v>3</v>
      </c>
      <c r="AVL84">
        <f t="shared" si="241"/>
        <v>3</v>
      </c>
      <c r="AVM84">
        <f t="shared" si="241"/>
        <v>3</v>
      </c>
      <c r="AVN84">
        <f t="shared" si="241"/>
        <v>3</v>
      </c>
      <c r="AVO84">
        <f t="shared" si="241"/>
        <v>3</v>
      </c>
      <c r="AVP84">
        <f t="shared" si="241"/>
        <v>3</v>
      </c>
      <c r="AVQ84">
        <f t="shared" si="241"/>
        <v>3</v>
      </c>
      <c r="AVR84">
        <f t="shared" si="241"/>
        <v>3</v>
      </c>
      <c r="AVS84">
        <f t="shared" si="241"/>
        <v>3</v>
      </c>
      <c r="AVT84">
        <f t="shared" si="241"/>
        <v>3</v>
      </c>
      <c r="AVU84">
        <f t="shared" si="241"/>
        <v>3</v>
      </c>
      <c r="AVV84">
        <f t="shared" si="241"/>
        <v>3</v>
      </c>
      <c r="AVW84">
        <f t="shared" si="241"/>
        <v>3</v>
      </c>
      <c r="AVX84">
        <f t="shared" si="241"/>
        <v>3</v>
      </c>
      <c r="AVY84">
        <f t="shared" si="241"/>
        <v>3</v>
      </c>
      <c r="AVZ84">
        <f t="shared" si="241"/>
        <v>3</v>
      </c>
      <c r="AWA84">
        <f t="shared" si="241"/>
        <v>3</v>
      </c>
      <c r="AWB84">
        <f t="shared" si="241"/>
        <v>3</v>
      </c>
      <c r="AWC84">
        <f t="shared" si="241"/>
        <v>3</v>
      </c>
      <c r="AWD84">
        <f t="shared" si="241"/>
        <v>3</v>
      </c>
      <c r="AWE84">
        <f t="shared" ref="AWE84:AYP84" si="242">COUNTBLANK(AWE2:AWE5)</f>
        <v>3</v>
      </c>
      <c r="AWF84">
        <f t="shared" si="242"/>
        <v>3</v>
      </c>
      <c r="AWG84">
        <f t="shared" si="242"/>
        <v>3</v>
      </c>
      <c r="AWH84">
        <f t="shared" si="242"/>
        <v>3</v>
      </c>
      <c r="AWI84">
        <f t="shared" si="242"/>
        <v>3</v>
      </c>
      <c r="AWJ84">
        <f t="shared" si="242"/>
        <v>3</v>
      </c>
      <c r="AWK84">
        <f t="shared" si="242"/>
        <v>3</v>
      </c>
      <c r="AWL84">
        <f t="shared" si="242"/>
        <v>3</v>
      </c>
      <c r="AWM84">
        <f t="shared" si="242"/>
        <v>3</v>
      </c>
      <c r="AWN84">
        <f t="shared" si="242"/>
        <v>3</v>
      </c>
      <c r="AWO84">
        <f t="shared" si="242"/>
        <v>3</v>
      </c>
      <c r="AWP84">
        <f t="shared" si="242"/>
        <v>3</v>
      </c>
      <c r="AWQ84">
        <f t="shared" si="242"/>
        <v>3</v>
      </c>
      <c r="AWR84">
        <f t="shared" si="242"/>
        <v>3</v>
      </c>
      <c r="AWS84">
        <f t="shared" si="242"/>
        <v>3</v>
      </c>
      <c r="AWT84">
        <f t="shared" si="242"/>
        <v>3</v>
      </c>
      <c r="AWU84">
        <f t="shared" si="242"/>
        <v>3</v>
      </c>
      <c r="AWV84">
        <f t="shared" si="242"/>
        <v>3</v>
      </c>
      <c r="AWW84">
        <f t="shared" si="242"/>
        <v>3</v>
      </c>
      <c r="AWX84">
        <f t="shared" si="242"/>
        <v>3</v>
      </c>
      <c r="AWY84">
        <f t="shared" si="242"/>
        <v>3</v>
      </c>
      <c r="AWZ84">
        <f t="shared" si="242"/>
        <v>3</v>
      </c>
      <c r="AXA84">
        <f t="shared" si="242"/>
        <v>3</v>
      </c>
      <c r="AXB84">
        <f t="shared" si="242"/>
        <v>3</v>
      </c>
      <c r="AXC84">
        <f t="shared" si="242"/>
        <v>3</v>
      </c>
      <c r="AXD84">
        <f t="shared" si="242"/>
        <v>3</v>
      </c>
      <c r="AXE84">
        <f t="shared" si="242"/>
        <v>3</v>
      </c>
      <c r="AXF84">
        <f t="shared" si="242"/>
        <v>3</v>
      </c>
      <c r="AXG84">
        <f t="shared" si="242"/>
        <v>3</v>
      </c>
      <c r="AXH84">
        <f t="shared" si="242"/>
        <v>3</v>
      </c>
      <c r="AXI84">
        <f t="shared" si="242"/>
        <v>3</v>
      </c>
      <c r="AXJ84">
        <f t="shared" si="242"/>
        <v>3</v>
      </c>
      <c r="AXK84">
        <f t="shared" si="242"/>
        <v>3</v>
      </c>
      <c r="AXL84">
        <f t="shared" si="242"/>
        <v>3</v>
      </c>
      <c r="AXM84">
        <f t="shared" si="242"/>
        <v>3</v>
      </c>
      <c r="AXN84">
        <f t="shared" si="242"/>
        <v>3</v>
      </c>
      <c r="AXO84">
        <f t="shared" si="242"/>
        <v>3</v>
      </c>
      <c r="AXP84">
        <f t="shared" si="242"/>
        <v>3</v>
      </c>
      <c r="AXQ84">
        <f t="shared" si="242"/>
        <v>3</v>
      </c>
      <c r="AXR84">
        <f t="shared" si="242"/>
        <v>3</v>
      </c>
      <c r="AXS84">
        <f t="shared" si="242"/>
        <v>3</v>
      </c>
      <c r="AXT84">
        <f t="shared" si="242"/>
        <v>3</v>
      </c>
      <c r="AXU84">
        <f t="shared" si="242"/>
        <v>3</v>
      </c>
      <c r="AXV84">
        <f t="shared" si="242"/>
        <v>3</v>
      </c>
      <c r="AXW84">
        <f t="shared" si="242"/>
        <v>3</v>
      </c>
      <c r="AXX84">
        <f t="shared" si="242"/>
        <v>3</v>
      </c>
      <c r="AXY84">
        <f t="shared" si="242"/>
        <v>3</v>
      </c>
      <c r="AXZ84">
        <f t="shared" si="242"/>
        <v>3</v>
      </c>
      <c r="AYA84">
        <f t="shared" si="242"/>
        <v>3</v>
      </c>
      <c r="AYB84">
        <f t="shared" si="242"/>
        <v>3</v>
      </c>
      <c r="AYC84">
        <f t="shared" si="242"/>
        <v>3</v>
      </c>
      <c r="AYD84">
        <f t="shared" si="242"/>
        <v>3</v>
      </c>
      <c r="AYE84">
        <f t="shared" si="242"/>
        <v>3</v>
      </c>
      <c r="AYF84">
        <f t="shared" si="242"/>
        <v>3</v>
      </c>
      <c r="AYG84">
        <f t="shared" si="242"/>
        <v>3</v>
      </c>
      <c r="AYH84">
        <f t="shared" si="242"/>
        <v>3</v>
      </c>
      <c r="AYI84">
        <f t="shared" si="242"/>
        <v>3</v>
      </c>
      <c r="AYJ84">
        <f t="shared" si="242"/>
        <v>3</v>
      </c>
      <c r="AYK84">
        <f t="shared" si="242"/>
        <v>3</v>
      </c>
      <c r="AYL84">
        <f t="shared" si="242"/>
        <v>3</v>
      </c>
      <c r="AYM84">
        <f t="shared" si="242"/>
        <v>3</v>
      </c>
      <c r="AYN84">
        <f t="shared" si="242"/>
        <v>3</v>
      </c>
      <c r="AYO84">
        <f t="shared" si="242"/>
        <v>3</v>
      </c>
      <c r="AYP84">
        <f t="shared" si="242"/>
        <v>3</v>
      </c>
      <c r="AYQ84">
        <f t="shared" ref="AYQ84:BBB84" si="243">COUNTBLANK(AYQ2:AYQ5)</f>
        <v>3</v>
      </c>
      <c r="AYR84">
        <f t="shared" si="243"/>
        <v>3</v>
      </c>
      <c r="AYS84">
        <f t="shared" si="243"/>
        <v>3</v>
      </c>
      <c r="AYT84">
        <f t="shared" si="243"/>
        <v>3</v>
      </c>
      <c r="AYU84">
        <f t="shared" si="243"/>
        <v>3</v>
      </c>
      <c r="AYV84">
        <f t="shared" si="243"/>
        <v>3</v>
      </c>
      <c r="AYW84">
        <f t="shared" si="243"/>
        <v>3</v>
      </c>
      <c r="AYX84">
        <f t="shared" si="243"/>
        <v>3</v>
      </c>
      <c r="AYY84">
        <f t="shared" si="243"/>
        <v>3</v>
      </c>
      <c r="AYZ84">
        <f t="shared" si="243"/>
        <v>3</v>
      </c>
      <c r="AZA84">
        <f t="shared" si="243"/>
        <v>3</v>
      </c>
      <c r="AZB84">
        <f t="shared" si="243"/>
        <v>3</v>
      </c>
      <c r="AZC84">
        <f t="shared" si="243"/>
        <v>3</v>
      </c>
      <c r="AZD84">
        <f t="shared" si="243"/>
        <v>3</v>
      </c>
      <c r="AZE84">
        <f t="shared" si="243"/>
        <v>3</v>
      </c>
      <c r="AZF84">
        <f t="shared" si="243"/>
        <v>3</v>
      </c>
      <c r="AZG84">
        <f t="shared" si="243"/>
        <v>2</v>
      </c>
      <c r="AZH84">
        <f t="shared" si="243"/>
        <v>2</v>
      </c>
      <c r="AZI84">
        <f t="shared" si="243"/>
        <v>2</v>
      </c>
      <c r="AZJ84">
        <f t="shared" si="243"/>
        <v>2</v>
      </c>
      <c r="AZK84">
        <f t="shared" si="243"/>
        <v>2</v>
      </c>
      <c r="AZL84">
        <f t="shared" si="243"/>
        <v>2</v>
      </c>
      <c r="AZM84">
        <f t="shared" si="243"/>
        <v>2</v>
      </c>
      <c r="AZN84">
        <f t="shared" si="243"/>
        <v>2</v>
      </c>
      <c r="AZO84">
        <f t="shared" si="243"/>
        <v>2</v>
      </c>
      <c r="AZP84">
        <f t="shared" si="243"/>
        <v>2</v>
      </c>
      <c r="AZQ84">
        <f t="shared" si="243"/>
        <v>2</v>
      </c>
      <c r="AZR84">
        <f t="shared" si="243"/>
        <v>2</v>
      </c>
      <c r="AZS84">
        <f t="shared" si="243"/>
        <v>2</v>
      </c>
      <c r="AZT84">
        <f t="shared" si="243"/>
        <v>2</v>
      </c>
      <c r="AZU84">
        <f t="shared" si="243"/>
        <v>2</v>
      </c>
      <c r="AZV84">
        <f t="shared" si="243"/>
        <v>2</v>
      </c>
      <c r="AZW84">
        <f t="shared" si="243"/>
        <v>2</v>
      </c>
      <c r="AZX84">
        <f t="shared" si="243"/>
        <v>2</v>
      </c>
      <c r="AZY84">
        <f t="shared" si="243"/>
        <v>2</v>
      </c>
      <c r="AZZ84">
        <f t="shared" si="243"/>
        <v>3</v>
      </c>
      <c r="BAA84">
        <f t="shared" si="243"/>
        <v>3</v>
      </c>
      <c r="BAB84">
        <f t="shared" si="243"/>
        <v>3</v>
      </c>
      <c r="BAC84">
        <f t="shared" si="243"/>
        <v>3</v>
      </c>
      <c r="BAD84">
        <f t="shared" si="243"/>
        <v>3</v>
      </c>
      <c r="BAE84">
        <f t="shared" si="243"/>
        <v>3</v>
      </c>
      <c r="BAF84">
        <f t="shared" si="243"/>
        <v>3</v>
      </c>
      <c r="BAG84">
        <f t="shared" si="243"/>
        <v>3</v>
      </c>
      <c r="BAH84">
        <f t="shared" si="243"/>
        <v>3</v>
      </c>
      <c r="BAI84">
        <f t="shared" si="243"/>
        <v>3</v>
      </c>
      <c r="BAJ84">
        <f t="shared" si="243"/>
        <v>3</v>
      </c>
      <c r="BAK84">
        <f t="shared" si="243"/>
        <v>3</v>
      </c>
      <c r="BAL84">
        <f t="shared" si="243"/>
        <v>3</v>
      </c>
      <c r="BAM84">
        <f t="shared" si="243"/>
        <v>3</v>
      </c>
      <c r="BAN84">
        <f t="shared" si="243"/>
        <v>3</v>
      </c>
      <c r="BAO84">
        <f t="shared" si="243"/>
        <v>3</v>
      </c>
      <c r="BAP84">
        <f t="shared" si="243"/>
        <v>3</v>
      </c>
      <c r="BAQ84">
        <f t="shared" si="243"/>
        <v>3</v>
      </c>
      <c r="BAR84">
        <f t="shared" si="243"/>
        <v>3</v>
      </c>
      <c r="BAS84">
        <f t="shared" si="243"/>
        <v>3</v>
      </c>
      <c r="BAT84">
        <f t="shared" si="243"/>
        <v>3</v>
      </c>
      <c r="BAU84">
        <f t="shared" si="243"/>
        <v>3</v>
      </c>
      <c r="BAV84">
        <f t="shared" si="243"/>
        <v>3</v>
      </c>
      <c r="BAW84">
        <f t="shared" si="243"/>
        <v>3</v>
      </c>
      <c r="BAX84">
        <f t="shared" si="243"/>
        <v>3</v>
      </c>
      <c r="BAY84">
        <f t="shared" si="243"/>
        <v>3</v>
      </c>
      <c r="BAZ84">
        <f t="shared" si="243"/>
        <v>3</v>
      </c>
      <c r="BBA84">
        <f t="shared" si="243"/>
        <v>3</v>
      </c>
      <c r="BBB84">
        <f t="shared" si="243"/>
        <v>3</v>
      </c>
      <c r="BBC84">
        <f t="shared" ref="BBC84:BDN84" si="244">COUNTBLANK(BBC2:BBC5)</f>
        <v>3</v>
      </c>
      <c r="BBD84">
        <f t="shared" si="244"/>
        <v>3</v>
      </c>
      <c r="BBE84">
        <f t="shared" si="244"/>
        <v>3</v>
      </c>
      <c r="BBF84">
        <f t="shared" si="244"/>
        <v>3</v>
      </c>
      <c r="BBG84">
        <f t="shared" si="244"/>
        <v>3</v>
      </c>
      <c r="BBH84">
        <f t="shared" si="244"/>
        <v>3</v>
      </c>
      <c r="BBI84">
        <f t="shared" si="244"/>
        <v>3</v>
      </c>
      <c r="BBJ84">
        <f t="shared" si="244"/>
        <v>3</v>
      </c>
      <c r="BBK84">
        <f t="shared" si="244"/>
        <v>3</v>
      </c>
      <c r="BBL84">
        <f t="shared" si="244"/>
        <v>3</v>
      </c>
      <c r="BBM84">
        <f t="shared" si="244"/>
        <v>3</v>
      </c>
      <c r="BBN84">
        <f t="shared" si="244"/>
        <v>3</v>
      </c>
      <c r="BBO84">
        <f t="shared" si="244"/>
        <v>3</v>
      </c>
      <c r="BBP84">
        <f t="shared" si="244"/>
        <v>3</v>
      </c>
      <c r="BBQ84">
        <f t="shared" si="244"/>
        <v>3</v>
      </c>
      <c r="BBR84">
        <f t="shared" si="244"/>
        <v>3</v>
      </c>
      <c r="BBS84">
        <f t="shared" si="244"/>
        <v>3</v>
      </c>
      <c r="BBT84">
        <f t="shared" si="244"/>
        <v>3</v>
      </c>
      <c r="BBU84">
        <f t="shared" si="244"/>
        <v>3</v>
      </c>
      <c r="BBV84">
        <f t="shared" si="244"/>
        <v>3</v>
      </c>
      <c r="BBW84">
        <f t="shared" si="244"/>
        <v>3</v>
      </c>
      <c r="BBX84">
        <f t="shared" si="244"/>
        <v>3</v>
      </c>
      <c r="BBY84">
        <f t="shared" si="244"/>
        <v>3</v>
      </c>
      <c r="BBZ84">
        <f t="shared" si="244"/>
        <v>3</v>
      </c>
      <c r="BCA84">
        <f t="shared" si="244"/>
        <v>3</v>
      </c>
      <c r="BCB84">
        <f t="shared" si="244"/>
        <v>3</v>
      </c>
      <c r="BCC84">
        <f t="shared" si="244"/>
        <v>3</v>
      </c>
      <c r="BCD84">
        <f t="shared" si="244"/>
        <v>3</v>
      </c>
      <c r="BCE84">
        <f t="shared" si="244"/>
        <v>3</v>
      </c>
      <c r="BCF84">
        <f t="shared" si="244"/>
        <v>3</v>
      </c>
      <c r="BCG84">
        <f t="shared" si="244"/>
        <v>3</v>
      </c>
      <c r="BCH84">
        <f t="shared" si="244"/>
        <v>3</v>
      </c>
      <c r="BCI84">
        <f t="shared" si="244"/>
        <v>3</v>
      </c>
      <c r="BCJ84">
        <f t="shared" si="244"/>
        <v>3</v>
      </c>
      <c r="BCK84">
        <f t="shared" si="244"/>
        <v>3</v>
      </c>
      <c r="BCL84">
        <f t="shared" si="244"/>
        <v>3</v>
      </c>
      <c r="BCM84">
        <f t="shared" si="244"/>
        <v>3</v>
      </c>
      <c r="BCN84">
        <f t="shared" si="244"/>
        <v>3</v>
      </c>
      <c r="BCO84">
        <f t="shared" si="244"/>
        <v>3</v>
      </c>
      <c r="BCP84">
        <f t="shared" si="244"/>
        <v>3</v>
      </c>
      <c r="BCQ84">
        <f t="shared" si="244"/>
        <v>3</v>
      </c>
      <c r="BCR84">
        <f t="shared" si="244"/>
        <v>3</v>
      </c>
      <c r="BCS84">
        <f t="shared" si="244"/>
        <v>3</v>
      </c>
      <c r="BCT84">
        <f t="shared" si="244"/>
        <v>3</v>
      </c>
      <c r="BCU84">
        <f t="shared" si="244"/>
        <v>3</v>
      </c>
      <c r="BCV84">
        <f t="shared" si="244"/>
        <v>3</v>
      </c>
      <c r="BCW84">
        <f t="shared" si="244"/>
        <v>3</v>
      </c>
      <c r="BCX84">
        <f t="shared" si="244"/>
        <v>3</v>
      </c>
      <c r="BCY84">
        <f t="shared" si="244"/>
        <v>3</v>
      </c>
      <c r="BCZ84">
        <f t="shared" si="244"/>
        <v>3</v>
      </c>
      <c r="BDA84">
        <f t="shared" si="244"/>
        <v>3</v>
      </c>
      <c r="BDB84">
        <f t="shared" si="244"/>
        <v>3</v>
      </c>
      <c r="BDC84">
        <f t="shared" si="244"/>
        <v>3</v>
      </c>
      <c r="BDD84">
        <f t="shared" si="244"/>
        <v>3</v>
      </c>
      <c r="BDE84">
        <f t="shared" si="244"/>
        <v>3</v>
      </c>
      <c r="BDF84">
        <f t="shared" si="244"/>
        <v>3</v>
      </c>
      <c r="BDG84">
        <f t="shared" si="244"/>
        <v>3</v>
      </c>
      <c r="BDH84">
        <f t="shared" si="244"/>
        <v>3</v>
      </c>
      <c r="BDI84">
        <f t="shared" si="244"/>
        <v>3</v>
      </c>
      <c r="BDJ84">
        <f t="shared" si="244"/>
        <v>3</v>
      </c>
      <c r="BDK84">
        <f t="shared" si="244"/>
        <v>3</v>
      </c>
      <c r="BDL84">
        <f t="shared" si="244"/>
        <v>3</v>
      </c>
      <c r="BDM84">
        <f t="shared" si="244"/>
        <v>3</v>
      </c>
      <c r="BDN84">
        <f t="shared" si="244"/>
        <v>3</v>
      </c>
      <c r="BDO84">
        <f t="shared" ref="BDO84:BFZ84" si="245">COUNTBLANK(BDO2:BDO5)</f>
        <v>3</v>
      </c>
      <c r="BDP84">
        <f t="shared" si="245"/>
        <v>3</v>
      </c>
      <c r="BDQ84">
        <f t="shared" si="245"/>
        <v>3</v>
      </c>
      <c r="BDR84">
        <f t="shared" si="245"/>
        <v>3</v>
      </c>
      <c r="BDS84">
        <f t="shared" si="245"/>
        <v>3</v>
      </c>
      <c r="BDT84">
        <f t="shared" si="245"/>
        <v>3</v>
      </c>
      <c r="BDU84">
        <f t="shared" si="245"/>
        <v>3</v>
      </c>
      <c r="BDV84">
        <f t="shared" si="245"/>
        <v>3</v>
      </c>
      <c r="BDW84">
        <f t="shared" si="245"/>
        <v>3</v>
      </c>
      <c r="BDX84">
        <f t="shared" si="245"/>
        <v>3</v>
      </c>
      <c r="BDY84">
        <f t="shared" si="245"/>
        <v>3</v>
      </c>
      <c r="BDZ84">
        <f t="shared" si="245"/>
        <v>3</v>
      </c>
      <c r="BEA84">
        <f t="shared" si="245"/>
        <v>3</v>
      </c>
      <c r="BEB84">
        <f t="shared" si="245"/>
        <v>3</v>
      </c>
      <c r="BEC84">
        <f t="shared" si="245"/>
        <v>3</v>
      </c>
      <c r="BED84">
        <f t="shared" si="245"/>
        <v>3</v>
      </c>
      <c r="BEE84">
        <f t="shared" si="245"/>
        <v>3</v>
      </c>
      <c r="BEF84">
        <f t="shared" si="245"/>
        <v>3</v>
      </c>
      <c r="BEG84">
        <f t="shared" si="245"/>
        <v>3</v>
      </c>
      <c r="BEH84">
        <f t="shared" si="245"/>
        <v>3</v>
      </c>
      <c r="BEI84">
        <f t="shared" si="245"/>
        <v>3</v>
      </c>
      <c r="BEJ84">
        <f t="shared" si="245"/>
        <v>3</v>
      </c>
      <c r="BEK84">
        <f t="shared" si="245"/>
        <v>3</v>
      </c>
      <c r="BEL84">
        <f t="shared" si="245"/>
        <v>3</v>
      </c>
      <c r="BEM84">
        <f t="shared" si="245"/>
        <v>3</v>
      </c>
      <c r="BEN84">
        <f t="shared" si="245"/>
        <v>3</v>
      </c>
      <c r="BEO84">
        <f t="shared" si="245"/>
        <v>3</v>
      </c>
      <c r="BEP84">
        <f t="shared" si="245"/>
        <v>3</v>
      </c>
      <c r="BEQ84">
        <f t="shared" si="245"/>
        <v>3</v>
      </c>
      <c r="BER84">
        <f t="shared" si="245"/>
        <v>3</v>
      </c>
      <c r="BES84">
        <f t="shared" si="245"/>
        <v>3</v>
      </c>
      <c r="BET84">
        <f t="shared" si="245"/>
        <v>3</v>
      </c>
      <c r="BEU84">
        <f t="shared" si="245"/>
        <v>3</v>
      </c>
      <c r="BEV84">
        <f t="shared" si="245"/>
        <v>3</v>
      </c>
      <c r="BEW84">
        <f t="shared" si="245"/>
        <v>3</v>
      </c>
      <c r="BEX84">
        <f t="shared" si="245"/>
        <v>3</v>
      </c>
      <c r="BEY84">
        <f t="shared" si="245"/>
        <v>3</v>
      </c>
      <c r="BEZ84">
        <f t="shared" si="245"/>
        <v>3</v>
      </c>
      <c r="BFA84">
        <f t="shared" si="245"/>
        <v>3</v>
      </c>
      <c r="BFB84">
        <f t="shared" si="245"/>
        <v>3</v>
      </c>
      <c r="BFC84">
        <f t="shared" si="245"/>
        <v>3</v>
      </c>
      <c r="BFD84">
        <f t="shared" si="245"/>
        <v>3</v>
      </c>
      <c r="BFE84">
        <f t="shared" si="245"/>
        <v>3</v>
      </c>
      <c r="BFF84">
        <f t="shared" si="245"/>
        <v>3</v>
      </c>
      <c r="BFG84">
        <f t="shared" si="245"/>
        <v>3</v>
      </c>
      <c r="BFH84">
        <f t="shared" si="245"/>
        <v>3</v>
      </c>
      <c r="BFI84">
        <f t="shared" si="245"/>
        <v>3</v>
      </c>
      <c r="BFJ84">
        <f t="shared" si="245"/>
        <v>3</v>
      </c>
      <c r="BFK84">
        <f t="shared" si="245"/>
        <v>3</v>
      </c>
      <c r="BFL84">
        <f t="shared" si="245"/>
        <v>3</v>
      </c>
      <c r="BFM84">
        <f t="shared" si="245"/>
        <v>3</v>
      </c>
      <c r="BFN84">
        <f t="shared" si="245"/>
        <v>3</v>
      </c>
      <c r="BFO84">
        <f t="shared" si="245"/>
        <v>3</v>
      </c>
      <c r="BFP84">
        <f t="shared" si="245"/>
        <v>3</v>
      </c>
      <c r="BFQ84">
        <f t="shared" si="245"/>
        <v>3</v>
      </c>
      <c r="BFR84">
        <f t="shared" si="245"/>
        <v>3</v>
      </c>
      <c r="BFS84">
        <f t="shared" si="245"/>
        <v>3</v>
      </c>
      <c r="BFT84">
        <f t="shared" si="245"/>
        <v>3</v>
      </c>
      <c r="BFU84">
        <f t="shared" si="245"/>
        <v>3</v>
      </c>
      <c r="BFV84">
        <f t="shared" si="245"/>
        <v>3</v>
      </c>
      <c r="BFW84">
        <f t="shared" si="245"/>
        <v>3</v>
      </c>
      <c r="BFX84">
        <f t="shared" si="245"/>
        <v>3</v>
      </c>
      <c r="BFY84">
        <f t="shared" si="245"/>
        <v>3</v>
      </c>
      <c r="BFZ84">
        <f t="shared" si="245"/>
        <v>3</v>
      </c>
      <c r="BGA84">
        <f t="shared" ref="BGA84:BIL84" si="246">COUNTBLANK(BGA2:BGA5)</f>
        <v>3</v>
      </c>
      <c r="BGB84">
        <f t="shared" si="246"/>
        <v>3</v>
      </c>
      <c r="BGC84">
        <f t="shared" si="246"/>
        <v>3</v>
      </c>
      <c r="BGD84">
        <f t="shared" si="246"/>
        <v>3</v>
      </c>
      <c r="BGE84">
        <f t="shared" si="246"/>
        <v>3</v>
      </c>
      <c r="BGF84">
        <f t="shared" si="246"/>
        <v>3</v>
      </c>
      <c r="BGG84">
        <f t="shared" si="246"/>
        <v>3</v>
      </c>
      <c r="BGH84">
        <f t="shared" si="246"/>
        <v>3</v>
      </c>
      <c r="BGI84">
        <f t="shared" si="246"/>
        <v>3</v>
      </c>
      <c r="BGJ84">
        <f t="shared" si="246"/>
        <v>3</v>
      </c>
      <c r="BGK84">
        <f t="shared" si="246"/>
        <v>3</v>
      </c>
      <c r="BGL84">
        <f t="shared" si="246"/>
        <v>3</v>
      </c>
      <c r="BGM84">
        <f t="shared" si="246"/>
        <v>3</v>
      </c>
      <c r="BGN84">
        <f t="shared" si="246"/>
        <v>3</v>
      </c>
      <c r="BGO84">
        <f t="shared" si="246"/>
        <v>3</v>
      </c>
      <c r="BGP84">
        <f t="shared" si="246"/>
        <v>3</v>
      </c>
      <c r="BGQ84">
        <f t="shared" si="246"/>
        <v>3</v>
      </c>
      <c r="BGR84">
        <f t="shared" si="246"/>
        <v>3</v>
      </c>
      <c r="BGS84">
        <f t="shared" si="246"/>
        <v>3</v>
      </c>
      <c r="BGT84">
        <f t="shared" si="246"/>
        <v>3</v>
      </c>
      <c r="BGU84">
        <f t="shared" si="246"/>
        <v>3</v>
      </c>
      <c r="BGV84">
        <f t="shared" si="246"/>
        <v>3</v>
      </c>
      <c r="BGW84">
        <f t="shared" si="246"/>
        <v>3</v>
      </c>
      <c r="BGX84">
        <f t="shared" si="246"/>
        <v>3</v>
      </c>
      <c r="BGY84">
        <f t="shared" si="246"/>
        <v>3</v>
      </c>
      <c r="BGZ84">
        <f t="shared" si="246"/>
        <v>3</v>
      </c>
      <c r="BHA84">
        <f t="shared" si="246"/>
        <v>3</v>
      </c>
      <c r="BHB84">
        <f t="shared" si="246"/>
        <v>3</v>
      </c>
      <c r="BHC84">
        <f t="shared" si="246"/>
        <v>3</v>
      </c>
      <c r="BHD84">
        <f t="shared" si="246"/>
        <v>3</v>
      </c>
      <c r="BHE84">
        <f t="shared" si="246"/>
        <v>3</v>
      </c>
      <c r="BHF84">
        <f t="shared" si="246"/>
        <v>3</v>
      </c>
      <c r="BHG84">
        <f t="shared" si="246"/>
        <v>3</v>
      </c>
      <c r="BHH84">
        <f t="shared" si="246"/>
        <v>3</v>
      </c>
      <c r="BHI84">
        <f t="shared" si="246"/>
        <v>3</v>
      </c>
      <c r="BHJ84">
        <f t="shared" si="246"/>
        <v>3</v>
      </c>
      <c r="BHK84">
        <f t="shared" si="246"/>
        <v>3</v>
      </c>
      <c r="BHL84">
        <f t="shared" si="246"/>
        <v>3</v>
      </c>
      <c r="BHM84">
        <f t="shared" si="246"/>
        <v>3</v>
      </c>
      <c r="BHN84">
        <f t="shared" si="246"/>
        <v>3</v>
      </c>
      <c r="BHO84">
        <f t="shared" si="246"/>
        <v>3</v>
      </c>
      <c r="BHP84">
        <f t="shared" si="246"/>
        <v>3</v>
      </c>
      <c r="BHQ84">
        <f t="shared" si="246"/>
        <v>3</v>
      </c>
      <c r="BHR84">
        <f t="shared" si="246"/>
        <v>3</v>
      </c>
      <c r="BHS84">
        <f t="shared" si="246"/>
        <v>3</v>
      </c>
      <c r="BHT84">
        <f t="shared" si="246"/>
        <v>3</v>
      </c>
      <c r="BHU84">
        <f t="shared" si="246"/>
        <v>3</v>
      </c>
      <c r="BHV84">
        <f t="shared" si="246"/>
        <v>3</v>
      </c>
      <c r="BHW84">
        <f t="shared" si="246"/>
        <v>3</v>
      </c>
      <c r="BHX84">
        <f t="shared" si="246"/>
        <v>3</v>
      </c>
      <c r="BHY84">
        <f t="shared" si="246"/>
        <v>2</v>
      </c>
      <c r="BHZ84">
        <f t="shared" si="246"/>
        <v>2</v>
      </c>
      <c r="BIA84">
        <f t="shared" si="246"/>
        <v>2</v>
      </c>
      <c r="BIB84">
        <f t="shared" si="246"/>
        <v>2</v>
      </c>
      <c r="BIC84">
        <f t="shared" si="246"/>
        <v>2</v>
      </c>
      <c r="BID84">
        <f t="shared" si="246"/>
        <v>2</v>
      </c>
      <c r="BIE84">
        <f t="shared" si="246"/>
        <v>2</v>
      </c>
      <c r="BIF84">
        <f t="shared" si="246"/>
        <v>2</v>
      </c>
      <c r="BIG84">
        <f t="shared" si="246"/>
        <v>2</v>
      </c>
      <c r="BIH84">
        <f t="shared" si="246"/>
        <v>2</v>
      </c>
      <c r="BII84">
        <f t="shared" si="246"/>
        <v>2</v>
      </c>
      <c r="BIJ84">
        <f t="shared" si="246"/>
        <v>2</v>
      </c>
      <c r="BIK84">
        <f t="shared" si="246"/>
        <v>2</v>
      </c>
      <c r="BIL84">
        <f t="shared" si="246"/>
        <v>3</v>
      </c>
      <c r="BIM84">
        <f t="shared" ref="BIM84:BKX84" si="247">COUNTBLANK(BIM2:BIM5)</f>
        <v>3</v>
      </c>
      <c r="BIN84">
        <f t="shared" si="247"/>
        <v>3</v>
      </c>
      <c r="BIO84">
        <f t="shared" si="247"/>
        <v>3</v>
      </c>
      <c r="BIP84">
        <f t="shared" si="247"/>
        <v>3</v>
      </c>
      <c r="BIQ84">
        <f t="shared" si="247"/>
        <v>3</v>
      </c>
      <c r="BIR84">
        <f t="shared" si="247"/>
        <v>3</v>
      </c>
      <c r="BIS84">
        <f t="shared" si="247"/>
        <v>3</v>
      </c>
      <c r="BIT84">
        <f t="shared" si="247"/>
        <v>3</v>
      </c>
      <c r="BIU84">
        <f t="shared" si="247"/>
        <v>3</v>
      </c>
      <c r="BIV84">
        <f t="shared" si="247"/>
        <v>3</v>
      </c>
      <c r="BIW84">
        <f t="shared" si="247"/>
        <v>3</v>
      </c>
      <c r="BIX84">
        <f t="shared" si="247"/>
        <v>3</v>
      </c>
      <c r="BIY84">
        <f t="shared" si="247"/>
        <v>3</v>
      </c>
      <c r="BIZ84">
        <f t="shared" si="247"/>
        <v>3</v>
      </c>
      <c r="BJA84">
        <f t="shared" si="247"/>
        <v>3</v>
      </c>
      <c r="BJB84">
        <f t="shared" si="247"/>
        <v>3</v>
      </c>
      <c r="BJC84">
        <f t="shared" si="247"/>
        <v>3</v>
      </c>
      <c r="BJD84">
        <f t="shared" si="247"/>
        <v>3</v>
      </c>
      <c r="BJE84">
        <f t="shared" si="247"/>
        <v>3</v>
      </c>
      <c r="BJF84">
        <f t="shared" si="247"/>
        <v>3</v>
      </c>
      <c r="BJG84">
        <f t="shared" si="247"/>
        <v>3</v>
      </c>
      <c r="BJH84">
        <f t="shared" si="247"/>
        <v>3</v>
      </c>
      <c r="BJI84">
        <f t="shared" si="247"/>
        <v>3</v>
      </c>
      <c r="BJJ84">
        <f t="shared" si="247"/>
        <v>3</v>
      </c>
      <c r="BJK84">
        <f t="shared" si="247"/>
        <v>3</v>
      </c>
      <c r="BJL84">
        <f t="shared" si="247"/>
        <v>3</v>
      </c>
      <c r="BJM84">
        <f t="shared" si="247"/>
        <v>3</v>
      </c>
      <c r="BJN84">
        <f t="shared" si="247"/>
        <v>3</v>
      </c>
      <c r="BJO84">
        <f t="shared" si="247"/>
        <v>3</v>
      </c>
      <c r="BJP84">
        <f t="shared" si="247"/>
        <v>3</v>
      </c>
      <c r="BJQ84">
        <f t="shared" si="247"/>
        <v>3</v>
      </c>
      <c r="BJR84">
        <f t="shared" si="247"/>
        <v>3</v>
      </c>
      <c r="BJS84">
        <f t="shared" si="247"/>
        <v>3</v>
      </c>
      <c r="BJT84">
        <f t="shared" si="247"/>
        <v>3</v>
      </c>
      <c r="BJU84">
        <f t="shared" si="247"/>
        <v>3</v>
      </c>
      <c r="BJV84">
        <f t="shared" si="247"/>
        <v>3</v>
      </c>
      <c r="BJW84">
        <f t="shared" si="247"/>
        <v>3</v>
      </c>
      <c r="BJX84">
        <f t="shared" si="247"/>
        <v>3</v>
      </c>
      <c r="BJY84">
        <f t="shared" si="247"/>
        <v>3</v>
      </c>
      <c r="BJZ84">
        <f t="shared" si="247"/>
        <v>3</v>
      </c>
      <c r="BKA84">
        <f t="shared" si="247"/>
        <v>3</v>
      </c>
      <c r="BKB84">
        <f t="shared" si="247"/>
        <v>3</v>
      </c>
      <c r="BKC84">
        <f t="shared" si="247"/>
        <v>3</v>
      </c>
      <c r="BKD84">
        <f t="shared" si="247"/>
        <v>3</v>
      </c>
      <c r="BKE84">
        <f t="shared" si="247"/>
        <v>3</v>
      </c>
      <c r="BKF84">
        <f t="shared" si="247"/>
        <v>3</v>
      </c>
      <c r="BKG84">
        <f t="shared" si="247"/>
        <v>3</v>
      </c>
      <c r="BKH84">
        <f t="shared" si="247"/>
        <v>3</v>
      </c>
      <c r="BKI84">
        <f t="shared" si="247"/>
        <v>3</v>
      </c>
      <c r="BKJ84">
        <f t="shared" si="247"/>
        <v>3</v>
      </c>
      <c r="BKK84">
        <f t="shared" si="247"/>
        <v>3</v>
      </c>
      <c r="BKL84">
        <f t="shared" si="247"/>
        <v>3</v>
      </c>
      <c r="BKM84">
        <f t="shared" si="247"/>
        <v>3</v>
      </c>
      <c r="BKN84">
        <f t="shared" si="247"/>
        <v>3</v>
      </c>
      <c r="BKO84">
        <f t="shared" si="247"/>
        <v>3</v>
      </c>
      <c r="BKP84">
        <f t="shared" si="247"/>
        <v>3</v>
      </c>
      <c r="BKQ84">
        <f t="shared" si="247"/>
        <v>3</v>
      </c>
      <c r="BKR84">
        <f t="shared" si="247"/>
        <v>3</v>
      </c>
      <c r="BKS84">
        <f t="shared" si="247"/>
        <v>3</v>
      </c>
      <c r="BKT84">
        <f t="shared" si="247"/>
        <v>3</v>
      </c>
      <c r="BKU84">
        <f t="shared" si="247"/>
        <v>3</v>
      </c>
      <c r="BKV84">
        <f t="shared" si="247"/>
        <v>3</v>
      </c>
      <c r="BKW84">
        <f t="shared" si="247"/>
        <v>3</v>
      </c>
      <c r="BKX84">
        <f t="shared" si="247"/>
        <v>3</v>
      </c>
      <c r="BKY84">
        <f t="shared" ref="BKY84:BNJ84" si="248">COUNTBLANK(BKY2:BKY5)</f>
        <v>3</v>
      </c>
      <c r="BKZ84">
        <f t="shared" si="248"/>
        <v>3</v>
      </c>
      <c r="BLA84">
        <f t="shared" si="248"/>
        <v>3</v>
      </c>
      <c r="BLB84">
        <f t="shared" si="248"/>
        <v>3</v>
      </c>
      <c r="BLC84">
        <f t="shared" si="248"/>
        <v>3</v>
      </c>
      <c r="BLD84">
        <f t="shared" si="248"/>
        <v>3</v>
      </c>
      <c r="BLE84">
        <f t="shared" si="248"/>
        <v>3</v>
      </c>
      <c r="BLF84">
        <f t="shared" si="248"/>
        <v>3</v>
      </c>
      <c r="BLG84">
        <f t="shared" si="248"/>
        <v>3</v>
      </c>
      <c r="BLH84">
        <f t="shared" si="248"/>
        <v>3</v>
      </c>
      <c r="BLI84">
        <f t="shared" si="248"/>
        <v>3</v>
      </c>
      <c r="BLJ84">
        <f t="shared" si="248"/>
        <v>3</v>
      </c>
      <c r="BLK84">
        <f t="shared" si="248"/>
        <v>3</v>
      </c>
      <c r="BLL84">
        <f t="shared" si="248"/>
        <v>3</v>
      </c>
      <c r="BLM84">
        <f t="shared" si="248"/>
        <v>3</v>
      </c>
      <c r="BLN84">
        <f t="shared" si="248"/>
        <v>3</v>
      </c>
      <c r="BLO84">
        <f t="shared" si="248"/>
        <v>3</v>
      </c>
      <c r="BLP84">
        <f t="shared" si="248"/>
        <v>3</v>
      </c>
      <c r="BLQ84">
        <f t="shared" si="248"/>
        <v>3</v>
      </c>
      <c r="BLR84">
        <f t="shared" si="248"/>
        <v>3</v>
      </c>
      <c r="BLS84">
        <f t="shared" si="248"/>
        <v>3</v>
      </c>
      <c r="BLT84">
        <f t="shared" si="248"/>
        <v>3</v>
      </c>
      <c r="BLU84">
        <f t="shared" si="248"/>
        <v>3</v>
      </c>
      <c r="BLV84">
        <f t="shared" si="248"/>
        <v>3</v>
      </c>
      <c r="BLW84">
        <f t="shared" si="248"/>
        <v>3</v>
      </c>
      <c r="BLX84">
        <f t="shared" si="248"/>
        <v>3</v>
      </c>
      <c r="BLY84">
        <f t="shared" si="248"/>
        <v>3</v>
      </c>
      <c r="BLZ84">
        <f t="shared" si="248"/>
        <v>3</v>
      </c>
      <c r="BMA84">
        <f t="shared" si="248"/>
        <v>3</v>
      </c>
      <c r="BMB84">
        <f t="shared" si="248"/>
        <v>3</v>
      </c>
      <c r="BMC84">
        <f t="shared" si="248"/>
        <v>3</v>
      </c>
      <c r="BMD84">
        <f t="shared" si="248"/>
        <v>3</v>
      </c>
      <c r="BME84">
        <f t="shared" si="248"/>
        <v>3</v>
      </c>
      <c r="BMF84">
        <f t="shared" si="248"/>
        <v>3</v>
      </c>
      <c r="BMG84">
        <f t="shared" si="248"/>
        <v>3</v>
      </c>
      <c r="BMH84">
        <f t="shared" si="248"/>
        <v>3</v>
      </c>
      <c r="BMI84">
        <f t="shared" si="248"/>
        <v>3</v>
      </c>
      <c r="BMJ84">
        <f t="shared" si="248"/>
        <v>3</v>
      </c>
      <c r="BMK84">
        <f t="shared" si="248"/>
        <v>3</v>
      </c>
      <c r="BML84">
        <f t="shared" si="248"/>
        <v>3</v>
      </c>
      <c r="BMM84">
        <f t="shared" si="248"/>
        <v>3</v>
      </c>
      <c r="BMN84">
        <f t="shared" si="248"/>
        <v>3</v>
      </c>
      <c r="BMO84">
        <f t="shared" si="248"/>
        <v>3</v>
      </c>
      <c r="BMP84">
        <f t="shared" si="248"/>
        <v>3</v>
      </c>
      <c r="BMQ84">
        <f t="shared" si="248"/>
        <v>3</v>
      </c>
      <c r="BMR84">
        <f t="shared" si="248"/>
        <v>3</v>
      </c>
      <c r="BMS84">
        <f t="shared" si="248"/>
        <v>3</v>
      </c>
      <c r="BMT84">
        <f t="shared" si="248"/>
        <v>3</v>
      </c>
      <c r="BMU84">
        <f t="shared" si="248"/>
        <v>3</v>
      </c>
      <c r="BMV84">
        <f t="shared" si="248"/>
        <v>3</v>
      </c>
      <c r="BMW84">
        <f t="shared" si="248"/>
        <v>3</v>
      </c>
      <c r="BMX84">
        <f t="shared" si="248"/>
        <v>3</v>
      </c>
      <c r="BMY84">
        <f t="shared" si="248"/>
        <v>3</v>
      </c>
      <c r="BMZ84">
        <f t="shared" si="248"/>
        <v>3</v>
      </c>
      <c r="BNA84">
        <f t="shared" si="248"/>
        <v>3</v>
      </c>
      <c r="BNB84">
        <f t="shared" si="248"/>
        <v>3</v>
      </c>
      <c r="BNC84">
        <f t="shared" si="248"/>
        <v>3</v>
      </c>
      <c r="BND84">
        <f t="shared" si="248"/>
        <v>3</v>
      </c>
      <c r="BNE84">
        <f t="shared" si="248"/>
        <v>3</v>
      </c>
      <c r="BNF84">
        <f t="shared" si="248"/>
        <v>3</v>
      </c>
      <c r="BNG84">
        <f t="shared" si="248"/>
        <v>3</v>
      </c>
      <c r="BNH84">
        <f t="shared" si="248"/>
        <v>3</v>
      </c>
      <c r="BNI84">
        <f t="shared" si="248"/>
        <v>3</v>
      </c>
      <c r="BNJ84">
        <f t="shared" si="248"/>
        <v>3</v>
      </c>
      <c r="BNK84">
        <f t="shared" ref="BNK84:BPV84" si="249">COUNTBLANK(BNK2:BNK5)</f>
        <v>3</v>
      </c>
      <c r="BNL84">
        <f t="shared" si="249"/>
        <v>3</v>
      </c>
      <c r="BNM84">
        <f t="shared" si="249"/>
        <v>3</v>
      </c>
      <c r="BNN84">
        <f t="shared" si="249"/>
        <v>3</v>
      </c>
      <c r="BNO84">
        <f t="shared" si="249"/>
        <v>3</v>
      </c>
      <c r="BNP84">
        <f t="shared" si="249"/>
        <v>3</v>
      </c>
      <c r="BNQ84">
        <f t="shared" si="249"/>
        <v>3</v>
      </c>
      <c r="BNR84">
        <f t="shared" si="249"/>
        <v>3</v>
      </c>
      <c r="BNS84">
        <f t="shared" si="249"/>
        <v>3</v>
      </c>
      <c r="BNT84">
        <f t="shared" si="249"/>
        <v>3</v>
      </c>
      <c r="BNU84">
        <f t="shared" si="249"/>
        <v>3</v>
      </c>
      <c r="BNV84">
        <f t="shared" si="249"/>
        <v>3</v>
      </c>
      <c r="BNW84">
        <f t="shared" si="249"/>
        <v>3</v>
      </c>
      <c r="BNX84">
        <f t="shared" si="249"/>
        <v>3</v>
      </c>
      <c r="BNY84">
        <f t="shared" si="249"/>
        <v>3</v>
      </c>
      <c r="BNZ84">
        <f t="shared" si="249"/>
        <v>3</v>
      </c>
      <c r="BOA84">
        <f t="shared" si="249"/>
        <v>3</v>
      </c>
      <c r="BOB84">
        <f t="shared" si="249"/>
        <v>3</v>
      </c>
      <c r="BOC84">
        <f t="shared" si="249"/>
        <v>3</v>
      </c>
      <c r="BOD84">
        <f t="shared" si="249"/>
        <v>3</v>
      </c>
      <c r="BOE84">
        <f t="shared" si="249"/>
        <v>3</v>
      </c>
      <c r="BOF84">
        <f t="shared" si="249"/>
        <v>3</v>
      </c>
      <c r="BOG84">
        <f t="shared" si="249"/>
        <v>3</v>
      </c>
      <c r="BOH84">
        <f t="shared" si="249"/>
        <v>3</v>
      </c>
      <c r="BOI84">
        <f t="shared" si="249"/>
        <v>3</v>
      </c>
      <c r="BOJ84">
        <f t="shared" si="249"/>
        <v>3</v>
      </c>
      <c r="BOK84">
        <f t="shared" si="249"/>
        <v>3</v>
      </c>
      <c r="BOL84">
        <f t="shared" si="249"/>
        <v>3</v>
      </c>
      <c r="BOM84">
        <f t="shared" si="249"/>
        <v>3</v>
      </c>
      <c r="BON84">
        <f t="shared" si="249"/>
        <v>3</v>
      </c>
      <c r="BOO84">
        <f t="shared" si="249"/>
        <v>3</v>
      </c>
      <c r="BOP84">
        <f t="shared" si="249"/>
        <v>3</v>
      </c>
      <c r="BOQ84">
        <f t="shared" si="249"/>
        <v>3</v>
      </c>
      <c r="BOR84">
        <f t="shared" si="249"/>
        <v>3</v>
      </c>
      <c r="BOS84">
        <f t="shared" si="249"/>
        <v>3</v>
      </c>
      <c r="BOT84">
        <f t="shared" si="249"/>
        <v>3</v>
      </c>
      <c r="BOU84">
        <f t="shared" si="249"/>
        <v>3</v>
      </c>
      <c r="BOV84">
        <f t="shared" si="249"/>
        <v>3</v>
      </c>
      <c r="BOW84">
        <f t="shared" si="249"/>
        <v>3</v>
      </c>
      <c r="BOX84">
        <f t="shared" si="249"/>
        <v>3</v>
      </c>
      <c r="BOY84">
        <f t="shared" si="249"/>
        <v>3</v>
      </c>
      <c r="BOZ84">
        <f t="shared" si="249"/>
        <v>3</v>
      </c>
      <c r="BPA84">
        <f t="shared" si="249"/>
        <v>3</v>
      </c>
      <c r="BPB84">
        <f t="shared" si="249"/>
        <v>3</v>
      </c>
      <c r="BPC84">
        <f t="shared" si="249"/>
        <v>3</v>
      </c>
      <c r="BPD84">
        <f t="shared" si="249"/>
        <v>3</v>
      </c>
      <c r="BPE84">
        <f t="shared" si="249"/>
        <v>3</v>
      </c>
      <c r="BPF84">
        <f t="shared" si="249"/>
        <v>3</v>
      </c>
      <c r="BPG84">
        <f t="shared" si="249"/>
        <v>3</v>
      </c>
      <c r="BPH84">
        <f t="shared" si="249"/>
        <v>3</v>
      </c>
      <c r="BPI84">
        <f t="shared" si="249"/>
        <v>3</v>
      </c>
      <c r="BPJ84">
        <f t="shared" si="249"/>
        <v>3</v>
      </c>
      <c r="BPK84">
        <f t="shared" si="249"/>
        <v>3</v>
      </c>
      <c r="BPL84">
        <f t="shared" si="249"/>
        <v>3</v>
      </c>
      <c r="BPM84">
        <f t="shared" si="249"/>
        <v>3</v>
      </c>
      <c r="BPN84">
        <f t="shared" si="249"/>
        <v>3</v>
      </c>
      <c r="BPO84">
        <f t="shared" si="249"/>
        <v>3</v>
      </c>
      <c r="BPP84">
        <f t="shared" si="249"/>
        <v>3</v>
      </c>
      <c r="BPQ84">
        <f t="shared" si="249"/>
        <v>3</v>
      </c>
      <c r="BPR84">
        <f t="shared" si="249"/>
        <v>3</v>
      </c>
      <c r="BPS84">
        <f t="shared" si="249"/>
        <v>3</v>
      </c>
      <c r="BPT84">
        <f t="shared" si="249"/>
        <v>3</v>
      </c>
      <c r="BPU84">
        <f t="shared" si="249"/>
        <v>3</v>
      </c>
      <c r="BPV84">
        <f t="shared" si="249"/>
        <v>3</v>
      </c>
      <c r="BPW84">
        <f t="shared" ref="BPW84:BSH84" si="250">COUNTBLANK(BPW2:BPW5)</f>
        <v>3</v>
      </c>
      <c r="BPX84">
        <f t="shared" si="250"/>
        <v>3</v>
      </c>
      <c r="BPY84">
        <f t="shared" si="250"/>
        <v>3</v>
      </c>
      <c r="BPZ84">
        <f t="shared" si="250"/>
        <v>3</v>
      </c>
      <c r="BQA84">
        <f t="shared" si="250"/>
        <v>3</v>
      </c>
      <c r="BQB84">
        <f t="shared" si="250"/>
        <v>3</v>
      </c>
      <c r="BQC84">
        <f t="shared" si="250"/>
        <v>3</v>
      </c>
      <c r="BQD84">
        <f t="shared" si="250"/>
        <v>3</v>
      </c>
      <c r="BQE84">
        <f t="shared" si="250"/>
        <v>3</v>
      </c>
      <c r="BQF84">
        <f t="shared" si="250"/>
        <v>3</v>
      </c>
      <c r="BQG84">
        <f t="shared" si="250"/>
        <v>3</v>
      </c>
      <c r="BQH84">
        <f t="shared" si="250"/>
        <v>3</v>
      </c>
      <c r="BQI84">
        <f t="shared" si="250"/>
        <v>3</v>
      </c>
      <c r="BQJ84">
        <f t="shared" si="250"/>
        <v>3</v>
      </c>
      <c r="BQK84">
        <f t="shared" si="250"/>
        <v>3</v>
      </c>
      <c r="BQL84">
        <f t="shared" si="250"/>
        <v>3</v>
      </c>
      <c r="BQM84">
        <f t="shared" si="250"/>
        <v>3</v>
      </c>
      <c r="BQN84">
        <f t="shared" si="250"/>
        <v>3</v>
      </c>
      <c r="BQO84">
        <f t="shared" si="250"/>
        <v>3</v>
      </c>
      <c r="BQP84">
        <f t="shared" si="250"/>
        <v>3</v>
      </c>
      <c r="BQQ84">
        <f t="shared" si="250"/>
        <v>3</v>
      </c>
      <c r="BQR84">
        <f t="shared" si="250"/>
        <v>3</v>
      </c>
      <c r="BQS84">
        <f t="shared" si="250"/>
        <v>3</v>
      </c>
      <c r="BQT84">
        <f t="shared" si="250"/>
        <v>3</v>
      </c>
      <c r="BQU84">
        <f t="shared" si="250"/>
        <v>3</v>
      </c>
      <c r="BQV84">
        <f t="shared" si="250"/>
        <v>3</v>
      </c>
      <c r="BQW84">
        <f t="shared" si="250"/>
        <v>3</v>
      </c>
      <c r="BQX84">
        <f t="shared" si="250"/>
        <v>3</v>
      </c>
      <c r="BQY84">
        <f t="shared" si="250"/>
        <v>3</v>
      </c>
      <c r="BQZ84">
        <f t="shared" si="250"/>
        <v>3</v>
      </c>
      <c r="BRA84">
        <f t="shared" si="250"/>
        <v>3</v>
      </c>
      <c r="BRB84">
        <f t="shared" si="250"/>
        <v>3</v>
      </c>
      <c r="BRC84">
        <f t="shared" si="250"/>
        <v>3</v>
      </c>
      <c r="BRD84">
        <f t="shared" si="250"/>
        <v>3</v>
      </c>
      <c r="BRE84">
        <f t="shared" si="250"/>
        <v>3</v>
      </c>
      <c r="BRF84">
        <f t="shared" si="250"/>
        <v>3</v>
      </c>
      <c r="BRG84">
        <f t="shared" si="250"/>
        <v>3</v>
      </c>
      <c r="BRH84">
        <f t="shared" si="250"/>
        <v>3</v>
      </c>
      <c r="BRI84">
        <f t="shared" si="250"/>
        <v>3</v>
      </c>
      <c r="BRJ84">
        <f t="shared" si="250"/>
        <v>3</v>
      </c>
      <c r="BRK84">
        <f t="shared" si="250"/>
        <v>3</v>
      </c>
      <c r="BRL84">
        <f t="shared" si="250"/>
        <v>3</v>
      </c>
      <c r="BRM84">
        <f t="shared" si="250"/>
        <v>3</v>
      </c>
      <c r="BRN84">
        <f t="shared" si="250"/>
        <v>3</v>
      </c>
      <c r="BRO84">
        <f t="shared" si="250"/>
        <v>3</v>
      </c>
      <c r="BRP84">
        <f t="shared" si="250"/>
        <v>3</v>
      </c>
      <c r="BRQ84">
        <f t="shared" si="250"/>
        <v>3</v>
      </c>
      <c r="BRR84">
        <f t="shared" si="250"/>
        <v>3</v>
      </c>
      <c r="BRS84">
        <f t="shared" si="250"/>
        <v>3</v>
      </c>
      <c r="BRT84">
        <f t="shared" si="250"/>
        <v>3</v>
      </c>
      <c r="BRU84">
        <f t="shared" si="250"/>
        <v>3</v>
      </c>
      <c r="BRV84">
        <f t="shared" si="250"/>
        <v>3</v>
      </c>
      <c r="BRW84">
        <f t="shared" si="250"/>
        <v>3</v>
      </c>
      <c r="BRX84">
        <f t="shared" si="250"/>
        <v>3</v>
      </c>
      <c r="BRY84">
        <f t="shared" si="250"/>
        <v>3</v>
      </c>
      <c r="BRZ84">
        <f t="shared" si="250"/>
        <v>3</v>
      </c>
      <c r="BSA84">
        <f t="shared" si="250"/>
        <v>3</v>
      </c>
      <c r="BSB84">
        <f t="shared" si="250"/>
        <v>3</v>
      </c>
      <c r="BSC84">
        <f t="shared" si="250"/>
        <v>3</v>
      </c>
      <c r="BSD84">
        <f t="shared" si="250"/>
        <v>3</v>
      </c>
      <c r="BSE84">
        <f t="shared" si="250"/>
        <v>3</v>
      </c>
      <c r="BSF84">
        <f t="shared" si="250"/>
        <v>3</v>
      </c>
      <c r="BSG84">
        <f t="shared" si="250"/>
        <v>3</v>
      </c>
      <c r="BSH84">
        <f t="shared" si="250"/>
        <v>3</v>
      </c>
      <c r="BSI84">
        <f t="shared" ref="BSI84:BUT84" si="251">COUNTBLANK(BSI2:BSI5)</f>
        <v>3</v>
      </c>
      <c r="BSJ84">
        <f t="shared" si="251"/>
        <v>3</v>
      </c>
      <c r="BSK84">
        <f t="shared" si="251"/>
        <v>3</v>
      </c>
      <c r="BSL84">
        <f t="shared" si="251"/>
        <v>3</v>
      </c>
      <c r="BSM84">
        <f t="shared" si="251"/>
        <v>3</v>
      </c>
      <c r="BSN84">
        <f t="shared" si="251"/>
        <v>3</v>
      </c>
      <c r="BSO84">
        <f t="shared" si="251"/>
        <v>3</v>
      </c>
      <c r="BSP84">
        <f t="shared" si="251"/>
        <v>3</v>
      </c>
      <c r="BSQ84">
        <f t="shared" si="251"/>
        <v>3</v>
      </c>
      <c r="BSR84">
        <f t="shared" si="251"/>
        <v>3</v>
      </c>
      <c r="BSS84">
        <f t="shared" si="251"/>
        <v>3</v>
      </c>
      <c r="BST84">
        <f>COUNTBLANK(BST2:BST5)</f>
        <v>3</v>
      </c>
      <c r="BSU84">
        <f t="shared" si="251"/>
        <v>3</v>
      </c>
      <c r="BSV84">
        <f t="shared" si="251"/>
        <v>3</v>
      </c>
      <c r="BSW84">
        <f t="shared" si="251"/>
        <v>3</v>
      </c>
      <c r="BSX84">
        <f t="shared" si="251"/>
        <v>3</v>
      </c>
      <c r="BSY84">
        <f t="shared" si="251"/>
        <v>3</v>
      </c>
      <c r="BSZ84">
        <f t="shared" si="251"/>
        <v>3</v>
      </c>
      <c r="BTA84">
        <f t="shared" si="251"/>
        <v>3</v>
      </c>
      <c r="BTB84">
        <f t="shared" si="251"/>
        <v>2</v>
      </c>
      <c r="BTC84">
        <f t="shared" si="251"/>
        <v>2</v>
      </c>
      <c r="BTD84">
        <f t="shared" si="251"/>
        <v>2</v>
      </c>
      <c r="BTE84">
        <f t="shared" si="251"/>
        <v>2</v>
      </c>
      <c r="BTF84">
        <f t="shared" si="251"/>
        <v>2</v>
      </c>
      <c r="BTG84">
        <f t="shared" si="251"/>
        <v>2</v>
      </c>
      <c r="BTH84">
        <f t="shared" si="251"/>
        <v>2</v>
      </c>
      <c r="BTI84">
        <f t="shared" si="251"/>
        <v>2</v>
      </c>
      <c r="BTJ84">
        <f t="shared" si="251"/>
        <v>2</v>
      </c>
      <c r="BTK84">
        <f t="shared" si="251"/>
        <v>2</v>
      </c>
      <c r="BTL84">
        <f t="shared" si="251"/>
        <v>2</v>
      </c>
      <c r="BTM84">
        <f t="shared" si="251"/>
        <v>2</v>
      </c>
      <c r="BTN84">
        <f t="shared" si="251"/>
        <v>2</v>
      </c>
      <c r="BTO84">
        <f t="shared" si="251"/>
        <v>2</v>
      </c>
      <c r="BTP84">
        <f t="shared" si="251"/>
        <v>3</v>
      </c>
      <c r="BTQ84">
        <f t="shared" si="251"/>
        <v>3</v>
      </c>
      <c r="BTR84">
        <f t="shared" si="251"/>
        <v>3</v>
      </c>
      <c r="BTS84">
        <f t="shared" si="251"/>
        <v>3</v>
      </c>
      <c r="BTT84">
        <f t="shared" si="251"/>
        <v>3</v>
      </c>
      <c r="BTU84">
        <f t="shared" si="251"/>
        <v>3</v>
      </c>
      <c r="BTV84">
        <f t="shared" si="251"/>
        <v>3</v>
      </c>
      <c r="BTW84">
        <f t="shared" si="251"/>
        <v>3</v>
      </c>
      <c r="BTX84">
        <f t="shared" si="251"/>
        <v>3</v>
      </c>
      <c r="BTY84">
        <f t="shared" si="251"/>
        <v>3</v>
      </c>
      <c r="BTZ84">
        <f t="shared" si="251"/>
        <v>3</v>
      </c>
      <c r="BUA84">
        <f t="shared" si="251"/>
        <v>3</v>
      </c>
      <c r="BUB84">
        <f t="shared" si="251"/>
        <v>3</v>
      </c>
      <c r="BUC84">
        <f t="shared" si="251"/>
        <v>3</v>
      </c>
      <c r="BUD84">
        <f t="shared" si="251"/>
        <v>3</v>
      </c>
      <c r="BUE84">
        <f t="shared" si="251"/>
        <v>3</v>
      </c>
      <c r="BUF84">
        <f t="shared" si="251"/>
        <v>3</v>
      </c>
      <c r="BUG84">
        <f t="shared" si="251"/>
        <v>3</v>
      </c>
      <c r="BUH84">
        <f t="shared" si="251"/>
        <v>3</v>
      </c>
      <c r="BUI84">
        <f t="shared" si="251"/>
        <v>3</v>
      </c>
      <c r="BUJ84">
        <f t="shared" si="251"/>
        <v>3</v>
      </c>
      <c r="BUK84">
        <f t="shared" si="251"/>
        <v>3</v>
      </c>
      <c r="BUL84">
        <f t="shared" si="251"/>
        <v>3</v>
      </c>
      <c r="BUM84">
        <f t="shared" si="251"/>
        <v>3</v>
      </c>
      <c r="BUN84">
        <f t="shared" si="251"/>
        <v>3</v>
      </c>
      <c r="BUO84">
        <f t="shared" si="251"/>
        <v>3</v>
      </c>
      <c r="BUP84">
        <f t="shared" si="251"/>
        <v>3</v>
      </c>
      <c r="BUQ84">
        <f t="shared" si="251"/>
        <v>3</v>
      </c>
      <c r="BUR84">
        <f t="shared" si="251"/>
        <v>3</v>
      </c>
      <c r="BUS84">
        <f t="shared" si="251"/>
        <v>3</v>
      </c>
      <c r="BUT84">
        <f t="shared" si="251"/>
        <v>3</v>
      </c>
      <c r="BUU84">
        <f t="shared" ref="BUU84:BXF84" si="252">COUNTBLANK(BUU2:BUU5)</f>
        <v>3</v>
      </c>
      <c r="BUV84">
        <f t="shared" si="252"/>
        <v>3</v>
      </c>
      <c r="BUW84">
        <f t="shared" si="252"/>
        <v>3</v>
      </c>
      <c r="BUX84">
        <f t="shared" si="252"/>
        <v>3</v>
      </c>
      <c r="BUY84">
        <f t="shared" si="252"/>
        <v>3</v>
      </c>
      <c r="BUZ84">
        <f t="shared" si="252"/>
        <v>3</v>
      </c>
      <c r="BVA84">
        <f t="shared" si="252"/>
        <v>3</v>
      </c>
      <c r="BVB84">
        <f t="shared" si="252"/>
        <v>3</v>
      </c>
      <c r="BVC84">
        <f t="shared" si="252"/>
        <v>3</v>
      </c>
      <c r="BVD84">
        <f t="shared" si="252"/>
        <v>3</v>
      </c>
      <c r="BVE84">
        <f t="shared" si="252"/>
        <v>3</v>
      </c>
      <c r="BVF84">
        <f t="shared" si="252"/>
        <v>3</v>
      </c>
      <c r="BVG84">
        <f t="shared" si="252"/>
        <v>3</v>
      </c>
      <c r="BVH84">
        <f t="shared" si="252"/>
        <v>3</v>
      </c>
      <c r="BVI84">
        <f t="shared" si="252"/>
        <v>3</v>
      </c>
      <c r="BVJ84">
        <f t="shared" si="252"/>
        <v>3</v>
      </c>
      <c r="BVK84">
        <f t="shared" si="252"/>
        <v>3</v>
      </c>
      <c r="BVL84">
        <f t="shared" si="252"/>
        <v>3</v>
      </c>
      <c r="BVM84">
        <f t="shared" si="252"/>
        <v>3</v>
      </c>
      <c r="BVN84">
        <f t="shared" si="252"/>
        <v>3</v>
      </c>
      <c r="BVO84">
        <f t="shared" si="252"/>
        <v>3</v>
      </c>
      <c r="BVP84">
        <f t="shared" si="252"/>
        <v>3</v>
      </c>
      <c r="BVQ84">
        <f t="shared" si="252"/>
        <v>3</v>
      </c>
      <c r="BVR84">
        <f t="shared" si="252"/>
        <v>3</v>
      </c>
      <c r="BVS84">
        <f t="shared" si="252"/>
        <v>3</v>
      </c>
      <c r="BVT84">
        <f t="shared" si="252"/>
        <v>3</v>
      </c>
      <c r="BVU84">
        <f t="shared" si="252"/>
        <v>3</v>
      </c>
      <c r="BVV84">
        <f t="shared" si="252"/>
        <v>3</v>
      </c>
      <c r="BVW84">
        <f t="shared" si="252"/>
        <v>3</v>
      </c>
      <c r="BVX84">
        <f t="shared" si="252"/>
        <v>3</v>
      </c>
      <c r="BVY84">
        <f t="shared" si="252"/>
        <v>3</v>
      </c>
      <c r="BVZ84">
        <f t="shared" si="252"/>
        <v>3</v>
      </c>
      <c r="BWA84">
        <f t="shared" si="252"/>
        <v>3</v>
      </c>
      <c r="BWB84">
        <f t="shared" si="252"/>
        <v>3</v>
      </c>
      <c r="BWC84">
        <f t="shared" si="252"/>
        <v>3</v>
      </c>
      <c r="BWD84">
        <f t="shared" si="252"/>
        <v>3</v>
      </c>
      <c r="BWE84">
        <f t="shared" si="252"/>
        <v>3</v>
      </c>
      <c r="BWF84">
        <f t="shared" si="252"/>
        <v>3</v>
      </c>
      <c r="BWG84">
        <f t="shared" si="252"/>
        <v>3</v>
      </c>
      <c r="BWH84">
        <f t="shared" si="252"/>
        <v>3</v>
      </c>
      <c r="BWI84">
        <f t="shared" si="252"/>
        <v>3</v>
      </c>
      <c r="BWJ84">
        <f t="shared" si="252"/>
        <v>3</v>
      </c>
      <c r="BWK84">
        <f t="shared" si="252"/>
        <v>3</v>
      </c>
      <c r="BWL84">
        <f t="shared" si="252"/>
        <v>3</v>
      </c>
      <c r="BWM84">
        <f t="shared" si="252"/>
        <v>3</v>
      </c>
      <c r="BWN84">
        <f t="shared" si="252"/>
        <v>3</v>
      </c>
      <c r="BWO84">
        <f t="shared" si="252"/>
        <v>3</v>
      </c>
      <c r="BWP84">
        <f t="shared" si="252"/>
        <v>3</v>
      </c>
      <c r="BWQ84">
        <f t="shared" si="252"/>
        <v>3</v>
      </c>
      <c r="BWR84">
        <f t="shared" si="252"/>
        <v>3</v>
      </c>
      <c r="BWS84">
        <f t="shared" si="252"/>
        <v>3</v>
      </c>
      <c r="BWT84">
        <f t="shared" si="252"/>
        <v>3</v>
      </c>
      <c r="BWU84">
        <f t="shared" si="252"/>
        <v>3</v>
      </c>
      <c r="BWV84">
        <f t="shared" si="252"/>
        <v>3</v>
      </c>
      <c r="BWW84">
        <f t="shared" si="252"/>
        <v>3</v>
      </c>
      <c r="BWX84">
        <f t="shared" si="252"/>
        <v>3</v>
      </c>
      <c r="BWY84">
        <f t="shared" si="252"/>
        <v>3</v>
      </c>
      <c r="BWZ84">
        <f t="shared" si="252"/>
        <v>3</v>
      </c>
      <c r="BXA84">
        <f t="shared" si="252"/>
        <v>3</v>
      </c>
      <c r="BXB84">
        <f t="shared" si="252"/>
        <v>3</v>
      </c>
      <c r="BXC84">
        <f t="shared" si="252"/>
        <v>3</v>
      </c>
      <c r="BXD84">
        <f t="shared" si="252"/>
        <v>3</v>
      </c>
      <c r="BXE84">
        <f t="shared" si="252"/>
        <v>3</v>
      </c>
      <c r="BXF84">
        <f t="shared" si="252"/>
        <v>3</v>
      </c>
      <c r="BXG84">
        <f t="shared" ref="BXG84:BZR84" si="253">COUNTBLANK(BXG2:BXG5)</f>
        <v>3</v>
      </c>
      <c r="BXH84">
        <f t="shared" si="253"/>
        <v>3</v>
      </c>
      <c r="BXI84">
        <f t="shared" si="253"/>
        <v>3</v>
      </c>
      <c r="BXJ84">
        <f t="shared" si="253"/>
        <v>3</v>
      </c>
      <c r="BXK84">
        <f t="shared" si="253"/>
        <v>3</v>
      </c>
      <c r="BXL84">
        <f t="shared" si="253"/>
        <v>3</v>
      </c>
      <c r="BXM84">
        <f t="shared" si="253"/>
        <v>3</v>
      </c>
      <c r="BXN84">
        <f t="shared" si="253"/>
        <v>3</v>
      </c>
      <c r="BXO84">
        <f t="shared" si="253"/>
        <v>3</v>
      </c>
      <c r="BXP84">
        <f t="shared" si="253"/>
        <v>3</v>
      </c>
      <c r="BXQ84">
        <f t="shared" si="253"/>
        <v>3</v>
      </c>
      <c r="BXR84">
        <f t="shared" si="253"/>
        <v>3</v>
      </c>
      <c r="BXS84">
        <f t="shared" si="253"/>
        <v>3</v>
      </c>
      <c r="BXT84">
        <f t="shared" si="253"/>
        <v>3</v>
      </c>
      <c r="BXU84">
        <f t="shared" si="253"/>
        <v>3</v>
      </c>
      <c r="BXV84">
        <f t="shared" si="253"/>
        <v>3</v>
      </c>
      <c r="BXW84">
        <f t="shared" si="253"/>
        <v>3</v>
      </c>
      <c r="BXX84">
        <f t="shared" si="253"/>
        <v>3</v>
      </c>
      <c r="BXY84">
        <f t="shared" si="253"/>
        <v>3</v>
      </c>
      <c r="BXZ84">
        <f t="shared" si="253"/>
        <v>3</v>
      </c>
      <c r="BYA84">
        <f t="shared" si="253"/>
        <v>3</v>
      </c>
      <c r="BYB84">
        <f t="shared" si="253"/>
        <v>3</v>
      </c>
      <c r="BYC84">
        <f t="shared" si="253"/>
        <v>3</v>
      </c>
      <c r="BYD84">
        <f t="shared" si="253"/>
        <v>3</v>
      </c>
      <c r="BYE84">
        <f t="shared" si="253"/>
        <v>3</v>
      </c>
      <c r="BYF84">
        <f t="shared" si="253"/>
        <v>3</v>
      </c>
      <c r="BYG84">
        <f t="shared" si="253"/>
        <v>3</v>
      </c>
      <c r="BYH84">
        <f t="shared" si="253"/>
        <v>3</v>
      </c>
      <c r="BYI84">
        <f t="shared" si="253"/>
        <v>3</v>
      </c>
      <c r="BYJ84">
        <f t="shared" si="253"/>
        <v>3</v>
      </c>
      <c r="BYK84">
        <f t="shared" si="253"/>
        <v>3</v>
      </c>
      <c r="BYL84">
        <f t="shared" si="253"/>
        <v>3</v>
      </c>
      <c r="BYM84">
        <f t="shared" si="253"/>
        <v>3</v>
      </c>
      <c r="BYN84">
        <f t="shared" si="253"/>
        <v>3</v>
      </c>
      <c r="BYO84">
        <f t="shared" si="253"/>
        <v>3</v>
      </c>
      <c r="BYP84">
        <f t="shared" si="253"/>
        <v>3</v>
      </c>
      <c r="BYQ84">
        <f t="shared" si="253"/>
        <v>3</v>
      </c>
      <c r="BYR84">
        <f t="shared" si="253"/>
        <v>3</v>
      </c>
      <c r="BYS84">
        <f t="shared" si="253"/>
        <v>3</v>
      </c>
      <c r="BYT84">
        <f t="shared" si="253"/>
        <v>3</v>
      </c>
      <c r="BYU84">
        <f t="shared" si="253"/>
        <v>3</v>
      </c>
      <c r="BYV84">
        <f t="shared" si="253"/>
        <v>3</v>
      </c>
      <c r="BYW84">
        <f t="shared" si="253"/>
        <v>3</v>
      </c>
      <c r="BYX84">
        <f t="shared" si="253"/>
        <v>3</v>
      </c>
      <c r="BYY84">
        <f t="shared" si="253"/>
        <v>3</v>
      </c>
      <c r="BYZ84">
        <f t="shared" si="253"/>
        <v>3</v>
      </c>
      <c r="BZA84">
        <f t="shared" si="253"/>
        <v>3</v>
      </c>
      <c r="BZB84">
        <f t="shared" si="253"/>
        <v>3</v>
      </c>
      <c r="BZC84">
        <f t="shared" si="253"/>
        <v>3</v>
      </c>
      <c r="BZD84">
        <f t="shared" si="253"/>
        <v>3</v>
      </c>
      <c r="BZE84">
        <f t="shared" si="253"/>
        <v>3</v>
      </c>
      <c r="BZF84">
        <f t="shared" si="253"/>
        <v>3</v>
      </c>
      <c r="BZG84">
        <f t="shared" si="253"/>
        <v>3</v>
      </c>
      <c r="BZH84">
        <f t="shared" si="253"/>
        <v>3</v>
      </c>
      <c r="BZI84">
        <f t="shared" si="253"/>
        <v>3</v>
      </c>
      <c r="BZJ84">
        <f t="shared" si="253"/>
        <v>3</v>
      </c>
      <c r="BZK84">
        <f t="shared" si="253"/>
        <v>3</v>
      </c>
      <c r="BZL84">
        <f t="shared" si="253"/>
        <v>3</v>
      </c>
      <c r="BZM84">
        <f t="shared" si="253"/>
        <v>3</v>
      </c>
      <c r="BZN84">
        <f t="shared" si="253"/>
        <v>3</v>
      </c>
      <c r="BZO84">
        <f t="shared" si="253"/>
        <v>3</v>
      </c>
      <c r="BZP84">
        <f t="shared" si="253"/>
        <v>3</v>
      </c>
      <c r="BZQ84">
        <f t="shared" si="253"/>
        <v>3</v>
      </c>
      <c r="BZR84">
        <f t="shared" si="253"/>
        <v>3</v>
      </c>
      <c r="BZS84">
        <f t="shared" ref="BZS84:CCD84" si="254">COUNTBLANK(BZS2:BZS5)</f>
        <v>3</v>
      </c>
      <c r="BZT84">
        <f t="shared" si="254"/>
        <v>3</v>
      </c>
      <c r="BZU84">
        <f t="shared" si="254"/>
        <v>3</v>
      </c>
      <c r="BZV84">
        <f t="shared" si="254"/>
        <v>3</v>
      </c>
      <c r="BZW84">
        <f t="shared" si="254"/>
        <v>3</v>
      </c>
      <c r="BZX84">
        <f t="shared" si="254"/>
        <v>3</v>
      </c>
      <c r="BZY84">
        <f t="shared" si="254"/>
        <v>3</v>
      </c>
      <c r="BZZ84">
        <f t="shared" si="254"/>
        <v>3</v>
      </c>
      <c r="CAA84">
        <f t="shared" si="254"/>
        <v>3</v>
      </c>
      <c r="CAB84">
        <f t="shared" si="254"/>
        <v>3</v>
      </c>
      <c r="CAC84">
        <f t="shared" si="254"/>
        <v>3</v>
      </c>
      <c r="CAD84">
        <f t="shared" si="254"/>
        <v>3</v>
      </c>
      <c r="CAE84">
        <f t="shared" si="254"/>
        <v>3</v>
      </c>
      <c r="CAF84">
        <f t="shared" si="254"/>
        <v>3</v>
      </c>
      <c r="CAG84">
        <f t="shared" si="254"/>
        <v>3</v>
      </c>
      <c r="CAH84">
        <f t="shared" si="254"/>
        <v>3</v>
      </c>
      <c r="CAI84">
        <f t="shared" si="254"/>
        <v>3</v>
      </c>
      <c r="CAJ84">
        <f t="shared" si="254"/>
        <v>3</v>
      </c>
      <c r="CAK84">
        <f t="shared" si="254"/>
        <v>3</v>
      </c>
      <c r="CAL84">
        <f t="shared" si="254"/>
        <v>3</v>
      </c>
      <c r="CAM84">
        <f t="shared" si="254"/>
        <v>3</v>
      </c>
      <c r="CAN84">
        <f t="shared" si="254"/>
        <v>3</v>
      </c>
      <c r="CAO84">
        <f t="shared" si="254"/>
        <v>3</v>
      </c>
      <c r="CAP84">
        <f t="shared" si="254"/>
        <v>3</v>
      </c>
      <c r="CAQ84">
        <f t="shared" si="254"/>
        <v>3</v>
      </c>
      <c r="CAR84">
        <f t="shared" si="254"/>
        <v>3</v>
      </c>
      <c r="CAS84">
        <f t="shared" si="254"/>
        <v>3</v>
      </c>
      <c r="CAT84">
        <f t="shared" si="254"/>
        <v>3</v>
      </c>
      <c r="CAU84">
        <f t="shared" si="254"/>
        <v>3</v>
      </c>
      <c r="CAV84">
        <f t="shared" si="254"/>
        <v>3</v>
      </c>
      <c r="CAW84">
        <f t="shared" si="254"/>
        <v>3</v>
      </c>
      <c r="CAX84">
        <f t="shared" si="254"/>
        <v>3</v>
      </c>
      <c r="CAY84">
        <f t="shared" si="254"/>
        <v>3</v>
      </c>
      <c r="CAZ84">
        <f t="shared" si="254"/>
        <v>3</v>
      </c>
      <c r="CBA84">
        <f t="shared" si="254"/>
        <v>3</v>
      </c>
      <c r="CBB84">
        <f t="shared" si="254"/>
        <v>3</v>
      </c>
      <c r="CBC84">
        <f t="shared" si="254"/>
        <v>3</v>
      </c>
      <c r="CBD84">
        <f t="shared" si="254"/>
        <v>3</v>
      </c>
      <c r="CBE84">
        <f t="shared" si="254"/>
        <v>3</v>
      </c>
      <c r="CBF84">
        <f t="shared" si="254"/>
        <v>3</v>
      </c>
      <c r="CBG84">
        <f t="shared" si="254"/>
        <v>3</v>
      </c>
      <c r="CBH84">
        <f t="shared" si="254"/>
        <v>3</v>
      </c>
      <c r="CBI84">
        <f t="shared" si="254"/>
        <v>3</v>
      </c>
      <c r="CBJ84">
        <f t="shared" si="254"/>
        <v>3</v>
      </c>
      <c r="CBK84">
        <f t="shared" si="254"/>
        <v>3</v>
      </c>
      <c r="CBL84">
        <f t="shared" si="254"/>
        <v>3</v>
      </c>
      <c r="CBM84">
        <f t="shared" si="254"/>
        <v>3</v>
      </c>
      <c r="CBN84">
        <f t="shared" si="254"/>
        <v>3</v>
      </c>
      <c r="CBO84">
        <f t="shared" si="254"/>
        <v>3</v>
      </c>
      <c r="CBP84">
        <f t="shared" si="254"/>
        <v>3</v>
      </c>
      <c r="CBQ84">
        <f t="shared" si="254"/>
        <v>3</v>
      </c>
      <c r="CBR84">
        <f t="shared" si="254"/>
        <v>3</v>
      </c>
      <c r="CBS84">
        <f t="shared" si="254"/>
        <v>3</v>
      </c>
      <c r="CBT84">
        <f t="shared" si="254"/>
        <v>3</v>
      </c>
      <c r="CBU84">
        <f t="shared" si="254"/>
        <v>2</v>
      </c>
      <c r="CBV84">
        <f t="shared" si="254"/>
        <v>2</v>
      </c>
      <c r="CBW84">
        <f t="shared" si="254"/>
        <v>2</v>
      </c>
      <c r="CBX84">
        <f t="shared" si="254"/>
        <v>2</v>
      </c>
      <c r="CBY84">
        <f t="shared" si="254"/>
        <v>2</v>
      </c>
      <c r="CBZ84">
        <f t="shared" si="254"/>
        <v>2</v>
      </c>
      <c r="CCA84">
        <f t="shared" si="254"/>
        <v>2</v>
      </c>
      <c r="CCB84">
        <f t="shared" si="254"/>
        <v>2</v>
      </c>
      <c r="CCC84">
        <f t="shared" si="254"/>
        <v>2</v>
      </c>
      <c r="CCD84">
        <f t="shared" si="254"/>
        <v>2</v>
      </c>
      <c r="CCE84">
        <f t="shared" ref="CCE84:CEP84" si="255">COUNTBLANK(CCE2:CCE5)</f>
        <v>3</v>
      </c>
      <c r="CCF84">
        <f t="shared" si="255"/>
        <v>3</v>
      </c>
      <c r="CCG84">
        <f t="shared" si="255"/>
        <v>3</v>
      </c>
      <c r="CCH84">
        <f t="shared" si="255"/>
        <v>3</v>
      </c>
      <c r="CCI84">
        <f t="shared" si="255"/>
        <v>3</v>
      </c>
      <c r="CCJ84">
        <f t="shared" si="255"/>
        <v>3</v>
      </c>
      <c r="CCK84">
        <f t="shared" si="255"/>
        <v>3</v>
      </c>
      <c r="CCL84">
        <f t="shared" si="255"/>
        <v>3</v>
      </c>
      <c r="CCM84">
        <f t="shared" si="255"/>
        <v>3</v>
      </c>
      <c r="CCN84">
        <f t="shared" si="255"/>
        <v>3</v>
      </c>
      <c r="CCO84">
        <f t="shared" si="255"/>
        <v>3</v>
      </c>
      <c r="CCP84">
        <f t="shared" si="255"/>
        <v>3</v>
      </c>
      <c r="CCQ84">
        <f t="shared" si="255"/>
        <v>3</v>
      </c>
      <c r="CCR84">
        <f t="shared" si="255"/>
        <v>3</v>
      </c>
      <c r="CCS84">
        <f t="shared" si="255"/>
        <v>3</v>
      </c>
      <c r="CCT84">
        <f t="shared" si="255"/>
        <v>3</v>
      </c>
      <c r="CCU84">
        <f t="shared" si="255"/>
        <v>3</v>
      </c>
      <c r="CCV84">
        <f t="shared" si="255"/>
        <v>3</v>
      </c>
      <c r="CCW84">
        <f t="shared" si="255"/>
        <v>3</v>
      </c>
      <c r="CCX84">
        <f t="shared" si="255"/>
        <v>3</v>
      </c>
      <c r="CCY84">
        <f t="shared" si="255"/>
        <v>3</v>
      </c>
      <c r="CCZ84">
        <f t="shared" si="255"/>
        <v>3</v>
      </c>
      <c r="CDA84">
        <f t="shared" si="255"/>
        <v>3</v>
      </c>
      <c r="CDB84">
        <f t="shared" si="255"/>
        <v>3</v>
      </c>
      <c r="CDC84">
        <f t="shared" si="255"/>
        <v>3</v>
      </c>
      <c r="CDD84">
        <f t="shared" si="255"/>
        <v>3</v>
      </c>
      <c r="CDE84">
        <f t="shared" si="255"/>
        <v>3</v>
      </c>
      <c r="CDF84">
        <f t="shared" si="255"/>
        <v>3</v>
      </c>
      <c r="CDG84">
        <f t="shared" si="255"/>
        <v>3</v>
      </c>
      <c r="CDH84">
        <f t="shared" si="255"/>
        <v>3</v>
      </c>
      <c r="CDI84">
        <f t="shared" si="255"/>
        <v>3</v>
      </c>
      <c r="CDJ84">
        <f t="shared" si="255"/>
        <v>3</v>
      </c>
      <c r="CDK84">
        <f t="shared" si="255"/>
        <v>3</v>
      </c>
      <c r="CDL84">
        <f t="shared" si="255"/>
        <v>3</v>
      </c>
      <c r="CDM84">
        <f t="shared" si="255"/>
        <v>3</v>
      </c>
      <c r="CDN84">
        <f t="shared" si="255"/>
        <v>3</v>
      </c>
      <c r="CDO84">
        <f t="shared" si="255"/>
        <v>3</v>
      </c>
      <c r="CDP84">
        <f t="shared" si="255"/>
        <v>3</v>
      </c>
      <c r="CDQ84">
        <f t="shared" si="255"/>
        <v>3</v>
      </c>
      <c r="CDR84">
        <f t="shared" si="255"/>
        <v>3</v>
      </c>
      <c r="CDS84">
        <f t="shared" si="255"/>
        <v>3</v>
      </c>
      <c r="CDT84">
        <f t="shared" si="255"/>
        <v>3</v>
      </c>
      <c r="CDU84">
        <f t="shared" si="255"/>
        <v>3</v>
      </c>
      <c r="CDV84">
        <f t="shared" si="255"/>
        <v>3</v>
      </c>
      <c r="CDW84">
        <f t="shared" si="255"/>
        <v>3</v>
      </c>
      <c r="CDX84">
        <f t="shared" si="255"/>
        <v>3</v>
      </c>
      <c r="CDY84">
        <f t="shared" si="255"/>
        <v>3</v>
      </c>
      <c r="CDZ84">
        <f t="shared" si="255"/>
        <v>3</v>
      </c>
      <c r="CEA84">
        <f t="shared" si="255"/>
        <v>3</v>
      </c>
      <c r="CEB84">
        <f t="shared" si="255"/>
        <v>3</v>
      </c>
      <c r="CEC84">
        <f t="shared" si="255"/>
        <v>3</v>
      </c>
      <c r="CED84">
        <f t="shared" si="255"/>
        <v>3</v>
      </c>
      <c r="CEE84">
        <f t="shared" si="255"/>
        <v>3</v>
      </c>
      <c r="CEF84">
        <f t="shared" si="255"/>
        <v>3</v>
      </c>
      <c r="CEG84">
        <f t="shared" si="255"/>
        <v>3</v>
      </c>
      <c r="CEH84">
        <f t="shared" si="255"/>
        <v>3</v>
      </c>
      <c r="CEI84">
        <f t="shared" si="255"/>
        <v>3</v>
      </c>
      <c r="CEJ84">
        <f t="shared" si="255"/>
        <v>3</v>
      </c>
      <c r="CEK84">
        <f t="shared" si="255"/>
        <v>3</v>
      </c>
      <c r="CEL84">
        <f t="shared" si="255"/>
        <v>3</v>
      </c>
      <c r="CEM84">
        <f t="shared" si="255"/>
        <v>3</v>
      </c>
      <c r="CEN84">
        <f t="shared" si="255"/>
        <v>3</v>
      </c>
      <c r="CEO84">
        <f t="shared" si="255"/>
        <v>3</v>
      </c>
      <c r="CEP84">
        <f t="shared" si="255"/>
        <v>3</v>
      </c>
      <c r="CEQ84">
        <f t="shared" ref="CEQ84:CHB84" si="256">COUNTBLANK(CEQ2:CEQ5)</f>
        <v>3</v>
      </c>
      <c r="CER84">
        <f t="shared" si="256"/>
        <v>3</v>
      </c>
      <c r="CES84">
        <f t="shared" si="256"/>
        <v>3</v>
      </c>
      <c r="CET84">
        <f t="shared" si="256"/>
        <v>3</v>
      </c>
      <c r="CEU84">
        <f t="shared" si="256"/>
        <v>3</v>
      </c>
      <c r="CEV84">
        <f t="shared" si="256"/>
        <v>3</v>
      </c>
      <c r="CEW84">
        <f t="shared" si="256"/>
        <v>3</v>
      </c>
      <c r="CEX84">
        <f t="shared" si="256"/>
        <v>3</v>
      </c>
      <c r="CEY84">
        <f t="shared" si="256"/>
        <v>3</v>
      </c>
      <c r="CEZ84">
        <f t="shared" si="256"/>
        <v>3</v>
      </c>
      <c r="CFA84">
        <f t="shared" si="256"/>
        <v>3</v>
      </c>
      <c r="CFB84">
        <f t="shared" si="256"/>
        <v>3</v>
      </c>
      <c r="CFC84">
        <f t="shared" si="256"/>
        <v>3</v>
      </c>
      <c r="CFD84">
        <f t="shared" si="256"/>
        <v>3</v>
      </c>
      <c r="CFE84">
        <f t="shared" si="256"/>
        <v>3</v>
      </c>
      <c r="CFF84">
        <f t="shared" si="256"/>
        <v>3</v>
      </c>
      <c r="CFG84">
        <f t="shared" si="256"/>
        <v>3</v>
      </c>
      <c r="CFH84">
        <f t="shared" si="256"/>
        <v>3</v>
      </c>
      <c r="CFI84">
        <f t="shared" si="256"/>
        <v>3</v>
      </c>
      <c r="CFJ84">
        <f t="shared" si="256"/>
        <v>3</v>
      </c>
      <c r="CFK84">
        <f t="shared" si="256"/>
        <v>3</v>
      </c>
      <c r="CFL84">
        <f t="shared" si="256"/>
        <v>3</v>
      </c>
      <c r="CFM84">
        <f t="shared" si="256"/>
        <v>3</v>
      </c>
      <c r="CFN84">
        <f t="shared" si="256"/>
        <v>3</v>
      </c>
      <c r="CFO84">
        <f t="shared" si="256"/>
        <v>3</v>
      </c>
      <c r="CFP84">
        <f t="shared" si="256"/>
        <v>3</v>
      </c>
      <c r="CFQ84">
        <f t="shared" si="256"/>
        <v>3</v>
      </c>
      <c r="CFR84">
        <f t="shared" si="256"/>
        <v>3</v>
      </c>
      <c r="CFS84">
        <f t="shared" si="256"/>
        <v>3</v>
      </c>
      <c r="CFT84">
        <f t="shared" si="256"/>
        <v>3</v>
      </c>
      <c r="CFU84">
        <f t="shared" si="256"/>
        <v>3</v>
      </c>
      <c r="CFV84">
        <f t="shared" si="256"/>
        <v>3</v>
      </c>
      <c r="CFW84">
        <f t="shared" si="256"/>
        <v>3</v>
      </c>
      <c r="CFX84">
        <f t="shared" si="256"/>
        <v>3</v>
      </c>
      <c r="CFY84">
        <f t="shared" si="256"/>
        <v>3</v>
      </c>
      <c r="CFZ84">
        <f t="shared" si="256"/>
        <v>3</v>
      </c>
      <c r="CGA84">
        <f t="shared" si="256"/>
        <v>3</v>
      </c>
      <c r="CGB84">
        <f t="shared" si="256"/>
        <v>3</v>
      </c>
      <c r="CGC84">
        <f t="shared" si="256"/>
        <v>3</v>
      </c>
      <c r="CGD84">
        <f t="shared" si="256"/>
        <v>3</v>
      </c>
      <c r="CGE84">
        <f t="shared" si="256"/>
        <v>3</v>
      </c>
      <c r="CGF84">
        <f t="shared" si="256"/>
        <v>3</v>
      </c>
      <c r="CGG84">
        <f t="shared" si="256"/>
        <v>3</v>
      </c>
      <c r="CGH84">
        <f t="shared" si="256"/>
        <v>3</v>
      </c>
      <c r="CGI84">
        <f t="shared" si="256"/>
        <v>3</v>
      </c>
      <c r="CGJ84">
        <f t="shared" si="256"/>
        <v>3</v>
      </c>
      <c r="CGK84">
        <f t="shared" si="256"/>
        <v>3</v>
      </c>
      <c r="CGL84">
        <f t="shared" si="256"/>
        <v>3</v>
      </c>
      <c r="CGM84">
        <f t="shared" si="256"/>
        <v>3</v>
      </c>
      <c r="CGN84">
        <f t="shared" si="256"/>
        <v>3</v>
      </c>
      <c r="CGO84">
        <f t="shared" si="256"/>
        <v>3</v>
      </c>
      <c r="CGP84">
        <f t="shared" si="256"/>
        <v>3</v>
      </c>
      <c r="CGQ84">
        <f t="shared" si="256"/>
        <v>3</v>
      </c>
      <c r="CGR84">
        <f t="shared" si="256"/>
        <v>3</v>
      </c>
      <c r="CGS84">
        <f t="shared" si="256"/>
        <v>3</v>
      </c>
      <c r="CGT84">
        <f t="shared" si="256"/>
        <v>3</v>
      </c>
      <c r="CGU84">
        <f t="shared" si="256"/>
        <v>3</v>
      </c>
      <c r="CGV84">
        <f t="shared" si="256"/>
        <v>3</v>
      </c>
      <c r="CGW84">
        <f t="shared" si="256"/>
        <v>3</v>
      </c>
      <c r="CGX84">
        <f t="shared" si="256"/>
        <v>3</v>
      </c>
      <c r="CGY84">
        <f t="shared" si="256"/>
        <v>3</v>
      </c>
      <c r="CGZ84">
        <f t="shared" si="256"/>
        <v>3</v>
      </c>
      <c r="CHA84">
        <f t="shared" si="256"/>
        <v>3</v>
      </c>
      <c r="CHB84">
        <f t="shared" si="256"/>
        <v>3</v>
      </c>
      <c r="CHC84">
        <f t="shared" ref="CHC84:CJN84" si="257">COUNTBLANK(CHC2:CHC5)</f>
        <v>3</v>
      </c>
      <c r="CHD84">
        <f t="shared" si="257"/>
        <v>3</v>
      </c>
      <c r="CHE84">
        <f t="shared" si="257"/>
        <v>3</v>
      </c>
      <c r="CHF84">
        <f t="shared" si="257"/>
        <v>3</v>
      </c>
      <c r="CHG84">
        <f t="shared" si="257"/>
        <v>3</v>
      </c>
      <c r="CHH84">
        <f t="shared" si="257"/>
        <v>3</v>
      </c>
      <c r="CHI84">
        <f t="shared" si="257"/>
        <v>3</v>
      </c>
      <c r="CHJ84">
        <f t="shared" si="257"/>
        <v>3</v>
      </c>
      <c r="CHK84">
        <f t="shared" si="257"/>
        <v>3</v>
      </c>
      <c r="CHL84">
        <f t="shared" si="257"/>
        <v>3</v>
      </c>
      <c r="CHM84">
        <f t="shared" si="257"/>
        <v>3</v>
      </c>
      <c r="CHN84">
        <f t="shared" si="257"/>
        <v>3</v>
      </c>
      <c r="CHO84">
        <f t="shared" si="257"/>
        <v>3</v>
      </c>
      <c r="CHP84">
        <f t="shared" si="257"/>
        <v>3</v>
      </c>
      <c r="CHQ84">
        <f t="shared" si="257"/>
        <v>3</v>
      </c>
      <c r="CHR84">
        <f t="shared" si="257"/>
        <v>3</v>
      </c>
      <c r="CHS84">
        <f t="shared" si="257"/>
        <v>3</v>
      </c>
      <c r="CHT84">
        <f t="shared" si="257"/>
        <v>3</v>
      </c>
      <c r="CHU84">
        <f t="shared" si="257"/>
        <v>3</v>
      </c>
      <c r="CHV84">
        <f t="shared" si="257"/>
        <v>3</v>
      </c>
      <c r="CHW84">
        <f t="shared" si="257"/>
        <v>3</v>
      </c>
      <c r="CHX84">
        <f t="shared" si="257"/>
        <v>3</v>
      </c>
      <c r="CHY84">
        <f t="shared" si="257"/>
        <v>3</v>
      </c>
      <c r="CHZ84">
        <f t="shared" si="257"/>
        <v>3</v>
      </c>
      <c r="CIA84">
        <f t="shared" si="257"/>
        <v>3</v>
      </c>
      <c r="CIB84">
        <f t="shared" si="257"/>
        <v>3</v>
      </c>
      <c r="CIC84">
        <f t="shared" si="257"/>
        <v>3</v>
      </c>
      <c r="CID84">
        <f t="shared" si="257"/>
        <v>3</v>
      </c>
      <c r="CIE84">
        <f t="shared" si="257"/>
        <v>3</v>
      </c>
      <c r="CIF84">
        <f t="shared" si="257"/>
        <v>3</v>
      </c>
      <c r="CIG84">
        <f t="shared" si="257"/>
        <v>3</v>
      </c>
      <c r="CIH84">
        <f t="shared" si="257"/>
        <v>3</v>
      </c>
      <c r="CII84">
        <f t="shared" si="257"/>
        <v>3</v>
      </c>
      <c r="CIJ84">
        <f t="shared" si="257"/>
        <v>3</v>
      </c>
      <c r="CIK84">
        <f t="shared" si="257"/>
        <v>3</v>
      </c>
      <c r="CIL84">
        <f t="shared" si="257"/>
        <v>3</v>
      </c>
      <c r="CIM84">
        <f t="shared" si="257"/>
        <v>3</v>
      </c>
      <c r="CIN84">
        <f t="shared" si="257"/>
        <v>3</v>
      </c>
      <c r="CIO84">
        <f t="shared" si="257"/>
        <v>3</v>
      </c>
      <c r="CIP84">
        <f t="shared" si="257"/>
        <v>3</v>
      </c>
      <c r="CIQ84">
        <f t="shared" si="257"/>
        <v>3</v>
      </c>
      <c r="CIR84">
        <f t="shared" si="257"/>
        <v>3</v>
      </c>
      <c r="CIS84">
        <f t="shared" si="257"/>
        <v>3</v>
      </c>
      <c r="CIT84">
        <f t="shared" si="257"/>
        <v>3</v>
      </c>
      <c r="CIU84">
        <f t="shared" si="257"/>
        <v>3</v>
      </c>
      <c r="CIV84">
        <f t="shared" si="257"/>
        <v>3</v>
      </c>
      <c r="CIW84">
        <f t="shared" si="257"/>
        <v>3</v>
      </c>
      <c r="CIX84">
        <f t="shared" si="257"/>
        <v>3</v>
      </c>
      <c r="CIY84">
        <f t="shared" si="257"/>
        <v>3</v>
      </c>
      <c r="CIZ84">
        <f t="shared" si="257"/>
        <v>3</v>
      </c>
      <c r="CJA84">
        <f t="shared" si="257"/>
        <v>3</v>
      </c>
      <c r="CJB84">
        <f t="shared" si="257"/>
        <v>3</v>
      </c>
      <c r="CJC84">
        <f t="shared" si="257"/>
        <v>3</v>
      </c>
      <c r="CJD84">
        <f t="shared" si="257"/>
        <v>3</v>
      </c>
      <c r="CJE84">
        <f t="shared" si="257"/>
        <v>3</v>
      </c>
      <c r="CJF84">
        <f t="shared" si="257"/>
        <v>3</v>
      </c>
      <c r="CJG84">
        <f t="shared" si="257"/>
        <v>3</v>
      </c>
      <c r="CJH84">
        <f t="shared" si="257"/>
        <v>3</v>
      </c>
      <c r="CJI84">
        <f t="shared" si="257"/>
        <v>3</v>
      </c>
      <c r="CJJ84">
        <f t="shared" si="257"/>
        <v>3</v>
      </c>
      <c r="CJK84">
        <f t="shared" si="257"/>
        <v>3</v>
      </c>
      <c r="CJL84">
        <f t="shared" si="257"/>
        <v>3</v>
      </c>
      <c r="CJM84">
        <f t="shared" si="257"/>
        <v>3</v>
      </c>
      <c r="CJN84">
        <f t="shared" si="257"/>
        <v>3</v>
      </c>
      <c r="CJO84">
        <f t="shared" ref="CJO84:CLZ84" si="258">COUNTBLANK(CJO2:CJO5)</f>
        <v>3</v>
      </c>
      <c r="CJP84">
        <f t="shared" si="258"/>
        <v>3</v>
      </c>
      <c r="CJQ84">
        <f t="shared" si="258"/>
        <v>3</v>
      </c>
      <c r="CJR84">
        <f t="shared" si="258"/>
        <v>3</v>
      </c>
      <c r="CJS84">
        <f t="shared" si="258"/>
        <v>3</v>
      </c>
      <c r="CJT84">
        <f t="shared" si="258"/>
        <v>3</v>
      </c>
      <c r="CJU84">
        <f t="shared" si="258"/>
        <v>3</v>
      </c>
      <c r="CJV84">
        <f t="shared" si="258"/>
        <v>3</v>
      </c>
      <c r="CJW84">
        <f t="shared" si="258"/>
        <v>3</v>
      </c>
      <c r="CJX84">
        <f t="shared" si="258"/>
        <v>2</v>
      </c>
      <c r="CJY84">
        <f t="shared" si="258"/>
        <v>2</v>
      </c>
      <c r="CJZ84">
        <f t="shared" si="258"/>
        <v>2</v>
      </c>
      <c r="CKA84">
        <f t="shared" si="258"/>
        <v>2</v>
      </c>
      <c r="CKB84">
        <f t="shared" si="258"/>
        <v>2</v>
      </c>
      <c r="CKC84">
        <f t="shared" si="258"/>
        <v>2</v>
      </c>
      <c r="CKD84">
        <f t="shared" si="258"/>
        <v>2</v>
      </c>
      <c r="CKE84">
        <f t="shared" si="258"/>
        <v>2</v>
      </c>
      <c r="CKF84">
        <f t="shared" si="258"/>
        <v>2</v>
      </c>
      <c r="CKG84">
        <f t="shared" si="258"/>
        <v>2</v>
      </c>
      <c r="CKH84">
        <f t="shared" si="258"/>
        <v>2</v>
      </c>
      <c r="CKI84">
        <f t="shared" si="258"/>
        <v>2</v>
      </c>
      <c r="CKJ84">
        <f t="shared" si="258"/>
        <v>2</v>
      </c>
      <c r="CKK84">
        <f t="shared" si="258"/>
        <v>2</v>
      </c>
      <c r="CKL84">
        <f t="shared" si="258"/>
        <v>2</v>
      </c>
      <c r="CKM84">
        <f t="shared" si="258"/>
        <v>2</v>
      </c>
      <c r="CKN84">
        <f t="shared" si="258"/>
        <v>2</v>
      </c>
      <c r="CKO84">
        <f t="shared" si="258"/>
        <v>2</v>
      </c>
      <c r="CKP84">
        <f t="shared" si="258"/>
        <v>2</v>
      </c>
      <c r="CKQ84">
        <f t="shared" si="258"/>
        <v>2</v>
      </c>
      <c r="CKR84">
        <f t="shared" si="258"/>
        <v>3</v>
      </c>
      <c r="CKS84">
        <f t="shared" si="258"/>
        <v>3</v>
      </c>
      <c r="CKT84">
        <f t="shared" si="258"/>
        <v>3</v>
      </c>
      <c r="CKU84">
        <f t="shared" si="258"/>
        <v>3</v>
      </c>
      <c r="CKV84">
        <f t="shared" si="258"/>
        <v>3</v>
      </c>
      <c r="CKW84">
        <f t="shared" si="258"/>
        <v>3</v>
      </c>
      <c r="CKX84">
        <f t="shared" si="258"/>
        <v>3</v>
      </c>
      <c r="CKY84">
        <f t="shared" si="258"/>
        <v>3</v>
      </c>
      <c r="CKZ84">
        <f t="shared" si="258"/>
        <v>3</v>
      </c>
      <c r="CLA84">
        <f t="shared" si="258"/>
        <v>3</v>
      </c>
      <c r="CLB84">
        <f t="shared" si="258"/>
        <v>3</v>
      </c>
      <c r="CLC84">
        <f t="shared" si="258"/>
        <v>3</v>
      </c>
      <c r="CLD84">
        <f t="shared" si="258"/>
        <v>3</v>
      </c>
      <c r="CLE84">
        <f t="shared" si="258"/>
        <v>3</v>
      </c>
      <c r="CLF84">
        <f t="shared" si="258"/>
        <v>3</v>
      </c>
      <c r="CLG84">
        <f t="shared" si="258"/>
        <v>3</v>
      </c>
      <c r="CLH84">
        <f t="shared" si="258"/>
        <v>3</v>
      </c>
      <c r="CLI84">
        <f t="shared" si="258"/>
        <v>3</v>
      </c>
      <c r="CLJ84">
        <f t="shared" si="258"/>
        <v>3</v>
      </c>
      <c r="CLK84">
        <f t="shared" si="258"/>
        <v>3</v>
      </c>
      <c r="CLL84">
        <f t="shared" si="258"/>
        <v>3</v>
      </c>
      <c r="CLM84">
        <f t="shared" si="258"/>
        <v>3</v>
      </c>
      <c r="CLN84">
        <f t="shared" si="258"/>
        <v>3</v>
      </c>
      <c r="CLO84">
        <f t="shared" si="258"/>
        <v>3</v>
      </c>
      <c r="CLP84">
        <f t="shared" si="258"/>
        <v>3</v>
      </c>
      <c r="CLQ84">
        <f t="shared" si="258"/>
        <v>3</v>
      </c>
      <c r="CLR84">
        <f t="shared" si="258"/>
        <v>3</v>
      </c>
      <c r="CLS84">
        <f t="shared" si="258"/>
        <v>3</v>
      </c>
      <c r="CLT84">
        <f t="shared" si="258"/>
        <v>3</v>
      </c>
      <c r="CLU84">
        <f t="shared" si="258"/>
        <v>3</v>
      </c>
      <c r="CLV84">
        <f t="shared" si="258"/>
        <v>3</v>
      </c>
      <c r="CLW84">
        <f t="shared" si="258"/>
        <v>3</v>
      </c>
      <c r="CLX84">
        <f t="shared" si="258"/>
        <v>3</v>
      </c>
      <c r="CLY84">
        <f t="shared" si="258"/>
        <v>3</v>
      </c>
      <c r="CLZ84">
        <f t="shared" si="258"/>
        <v>3</v>
      </c>
      <c r="CMA84">
        <f t="shared" ref="CMA84:COL84" si="259">COUNTBLANK(CMA2:CMA5)</f>
        <v>3</v>
      </c>
      <c r="CMB84">
        <f t="shared" si="259"/>
        <v>3</v>
      </c>
      <c r="CMC84">
        <f t="shared" si="259"/>
        <v>3</v>
      </c>
      <c r="CMD84">
        <f t="shared" si="259"/>
        <v>3</v>
      </c>
      <c r="CME84">
        <f t="shared" si="259"/>
        <v>3</v>
      </c>
      <c r="CMF84">
        <f t="shared" si="259"/>
        <v>3</v>
      </c>
      <c r="CMG84">
        <f t="shared" si="259"/>
        <v>3</v>
      </c>
      <c r="CMH84">
        <f t="shared" si="259"/>
        <v>3</v>
      </c>
      <c r="CMI84">
        <f t="shared" si="259"/>
        <v>3</v>
      </c>
      <c r="CMJ84">
        <f t="shared" si="259"/>
        <v>3</v>
      </c>
      <c r="CMK84">
        <f t="shared" si="259"/>
        <v>3</v>
      </c>
      <c r="CML84">
        <f t="shared" si="259"/>
        <v>3</v>
      </c>
      <c r="CMM84">
        <f t="shared" si="259"/>
        <v>3</v>
      </c>
      <c r="CMN84">
        <f t="shared" si="259"/>
        <v>3</v>
      </c>
      <c r="CMO84">
        <f t="shared" si="259"/>
        <v>3</v>
      </c>
      <c r="CMP84">
        <f t="shared" si="259"/>
        <v>3</v>
      </c>
      <c r="CMQ84">
        <f t="shared" si="259"/>
        <v>3</v>
      </c>
      <c r="CMR84">
        <f t="shared" si="259"/>
        <v>3</v>
      </c>
      <c r="CMS84">
        <f t="shared" si="259"/>
        <v>3</v>
      </c>
      <c r="CMT84">
        <f t="shared" si="259"/>
        <v>3</v>
      </c>
      <c r="CMU84">
        <f t="shared" si="259"/>
        <v>3</v>
      </c>
      <c r="CMV84">
        <f t="shared" si="259"/>
        <v>3</v>
      </c>
      <c r="CMW84">
        <f t="shared" si="259"/>
        <v>3</v>
      </c>
      <c r="CMX84">
        <f t="shared" si="259"/>
        <v>3</v>
      </c>
      <c r="CMY84">
        <f t="shared" si="259"/>
        <v>3</v>
      </c>
      <c r="CMZ84">
        <f t="shared" si="259"/>
        <v>3</v>
      </c>
      <c r="CNA84">
        <f t="shared" si="259"/>
        <v>3</v>
      </c>
      <c r="CNB84">
        <f t="shared" si="259"/>
        <v>3</v>
      </c>
      <c r="CNC84">
        <f t="shared" si="259"/>
        <v>3</v>
      </c>
      <c r="CND84">
        <f t="shared" si="259"/>
        <v>3</v>
      </c>
      <c r="CNE84">
        <f t="shared" si="259"/>
        <v>3</v>
      </c>
      <c r="CNF84">
        <f t="shared" si="259"/>
        <v>3</v>
      </c>
      <c r="CNG84">
        <f t="shared" si="259"/>
        <v>3</v>
      </c>
      <c r="CNH84">
        <f t="shared" si="259"/>
        <v>3</v>
      </c>
      <c r="CNI84">
        <f t="shared" si="259"/>
        <v>3</v>
      </c>
      <c r="CNJ84">
        <f t="shared" si="259"/>
        <v>3</v>
      </c>
      <c r="CNK84">
        <f t="shared" si="259"/>
        <v>3</v>
      </c>
      <c r="CNL84">
        <f t="shared" si="259"/>
        <v>3</v>
      </c>
      <c r="CNM84">
        <f t="shared" si="259"/>
        <v>3</v>
      </c>
      <c r="CNN84">
        <f t="shared" si="259"/>
        <v>3</v>
      </c>
      <c r="CNO84">
        <f t="shared" si="259"/>
        <v>3</v>
      </c>
      <c r="CNP84">
        <f t="shared" si="259"/>
        <v>3</v>
      </c>
      <c r="CNQ84">
        <f t="shared" si="259"/>
        <v>3</v>
      </c>
      <c r="CNR84">
        <f t="shared" si="259"/>
        <v>3</v>
      </c>
      <c r="CNS84">
        <f t="shared" si="259"/>
        <v>3</v>
      </c>
      <c r="CNT84">
        <f t="shared" si="259"/>
        <v>3</v>
      </c>
      <c r="CNU84">
        <f t="shared" si="259"/>
        <v>3</v>
      </c>
      <c r="CNV84">
        <f t="shared" si="259"/>
        <v>3</v>
      </c>
      <c r="CNW84">
        <f t="shared" si="259"/>
        <v>3</v>
      </c>
      <c r="CNX84">
        <f t="shared" si="259"/>
        <v>3</v>
      </c>
      <c r="CNY84">
        <f t="shared" si="259"/>
        <v>3</v>
      </c>
      <c r="CNZ84">
        <f t="shared" si="259"/>
        <v>3</v>
      </c>
      <c r="COA84">
        <f t="shared" si="259"/>
        <v>3</v>
      </c>
      <c r="COB84">
        <f t="shared" si="259"/>
        <v>3</v>
      </c>
      <c r="COC84">
        <f t="shared" si="259"/>
        <v>3</v>
      </c>
      <c r="COD84">
        <f t="shared" si="259"/>
        <v>3</v>
      </c>
      <c r="COE84">
        <f t="shared" si="259"/>
        <v>3</v>
      </c>
      <c r="COF84">
        <f t="shared" si="259"/>
        <v>3</v>
      </c>
      <c r="COG84">
        <f t="shared" si="259"/>
        <v>3</v>
      </c>
      <c r="COH84">
        <f t="shared" si="259"/>
        <v>3</v>
      </c>
      <c r="COI84">
        <f t="shared" si="259"/>
        <v>3</v>
      </c>
      <c r="COJ84">
        <f t="shared" si="259"/>
        <v>3</v>
      </c>
      <c r="COK84">
        <f t="shared" si="259"/>
        <v>3</v>
      </c>
      <c r="COL84">
        <f t="shared" si="259"/>
        <v>3</v>
      </c>
      <c r="COM84">
        <f t="shared" ref="COM84:CQX84" si="260">COUNTBLANK(COM2:COM5)</f>
        <v>3</v>
      </c>
      <c r="CON84">
        <f t="shared" si="260"/>
        <v>3</v>
      </c>
      <c r="COO84">
        <f t="shared" si="260"/>
        <v>3</v>
      </c>
      <c r="COP84">
        <f t="shared" si="260"/>
        <v>3</v>
      </c>
      <c r="COQ84">
        <f t="shared" si="260"/>
        <v>3</v>
      </c>
      <c r="COR84">
        <f t="shared" si="260"/>
        <v>3</v>
      </c>
      <c r="COS84">
        <f t="shared" si="260"/>
        <v>3</v>
      </c>
      <c r="COT84">
        <f t="shared" si="260"/>
        <v>3</v>
      </c>
      <c r="COU84">
        <f t="shared" si="260"/>
        <v>3</v>
      </c>
      <c r="COV84">
        <f t="shared" si="260"/>
        <v>3</v>
      </c>
      <c r="COW84">
        <f t="shared" si="260"/>
        <v>3</v>
      </c>
      <c r="COX84">
        <f t="shared" si="260"/>
        <v>3</v>
      </c>
      <c r="COY84">
        <f t="shared" si="260"/>
        <v>3</v>
      </c>
      <c r="COZ84">
        <f t="shared" si="260"/>
        <v>3</v>
      </c>
      <c r="CPA84">
        <f t="shared" si="260"/>
        <v>3</v>
      </c>
      <c r="CPB84">
        <f t="shared" si="260"/>
        <v>3</v>
      </c>
      <c r="CPC84">
        <f t="shared" si="260"/>
        <v>3</v>
      </c>
      <c r="CPD84">
        <f t="shared" si="260"/>
        <v>3</v>
      </c>
      <c r="CPE84">
        <f t="shared" si="260"/>
        <v>3</v>
      </c>
      <c r="CPF84">
        <f t="shared" si="260"/>
        <v>3</v>
      </c>
      <c r="CPG84">
        <f t="shared" si="260"/>
        <v>3</v>
      </c>
      <c r="CPH84">
        <f t="shared" si="260"/>
        <v>3</v>
      </c>
      <c r="CPI84">
        <f t="shared" si="260"/>
        <v>3</v>
      </c>
      <c r="CPJ84">
        <f t="shared" si="260"/>
        <v>3</v>
      </c>
      <c r="CPK84">
        <f t="shared" si="260"/>
        <v>3</v>
      </c>
      <c r="CPL84">
        <f t="shared" si="260"/>
        <v>3</v>
      </c>
      <c r="CPM84">
        <f t="shared" si="260"/>
        <v>3</v>
      </c>
      <c r="CPN84">
        <f t="shared" si="260"/>
        <v>3</v>
      </c>
      <c r="CPO84">
        <f t="shared" si="260"/>
        <v>3</v>
      </c>
      <c r="CPP84">
        <f t="shared" si="260"/>
        <v>3</v>
      </c>
      <c r="CPQ84">
        <f t="shared" si="260"/>
        <v>3</v>
      </c>
      <c r="CPR84">
        <f t="shared" si="260"/>
        <v>3</v>
      </c>
      <c r="CPS84">
        <f t="shared" si="260"/>
        <v>3</v>
      </c>
      <c r="CPT84">
        <f t="shared" si="260"/>
        <v>3</v>
      </c>
      <c r="CPU84">
        <f t="shared" si="260"/>
        <v>3</v>
      </c>
      <c r="CPV84">
        <f t="shared" si="260"/>
        <v>3</v>
      </c>
      <c r="CPW84">
        <f t="shared" si="260"/>
        <v>3</v>
      </c>
      <c r="CPX84">
        <f t="shared" si="260"/>
        <v>3</v>
      </c>
      <c r="CPY84">
        <f t="shared" si="260"/>
        <v>3</v>
      </c>
      <c r="CPZ84">
        <f t="shared" si="260"/>
        <v>3</v>
      </c>
      <c r="CQA84">
        <f t="shared" si="260"/>
        <v>3</v>
      </c>
      <c r="CQB84">
        <f t="shared" si="260"/>
        <v>3</v>
      </c>
      <c r="CQC84">
        <f t="shared" si="260"/>
        <v>3</v>
      </c>
      <c r="CQD84">
        <f t="shared" si="260"/>
        <v>3</v>
      </c>
      <c r="CQE84">
        <f t="shared" si="260"/>
        <v>3</v>
      </c>
      <c r="CQF84">
        <f t="shared" si="260"/>
        <v>3</v>
      </c>
      <c r="CQG84">
        <f t="shared" si="260"/>
        <v>2</v>
      </c>
      <c r="CQH84">
        <f t="shared" si="260"/>
        <v>2</v>
      </c>
      <c r="CQI84">
        <f t="shared" si="260"/>
        <v>2</v>
      </c>
      <c r="CQJ84">
        <f t="shared" si="260"/>
        <v>2</v>
      </c>
      <c r="CQK84">
        <f t="shared" si="260"/>
        <v>2</v>
      </c>
      <c r="CQL84">
        <f t="shared" si="260"/>
        <v>2</v>
      </c>
      <c r="CQM84">
        <f t="shared" si="260"/>
        <v>2</v>
      </c>
      <c r="CQN84">
        <f t="shared" si="260"/>
        <v>2</v>
      </c>
      <c r="CQO84">
        <f t="shared" si="260"/>
        <v>2</v>
      </c>
      <c r="CQP84">
        <f t="shared" si="260"/>
        <v>2</v>
      </c>
      <c r="CQQ84">
        <f t="shared" si="260"/>
        <v>2</v>
      </c>
      <c r="CQR84">
        <f t="shared" si="260"/>
        <v>2</v>
      </c>
      <c r="CQS84">
        <f t="shared" si="260"/>
        <v>3</v>
      </c>
      <c r="CQT84">
        <f t="shared" si="260"/>
        <v>3</v>
      </c>
      <c r="CQU84">
        <f t="shared" si="260"/>
        <v>3</v>
      </c>
      <c r="CQV84">
        <f t="shared" si="260"/>
        <v>3</v>
      </c>
      <c r="CQW84">
        <f t="shared" si="260"/>
        <v>3</v>
      </c>
      <c r="CQX84">
        <f t="shared" si="260"/>
        <v>3</v>
      </c>
      <c r="CQY84">
        <f t="shared" ref="CQY84:CTJ84" si="261">COUNTBLANK(CQY2:CQY5)</f>
        <v>3</v>
      </c>
      <c r="CQZ84">
        <f t="shared" si="261"/>
        <v>3</v>
      </c>
      <c r="CRA84">
        <f t="shared" si="261"/>
        <v>3</v>
      </c>
      <c r="CRB84">
        <f t="shared" si="261"/>
        <v>3</v>
      </c>
      <c r="CRC84">
        <f t="shared" si="261"/>
        <v>3</v>
      </c>
      <c r="CRD84">
        <f t="shared" si="261"/>
        <v>3</v>
      </c>
      <c r="CRE84">
        <f t="shared" si="261"/>
        <v>3</v>
      </c>
      <c r="CRF84">
        <f t="shared" si="261"/>
        <v>3</v>
      </c>
      <c r="CRG84">
        <f t="shared" si="261"/>
        <v>3</v>
      </c>
      <c r="CRH84">
        <f t="shared" si="261"/>
        <v>3</v>
      </c>
      <c r="CRI84">
        <f t="shared" si="261"/>
        <v>3</v>
      </c>
      <c r="CRJ84">
        <f t="shared" si="261"/>
        <v>3</v>
      </c>
      <c r="CRK84">
        <f t="shared" si="261"/>
        <v>3</v>
      </c>
      <c r="CRL84">
        <f t="shared" si="261"/>
        <v>3</v>
      </c>
      <c r="CRM84">
        <f t="shared" si="261"/>
        <v>3</v>
      </c>
      <c r="CRN84">
        <f t="shared" si="261"/>
        <v>3</v>
      </c>
      <c r="CRO84">
        <f t="shared" si="261"/>
        <v>3</v>
      </c>
      <c r="CRP84">
        <f t="shared" si="261"/>
        <v>3</v>
      </c>
      <c r="CRQ84">
        <f t="shared" si="261"/>
        <v>3</v>
      </c>
      <c r="CRR84">
        <f t="shared" si="261"/>
        <v>3</v>
      </c>
      <c r="CRS84">
        <f t="shared" si="261"/>
        <v>3</v>
      </c>
      <c r="CRT84">
        <f t="shared" si="261"/>
        <v>3</v>
      </c>
      <c r="CRU84">
        <f t="shared" si="261"/>
        <v>3</v>
      </c>
      <c r="CRV84">
        <f t="shared" si="261"/>
        <v>3</v>
      </c>
      <c r="CRW84">
        <f t="shared" si="261"/>
        <v>3</v>
      </c>
      <c r="CRX84">
        <f t="shared" si="261"/>
        <v>3</v>
      </c>
      <c r="CRY84">
        <f t="shared" si="261"/>
        <v>3</v>
      </c>
      <c r="CRZ84">
        <f t="shared" si="261"/>
        <v>3</v>
      </c>
      <c r="CSA84">
        <f t="shared" si="261"/>
        <v>3</v>
      </c>
      <c r="CSB84">
        <f t="shared" si="261"/>
        <v>3</v>
      </c>
      <c r="CSC84">
        <f t="shared" si="261"/>
        <v>3</v>
      </c>
      <c r="CSD84">
        <f t="shared" si="261"/>
        <v>3</v>
      </c>
      <c r="CSE84">
        <f t="shared" si="261"/>
        <v>3</v>
      </c>
      <c r="CSF84">
        <f t="shared" si="261"/>
        <v>3</v>
      </c>
      <c r="CSG84">
        <f t="shared" si="261"/>
        <v>3</v>
      </c>
      <c r="CSH84">
        <f t="shared" si="261"/>
        <v>3</v>
      </c>
      <c r="CSI84">
        <f t="shared" si="261"/>
        <v>3</v>
      </c>
      <c r="CSJ84">
        <f t="shared" si="261"/>
        <v>3</v>
      </c>
      <c r="CSK84">
        <f t="shared" si="261"/>
        <v>3</v>
      </c>
      <c r="CSL84">
        <f t="shared" si="261"/>
        <v>3</v>
      </c>
      <c r="CSM84">
        <f t="shared" si="261"/>
        <v>3</v>
      </c>
      <c r="CSN84">
        <f t="shared" si="261"/>
        <v>3</v>
      </c>
      <c r="CSO84">
        <f t="shared" si="261"/>
        <v>3</v>
      </c>
      <c r="CSP84">
        <f t="shared" si="261"/>
        <v>3</v>
      </c>
      <c r="CSQ84">
        <f t="shared" si="261"/>
        <v>3</v>
      </c>
      <c r="CSR84">
        <f t="shared" si="261"/>
        <v>3</v>
      </c>
      <c r="CSS84">
        <f t="shared" si="261"/>
        <v>3</v>
      </c>
      <c r="CST84">
        <f t="shared" si="261"/>
        <v>3</v>
      </c>
      <c r="CSU84">
        <f t="shared" si="261"/>
        <v>3</v>
      </c>
      <c r="CSV84">
        <f t="shared" si="261"/>
        <v>3</v>
      </c>
      <c r="CSW84">
        <f t="shared" si="261"/>
        <v>3</v>
      </c>
      <c r="CSX84">
        <f t="shared" si="261"/>
        <v>3</v>
      </c>
      <c r="CSY84">
        <f t="shared" si="261"/>
        <v>3</v>
      </c>
      <c r="CSZ84">
        <f t="shared" si="261"/>
        <v>3</v>
      </c>
      <c r="CTA84">
        <f t="shared" si="261"/>
        <v>3</v>
      </c>
      <c r="CTB84">
        <f t="shared" si="261"/>
        <v>3</v>
      </c>
      <c r="CTC84">
        <f t="shared" si="261"/>
        <v>3</v>
      </c>
      <c r="CTD84">
        <f t="shared" si="261"/>
        <v>3</v>
      </c>
      <c r="CTE84">
        <f t="shared" si="261"/>
        <v>3</v>
      </c>
      <c r="CTF84">
        <f t="shared" si="261"/>
        <v>3</v>
      </c>
      <c r="CTG84">
        <f t="shared" si="261"/>
        <v>3</v>
      </c>
      <c r="CTH84">
        <f t="shared" si="261"/>
        <v>3</v>
      </c>
      <c r="CTI84">
        <f t="shared" si="261"/>
        <v>3</v>
      </c>
      <c r="CTJ84">
        <f t="shared" si="261"/>
        <v>3</v>
      </c>
      <c r="CTK84">
        <f t="shared" ref="CTK84:CVV84" si="262">COUNTBLANK(CTK2:CTK5)</f>
        <v>3</v>
      </c>
      <c r="CTL84">
        <f t="shared" si="262"/>
        <v>3</v>
      </c>
      <c r="CTM84">
        <f t="shared" si="262"/>
        <v>3</v>
      </c>
      <c r="CTN84">
        <f t="shared" si="262"/>
        <v>3</v>
      </c>
      <c r="CTO84">
        <f t="shared" si="262"/>
        <v>3</v>
      </c>
      <c r="CTP84">
        <f t="shared" si="262"/>
        <v>3</v>
      </c>
      <c r="CTQ84">
        <f t="shared" si="262"/>
        <v>3</v>
      </c>
      <c r="CTR84">
        <f t="shared" si="262"/>
        <v>3</v>
      </c>
      <c r="CTS84">
        <f t="shared" si="262"/>
        <v>3</v>
      </c>
      <c r="CTT84">
        <f t="shared" si="262"/>
        <v>3</v>
      </c>
      <c r="CTU84">
        <f t="shared" si="262"/>
        <v>3</v>
      </c>
      <c r="CTV84">
        <f t="shared" si="262"/>
        <v>3</v>
      </c>
      <c r="CTW84">
        <f t="shared" si="262"/>
        <v>3</v>
      </c>
      <c r="CTX84">
        <f t="shared" si="262"/>
        <v>3</v>
      </c>
      <c r="CTY84">
        <f t="shared" si="262"/>
        <v>3</v>
      </c>
      <c r="CTZ84">
        <f t="shared" si="262"/>
        <v>3</v>
      </c>
      <c r="CUA84">
        <f t="shared" si="262"/>
        <v>3</v>
      </c>
      <c r="CUB84">
        <f t="shared" si="262"/>
        <v>3</v>
      </c>
      <c r="CUC84">
        <f t="shared" si="262"/>
        <v>3</v>
      </c>
      <c r="CUD84">
        <f t="shared" si="262"/>
        <v>3</v>
      </c>
      <c r="CUE84">
        <f t="shared" si="262"/>
        <v>3</v>
      </c>
      <c r="CUF84">
        <f t="shared" si="262"/>
        <v>3</v>
      </c>
      <c r="CUG84">
        <f t="shared" si="262"/>
        <v>3</v>
      </c>
      <c r="CUH84">
        <f t="shared" si="262"/>
        <v>3</v>
      </c>
      <c r="CUI84">
        <f t="shared" si="262"/>
        <v>3</v>
      </c>
      <c r="CUJ84">
        <f t="shared" si="262"/>
        <v>3</v>
      </c>
      <c r="CUK84">
        <f t="shared" si="262"/>
        <v>3</v>
      </c>
      <c r="CUL84">
        <f t="shared" si="262"/>
        <v>3</v>
      </c>
      <c r="CUM84">
        <f t="shared" si="262"/>
        <v>3</v>
      </c>
      <c r="CUN84">
        <f t="shared" si="262"/>
        <v>3</v>
      </c>
      <c r="CUO84">
        <f t="shared" si="262"/>
        <v>3</v>
      </c>
      <c r="CUP84">
        <f t="shared" si="262"/>
        <v>3</v>
      </c>
      <c r="CUQ84">
        <f t="shared" si="262"/>
        <v>3</v>
      </c>
      <c r="CUR84">
        <f t="shared" si="262"/>
        <v>3</v>
      </c>
      <c r="CUS84">
        <f t="shared" si="262"/>
        <v>3</v>
      </c>
      <c r="CUT84">
        <f t="shared" si="262"/>
        <v>3</v>
      </c>
      <c r="CUU84">
        <f t="shared" si="262"/>
        <v>3</v>
      </c>
      <c r="CUV84">
        <f t="shared" si="262"/>
        <v>3</v>
      </c>
      <c r="CUW84">
        <f t="shared" si="262"/>
        <v>3</v>
      </c>
      <c r="CUX84">
        <f t="shared" si="262"/>
        <v>3</v>
      </c>
      <c r="CUY84">
        <f t="shared" si="262"/>
        <v>3</v>
      </c>
      <c r="CUZ84">
        <f t="shared" si="262"/>
        <v>3</v>
      </c>
      <c r="CVA84">
        <f t="shared" si="262"/>
        <v>3</v>
      </c>
      <c r="CVB84">
        <f t="shared" si="262"/>
        <v>3</v>
      </c>
      <c r="CVC84">
        <f t="shared" si="262"/>
        <v>3</v>
      </c>
      <c r="CVD84">
        <f t="shared" si="262"/>
        <v>3</v>
      </c>
      <c r="CVE84">
        <f t="shared" si="262"/>
        <v>3</v>
      </c>
      <c r="CVF84">
        <f t="shared" si="262"/>
        <v>3</v>
      </c>
      <c r="CVG84">
        <f t="shared" si="262"/>
        <v>3</v>
      </c>
      <c r="CVH84">
        <f t="shared" si="262"/>
        <v>3</v>
      </c>
      <c r="CVI84">
        <f t="shared" si="262"/>
        <v>3</v>
      </c>
      <c r="CVJ84">
        <f t="shared" si="262"/>
        <v>3</v>
      </c>
      <c r="CVK84">
        <f t="shared" si="262"/>
        <v>3</v>
      </c>
      <c r="CVL84">
        <f t="shared" si="262"/>
        <v>3</v>
      </c>
      <c r="CVM84">
        <f t="shared" si="262"/>
        <v>3</v>
      </c>
      <c r="CVN84">
        <f t="shared" si="262"/>
        <v>3</v>
      </c>
      <c r="CVO84">
        <f t="shared" si="262"/>
        <v>3</v>
      </c>
      <c r="CVP84">
        <f t="shared" si="262"/>
        <v>3</v>
      </c>
      <c r="CVQ84">
        <f t="shared" si="262"/>
        <v>3</v>
      </c>
      <c r="CVR84">
        <f t="shared" si="262"/>
        <v>3</v>
      </c>
      <c r="CVS84">
        <f t="shared" si="262"/>
        <v>3</v>
      </c>
      <c r="CVT84">
        <f t="shared" si="262"/>
        <v>3</v>
      </c>
      <c r="CVU84">
        <f t="shared" si="262"/>
        <v>3</v>
      </c>
      <c r="CVV84">
        <f t="shared" si="262"/>
        <v>3</v>
      </c>
      <c r="CVW84">
        <f t="shared" ref="CVW84:CYH84" si="263">COUNTBLANK(CVW2:CVW5)</f>
        <v>3</v>
      </c>
      <c r="CVX84">
        <f t="shared" si="263"/>
        <v>3</v>
      </c>
      <c r="CVY84">
        <f t="shared" si="263"/>
        <v>3</v>
      </c>
      <c r="CVZ84">
        <f t="shared" si="263"/>
        <v>3</v>
      </c>
      <c r="CWA84">
        <f t="shared" si="263"/>
        <v>3</v>
      </c>
      <c r="CWB84">
        <f t="shared" si="263"/>
        <v>3</v>
      </c>
      <c r="CWC84">
        <f t="shared" si="263"/>
        <v>3</v>
      </c>
      <c r="CWD84">
        <f t="shared" si="263"/>
        <v>3</v>
      </c>
      <c r="CWE84">
        <f t="shared" si="263"/>
        <v>3</v>
      </c>
      <c r="CWF84">
        <f t="shared" si="263"/>
        <v>3</v>
      </c>
      <c r="CWG84">
        <f t="shared" si="263"/>
        <v>3</v>
      </c>
      <c r="CWH84">
        <f t="shared" si="263"/>
        <v>3</v>
      </c>
      <c r="CWI84">
        <f t="shared" si="263"/>
        <v>3</v>
      </c>
      <c r="CWJ84">
        <f t="shared" si="263"/>
        <v>3</v>
      </c>
      <c r="CWK84">
        <f t="shared" si="263"/>
        <v>3</v>
      </c>
      <c r="CWL84">
        <f t="shared" si="263"/>
        <v>3</v>
      </c>
      <c r="CWM84">
        <f t="shared" si="263"/>
        <v>3</v>
      </c>
      <c r="CWN84">
        <f t="shared" si="263"/>
        <v>3</v>
      </c>
      <c r="CWO84">
        <f t="shared" si="263"/>
        <v>3</v>
      </c>
      <c r="CWP84">
        <f t="shared" si="263"/>
        <v>3</v>
      </c>
      <c r="CWQ84">
        <f t="shared" si="263"/>
        <v>3</v>
      </c>
      <c r="CWR84">
        <f t="shared" si="263"/>
        <v>3</v>
      </c>
      <c r="CWS84">
        <f t="shared" si="263"/>
        <v>3</v>
      </c>
      <c r="CWT84">
        <f t="shared" si="263"/>
        <v>3</v>
      </c>
      <c r="CWU84">
        <f t="shared" si="263"/>
        <v>3</v>
      </c>
      <c r="CWV84">
        <f t="shared" si="263"/>
        <v>3</v>
      </c>
      <c r="CWW84">
        <f t="shared" si="263"/>
        <v>3</v>
      </c>
      <c r="CWX84">
        <f t="shared" si="263"/>
        <v>3</v>
      </c>
      <c r="CWY84">
        <f t="shared" si="263"/>
        <v>3</v>
      </c>
      <c r="CWZ84">
        <f t="shared" si="263"/>
        <v>3</v>
      </c>
      <c r="CXA84">
        <f t="shared" si="263"/>
        <v>3</v>
      </c>
      <c r="CXB84">
        <f t="shared" si="263"/>
        <v>3</v>
      </c>
      <c r="CXC84">
        <f t="shared" si="263"/>
        <v>3</v>
      </c>
      <c r="CXD84">
        <f t="shared" si="263"/>
        <v>3</v>
      </c>
      <c r="CXE84">
        <f t="shared" si="263"/>
        <v>3</v>
      </c>
      <c r="CXF84">
        <f t="shared" si="263"/>
        <v>3</v>
      </c>
      <c r="CXG84">
        <f t="shared" si="263"/>
        <v>3</v>
      </c>
      <c r="CXH84">
        <f t="shared" si="263"/>
        <v>3</v>
      </c>
      <c r="CXI84">
        <f t="shared" si="263"/>
        <v>3</v>
      </c>
      <c r="CXJ84">
        <f t="shared" si="263"/>
        <v>3</v>
      </c>
      <c r="CXK84">
        <f t="shared" si="263"/>
        <v>3</v>
      </c>
      <c r="CXL84">
        <f t="shared" si="263"/>
        <v>3</v>
      </c>
      <c r="CXM84">
        <f t="shared" si="263"/>
        <v>3</v>
      </c>
      <c r="CXN84">
        <f t="shared" si="263"/>
        <v>3</v>
      </c>
      <c r="CXO84">
        <f t="shared" si="263"/>
        <v>3</v>
      </c>
      <c r="CXP84">
        <f t="shared" si="263"/>
        <v>3</v>
      </c>
      <c r="CXQ84">
        <f t="shared" si="263"/>
        <v>3</v>
      </c>
      <c r="CXR84">
        <f t="shared" si="263"/>
        <v>3</v>
      </c>
      <c r="CXS84">
        <f t="shared" si="263"/>
        <v>3</v>
      </c>
      <c r="CXT84">
        <f t="shared" si="263"/>
        <v>3</v>
      </c>
      <c r="CXU84">
        <f t="shared" si="263"/>
        <v>3</v>
      </c>
      <c r="CXV84">
        <f t="shared" si="263"/>
        <v>3</v>
      </c>
      <c r="CXW84">
        <f t="shared" si="263"/>
        <v>3</v>
      </c>
      <c r="CXX84">
        <f t="shared" si="263"/>
        <v>3</v>
      </c>
      <c r="CXY84">
        <f t="shared" si="263"/>
        <v>3</v>
      </c>
      <c r="CXZ84">
        <f t="shared" si="263"/>
        <v>3</v>
      </c>
      <c r="CYA84">
        <f t="shared" si="263"/>
        <v>3</v>
      </c>
      <c r="CYB84">
        <f t="shared" si="263"/>
        <v>3</v>
      </c>
      <c r="CYC84">
        <f t="shared" si="263"/>
        <v>3</v>
      </c>
      <c r="CYD84">
        <f t="shared" si="263"/>
        <v>3</v>
      </c>
      <c r="CYE84">
        <f t="shared" si="263"/>
        <v>3</v>
      </c>
      <c r="CYF84">
        <f t="shared" si="263"/>
        <v>3</v>
      </c>
      <c r="CYG84">
        <f t="shared" si="263"/>
        <v>3</v>
      </c>
      <c r="CYH84">
        <f t="shared" si="263"/>
        <v>3</v>
      </c>
      <c r="CYI84">
        <f t="shared" ref="CYI84:DAT84" si="264">COUNTBLANK(CYI2:CYI5)</f>
        <v>3</v>
      </c>
      <c r="CYJ84">
        <f t="shared" si="264"/>
        <v>3</v>
      </c>
      <c r="CYK84">
        <f t="shared" si="264"/>
        <v>3</v>
      </c>
      <c r="CYL84">
        <f t="shared" si="264"/>
        <v>3</v>
      </c>
      <c r="CYM84">
        <f t="shared" si="264"/>
        <v>3</v>
      </c>
      <c r="CYN84">
        <f t="shared" si="264"/>
        <v>3</v>
      </c>
      <c r="CYO84">
        <f t="shared" si="264"/>
        <v>3</v>
      </c>
      <c r="CYP84">
        <f t="shared" si="264"/>
        <v>3</v>
      </c>
      <c r="CYQ84">
        <f t="shared" si="264"/>
        <v>3</v>
      </c>
      <c r="CYR84">
        <f t="shared" si="264"/>
        <v>3</v>
      </c>
      <c r="CYS84">
        <f t="shared" si="264"/>
        <v>3</v>
      </c>
      <c r="CYT84">
        <f t="shared" si="264"/>
        <v>3</v>
      </c>
      <c r="CYU84">
        <f t="shared" si="264"/>
        <v>3</v>
      </c>
      <c r="CYV84">
        <f t="shared" si="264"/>
        <v>3</v>
      </c>
      <c r="CYW84">
        <f t="shared" si="264"/>
        <v>3</v>
      </c>
      <c r="CYX84">
        <f t="shared" si="264"/>
        <v>3</v>
      </c>
      <c r="CYY84">
        <f t="shared" si="264"/>
        <v>3</v>
      </c>
      <c r="CYZ84">
        <f t="shared" si="264"/>
        <v>3</v>
      </c>
      <c r="CZA84">
        <f t="shared" si="264"/>
        <v>3</v>
      </c>
      <c r="CZB84">
        <f t="shared" si="264"/>
        <v>3</v>
      </c>
      <c r="CZC84">
        <f t="shared" si="264"/>
        <v>3</v>
      </c>
      <c r="CZD84">
        <f t="shared" si="264"/>
        <v>3</v>
      </c>
      <c r="CZE84">
        <f t="shared" si="264"/>
        <v>3</v>
      </c>
      <c r="CZF84">
        <f t="shared" si="264"/>
        <v>3</v>
      </c>
      <c r="CZG84">
        <f t="shared" si="264"/>
        <v>3</v>
      </c>
      <c r="CZH84">
        <f t="shared" si="264"/>
        <v>3</v>
      </c>
      <c r="CZI84">
        <f t="shared" si="264"/>
        <v>3</v>
      </c>
      <c r="CZJ84">
        <f t="shared" si="264"/>
        <v>3</v>
      </c>
      <c r="CZK84">
        <f t="shared" si="264"/>
        <v>3</v>
      </c>
      <c r="CZL84">
        <f t="shared" si="264"/>
        <v>3</v>
      </c>
      <c r="CZM84">
        <f t="shared" si="264"/>
        <v>3</v>
      </c>
      <c r="CZN84">
        <f t="shared" si="264"/>
        <v>3</v>
      </c>
      <c r="CZO84">
        <f t="shared" si="264"/>
        <v>3</v>
      </c>
      <c r="CZP84">
        <f t="shared" si="264"/>
        <v>3</v>
      </c>
      <c r="CZQ84">
        <f t="shared" si="264"/>
        <v>3</v>
      </c>
      <c r="CZR84">
        <f t="shared" si="264"/>
        <v>3</v>
      </c>
      <c r="CZS84">
        <f t="shared" si="264"/>
        <v>3</v>
      </c>
      <c r="CZT84">
        <f t="shared" si="264"/>
        <v>3</v>
      </c>
      <c r="CZU84">
        <f t="shared" si="264"/>
        <v>3</v>
      </c>
      <c r="CZV84">
        <f t="shared" si="264"/>
        <v>3</v>
      </c>
      <c r="CZW84">
        <f t="shared" si="264"/>
        <v>3</v>
      </c>
      <c r="CZX84">
        <f t="shared" si="264"/>
        <v>3</v>
      </c>
      <c r="CZY84">
        <f t="shared" si="264"/>
        <v>3</v>
      </c>
      <c r="CZZ84">
        <f t="shared" si="264"/>
        <v>3</v>
      </c>
      <c r="DAA84">
        <f t="shared" si="264"/>
        <v>3</v>
      </c>
      <c r="DAB84">
        <f t="shared" si="264"/>
        <v>3</v>
      </c>
      <c r="DAC84">
        <f t="shared" si="264"/>
        <v>3</v>
      </c>
      <c r="DAD84">
        <f t="shared" si="264"/>
        <v>3</v>
      </c>
      <c r="DAE84">
        <f t="shared" si="264"/>
        <v>3</v>
      </c>
      <c r="DAF84">
        <f t="shared" si="264"/>
        <v>3</v>
      </c>
      <c r="DAG84">
        <f t="shared" si="264"/>
        <v>3</v>
      </c>
      <c r="DAH84">
        <f t="shared" si="264"/>
        <v>3</v>
      </c>
      <c r="DAI84">
        <f t="shared" si="264"/>
        <v>3</v>
      </c>
      <c r="DAJ84">
        <f t="shared" si="264"/>
        <v>3</v>
      </c>
      <c r="DAK84">
        <f t="shared" si="264"/>
        <v>3</v>
      </c>
      <c r="DAL84">
        <f t="shared" si="264"/>
        <v>3</v>
      </c>
      <c r="DAM84">
        <f t="shared" si="264"/>
        <v>3</v>
      </c>
      <c r="DAN84">
        <f t="shared" si="264"/>
        <v>3</v>
      </c>
      <c r="DAO84">
        <f t="shared" si="264"/>
        <v>3</v>
      </c>
      <c r="DAP84">
        <f t="shared" si="264"/>
        <v>3</v>
      </c>
      <c r="DAQ84">
        <f t="shared" si="264"/>
        <v>3</v>
      </c>
      <c r="DAR84">
        <f t="shared" si="264"/>
        <v>3</v>
      </c>
      <c r="DAS84">
        <f t="shared" si="264"/>
        <v>3</v>
      </c>
      <c r="DAT84">
        <f t="shared" si="264"/>
        <v>3</v>
      </c>
      <c r="DAU84">
        <f t="shared" ref="DAU84:DDF84" si="265">COUNTBLANK(DAU2:DAU5)</f>
        <v>3</v>
      </c>
      <c r="DAV84">
        <f t="shared" si="265"/>
        <v>3</v>
      </c>
      <c r="DAW84">
        <f t="shared" si="265"/>
        <v>3</v>
      </c>
      <c r="DAX84">
        <f t="shared" si="265"/>
        <v>3</v>
      </c>
      <c r="DAY84">
        <f t="shared" si="265"/>
        <v>3</v>
      </c>
      <c r="DAZ84">
        <f t="shared" si="265"/>
        <v>3</v>
      </c>
      <c r="DBA84">
        <f t="shared" si="265"/>
        <v>3</v>
      </c>
      <c r="DBB84">
        <f t="shared" si="265"/>
        <v>3</v>
      </c>
      <c r="DBC84">
        <f t="shared" si="265"/>
        <v>3</v>
      </c>
      <c r="DBD84">
        <f t="shared" si="265"/>
        <v>3</v>
      </c>
      <c r="DBE84">
        <f t="shared" si="265"/>
        <v>3</v>
      </c>
      <c r="DBF84">
        <f t="shared" si="265"/>
        <v>3</v>
      </c>
      <c r="DBG84">
        <f t="shared" si="265"/>
        <v>3</v>
      </c>
      <c r="DBH84">
        <f t="shared" si="265"/>
        <v>3</v>
      </c>
      <c r="DBI84">
        <f t="shared" si="265"/>
        <v>3</v>
      </c>
      <c r="DBJ84">
        <f t="shared" si="265"/>
        <v>3</v>
      </c>
      <c r="DBK84">
        <f t="shared" si="265"/>
        <v>3</v>
      </c>
      <c r="DBL84">
        <f t="shared" si="265"/>
        <v>3</v>
      </c>
      <c r="DBM84">
        <f t="shared" si="265"/>
        <v>3</v>
      </c>
      <c r="DBN84">
        <f t="shared" si="265"/>
        <v>3</v>
      </c>
      <c r="DBO84">
        <f t="shared" si="265"/>
        <v>3</v>
      </c>
      <c r="DBP84">
        <f t="shared" si="265"/>
        <v>3</v>
      </c>
      <c r="DBQ84">
        <f t="shared" si="265"/>
        <v>3</v>
      </c>
      <c r="DBR84">
        <f t="shared" si="265"/>
        <v>3</v>
      </c>
      <c r="DBS84">
        <f t="shared" si="265"/>
        <v>3</v>
      </c>
      <c r="DBT84">
        <f t="shared" si="265"/>
        <v>3</v>
      </c>
      <c r="DBU84">
        <f t="shared" si="265"/>
        <v>3</v>
      </c>
      <c r="DBV84">
        <f t="shared" si="265"/>
        <v>3</v>
      </c>
      <c r="DBW84">
        <f t="shared" si="265"/>
        <v>3</v>
      </c>
      <c r="DBX84">
        <f t="shared" si="265"/>
        <v>3</v>
      </c>
      <c r="DBY84">
        <f t="shared" si="265"/>
        <v>3</v>
      </c>
      <c r="DBZ84">
        <f t="shared" si="265"/>
        <v>3</v>
      </c>
      <c r="DCA84">
        <f t="shared" si="265"/>
        <v>3</v>
      </c>
      <c r="DCB84">
        <f t="shared" si="265"/>
        <v>3</v>
      </c>
      <c r="DCC84">
        <f t="shared" si="265"/>
        <v>3</v>
      </c>
      <c r="DCD84">
        <f t="shared" si="265"/>
        <v>3</v>
      </c>
      <c r="DCE84">
        <f t="shared" si="265"/>
        <v>3</v>
      </c>
      <c r="DCF84">
        <f t="shared" si="265"/>
        <v>2</v>
      </c>
      <c r="DCG84">
        <f t="shared" si="265"/>
        <v>2</v>
      </c>
      <c r="DCH84">
        <f t="shared" si="265"/>
        <v>2</v>
      </c>
      <c r="DCI84">
        <f t="shared" si="265"/>
        <v>2</v>
      </c>
      <c r="DCJ84">
        <f t="shared" si="265"/>
        <v>2</v>
      </c>
      <c r="DCK84">
        <f t="shared" si="265"/>
        <v>2</v>
      </c>
      <c r="DCL84">
        <f t="shared" si="265"/>
        <v>2</v>
      </c>
      <c r="DCM84">
        <f t="shared" si="265"/>
        <v>2</v>
      </c>
      <c r="DCN84">
        <f t="shared" si="265"/>
        <v>2</v>
      </c>
      <c r="DCO84">
        <f t="shared" si="265"/>
        <v>2</v>
      </c>
      <c r="DCP84">
        <f t="shared" si="265"/>
        <v>2</v>
      </c>
      <c r="DCQ84">
        <f t="shared" si="265"/>
        <v>2</v>
      </c>
      <c r="DCR84">
        <f t="shared" si="265"/>
        <v>3</v>
      </c>
      <c r="DCS84">
        <f t="shared" si="265"/>
        <v>3</v>
      </c>
      <c r="DCT84">
        <f t="shared" si="265"/>
        <v>3</v>
      </c>
      <c r="DCU84">
        <f t="shared" si="265"/>
        <v>3</v>
      </c>
      <c r="DCV84">
        <f t="shared" si="265"/>
        <v>3</v>
      </c>
      <c r="DCW84">
        <f t="shared" si="265"/>
        <v>3</v>
      </c>
      <c r="DCX84">
        <f t="shared" si="265"/>
        <v>3</v>
      </c>
      <c r="DCY84">
        <f t="shared" si="265"/>
        <v>3</v>
      </c>
      <c r="DCZ84">
        <f t="shared" si="265"/>
        <v>3</v>
      </c>
      <c r="DDA84">
        <f t="shared" si="265"/>
        <v>3</v>
      </c>
      <c r="DDB84">
        <f t="shared" si="265"/>
        <v>3</v>
      </c>
      <c r="DDC84">
        <f t="shared" si="265"/>
        <v>3</v>
      </c>
      <c r="DDD84">
        <f t="shared" si="265"/>
        <v>3</v>
      </c>
      <c r="DDE84">
        <f t="shared" si="265"/>
        <v>3</v>
      </c>
      <c r="DDF84">
        <f t="shared" si="265"/>
        <v>3</v>
      </c>
      <c r="DDG84">
        <f t="shared" ref="DDG84:DFR84" si="266">COUNTBLANK(DDG2:DDG5)</f>
        <v>3</v>
      </c>
      <c r="DDH84">
        <f t="shared" si="266"/>
        <v>3</v>
      </c>
      <c r="DDI84">
        <f t="shared" si="266"/>
        <v>3</v>
      </c>
      <c r="DDJ84">
        <f t="shared" si="266"/>
        <v>3</v>
      </c>
      <c r="DDK84">
        <f t="shared" si="266"/>
        <v>3</v>
      </c>
      <c r="DDL84">
        <f t="shared" si="266"/>
        <v>3</v>
      </c>
      <c r="DDM84">
        <f t="shared" si="266"/>
        <v>3</v>
      </c>
      <c r="DDN84">
        <f t="shared" si="266"/>
        <v>3</v>
      </c>
      <c r="DDO84">
        <f t="shared" si="266"/>
        <v>3</v>
      </c>
      <c r="DDP84">
        <f t="shared" si="266"/>
        <v>3</v>
      </c>
      <c r="DDQ84">
        <f t="shared" si="266"/>
        <v>3</v>
      </c>
      <c r="DDR84">
        <f t="shared" si="266"/>
        <v>3</v>
      </c>
      <c r="DDS84">
        <f t="shared" si="266"/>
        <v>3</v>
      </c>
      <c r="DDT84">
        <f t="shared" si="266"/>
        <v>3</v>
      </c>
      <c r="DDU84">
        <f t="shared" si="266"/>
        <v>3</v>
      </c>
      <c r="DDV84">
        <f t="shared" si="266"/>
        <v>3</v>
      </c>
      <c r="DDW84">
        <f t="shared" si="266"/>
        <v>3</v>
      </c>
      <c r="DDX84">
        <f t="shared" si="266"/>
        <v>3</v>
      </c>
      <c r="DDY84">
        <f t="shared" si="266"/>
        <v>3</v>
      </c>
      <c r="DDZ84">
        <f t="shared" si="266"/>
        <v>3</v>
      </c>
      <c r="DEA84">
        <f t="shared" si="266"/>
        <v>3</v>
      </c>
      <c r="DEB84">
        <f t="shared" si="266"/>
        <v>3</v>
      </c>
      <c r="DEC84">
        <f t="shared" si="266"/>
        <v>3</v>
      </c>
      <c r="DED84">
        <f t="shared" si="266"/>
        <v>3</v>
      </c>
      <c r="DEE84">
        <f t="shared" si="266"/>
        <v>3</v>
      </c>
      <c r="DEF84">
        <f t="shared" si="266"/>
        <v>3</v>
      </c>
      <c r="DEG84">
        <f t="shared" si="266"/>
        <v>3</v>
      </c>
      <c r="DEH84">
        <f t="shared" si="266"/>
        <v>3</v>
      </c>
      <c r="DEI84">
        <f t="shared" si="266"/>
        <v>3</v>
      </c>
      <c r="DEJ84">
        <f t="shared" si="266"/>
        <v>3</v>
      </c>
      <c r="DEK84">
        <f t="shared" si="266"/>
        <v>3</v>
      </c>
      <c r="DEL84">
        <f t="shared" si="266"/>
        <v>3</v>
      </c>
      <c r="DEM84">
        <f t="shared" si="266"/>
        <v>3</v>
      </c>
      <c r="DEN84">
        <f t="shared" si="266"/>
        <v>3</v>
      </c>
      <c r="DEO84">
        <f t="shared" si="266"/>
        <v>3</v>
      </c>
      <c r="DEP84">
        <f t="shared" si="266"/>
        <v>3</v>
      </c>
      <c r="DEQ84">
        <f t="shared" si="266"/>
        <v>3</v>
      </c>
      <c r="DER84">
        <f t="shared" si="266"/>
        <v>3</v>
      </c>
      <c r="DES84">
        <f t="shared" si="266"/>
        <v>3</v>
      </c>
      <c r="DET84">
        <f t="shared" si="266"/>
        <v>3</v>
      </c>
      <c r="DEU84">
        <f t="shared" si="266"/>
        <v>3</v>
      </c>
      <c r="DEV84">
        <f t="shared" si="266"/>
        <v>3</v>
      </c>
      <c r="DEW84">
        <f t="shared" si="266"/>
        <v>3</v>
      </c>
      <c r="DEX84">
        <f t="shared" si="266"/>
        <v>3</v>
      </c>
      <c r="DEY84">
        <f t="shared" si="266"/>
        <v>3</v>
      </c>
      <c r="DEZ84">
        <f t="shared" si="266"/>
        <v>3</v>
      </c>
      <c r="DFA84">
        <f t="shared" si="266"/>
        <v>3</v>
      </c>
      <c r="DFB84">
        <f t="shared" si="266"/>
        <v>3</v>
      </c>
      <c r="DFC84">
        <f t="shared" si="266"/>
        <v>3</v>
      </c>
      <c r="DFD84">
        <f t="shared" si="266"/>
        <v>3</v>
      </c>
      <c r="DFE84">
        <f t="shared" si="266"/>
        <v>3</v>
      </c>
      <c r="DFF84">
        <f t="shared" si="266"/>
        <v>3</v>
      </c>
      <c r="DFG84">
        <f t="shared" si="266"/>
        <v>3</v>
      </c>
      <c r="DFH84">
        <f t="shared" si="266"/>
        <v>3</v>
      </c>
      <c r="DFI84">
        <f t="shared" si="266"/>
        <v>3</v>
      </c>
      <c r="DFJ84">
        <f t="shared" si="266"/>
        <v>3</v>
      </c>
      <c r="DFK84">
        <f t="shared" si="266"/>
        <v>3</v>
      </c>
      <c r="DFL84">
        <f t="shared" si="266"/>
        <v>3</v>
      </c>
      <c r="DFM84">
        <f t="shared" si="266"/>
        <v>3</v>
      </c>
      <c r="DFN84">
        <f t="shared" si="266"/>
        <v>3</v>
      </c>
      <c r="DFO84">
        <f t="shared" si="266"/>
        <v>3</v>
      </c>
      <c r="DFP84">
        <f t="shared" si="266"/>
        <v>3</v>
      </c>
      <c r="DFQ84">
        <f t="shared" si="266"/>
        <v>3</v>
      </c>
      <c r="DFR84">
        <f t="shared" si="266"/>
        <v>3</v>
      </c>
      <c r="DFS84">
        <f t="shared" ref="DFS84:DID84" si="267">COUNTBLANK(DFS2:DFS5)</f>
        <v>3</v>
      </c>
      <c r="DFT84">
        <f t="shared" si="267"/>
        <v>3</v>
      </c>
      <c r="DFU84">
        <f t="shared" si="267"/>
        <v>3</v>
      </c>
      <c r="DFV84">
        <f t="shared" si="267"/>
        <v>3</v>
      </c>
      <c r="DFW84">
        <f t="shared" si="267"/>
        <v>3</v>
      </c>
      <c r="DFX84">
        <f t="shared" si="267"/>
        <v>3</v>
      </c>
      <c r="DFY84">
        <f t="shared" si="267"/>
        <v>3</v>
      </c>
      <c r="DFZ84">
        <f t="shared" si="267"/>
        <v>3</v>
      </c>
      <c r="DGA84">
        <f t="shared" si="267"/>
        <v>3</v>
      </c>
      <c r="DGB84">
        <f t="shared" si="267"/>
        <v>3</v>
      </c>
      <c r="DGC84">
        <f t="shared" si="267"/>
        <v>3</v>
      </c>
      <c r="DGD84">
        <f t="shared" si="267"/>
        <v>3</v>
      </c>
      <c r="DGE84">
        <f t="shared" si="267"/>
        <v>3</v>
      </c>
      <c r="DGF84">
        <f t="shared" si="267"/>
        <v>3</v>
      </c>
      <c r="DGG84">
        <f t="shared" si="267"/>
        <v>3</v>
      </c>
      <c r="DGH84">
        <f t="shared" si="267"/>
        <v>3</v>
      </c>
      <c r="DGI84">
        <f t="shared" si="267"/>
        <v>3</v>
      </c>
      <c r="DGJ84">
        <f t="shared" si="267"/>
        <v>3</v>
      </c>
      <c r="DGK84">
        <f t="shared" si="267"/>
        <v>3</v>
      </c>
      <c r="DGL84">
        <f t="shared" si="267"/>
        <v>3</v>
      </c>
      <c r="DGM84">
        <f t="shared" si="267"/>
        <v>3</v>
      </c>
      <c r="DGN84">
        <f t="shared" si="267"/>
        <v>3</v>
      </c>
      <c r="DGO84">
        <f t="shared" si="267"/>
        <v>3</v>
      </c>
      <c r="DGP84">
        <f t="shared" si="267"/>
        <v>3</v>
      </c>
      <c r="DGQ84">
        <f t="shared" si="267"/>
        <v>3</v>
      </c>
      <c r="DGR84">
        <f t="shared" si="267"/>
        <v>3</v>
      </c>
      <c r="DGS84">
        <f t="shared" si="267"/>
        <v>3</v>
      </c>
      <c r="DGT84">
        <f t="shared" si="267"/>
        <v>3</v>
      </c>
      <c r="DGU84">
        <f t="shared" si="267"/>
        <v>3</v>
      </c>
      <c r="DGV84">
        <f t="shared" si="267"/>
        <v>3</v>
      </c>
      <c r="DGW84">
        <f t="shared" si="267"/>
        <v>3</v>
      </c>
      <c r="DGX84">
        <f t="shared" si="267"/>
        <v>3</v>
      </c>
      <c r="DGY84">
        <f t="shared" si="267"/>
        <v>3</v>
      </c>
      <c r="DGZ84">
        <f t="shared" si="267"/>
        <v>3</v>
      </c>
      <c r="DHA84">
        <f t="shared" si="267"/>
        <v>3</v>
      </c>
      <c r="DHB84">
        <f t="shared" si="267"/>
        <v>3</v>
      </c>
      <c r="DHC84">
        <f t="shared" si="267"/>
        <v>3</v>
      </c>
      <c r="DHD84">
        <f t="shared" si="267"/>
        <v>3</v>
      </c>
      <c r="DHE84">
        <f t="shared" si="267"/>
        <v>3</v>
      </c>
      <c r="DHF84">
        <f t="shared" si="267"/>
        <v>3</v>
      </c>
      <c r="DHG84">
        <f t="shared" si="267"/>
        <v>3</v>
      </c>
      <c r="DHH84">
        <f t="shared" si="267"/>
        <v>3</v>
      </c>
      <c r="DHI84">
        <f t="shared" si="267"/>
        <v>3</v>
      </c>
      <c r="DHJ84">
        <f t="shared" si="267"/>
        <v>3</v>
      </c>
      <c r="DHK84">
        <f t="shared" si="267"/>
        <v>3</v>
      </c>
      <c r="DHL84">
        <f t="shared" si="267"/>
        <v>3</v>
      </c>
      <c r="DHM84">
        <f t="shared" si="267"/>
        <v>3</v>
      </c>
      <c r="DHN84">
        <f t="shared" si="267"/>
        <v>3</v>
      </c>
      <c r="DHO84">
        <f t="shared" si="267"/>
        <v>3</v>
      </c>
      <c r="DHP84">
        <f t="shared" si="267"/>
        <v>3</v>
      </c>
      <c r="DHQ84">
        <f t="shared" si="267"/>
        <v>3</v>
      </c>
      <c r="DHR84">
        <f t="shared" si="267"/>
        <v>3</v>
      </c>
      <c r="DHS84">
        <f t="shared" si="267"/>
        <v>3</v>
      </c>
      <c r="DHT84">
        <f t="shared" si="267"/>
        <v>3</v>
      </c>
      <c r="DHU84">
        <f t="shared" si="267"/>
        <v>3</v>
      </c>
      <c r="DHV84">
        <f t="shared" si="267"/>
        <v>3</v>
      </c>
      <c r="DHW84">
        <f t="shared" si="267"/>
        <v>3</v>
      </c>
      <c r="DHX84">
        <f t="shared" si="267"/>
        <v>3</v>
      </c>
      <c r="DHY84">
        <f t="shared" si="267"/>
        <v>3</v>
      </c>
      <c r="DHZ84">
        <f t="shared" si="267"/>
        <v>3</v>
      </c>
      <c r="DIA84">
        <f t="shared" si="267"/>
        <v>3</v>
      </c>
      <c r="DIB84">
        <f t="shared" si="267"/>
        <v>3</v>
      </c>
      <c r="DIC84">
        <f t="shared" si="267"/>
        <v>3</v>
      </c>
      <c r="DID84">
        <f t="shared" si="267"/>
        <v>3</v>
      </c>
      <c r="DIE84">
        <f t="shared" ref="DIE84:DKP84" si="268">COUNTBLANK(DIE2:DIE5)</f>
        <v>3</v>
      </c>
      <c r="DIF84">
        <f t="shared" si="268"/>
        <v>3</v>
      </c>
      <c r="DIG84">
        <f t="shared" si="268"/>
        <v>3</v>
      </c>
      <c r="DIH84">
        <f t="shared" si="268"/>
        <v>3</v>
      </c>
      <c r="DII84">
        <f t="shared" si="268"/>
        <v>3</v>
      </c>
      <c r="DIJ84">
        <f t="shared" si="268"/>
        <v>3</v>
      </c>
      <c r="DIK84">
        <f t="shared" si="268"/>
        <v>3</v>
      </c>
      <c r="DIL84">
        <f t="shared" si="268"/>
        <v>3</v>
      </c>
      <c r="DIM84">
        <f t="shared" si="268"/>
        <v>3</v>
      </c>
      <c r="DIN84">
        <f t="shared" si="268"/>
        <v>3</v>
      </c>
      <c r="DIO84">
        <f t="shared" si="268"/>
        <v>3</v>
      </c>
      <c r="DIP84">
        <f t="shared" si="268"/>
        <v>3</v>
      </c>
      <c r="DIQ84">
        <f t="shared" si="268"/>
        <v>3</v>
      </c>
      <c r="DIR84">
        <f t="shared" si="268"/>
        <v>3</v>
      </c>
      <c r="DIS84">
        <f t="shared" si="268"/>
        <v>3</v>
      </c>
      <c r="DIT84">
        <f t="shared" si="268"/>
        <v>3</v>
      </c>
      <c r="DIU84">
        <f t="shared" si="268"/>
        <v>3</v>
      </c>
      <c r="DIV84">
        <f t="shared" si="268"/>
        <v>3</v>
      </c>
      <c r="DIW84">
        <f t="shared" si="268"/>
        <v>3</v>
      </c>
      <c r="DIX84">
        <f t="shared" si="268"/>
        <v>3</v>
      </c>
      <c r="DIY84">
        <f t="shared" si="268"/>
        <v>3</v>
      </c>
      <c r="DIZ84">
        <f t="shared" si="268"/>
        <v>3</v>
      </c>
      <c r="DJA84">
        <f t="shared" si="268"/>
        <v>3</v>
      </c>
      <c r="DJB84">
        <f t="shared" si="268"/>
        <v>3</v>
      </c>
      <c r="DJC84">
        <f t="shared" si="268"/>
        <v>3</v>
      </c>
      <c r="DJD84">
        <f t="shared" si="268"/>
        <v>3</v>
      </c>
      <c r="DJE84">
        <f t="shared" si="268"/>
        <v>3</v>
      </c>
      <c r="DJF84">
        <f t="shared" si="268"/>
        <v>3</v>
      </c>
      <c r="DJG84">
        <f t="shared" si="268"/>
        <v>3</v>
      </c>
      <c r="DJH84">
        <f t="shared" si="268"/>
        <v>3</v>
      </c>
      <c r="DJI84">
        <f t="shared" si="268"/>
        <v>3</v>
      </c>
      <c r="DJJ84">
        <f t="shared" si="268"/>
        <v>3</v>
      </c>
      <c r="DJK84">
        <f t="shared" si="268"/>
        <v>3</v>
      </c>
      <c r="DJL84">
        <f t="shared" si="268"/>
        <v>3</v>
      </c>
      <c r="DJM84">
        <f t="shared" si="268"/>
        <v>3</v>
      </c>
      <c r="DJN84">
        <f t="shared" si="268"/>
        <v>3</v>
      </c>
      <c r="DJO84">
        <f t="shared" si="268"/>
        <v>3</v>
      </c>
      <c r="DJP84">
        <f t="shared" si="268"/>
        <v>3</v>
      </c>
      <c r="DJQ84">
        <f t="shared" si="268"/>
        <v>3</v>
      </c>
      <c r="DJR84">
        <f t="shared" si="268"/>
        <v>3</v>
      </c>
      <c r="DJS84">
        <f t="shared" si="268"/>
        <v>3</v>
      </c>
      <c r="DJT84">
        <f t="shared" si="268"/>
        <v>3</v>
      </c>
      <c r="DJU84">
        <f t="shared" si="268"/>
        <v>3</v>
      </c>
      <c r="DJV84">
        <f t="shared" si="268"/>
        <v>3</v>
      </c>
      <c r="DJW84">
        <f t="shared" si="268"/>
        <v>3</v>
      </c>
      <c r="DJX84">
        <f t="shared" si="268"/>
        <v>3</v>
      </c>
      <c r="DJY84">
        <f t="shared" si="268"/>
        <v>3</v>
      </c>
      <c r="DJZ84">
        <f t="shared" si="268"/>
        <v>3</v>
      </c>
      <c r="DKA84">
        <f t="shared" si="268"/>
        <v>3</v>
      </c>
      <c r="DKB84">
        <f t="shared" si="268"/>
        <v>3</v>
      </c>
      <c r="DKC84">
        <f t="shared" si="268"/>
        <v>3</v>
      </c>
      <c r="DKD84">
        <f t="shared" si="268"/>
        <v>3</v>
      </c>
      <c r="DKE84">
        <f t="shared" si="268"/>
        <v>3</v>
      </c>
      <c r="DKF84">
        <f t="shared" si="268"/>
        <v>3</v>
      </c>
      <c r="DKG84">
        <f t="shared" si="268"/>
        <v>3</v>
      </c>
      <c r="DKH84">
        <f t="shared" si="268"/>
        <v>3</v>
      </c>
      <c r="DKI84">
        <f t="shared" si="268"/>
        <v>3</v>
      </c>
      <c r="DKJ84">
        <f t="shared" si="268"/>
        <v>3</v>
      </c>
      <c r="DKK84">
        <f t="shared" si="268"/>
        <v>3</v>
      </c>
      <c r="DKL84">
        <f t="shared" si="268"/>
        <v>2</v>
      </c>
      <c r="DKM84">
        <f t="shared" si="268"/>
        <v>2</v>
      </c>
      <c r="DKN84">
        <f t="shared" si="268"/>
        <v>2</v>
      </c>
      <c r="DKO84">
        <f t="shared" si="268"/>
        <v>2</v>
      </c>
      <c r="DKP84">
        <f t="shared" si="268"/>
        <v>2</v>
      </c>
      <c r="DKQ84">
        <f t="shared" ref="DKQ84:DNB84" si="269">COUNTBLANK(DKQ2:DKQ5)</f>
        <v>2</v>
      </c>
      <c r="DKR84">
        <f t="shared" si="269"/>
        <v>2</v>
      </c>
      <c r="DKS84">
        <f t="shared" si="269"/>
        <v>2</v>
      </c>
      <c r="DKT84">
        <f t="shared" si="269"/>
        <v>2</v>
      </c>
      <c r="DKU84">
        <f t="shared" si="269"/>
        <v>2</v>
      </c>
      <c r="DKV84">
        <f t="shared" si="269"/>
        <v>2</v>
      </c>
      <c r="DKW84">
        <f t="shared" si="269"/>
        <v>2</v>
      </c>
      <c r="DKX84">
        <f t="shared" si="269"/>
        <v>2</v>
      </c>
      <c r="DKY84">
        <f t="shared" si="269"/>
        <v>3</v>
      </c>
      <c r="DKZ84">
        <f t="shared" si="269"/>
        <v>3</v>
      </c>
      <c r="DLA84">
        <f t="shared" si="269"/>
        <v>3</v>
      </c>
      <c r="DLB84">
        <f t="shared" si="269"/>
        <v>3</v>
      </c>
      <c r="DLC84">
        <f t="shared" si="269"/>
        <v>3</v>
      </c>
      <c r="DLD84">
        <f t="shared" si="269"/>
        <v>3</v>
      </c>
      <c r="DLE84">
        <f t="shared" si="269"/>
        <v>3</v>
      </c>
      <c r="DLF84">
        <f t="shared" si="269"/>
        <v>3</v>
      </c>
      <c r="DLG84">
        <f t="shared" si="269"/>
        <v>3</v>
      </c>
      <c r="DLH84">
        <f t="shared" si="269"/>
        <v>3</v>
      </c>
      <c r="DLI84">
        <f t="shared" si="269"/>
        <v>3</v>
      </c>
      <c r="DLJ84">
        <f t="shared" si="269"/>
        <v>3</v>
      </c>
      <c r="DLK84">
        <f t="shared" si="269"/>
        <v>3</v>
      </c>
      <c r="DLL84">
        <f t="shared" si="269"/>
        <v>3</v>
      </c>
      <c r="DLM84">
        <f t="shared" si="269"/>
        <v>3</v>
      </c>
      <c r="DLN84">
        <f t="shared" si="269"/>
        <v>3</v>
      </c>
      <c r="DLO84">
        <f t="shared" si="269"/>
        <v>3</v>
      </c>
      <c r="DLP84">
        <f t="shared" si="269"/>
        <v>3</v>
      </c>
      <c r="DLQ84">
        <f t="shared" si="269"/>
        <v>3</v>
      </c>
      <c r="DLR84">
        <f t="shared" si="269"/>
        <v>3</v>
      </c>
      <c r="DLS84">
        <f t="shared" si="269"/>
        <v>3</v>
      </c>
      <c r="DLT84">
        <f t="shared" si="269"/>
        <v>3</v>
      </c>
      <c r="DLU84">
        <f t="shared" si="269"/>
        <v>3</v>
      </c>
      <c r="DLV84">
        <f t="shared" si="269"/>
        <v>3</v>
      </c>
      <c r="DLW84">
        <f t="shared" si="269"/>
        <v>3</v>
      </c>
      <c r="DLX84">
        <f t="shared" si="269"/>
        <v>3</v>
      </c>
      <c r="DLY84">
        <f t="shared" si="269"/>
        <v>3</v>
      </c>
      <c r="DLZ84">
        <f t="shared" si="269"/>
        <v>3</v>
      </c>
      <c r="DMA84">
        <f t="shared" si="269"/>
        <v>3</v>
      </c>
      <c r="DMB84">
        <f t="shared" si="269"/>
        <v>3</v>
      </c>
      <c r="DMC84">
        <f t="shared" si="269"/>
        <v>3</v>
      </c>
      <c r="DMD84">
        <f t="shared" si="269"/>
        <v>3</v>
      </c>
      <c r="DME84">
        <f t="shared" si="269"/>
        <v>3</v>
      </c>
      <c r="DMF84">
        <f t="shared" si="269"/>
        <v>3</v>
      </c>
      <c r="DMG84">
        <f t="shared" si="269"/>
        <v>3</v>
      </c>
      <c r="DMH84">
        <f t="shared" si="269"/>
        <v>3</v>
      </c>
      <c r="DMI84">
        <f t="shared" si="269"/>
        <v>3</v>
      </c>
      <c r="DMJ84">
        <f t="shared" si="269"/>
        <v>3</v>
      </c>
      <c r="DMK84">
        <f t="shared" si="269"/>
        <v>3</v>
      </c>
      <c r="DML84">
        <f t="shared" si="269"/>
        <v>3</v>
      </c>
      <c r="DMM84">
        <f t="shared" si="269"/>
        <v>3</v>
      </c>
      <c r="DMN84">
        <f t="shared" si="269"/>
        <v>3</v>
      </c>
      <c r="DMO84">
        <f t="shared" si="269"/>
        <v>3</v>
      </c>
      <c r="DMP84">
        <f t="shared" si="269"/>
        <v>3</v>
      </c>
      <c r="DMQ84">
        <f t="shared" si="269"/>
        <v>3</v>
      </c>
      <c r="DMR84">
        <f t="shared" si="269"/>
        <v>3</v>
      </c>
      <c r="DMS84">
        <f t="shared" si="269"/>
        <v>3</v>
      </c>
      <c r="DMT84">
        <f t="shared" si="269"/>
        <v>3</v>
      </c>
      <c r="DMU84">
        <f t="shared" si="269"/>
        <v>3</v>
      </c>
      <c r="DMV84">
        <f t="shared" si="269"/>
        <v>3</v>
      </c>
      <c r="DMW84">
        <f t="shared" si="269"/>
        <v>3</v>
      </c>
      <c r="DMX84">
        <f t="shared" si="269"/>
        <v>3</v>
      </c>
      <c r="DMY84">
        <f t="shared" si="269"/>
        <v>3</v>
      </c>
      <c r="DMZ84">
        <f t="shared" si="269"/>
        <v>3</v>
      </c>
      <c r="DNA84">
        <f t="shared" si="269"/>
        <v>3</v>
      </c>
      <c r="DNB84">
        <f t="shared" si="269"/>
        <v>3</v>
      </c>
      <c r="DNC84">
        <f t="shared" ref="DNC84:DPN84" si="270">COUNTBLANK(DNC2:DNC5)</f>
        <v>3</v>
      </c>
      <c r="DND84">
        <f t="shared" si="270"/>
        <v>3</v>
      </c>
      <c r="DNE84">
        <f t="shared" si="270"/>
        <v>3</v>
      </c>
      <c r="DNF84">
        <f t="shared" si="270"/>
        <v>3</v>
      </c>
      <c r="DNG84">
        <f t="shared" si="270"/>
        <v>3</v>
      </c>
      <c r="DNH84">
        <f t="shared" si="270"/>
        <v>3</v>
      </c>
      <c r="DNI84">
        <f t="shared" si="270"/>
        <v>3</v>
      </c>
      <c r="DNJ84">
        <f t="shared" si="270"/>
        <v>3</v>
      </c>
      <c r="DNK84">
        <f t="shared" si="270"/>
        <v>3</v>
      </c>
      <c r="DNL84">
        <f t="shared" si="270"/>
        <v>3</v>
      </c>
      <c r="DNM84">
        <f t="shared" si="270"/>
        <v>3</v>
      </c>
      <c r="DNN84">
        <f t="shared" si="270"/>
        <v>3</v>
      </c>
      <c r="DNO84">
        <f t="shared" si="270"/>
        <v>3</v>
      </c>
      <c r="DNP84">
        <f t="shared" si="270"/>
        <v>3</v>
      </c>
      <c r="DNQ84">
        <f t="shared" si="270"/>
        <v>3</v>
      </c>
      <c r="DNR84">
        <f t="shared" si="270"/>
        <v>3</v>
      </c>
      <c r="DNS84">
        <f t="shared" si="270"/>
        <v>3</v>
      </c>
      <c r="DNT84">
        <f t="shared" si="270"/>
        <v>3</v>
      </c>
      <c r="DNU84">
        <f t="shared" si="270"/>
        <v>3</v>
      </c>
      <c r="DNV84">
        <f t="shared" si="270"/>
        <v>3</v>
      </c>
      <c r="DNW84">
        <f t="shared" si="270"/>
        <v>3</v>
      </c>
      <c r="DNX84">
        <f t="shared" si="270"/>
        <v>3</v>
      </c>
      <c r="DNY84">
        <f t="shared" si="270"/>
        <v>3</v>
      </c>
      <c r="DNZ84">
        <f t="shared" si="270"/>
        <v>3</v>
      </c>
      <c r="DOA84">
        <f t="shared" si="270"/>
        <v>3</v>
      </c>
      <c r="DOB84">
        <f t="shared" si="270"/>
        <v>3</v>
      </c>
      <c r="DOC84">
        <f t="shared" si="270"/>
        <v>3</v>
      </c>
      <c r="DOD84">
        <f t="shared" si="270"/>
        <v>3</v>
      </c>
      <c r="DOE84">
        <f t="shared" si="270"/>
        <v>3</v>
      </c>
      <c r="DOF84">
        <f t="shared" si="270"/>
        <v>3</v>
      </c>
      <c r="DOG84">
        <f t="shared" si="270"/>
        <v>3</v>
      </c>
      <c r="DOH84">
        <f t="shared" si="270"/>
        <v>3</v>
      </c>
      <c r="DOI84">
        <f t="shared" si="270"/>
        <v>3</v>
      </c>
      <c r="DOJ84">
        <f t="shared" si="270"/>
        <v>3</v>
      </c>
      <c r="DOK84">
        <f t="shared" si="270"/>
        <v>3</v>
      </c>
      <c r="DOL84">
        <f t="shared" si="270"/>
        <v>3</v>
      </c>
      <c r="DOM84">
        <f t="shared" si="270"/>
        <v>3</v>
      </c>
      <c r="DON84">
        <f t="shared" si="270"/>
        <v>3</v>
      </c>
      <c r="DOO84">
        <f t="shared" si="270"/>
        <v>3</v>
      </c>
      <c r="DOP84">
        <f t="shared" si="270"/>
        <v>3</v>
      </c>
      <c r="DOQ84">
        <f t="shared" si="270"/>
        <v>3</v>
      </c>
      <c r="DOR84">
        <f t="shared" si="270"/>
        <v>3</v>
      </c>
      <c r="DOS84">
        <f t="shared" si="270"/>
        <v>3</v>
      </c>
      <c r="DOT84">
        <f t="shared" si="270"/>
        <v>3</v>
      </c>
      <c r="DOU84">
        <f t="shared" si="270"/>
        <v>3</v>
      </c>
      <c r="DOV84">
        <f t="shared" si="270"/>
        <v>3</v>
      </c>
      <c r="DOW84">
        <f t="shared" si="270"/>
        <v>3</v>
      </c>
      <c r="DOX84">
        <f t="shared" si="270"/>
        <v>3</v>
      </c>
      <c r="DOY84">
        <f t="shared" si="270"/>
        <v>3</v>
      </c>
      <c r="DOZ84">
        <f t="shared" si="270"/>
        <v>3</v>
      </c>
      <c r="DPA84">
        <f t="shared" si="270"/>
        <v>3</v>
      </c>
      <c r="DPB84">
        <f t="shared" si="270"/>
        <v>3</v>
      </c>
      <c r="DPC84">
        <f t="shared" si="270"/>
        <v>3</v>
      </c>
      <c r="DPD84">
        <f t="shared" si="270"/>
        <v>3</v>
      </c>
      <c r="DPE84">
        <f t="shared" si="270"/>
        <v>3</v>
      </c>
      <c r="DPF84">
        <f t="shared" si="270"/>
        <v>3</v>
      </c>
      <c r="DPG84">
        <f t="shared" si="270"/>
        <v>3</v>
      </c>
      <c r="DPH84">
        <f t="shared" si="270"/>
        <v>3</v>
      </c>
      <c r="DPI84">
        <f t="shared" si="270"/>
        <v>3</v>
      </c>
      <c r="DPJ84">
        <f t="shared" si="270"/>
        <v>3</v>
      </c>
      <c r="DPK84">
        <f t="shared" si="270"/>
        <v>3</v>
      </c>
      <c r="DPL84">
        <f t="shared" si="270"/>
        <v>3</v>
      </c>
      <c r="DPM84">
        <f t="shared" si="270"/>
        <v>3</v>
      </c>
      <c r="DPN84">
        <f t="shared" si="270"/>
        <v>3</v>
      </c>
      <c r="DPO84">
        <f t="shared" ref="DPO84:DRZ84" si="271">COUNTBLANK(DPO2:DPO5)</f>
        <v>3</v>
      </c>
      <c r="DPP84">
        <f t="shared" si="271"/>
        <v>3</v>
      </c>
      <c r="DPQ84">
        <f t="shared" si="271"/>
        <v>3</v>
      </c>
      <c r="DPR84">
        <f t="shared" si="271"/>
        <v>3</v>
      </c>
      <c r="DPS84">
        <f t="shared" si="271"/>
        <v>3</v>
      </c>
      <c r="DPT84">
        <f t="shared" si="271"/>
        <v>3</v>
      </c>
      <c r="DPU84">
        <f t="shared" si="271"/>
        <v>3</v>
      </c>
      <c r="DPV84">
        <f t="shared" si="271"/>
        <v>3</v>
      </c>
      <c r="DPW84">
        <f t="shared" si="271"/>
        <v>3</v>
      </c>
      <c r="DPX84">
        <f t="shared" si="271"/>
        <v>3</v>
      </c>
      <c r="DPY84">
        <f t="shared" si="271"/>
        <v>3</v>
      </c>
      <c r="DPZ84">
        <f t="shared" si="271"/>
        <v>3</v>
      </c>
      <c r="DQA84">
        <f t="shared" si="271"/>
        <v>3</v>
      </c>
      <c r="DQB84">
        <f t="shared" si="271"/>
        <v>3</v>
      </c>
      <c r="DQC84">
        <f t="shared" si="271"/>
        <v>3</v>
      </c>
      <c r="DQD84">
        <f t="shared" si="271"/>
        <v>3</v>
      </c>
      <c r="DQE84">
        <f t="shared" si="271"/>
        <v>3</v>
      </c>
      <c r="DQF84">
        <f t="shared" si="271"/>
        <v>3</v>
      </c>
      <c r="DQG84">
        <f t="shared" si="271"/>
        <v>3</v>
      </c>
      <c r="DQH84">
        <f t="shared" si="271"/>
        <v>3</v>
      </c>
      <c r="DQI84">
        <f t="shared" si="271"/>
        <v>3</v>
      </c>
      <c r="DQJ84">
        <f t="shared" si="271"/>
        <v>3</v>
      </c>
      <c r="DQK84">
        <f t="shared" si="271"/>
        <v>3</v>
      </c>
      <c r="DQL84">
        <f t="shared" si="271"/>
        <v>3</v>
      </c>
      <c r="DQM84">
        <f t="shared" si="271"/>
        <v>3</v>
      </c>
      <c r="DQN84">
        <f t="shared" si="271"/>
        <v>3</v>
      </c>
      <c r="DQO84">
        <f t="shared" si="271"/>
        <v>3</v>
      </c>
      <c r="DQP84">
        <f t="shared" si="271"/>
        <v>3</v>
      </c>
      <c r="DQQ84">
        <f t="shared" si="271"/>
        <v>3</v>
      </c>
      <c r="DQR84">
        <f t="shared" si="271"/>
        <v>3</v>
      </c>
      <c r="DQS84">
        <f t="shared" si="271"/>
        <v>3</v>
      </c>
      <c r="DQT84">
        <f t="shared" si="271"/>
        <v>3</v>
      </c>
      <c r="DQU84">
        <f t="shared" si="271"/>
        <v>3</v>
      </c>
      <c r="DQV84">
        <f t="shared" si="271"/>
        <v>3</v>
      </c>
      <c r="DQW84">
        <f t="shared" si="271"/>
        <v>3</v>
      </c>
      <c r="DQX84">
        <f t="shared" si="271"/>
        <v>2</v>
      </c>
      <c r="DQY84">
        <f t="shared" si="271"/>
        <v>2</v>
      </c>
      <c r="DQZ84">
        <f t="shared" si="271"/>
        <v>2</v>
      </c>
      <c r="DRA84">
        <f t="shared" si="271"/>
        <v>2</v>
      </c>
      <c r="DRB84">
        <f t="shared" si="271"/>
        <v>2</v>
      </c>
      <c r="DRC84">
        <f t="shared" si="271"/>
        <v>2</v>
      </c>
      <c r="DRD84">
        <f t="shared" si="271"/>
        <v>2</v>
      </c>
      <c r="DRE84">
        <f t="shared" si="271"/>
        <v>2</v>
      </c>
      <c r="DRF84">
        <f t="shared" si="271"/>
        <v>2</v>
      </c>
      <c r="DRG84">
        <f t="shared" si="271"/>
        <v>2</v>
      </c>
      <c r="DRH84">
        <f t="shared" si="271"/>
        <v>2</v>
      </c>
      <c r="DRI84">
        <f t="shared" si="271"/>
        <v>3</v>
      </c>
      <c r="DRJ84">
        <f t="shared" si="271"/>
        <v>3</v>
      </c>
      <c r="DRK84">
        <f t="shared" si="271"/>
        <v>3</v>
      </c>
      <c r="DRL84">
        <f t="shared" si="271"/>
        <v>3</v>
      </c>
      <c r="DRM84">
        <f t="shared" si="271"/>
        <v>3</v>
      </c>
      <c r="DRN84">
        <f t="shared" si="271"/>
        <v>3</v>
      </c>
      <c r="DRO84">
        <f t="shared" si="271"/>
        <v>3</v>
      </c>
      <c r="DRP84">
        <f t="shared" si="271"/>
        <v>3</v>
      </c>
      <c r="DRQ84">
        <f t="shared" si="271"/>
        <v>3</v>
      </c>
      <c r="DRR84">
        <f t="shared" si="271"/>
        <v>3</v>
      </c>
      <c r="DRS84">
        <f t="shared" si="271"/>
        <v>3</v>
      </c>
      <c r="DRT84">
        <f t="shared" si="271"/>
        <v>3</v>
      </c>
      <c r="DRU84">
        <f t="shared" si="271"/>
        <v>3</v>
      </c>
      <c r="DRV84">
        <f t="shared" si="271"/>
        <v>3</v>
      </c>
      <c r="DRW84">
        <f t="shared" si="271"/>
        <v>3</v>
      </c>
      <c r="DRX84">
        <f t="shared" si="271"/>
        <v>3</v>
      </c>
      <c r="DRY84">
        <f t="shared" si="271"/>
        <v>3</v>
      </c>
      <c r="DRZ84">
        <f t="shared" si="271"/>
        <v>3</v>
      </c>
      <c r="DSA84">
        <f t="shared" ref="DSA84:DUL84" si="272">COUNTBLANK(DSA2:DSA5)</f>
        <v>3</v>
      </c>
      <c r="DSB84">
        <f t="shared" si="272"/>
        <v>3</v>
      </c>
      <c r="DSC84">
        <f t="shared" si="272"/>
        <v>3</v>
      </c>
      <c r="DSD84">
        <f t="shared" si="272"/>
        <v>3</v>
      </c>
      <c r="DSE84">
        <f t="shared" si="272"/>
        <v>3</v>
      </c>
      <c r="DSF84">
        <f t="shared" si="272"/>
        <v>3</v>
      </c>
      <c r="DSG84">
        <f t="shared" si="272"/>
        <v>3</v>
      </c>
      <c r="DSH84">
        <f t="shared" si="272"/>
        <v>3</v>
      </c>
      <c r="DSI84">
        <f t="shared" si="272"/>
        <v>3</v>
      </c>
      <c r="DSJ84">
        <f t="shared" si="272"/>
        <v>3</v>
      </c>
      <c r="DSK84">
        <f t="shared" si="272"/>
        <v>3</v>
      </c>
      <c r="DSL84">
        <f t="shared" si="272"/>
        <v>3</v>
      </c>
      <c r="DSM84">
        <f t="shared" si="272"/>
        <v>3</v>
      </c>
      <c r="DSN84">
        <f t="shared" si="272"/>
        <v>3</v>
      </c>
      <c r="DSO84">
        <f t="shared" si="272"/>
        <v>3</v>
      </c>
      <c r="DSP84">
        <f t="shared" si="272"/>
        <v>3</v>
      </c>
      <c r="DSQ84">
        <f t="shared" si="272"/>
        <v>3</v>
      </c>
      <c r="DSR84">
        <f t="shared" si="272"/>
        <v>3</v>
      </c>
      <c r="DSS84">
        <f t="shared" si="272"/>
        <v>3</v>
      </c>
      <c r="DST84">
        <f t="shared" si="272"/>
        <v>3</v>
      </c>
      <c r="DSU84">
        <f t="shared" si="272"/>
        <v>3</v>
      </c>
      <c r="DSV84">
        <f t="shared" si="272"/>
        <v>3</v>
      </c>
      <c r="DSW84">
        <f t="shared" si="272"/>
        <v>3</v>
      </c>
      <c r="DSX84">
        <f t="shared" si="272"/>
        <v>3</v>
      </c>
      <c r="DSY84">
        <f t="shared" si="272"/>
        <v>3</v>
      </c>
      <c r="DSZ84">
        <f t="shared" si="272"/>
        <v>3</v>
      </c>
      <c r="DTA84">
        <f t="shared" si="272"/>
        <v>3</v>
      </c>
      <c r="DTB84">
        <f t="shared" si="272"/>
        <v>3</v>
      </c>
      <c r="DTC84">
        <f t="shared" si="272"/>
        <v>3</v>
      </c>
      <c r="DTD84">
        <f t="shared" si="272"/>
        <v>3</v>
      </c>
      <c r="DTE84">
        <f t="shared" si="272"/>
        <v>3</v>
      </c>
      <c r="DTF84">
        <f t="shared" si="272"/>
        <v>3</v>
      </c>
      <c r="DTG84">
        <f t="shared" si="272"/>
        <v>3</v>
      </c>
      <c r="DTH84">
        <f t="shared" si="272"/>
        <v>3</v>
      </c>
      <c r="DTI84">
        <f t="shared" si="272"/>
        <v>3</v>
      </c>
      <c r="DTJ84">
        <f t="shared" si="272"/>
        <v>3</v>
      </c>
      <c r="DTK84">
        <f t="shared" si="272"/>
        <v>3</v>
      </c>
      <c r="DTL84">
        <f t="shared" si="272"/>
        <v>3</v>
      </c>
      <c r="DTM84">
        <f t="shared" si="272"/>
        <v>3</v>
      </c>
      <c r="DTN84">
        <f t="shared" si="272"/>
        <v>3</v>
      </c>
      <c r="DTO84">
        <f t="shared" si="272"/>
        <v>3</v>
      </c>
      <c r="DTP84">
        <f t="shared" si="272"/>
        <v>3</v>
      </c>
      <c r="DTQ84">
        <f t="shared" si="272"/>
        <v>3</v>
      </c>
      <c r="DTR84">
        <f t="shared" si="272"/>
        <v>3</v>
      </c>
      <c r="DTS84">
        <f t="shared" si="272"/>
        <v>3</v>
      </c>
      <c r="DTT84">
        <f t="shared" si="272"/>
        <v>3</v>
      </c>
      <c r="DTU84">
        <f t="shared" si="272"/>
        <v>3</v>
      </c>
      <c r="DTV84">
        <f t="shared" si="272"/>
        <v>3</v>
      </c>
      <c r="DTW84">
        <f t="shared" si="272"/>
        <v>3</v>
      </c>
      <c r="DTX84">
        <f t="shared" si="272"/>
        <v>3</v>
      </c>
      <c r="DTY84">
        <f t="shared" si="272"/>
        <v>3</v>
      </c>
      <c r="DTZ84">
        <f t="shared" si="272"/>
        <v>3</v>
      </c>
      <c r="DUA84">
        <f t="shared" si="272"/>
        <v>3</v>
      </c>
      <c r="DUB84">
        <f t="shared" si="272"/>
        <v>3</v>
      </c>
      <c r="DUC84">
        <f t="shared" si="272"/>
        <v>3</v>
      </c>
      <c r="DUD84">
        <f t="shared" si="272"/>
        <v>3</v>
      </c>
      <c r="DUE84">
        <f t="shared" si="272"/>
        <v>3</v>
      </c>
      <c r="DUF84">
        <f t="shared" si="272"/>
        <v>3</v>
      </c>
      <c r="DUG84">
        <f t="shared" si="272"/>
        <v>3</v>
      </c>
      <c r="DUH84">
        <f t="shared" si="272"/>
        <v>3</v>
      </c>
      <c r="DUI84">
        <f t="shared" si="272"/>
        <v>3</v>
      </c>
      <c r="DUJ84">
        <f t="shared" si="272"/>
        <v>3</v>
      </c>
      <c r="DUK84">
        <f t="shared" si="272"/>
        <v>3</v>
      </c>
      <c r="DUL84">
        <f t="shared" si="272"/>
        <v>3</v>
      </c>
      <c r="DUM84">
        <f t="shared" ref="DUM84:DWX84" si="273">COUNTBLANK(DUM2:DUM5)</f>
        <v>3</v>
      </c>
      <c r="DUN84">
        <f t="shared" si="273"/>
        <v>3</v>
      </c>
      <c r="DUO84">
        <f t="shared" si="273"/>
        <v>3</v>
      </c>
      <c r="DUP84">
        <f t="shared" si="273"/>
        <v>3</v>
      </c>
      <c r="DUQ84">
        <f t="shared" si="273"/>
        <v>3</v>
      </c>
      <c r="DUR84">
        <f t="shared" si="273"/>
        <v>3</v>
      </c>
      <c r="DUS84">
        <f t="shared" si="273"/>
        <v>3</v>
      </c>
      <c r="DUT84">
        <f t="shared" si="273"/>
        <v>3</v>
      </c>
      <c r="DUU84">
        <f t="shared" si="273"/>
        <v>3</v>
      </c>
      <c r="DUV84">
        <f t="shared" si="273"/>
        <v>3</v>
      </c>
      <c r="DUW84">
        <f t="shared" si="273"/>
        <v>3</v>
      </c>
      <c r="DUX84">
        <f t="shared" si="273"/>
        <v>3</v>
      </c>
      <c r="DUY84">
        <f t="shared" si="273"/>
        <v>3</v>
      </c>
      <c r="DUZ84">
        <f t="shared" si="273"/>
        <v>3</v>
      </c>
      <c r="DVA84">
        <f t="shared" si="273"/>
        <v>3</v>
      </c>
      <c r="DVB84">
        <f t="shared" si="273"/>
        <v>3</v>
      </c>
      <c r="DVC84">
        <f t="shared" si="273"/>
        <v>3</v>
      </c>
      <c r="DVD84">
        <f t="shared" si="273"/>
        <v>3</v>
      </c>
      <c r="DVE84">
        <f t="shared" si="273"/>
        <v>3</v>
      </c>
      <c r="DVF84">
        <f t="shared" si="273"/>
        <v>3</v>
      </c>
      <c r="DVG84">
        <f t="shared" si="273"/>
        <v>3</v>
      </c>
      <c r="DVH84">
        <f t="shared" si="273"/>
        <v>3</v>
      </c>
      <c r="DVI84">
        <f t="shared" si="273"/>
        <v>3</v>
      </c>
      <c r="DVJ84">
        <f t="shared" si="273"/>
        <v>3</v>
      </c>
      <c r="DVK84">
        <f t="shared" si="273"/>
        <v>3</v>
      </c>
      <c r="DVL84">
        <f t="shared" si="273"/>
        <v>3</v>
      </c>
      <c r="DVM84">
        <f t="shared" si="273"/>
        <v>3</v>
      </c>
      <c r="DVN84">
        <f t="shared" si="273"/>
        <v>3</v>
      </c>
      <c r="DVO84">
        <f t="shared" si="273"/>
        <v>3</v>
      </c>
      <c r="DVP84">
        <f t="shared" si="273"/>
        <v>3</v>
      </c>
      <c r="DVQ84">
        <f t="shared" si="273"/>
        <v>3</v>
      </c>
      <c r="DVR84">
        <f t="shared" si="273"/>
        <v>3</v>
      </c>
      <c r="DVS84">
        <f t="shared" si="273"/>
        <v>3</v>
      </c>
      <c r="DVT84">
        <f t="shared" si="273"/>
        <v>3</v>
      </c>
      <c r="DVU84">
        <f t="shared" si="273"/>
        <v>3</v>
      </c>
      <c r="DVV84">
        <f t="shared" si="273"/>
        <v>3</v>
      </c>
      <c r="DVW84">
        <f t="shared" si="273"/>
        <v>3</v>
      </c>
      <c r="DVX84">
        <f t="shared" si="273"/>
        <v>3</v>
      </c>
      <c r="DVY84">
        <f t="shared" si="273"/>
        <v>3</v>
      </c>
      <c r="DVZ84">
        <f t="shared" si="273"/>
        <v>3</v>
      </c>
      <c r="DWA84">
        <f t="shared" si="273"/>
        <v>3</v>
      </c>
      <c r="DWB84">
        <f t="shared" si="273"/>
        <v>3</v>
      </c>
      <c r="DWC84">
        <f t="shared" si="273"/>
        <v>3</v>
      </c>
      <c r="DWD84">
        <f t="shared" si="273"/>
        <v>3</v>
      </c>
      <c r="DWE84">
        <f t="shared" si="273"/>
        <v>3</v>
      </c>
      <c r="DWF84">
        <f t="shared" si="273"/>
        <v>3</v>
      </c>
      <c r="DWG84">
        <f t="shared" si="273"/>
        <v>3</v>
      </c>
      <c r="DWH84">
        <f t="shared" si="273"/>
        <v>3</v>
      </c>
      <c r="DWI84">
        <f t="shared" si="273"/>
        <v>3</v>
      </c>
      <c r="DWJ84">
        <f t="shared" si="273"/>
        <v>3</v>
      </c>
      <c r="DWK84">
        <f t="shared" si="273"/>
        <v>3</v>
      </c>
      <c r="DWL84">
        <f t="shared" si="273"/>
        <v>3</v>
      </c>
      <c r="DWM84">
        <f t="shared" si="273"/>
        <v>3</v>
      </c>
      <c r="DWN84">
        <f t="shared" si="273"/>
        <v>3</v>
      </c>
      <c r="DWO84">
        <f t="shared" si="273"/>
        <v>3</v>
      </c>
      <c r="DWP84">
        <f t="shared" si="273"/>
        <v>3</v>
      </c>
      <c r="DWQ84">
        <f t="shared" si="273"/>
        <v>3</v>
      </c>
      <c r="DWR84">
        <f t="shared" si="273"/>
        <v>3</v>
      </c>
      <c r="DWS84">
        <f t="shared" si="273"/>
        <v>3</v>
      </c>
      <c r="DWT84">
        <f t="shared" si="273"/>
        <v>3</v>
      </c>
      <c r="DWU84">
        <f t="shared" si="273"/>
        <v>3</v>
      </c>
      <c r="DWV84">
        <f t="shared" si="273"/>
        <v>3</v>
      </c>
      <c r="DWW84">
        <f t="shared" si="273"/>
        <v>3</v>
      </c>
      <c r="DWX84">
        <f t="shared" si="273"/>
        <v>3</v>
      </c>
      <c r="DWY84">
        <f t="shared" ref="DWY84:DZJ84" si="274">COUNTBLANK(DWY2:DWY5)</f>
        <v>3</v>
      </c>
      <c r="DWZ84">
        <f t="shared" si="274"/>
        <v>3</v>
      </c>
      <c r="DXA84">
        <f t="shared" si="274"/>
        <v>3</v>
      </c>
      <c r="DXB84">
        <f t="shared" si="274"/>
        <v>3</v>
      </c>
      <c r="DXC84">
        <f t="shared" si="274"/>
        <v>3</v>
      </c>
      <c r="DXD84">
        <f t="shared" si="274"/>
        <v>3</v>
      </c>
      <c r="DXE84">
        <f t="shared" si="274"/>
        <v>3</v>
      </c>
      <c r="DXF84">
        <f t="shared" si="274"/>
        <v>3</v>
      </c>
      <c r="DXG84">
        <f t="shared" si="274"/>
        <v>3</v>
      </c>
      <c r="DXH84">
        <f t="shared" si="274"/>
        <v>3</v>
      </c>
      <c r="DXI84">
        <f t="shared" si="274"/>
        <v>3</v>
      </c>
      <c r="DXJ84">
        <f t="shared" si="274"/>
        <v>3</v>
      </c>
      <c r="DXK84">
        <f t="shared" si="274"/>
        <v>3</v>
      </c>
      <c r="DXL84">
        <f t="shared" si="274"/>
        <v>3</v>
      </c>
      <c r="DXM84">
        <f t="shared" si="274"/>
        <v>3</v>
      </c>
      <c r="DXN84">
        <f t="shared" si="274"/>
        <v>3</v>
      </c>
      <c r="DXO84">
        <f t="shared" si="274"/>
        <v>3</v>
      </c>
      <c r="DXP84">
        <f t="shared" si="274"/>
        <v>3</v>
      </c>
      <c r="DXQ84">
        <f t="shared" si="274"/>
        <v>3</v>
      </c>
      <c r="DXR84">
        <f t="shared" si="274"/>
        <v>3</v>
      </c>
      <c r="DXS84">
        <f t="shared" si="274"/>
        <v>3</v>
      </c>
      <c r="DXT84">
        <f t="shared" si="274"/>
        <v>3</v>
      </c>
      <c r="DXU84">
        <f t="shared" si="274"/>
        <v>3</v>
      </c>
      <c r="DXV84">
        <f t="shared" si="274"/>
        <v>3</v>
      </c>
      <c r="DXW84">
        <f t="shared" si="274"/>
        <v>3</v>
      </c>
      <c r="DXX84">
        <f t="shared" si="274"/>
        <v>3</v>
      </c>
      <c r="DXY84">
        <f t="shared" si="274"/>
        <v>3</v>
      </c>
      <c r="DXZ84">
        <f t="shared" si="274"/>
        <v>3</v>
      </c>
      <c r="DYA84">
        <f t="shared" si="274"/>
        <v>3</v>
      </c>
      <c r="DYB84">
        <f t="shared" si="274"/>
        <v>3</v>
      </c>
      <c r="DYC84">
        <f t="shared" si="274"/>
        <v>3</v>
      </c>
      <c r="DYD84">
        <f t="shared" si="274"/>
        <v>3</v>
      </c>
      <c r="DYE84">
        <f t="shared" si="274"/>
        <v>3</v>
      </c>
      <c r="DYF84">
        <f t="shared" si="274"/>
        <v>3</v>
      </c>
      <c r="DYG84">
        <f t="shared" si="274"/>
        <v>3</v>
      </c>
      <c r="DYH84">
        <f t="shared" si="274"/>
        <v>3</v>
      </c>
      <c r="DYI84">
        <f t="shared" si="274"/>
        <v>3</v>
      </c>
      <c r="DYJ84">
        <f t="shared" si="274"/>
        <v>3</v>
      </c>
      <c r="DYK84">
        <f t="shared" si="274"/>
        <v>3</v>
      </c>
      <c r="DYL84">
        <f t="shared" si="274"/>
        <v>2</v>
      </c>
      <c r="DYM84">
        <f t="shared" si="274"/>
        <v>2</v>
      </c>
      <c r="DYN84">
        <f t="shared" si="274"/>
        <v>2</v>
      </c>
      <c r="DYO84">
        <f t="shared" si="274"/>
        <v>2</v>
      </c>
      <c r="DYP84">
        <f t="shared" si="274"/>
        <v>2</v>
      </c>
      <c r="DYQ84">
        <f t="shared" si="274"/>
        <v>2</v>
      </c>
      <c r="DYR84">
        <f t="shared" si="274"/>
        <v>2</v>
      </c>
      <c r="DYS84">
        <f t="shared" si="274"/>
        <v>2</v>
      </c>
      <c r="DYT84">
        <f t="shared" si="274"/>
        <v>2</v>
      </c>
      <c r="DYU84">
        <f t="shared" si="274"/>
        <v>2</v>
      </c>
      <c r="DYV84">
        <f t="shared" si="274"/>
        <v>2</v>
      </c>
      <c r="DYW84">
        <f t="shared" si="274"/>
        <v>2</v>
      </c>
      <c r="DYX84">
        <f t="shared" si="274"/>
        <v>2</v>
      </c>
      <c r="DYY84">
        <f t="shared" si="274"/>
        <v>2</v>
      </c>
      <c r="DYZ84">
        <f t="shared" si="274"/>
        <v>2</v>
      </c>
      <c r="DZA84">
        <f t="shared" si="274"/>
        <v>2</v>
      </c>
      <c r="DZB84">
        <f t="shared" si="274"/>
        <v>2</v>
      </c>
      <c r="DZC84">
        <f t="shared" si="274"/>
        <v>2</v>
      </c>
      <c r="DZD84">
        <f t="shared" si="274"/>
        <v>2</v>
      </c>
      <c r="DZE84">
        <f t="shared" si="274"/>
        <v>2</v>
      </c>
      <c r="DZF84">
        <f t="shared" si="274"/>
        <v>2</v>
      </c>
      <c r="DZG84">
        <f t="shared" si="274"/>
        <v>3</v>
      </c>
      <c r="DZH84">
        <f t="shared" si="274"/>
        <v>3</v>
      </c>
      <c r="DZI84">
        <f t="shared" si="274"/>
        <v>3</v>
      </c>
      <c r="DZJ84">
        <f t="shared" si="274"/>
        <v>3</v>
      </c>
      <c r="DZK84">
        <f t="shared" ref="DZK84:EBV84" si="275">COUNTBLANK(DZK2:DZK5)</f>
        <v>3</v>
      </c>
      <c r="DZL84">
        <f t="shared" si="275"/>
        <v>3</v>
      </c>
      <c r="DZM84">
        <f t="shared" si="275"/>
        <v>3</v>
      </c>
      <c r="DZN84">
        <f t="shared" si="275"/>
        <v>3</v>
      </c>
      <c r="DZO84">
        <f t="shared" si="275"/>
        <v>3</v>
      </c>
      <c r="DZP84">
        <f t="shared" si="275"/>
        <v>3</v>
      </c>
      <c r="DZQ84">
        <f t="shared" si="275"/>
        <v>3</v>
      </c>
      <c r="DZR84">
        <f t="shared" si="275"/>
        <v>3</v>
      </c>
      <c r="DZS84">
        <f t="shared" si="275"/>
        <v>3</v>
      </c>
      <c r="DZT84">
        <f t="shared" si="275"/>
        <v>3</v>
      </c>
      <c r="DZU84">
        <f t="shared" si="275"/>
        <v>3</v>
      </c>
      <c r="DZV84">
        <f t="shared" si="275"/>
        <v>3</v>
      </c>
      <c r="DZW84">
        <f t="shared" si="275"/>
        <v>3</v>
      </c>
      <c r="DZX84">
        <f t="shared" si="275"/>
        <v>3</v>
      </c>
      <c r="DZY84">
        <f t="shared" si="275"/>
        <v>3</v>
      </c>
      <c r="DZZ84">
        <f t="shared" si="275"/>
        <v>3</v>
      </c>
      <c r="EAA84">
        <f t="shared" si="275"/>
        <v>3</v>
      </c>
      <c r="EAB84">
        <f t="shared" si="275"/>
        <v>3</v>
      </c>
      <c r="EAC84">
        <f t="shared" si="275"/>
        <v>3</v>
      </c>
      <c r="EAD84">
        <f t="shared" si="275"/>
        <v>3</v>
      </c>
      <c r="EAE84">
        <f t="shared" si="275"/>
        <v>3</v>
      </c>
      <c r="EAF84">
        <f t="shared" si="275"/>
        <v>3</v>
      </c>
      <c r="EAG84">
        <f t="shared" si="275"/>
        <v>3</v>
      </c>
      <c r="EAH84">
        <f t="shared" si="275"/>
        <v>3</v>
      </c>
      <c r="EAI84">
        <f t="shared" si="275"/>
        <v>3</v>
      </c>
      <c r="EAJ84">
        <f t="shared" si="275"/>
        <v>3</v>
      </c>
      <c r="EAK84">
        <f t="shared" si="275"/>
        <v>3</v>
      </c>
      <c r="EAL84">
        <f t="shared" si="275"/>
        <v>3</v>
      </c>
      <c r="EAM84">
        <f t="shared" si="275"/>
        <v>3</v>
      </c>
      <c r="EAN84">
        <f t="shared" si="275"/>
        <v>3</v>
      </c>
      <c r="EAO84">
        <f t="shared" si="275"/>
        <v>3</v>
      </c>
      <c r="EAP84">
        <f t="shared" si="275"/>
        <v>3</v>
      </c>
      <c r="EAQ84">
        <f t="shared" si="275"/>
        <v>3</v>
      </c>
      <c r="EAR84">
        <f t="shared" si="275"/>
        <v>3</v>
      </c>
      <c r="EAS84">
        <f t="shared" si="275"/>
        <v>3</v>
      </c>
      <c r="EAT84">
        <f t="shared" si="275"/>
        <v>3</v>
      </c>
      <c r="EAU84">
        <f t="shared" si="275"/>
        <v>3</v>
      </c>
      <c r="EAV84">
        <f t="shared" si="275"/>
        <v>3</v>
      </c>
      <c r="EAW84">
        <f t="shared" si="275"/>
        <v>3</v>
      </c>
      <c r="EAX84">
        <f t="shared" si="275"/>
        <v>3</v>
      </c>
      <c r="EAY84">
        <f t="shared" si="275"/>
        <v>3</v>
      </c>
      <c r="EAZ84">
        <f t="shared" si="275"/>
        <v>3</v>
      </c>
      <c r="EBA84">
        <f t="shared" si="275"/>
        <v>3</v>
      </c>
      <c r="EBB84">
        <f t="shared" si="275"/>
        <v>3</v>
      </c>
      <c r="EBC84">
        <f t="shared" si="275"/>
        <v>3</v>
      </c>
      <c r="EBD84">
        <f t="shared" si="275"/>
        <v>3</v>
      </c>
      <c r="EBE84">
        <f t="shared" si="275"/>
        <v>3</v>
      </c>
      <c r="EBF84">
        <f t="shared" si="275"/>
        <v>3</v>
      </c>
      <c r="EBG84">
        <f t="shared" si="275"/>
        <v>3</v>
      </c>
      <c r="EBH84">
        <f t="shared" si="275"/>
        <v>3</v>
      </c>
      <c r="EBI84">
        <f t="shared" si="275"/>
        <v>3</v>
      </c>
      <c r="EBJ84">
        <f t="shared" si="275"/>
        <v>3</v>
      </c>
      <c r="EBK84">
        <f t="shared" si="275"/>
        <v>3</v>
      </c>
      <c r="EBL84">
        <f t="shared" si="275"/>
        <v>3</v>
      </c>
      <c r="EBM84">
        <f t="shared" si="275"/>
        <v>3</v>
      </c>
      <c r="EBN84">
        <f t="shared" si="275"/>
        <v>3</v>
      </c>
      <c r="EBO84">
        <f t="shared" si="275"/>
        <v>3</v>
      </c>
      <c r="EBP84">
        <f t="shared" si="275"/>
        <v>3</v>
      </c>
      <c r="EBQ84">
        <f t="shared" si="275"/>
        <v>3</v>
      </c>
      <c r="EBR84">
        <f t="shared" si="275"/>
        <v>3</v>
      </c>
      <c r="EBS84">
        <f t="shared" si="275"/>
        <v>3</v>
      </c>
      <c r="EBT84">
        <f t="shared" si="275"/>
        <v>3</v>
      </c>
      <c r="EBU84">
        <f t="shared" si="275"/>
        <v>3</v>
      </c>
      <c r="EBV84">
        <f t="shared" si="275"/>
        <v>3</v>
      </c>
      <c r="EBW84">
        <f t="shared" ref="EBW84:EEH84" si="276">COUNTBLANK(EBW2:EBW5)</f>
        <v>3</v>
      </c>
      <c r="EBX84">
        <f t="shared" si="276"/>
        <v>3</v>
      </c>
      <c r="EBY84">
        <f t="shared" si="276"/>
        <v>3</v>
      </c>
      <c r="EBZ84">
        <f t="shared" si="276"/>
        <v>3</v>
      </c>
      <c r="ECA84">
        <f t="shared" si="276"/>
        <v>3</v>
      </c>
      <c r="ECB84">
        <f t="shared" si="276"/>
        <v>3</v>
      </c>
      <c r="ECC84">
        <f t="shared" si="276"/>
        <v>3</v>
      </c>
      <c r="ECD84">
        <f t="shared" si="276"/>
        <v>3</v>
      </c>
      <c r="ECE84">
        <f t="shared" si="276"/>
        <v>3</v>
      </c>
      <c r="ECF84">
        <f t="shared" si="276"/>
        <v>3</v>
      </c>
      <c r="ECG84">
        <f t="shared" si="276"/>
        <v>3</v>
      </c>
      <c r="ECH84">
        <f t="shared" si="276"/>
        <v>3</v>
      </c>
      <c r="ECI84">
        <f t="shared" si="276"/>
        <v>3</v>
      </c>
      <c r="ECJ84">
        <f t="shared" si="276"/>
        <v>3</v>
      </c>
      <c r="ECK84">
        <f t="shared" si="276"/>
        <v>3</v>
      </c>
      <c r="ECL84">
        <f t="shared" si="276"/>
        <v>3</v>
      </c>
      <c r="ECM84">
        <f t="shared" si="276"/>
        <v>3</v>
      </c>
      <c r="ECN84">
        <f t="shared" si="276"/>
        <v>3</v>
      </c>
      <c r="ECO84">
        <f t="shared" si="276"/>
        <v>3</v>
      </c>
      <c r="ECP84">
        <f t="shared" si="276"/>
        <v>3</v>
      </c>
      <c r="ECQ84">
        <f t="shared" si="276"/>
        <v>3</v>
      </c>
      <c r="ECR84">
        <f t="shared" si="276"/>
        <v>3</v>
      </c>
      <c r="ECS84">
        <f t="shared" si="276"/>
        <v>3</v>
      </c>
      <c r="ECT84">
        <f t="shared" si="276"/>
        <v>3</v>
      </c>
      <c r="ECU84">
        <f t="shared" si="276"/>
        <v>3</v>
      </c>
      <c r="ECV84">
        <f t="shared" si="276"/>
        <v>3</v>
      </c>
      <c r="ECW84">
        <f t="shared" si="276"/>
        <v>3</v>
      </c>
      <c r="ECX84">
        <f t="shared" si="276"/>
        <v>3</v>
      </c>
      <c r="ECY84">
        <f t="shared" si="276"/>
        <v>3</v>
      </c>
      <c r="ECZ84">
        <f t="shared" si="276"/>
        <v>3</v>
      </c>
      <c r="EDA84">
        <f t="shared" si="276"/>
        <v>3</v>
      </c>
      <c r="EDB84">
        <f t="shared" si="276"/>
        <v>3</v>
      </c>
      <c r="EDC84">
        <f t="shared" si="276"/>
        <v>3</v>
      </c>
      <c r="EDD84">
        <f t="shared" si="276"/>
        <v>3</v>
      </c>
      <c r="EDE84">
        <f t="shared" si="276"/>
        <v>3</v>
      </c>
      <c r="EDF84">
        <f t="shared" si="276"/>
        <v>3</v>
      </c>
      <c r="EDG84">
        <f t="shared" si="276"/>
        <v>3</v>
      </c>
      <c r="EDH84">
        <f t="shared" si="276"/>
        <v>3</v>
      </c>
      <c r="EDI84">
        <f t="shared" si="276"/>
        <v>3</v>
      </c>
      <c r="EDJ84">
        <f t="shared" si="276"/>
        <v>3</v>
      </c>
      <c r="EDK84">
        <f t="shared" si="276"/>
        <v>3</v>
      </c>
      <c r="EDL84">
        <f t="shared" si="276"/>
        <v>3</v>
      </c>
      <c r="EDM84">
        <f t="shared" si="276"/>
        <v>3</v>
      </c>
      <c r="EDN84">
        <f t="shared" si="276"/>
        <v>3</v>
      </c>
      <c r="EDO84">
        <f t="shared" si="276"/>
        <v>3</v>
      </c>
      <c r="EDP84">
        <f t="shared" si="276"/>
        <v>3</v>
      </c>
      <c r="EDQ84">
        <f t="shared" si="276"/>
        <v>3</v>
      </c>
      <c r="EDR84">
        <f t="shared" si="276"/>
        <v>3</v>
      </c>
      <c r="EDS84">
        <f t="shared" si="276"/>
        <v>3</v>
      </c>
      <c r="EDT84">
        <f t="shared" si="276"/>
        <v>3</v>
      </c>
      <c r="EDU84">
        <f t="shared" si="276"/>
        <v>3</v>
      </c>
      <c r="EDV84">
        <f t="shared" si="276"/>
        <v>3</v>
      </c>
      <c r="EDW84">
        <f t="shared" si="276"/>
        <v>3</v>
      </c>
      <c r="EDX84">
        <f t="shared" si="276"/>
        <v>3</v>
      </c>
      <c r="EDY84">
        <f t="shared" si="276"/>
        <v>3</v>
      </c>
      <c r="EDZ84">
        <f t="shared" si="276"/>
        <v>3</v>
      </c>
      <c r="EEA84">
        <f t="shared" si="276"/>
        <v>3</v>
      </c>
      <c r="EEB84">
        <f t="shared" si="276"/>
        <v>3</v>
      </c>
      <c r="EEC84">
        <f t="shared" si="276"/>
        <v>3</v>
      </c>
      <c r="EED84">
        <f t="shared" si="276"/>
        <v>3</v>
      </c>
      <c r="EEE84">
        <f t="shared" si="276"/>
        <v>3</v>
      </c>
      <c r="EEF84">
        <f t="shared" si="276"/>
        <v>3</v>
      </c>
      <c r="EEG84">
        <f t="shared" si="276"/>
        <v>3</v>
      </c>
      <c r="EEH84">
        <f t="shared" si="276"/>
        <v>3</v>
      </c>
      <c r="EEI84">
        <f t="shared" ref="EEI84:EGT84" si="277">COUNTBLANK(EEI2:EEI5)</f>
        <v>3</v>
      </c>
      <c r="EEJ84">
        <f t="shared" si="277"/>
        <v>3</v>
      </c>
      <c r="EEK84">
        <f t="shared" si="277"/>
        <v>3</v>
      </c>
      <c r="EEL84">
        <f t="shared" si="277"/>
        <v>3</v>
      </c>
      <c r="EEM84">
        <f t="shared" si="277"/>
        <v>3</v>
      </c>
      <c r="EEN84">
        <f t="shared" si="277"/>
        <v>3</v>
      </c>
      <c r="EEO84">
        <f t="shared" si="277"/>
        <v>3</v>
      </c>
      <c r="EEP84">
        <f t="shared" si="277"/>
        <v>3</v>
      </c>
      <c r="EEQ84">
        <f t="shared" si="277"/>
        <v>3</v>
      </c>
      <c r="EER84">
        <f t="shared" si="277"/>
        <v>3</v>
      </c>
      <c r="EES84">
        <f t="shared" si="277"/>
        <v>3</v>
      </c>
      <c r="EET84">
        <f t="shared" si="277"/>
        <v>2</v>
      </c>
      <c r="EEU84">
        <f t="shared" si="277"/>
        <v>2</v>
      </c>
      <c r="EEV84">
        <f t="shared" si="277"/>
        <v>2</v>
      </c>
      <c r="EEW84">
        <f t="shared" si="277"/>
        <v>2</v>
      </c>
      <c r="EEX84">
        <f t="shared" si="277"/>
        <v>2</v>
      </c>
      <c r="EEY84">
        <f t="shared" si="277"/>
        <v>2</v>
      </c>
      <c r="EEZ84">
        <f t="shared" si="277"/>
        <v>2</v>
      </c>
      <c r="EFA84">
        <f t="shared" si="277"/>
        <v>2</v>
      </c>
      <c r="EFB84">
        <f t="shared" si="277"/>
        <v>2</v>
      </c>
      <c r="EFC84">
        <f t="shared" si="277"/>
        <v>2</v>
      </c>
      <c r="EFD84">
        <f t="shared" si="277"/>
        <v>2</v>
      </c>
      <c r="EFE84">
        <f t="shared" si="277"/>
        <v>3</v>
      </c>
      <c r="EFF84">
        <f t="shared" si="277"/>
        <v>3</v>
      </c>
      <c r="EFG84">
        <f t="shared" si="277"/>
        <v>3</v>
      </c>
      <c r="EFH84">
        <f t="shared" si="277"/>
        <v>3</v>
      </c>
      <c r="EFI84">
        <f t="shared" si="277"/>
        <v>3</v>
      </c>
      <c r="EFJ84">
        <f t="shared" si="277"/>
        <v>3</v>
      </c>
      <c r="EFK84">
        <f t="shared" si="277"/>
        <v>3</v>
      </c>
      <c r="EFL84">
        <f t="shared" si="277"/>
        <v>3</v>
      </c>
      <c r="EFM84">
        <f t="shared" si="277"/>
        <v>3</v>
      </c>
      <c r="EFN84">
        <f t="shared" si="277"/>
        <v>3</v>
      </c>
      <c r="EFO84">
        <f t="shared" si="277"/>
        <v>3</v>
      </c>
      <c r="EFP84">
        <f t="shared" si="277"/>
        <v>3</v>
      </c>
      <c r="EFQ84">
        <f t="shared" si="277"/>
        <v>3</v>
      </c>
      <c r="EFR84">
        <f t="shared" si="277"/>
        <v>3</v>
      </c>
      <c r="EFS84">
        <f t="shared" si="277"/>
        <v>3</v>
      </c>
      <c r="EFT84">
        <f t="shared" si="277"/>
        <v>3</v>
      </c>
      <c r="EFU84">
        <f t="shared" si="277"/>
        <v>3</v>
      </c>
      <c r="EFV84">
        <f t="shared" si="277"/>
        <v>3</v>
      </c>
      <c r="EFW84">
        <f t="shared" si="277"/>
        <v>3</v>
      </c>
      <c r="EFX84">
        <f t="shared" si="277"/>
        <v>3</v>
      </c>
      <c r="EFY84">
        <f t="shared" si="277"/>
        <v>3</v>
      </c>
      <c r="EFZ84">
        <f t="shared" si="277"/>
        <v>3</v>
      </c>
      <c r="EGA84">
        <f t="shared" si="277"/>
        <v>3</v>
      </c>
      <c r="EGB84">
        <f t="shared" si="277"/>
        <v>3</v>
      </c>
      <c r="EGC84">
        <f t="shared" si="277"/>
        <v>3</v>
      </c>
      <c r="EGD84">
        <f t="shared" si="277"/>
        <v>3</v>
      </c>
      <c r="EGE84">
        <f t="shared" si="277"/>
        <v>3</v>
      </c>
      <c r="EGF84">
        <f t="shared" si="277"/>
        <v>3</v>
      </c>
      <c r="EGG84">
        <f t="shared" si="277"/>
        <v>3</v>
      </c>
      <c r="EGH84">
        <f t="shared" si="277"/>
        <v>3</v>
      </c>
      <c r="EGI84">
        <f t="shared" si="277"/>
        <v>3</v>
      </c>
      <c r="EGJ84">
        <f t="shared" si="277"/>
        <v>3</v>
      </c>
      <c r="EGK84">
        <f t="shared" si="277"/>
        <v>3</v>
      </c>
      <c r="EGL84">
        <f t="shared" si="277"/>
        <v>3</v>
      </c>
      <c r="EGM84">
        <f t="shared" si="277"/>
        <v>3</v>
      </c>
      <c r="EGN84">
        <f t="shared" si="277"/>
        <v>3</v>
      </c>
      <c r="EGO84">
        <f t="shared" si="277"/>
        <v>3</v>
      </c>
      <c r="EGP84">
        <f t="shared" si="277"/>
        <v>3</v>
      </c>
      <c r="EGQ84">
        <f t="shared" si="277"/>
        <v>3</v>
      </c>
      <c r="EGR84">
        <f t="shared" si="277"/>
        <v>3</v>
      </c>
      <c r="EGS84">
        <f t="shared" si="277"/>
        <v>3</v>
      </c>
      <c r="EGT84">
        <f t="shared" si="277"/>
        <v>3</v>
      </c>
      <c r="EGU84">
        <f t="shared" ref="EGU84:EJF84" si="278">COUNTBLANK(EGU2:EGU5)</f>
        <v>3</v>
      </c>
      <c r="EGV84">
        <f t="shared" si="278"/>
        <v>3</v>
      </c>
      <c r="EGW84">
        <f t="shared" si="278"/>
        <v>3</v>
      </c>
      <c r="EGX84">
        <f t="shared" si="278"/>
        <v>3</v>
      </c>
      <c r="EGY84">
        <f t="shared" si="278"/>
        <v>3</v>
      </c>
      <c r="EGZ84">
        <f t="shared" si="278"/>
        <v>3</v>
      </c>
      <c r="EHA84">
        <f t="shared" si="278"/>
        <v>3</v>
      </c>
      <c r="EHB84">
        <f t="shared" si="278"/>
        <v>3</v>
      </c>
      <c r="EHC84">
        <f t="shared" si="278"/>
        <v>3</v>
      </c>
      <c r="EHD84">
        <f t="shared" si="278"/>
        <v>3</v>
      </c>
      <c r="EHE84">
        <f t="shared" si="278"/>
        <v>3</v>
      </c>
      <c r="EHF84">
        <f t="shared" si="278"/>
        <v>3</v>
      </c>
      <c r="EHG84">
        <f t="shared" si="278"/>
        <v>3</v>
      </c>
      <c r="EHH84">
        <f t="shared" si="278"/>
        <v>3</v>
      </c>
      <c r="EHI84">
        <f t="shared" si="278"/>
        <v>3</v>
      </c>
      <c r="EHJ84">
        <f t="shared" si="278"/>
        <v>3</v>
      </c>
      <c r="EHK84">
        <f t="shared" si="278"/>
        <v>3</v>
      </c>
      <c r="EHL84">
        <f t="shared" si="278"/>
        <v>3</v>
      </c>
      <c r="EHM84">
        <f t="shared" si="278"/>
        <v>3</v>
      </c>
      <c r="EHN84">
        <f t="shared" si="278"/>
        <v>3</v>
      </c>
      <c r="EHO84">
        <f t="shared" si="278"/>
        <v>3</v>
      </c>
      <c r="EHP84">
        <f t="shared" si="278"/>
        <v>3</v>
      </c>
      <c r="EHQ84">
        <f t="shared" si="278"/>
        <v>3</v>
      </c>
      <c r="EHR84">
        <f t="shared" si="278"/>
        <v>3</v>
      </c>
      <c r="EHS84">
        <f t="shared" si="278"/>
        <v>3</v>
      </c>
      <c r="EHT84">
        <f t="shared" si="278"/>
        <v>3</v>
      </c>
      <c r="EHU84">
        <f t="shared" si="278"/>
        <v>3</v>
      </c>
      <c r="EHV84">
        <f t="shared" si="278"/>
        <v>3</v>
      </c>
      <c r="EHW84">
        <f t="shared" si="278"/>
        <v>3</v>
      </c>
      <c r="EHX84">
        <f t="shared" si="278"/>
        <v>3</v>
      </c>
      <c r="EHY84">
        <f t="shared" si="278"/>
        <v>3</v>
      </c>
      <c r="EHZ84">
        <f t="shared" si="278"/>
        <v>3</v>
      </c>
      <c r="EIA84">
        <f t="shared" si="278"/>
        <v>3</v>
      </c>
      <c r="EIB84">
        <f t="shared" si="278"/>
        <v>3</v>
      </c>
      <c r="EIC84">
        <f t="shared" si="278"/>
        <v>3</v>
      </c>
      <c r="EID84">
        <f t="shared" si="278"/>
        <v>3</v>
      </c>
      <c r="EIE84">
        <f t="shared" si="278"/>
        <v>3</v>
      </c>
      <c r="EIF84">
        <f t="shared" si="278"/>
        <v>3</v>
      </c>
      <c r="EIG84">
        <f t="shared" si="278"/>
        <v>3</v>
      </c>
      <c r="EIH84">
        <f t="shared" si="278"/>
        <v>3</v>
      </c>
      <c r="EII84">
        <f t="shared" si="278"/>
        <v>3</v>
      </c>
      <c r="EIJ84">
        <f t="shared" si="278"/>
        <v>3</v>
      </c>
      <c r="EIK84">
        <f t="shared" si="278"/>
        <v>3</v>
      </c>
      <c r="EIL84">
        <f t="shared" si="278"/>
        <v>3</v>
      </c>
      <c r="EIM84">
        <f t="shared" si="278"/>
        <v>3</v>
      </c>
      <c r="EIN84">
        <f t="shared" si="278"/>
        <v>3</v>
      </c>
      <c r="EIO84">
        <f t="shared" si="278"/>
        <v>3</v>
      </c>
      <c r="EIP84">
        <f t="shared" si="278"/>
        <v>3</v>
      </c>
      <c r="EIQ84">
        <f t="shared" si="278"/>
        <v>3</v>
      </c>
      <c r="EIR84">
        <f t="shared" si="278"/>
        <v>3</v>
      </c>
      <c r="EIS84">
        <f t="shared" si="278"/>
        <v>3</v>
      </c>
      <c r="EIT84">
        <f t="shared" si="278"/>
        <v>3</v>
      </c>
      <c r="EIU84">
        <f t="shared" si="278"/>
        <v>3</v>
      </c>
      <c r="EIV84">
        <f t="shared" si="278"/>
        <v>3</v>
      </c>
      <c r="EIW84">
        <f t="shared" si="278"/>
        <v>3</v>
      </c>
      <c r="EIX84">
        <f t="shared" si="278"/>
        <v>3</v>
      </c>
      <c r="EIY84">
        <f t="shared" si="278"/>
        <v>3</v>
      </c>
      <c r="EIZ84">
        <f t="shared" si="278"/>
        <v>3</v>
      </c>
      <c r="EJA84">
        <f t="shared" si="278"/>
        <v>3</v>
      </c>
      <c r="EJB84">
        <f t="shared" si="278"/>
        <v>3</v>
      </c>
      <c r="EJC84">
        <f t="shared" si="278"/>
        <v>3</v>
      </c>
      <c r="EJD84">
        <f t="shared" si="278"/>
        <v>3</v>
      </c>
      <c r="EJE84">
        <f t="shared" si="278"/>
        <v>3</v>
      </c>
      <c r="EJF84">
        <f t="shared" si="278"/>
        <v>3</v>
      </c>
      <c r="EJG84">
        <f t="shared" ref="EJG84:ELR84" si="279">COUNTBLANK(EJG2:EJG5)</f>
        <v>3</v>
      </c>
      <c r="EJH84">
        <f t="shared" si="279"/>
        <v>3</v>
      </c>
      <c r="EJI84">
        <f t="shared" si="279"/>
        <v>3</v>
      </c>
      <c r="EJJ84">
        <f t="shared" si="279"/>
        <v>3</v>
      </c>
      <c r="EJK84">
        <f t="shared" si="279"/>
        <v>3</v>
      </c>
      <c r="EJL84">
        <f t="shared" si="279"/>
        <v>3</v>
      </c>
      <c r="EJM84">
        <f t="shared" si="279"/>
        <v>3</v>
      </c>
      <c r="EJN84">
        <f t="shared" si="279"/>
        <v>3</v>
      </c>
      <c r="EJO84">
        <f t="shared" si="279"/>
        <v>3</v>
      </c>
      <c r="EJP84">
        <f t="shared" si="279"/>
        <v>3</v>
      </c>
      <c r="EJQ84">
        <f t="shared" si="279"/>
        <v>3</v>
      </c>
      <c r="EJR84">
        <f t="shared" si="279"/>
        <v>3</v>
      </c>
      <c r="EJS84">
        <f t="shared" si="279"/>
        <v>3</v>
      </c>
      <c r="EJT84">
        <f t="shared" si="279"/>
        <v>3</v>
      </c>
      <c r="EJU84">
        <f t="shared" si="279"/>
        <v>3</v>
      </c>
      <c r="EJV84">
        <f t="shared" si="279"/>
        <v>3</v>
      </c>
      <c r="EJW84">
        <f t="shared" si="279"/>
        <v>3</v>
      </c>
      <c r="EJX84">
        <f t="shared" si="279"/>
        <v>3</v>
      </c>
      <c r="EJY84">
        <f t="shared" si="279"/>
        <v>3</v>
      </c>
      <c r="EJZ84">
        <f t="shared" si="279"/>
        <v>3</v>
      </c>
      <c r="EKA84">
        <f t="shared" si="279"/>
        <v>3</v>
      </c>
      <c r="EKB84">
        <f t="shared" si="279"/>
        <v>3</v>
      </c>
      <c r="EKC84">
        <f t="shared" si="279"/>
        <v>3</v>
      </c>
      <c r="EKD84">
        <f t="shared" si="279"/>
        <v>3</v>
      </c>
      <c r="EKE84">
        <f t="shared" si="279"/>
        <v>3</v>
      </c>
      <c r="EKF84">
        <f t="shared" si="279"/>
        <v>3</v>
      </c>
      <c r="EKG84">
        <f t="shared" si="279"/>
        <v>3</v>
      </c>
      <c r="EKH84">
        <f t="shared" si="279"/>
        <v>3</v>
      </c>
      <c r="EKI84">
        <f t="shared" si="279"/>
        <v>3</v>
      </c>
      <c r="EKJ84">
        <f t="shared" si="279"/>
        <v>3</v>
      </c>
      <c r="EKK84">
        <f t="shared" si="279"/>
        <v>3</v>
      </c>
      <c r="EKL84">
        <f t="shared" si="279"/>
        <v>3</v>
      </c>
      <c r="EKM84">
        <f t="shared" si="279"/>
        <v>3</v>
      </c>
      <c r="EKN84">
        <f t="shared" si="279"/>
        <v>3</v>
      </c>
      <c r="EKO84">
        <f t="shared" si="279"/>
        <v>3</v>
      </c>
      <c r="EKP84">
        <f t="shared" si="279"/>
        <v>3</v>
      </c>
      <c r="EKQ84">
        <f t="shared" si="279"/>
        <v>3</v>
      </c>
      <c r="EKR84">
        <f t="shared" si="279"/>
        <v>3</v>
      </c>
      <c r="EKS84">
        <f t="shared" si="279"/>
        <v>3</v>
      </c>
      <c r="EKT84">
        <f t="shared" si="279"/>
        <v>3</v>
      </c>
      <c r="EKU84">
        <f t="shared" si="279"/>
        <v>3</v>
      </c>
      <c r="EKV84">
        <f t="shared" si="279"/>
        <v>3</v>
      </c>
      <c r="EKW84">
        <f t="shared" si="279"/>
        <v>3</v>
      </c>
      <c r="EKX84">
        <f t="shared" si="279"/>
        <v>3</v>
      </c>
      <c r="EKY84">
        <f t="shared" si="279"/>
        <v>3</v>
      </c>
      <c r="EKZ84">
        <f t="shared" si="279"/>
        <v>3</v>
      </c>
      <c r="ELA84">
        <f t="shared" si="279"/>
        <v>3</v>
      </c>
      <c r="ELB84">
        <f t="shared" si="279"/>
        <v>3</v>
      </c>
      <c r="ELC84">
        <f t="shared" si="279"/>
        <v>3</v>
      </c>
      <c r="ELD84">
        <f t="shared" si="279"/>
        <v>3</v>
      </c>
      <c r="ELE84">
        <f t="shared" si="279"/>
        <v>3</v>
      </c>
      <c r="ELF84">
        <f t="shared" si="279"/>
        <v>3</v>
      </c>
      <c r="ELG84">
        <f t="shared" si="279"/>
        <v>3</v>
      </c>
      <c r="ELH84">
        <f t="shared" si="279"/>
        <v>2</v>
      </c>
      <c r="ELI84">
        <f t="shared" si="279"/>
        <v>2</v>
      </c>
      <c r="ELJ84">
        <f t="shared" si="279"/>
        <v>2</v>
      </c>
      <c r="ELK84">
        <f t="shared" si="279"/>
        <v>2</v>
      </c>
      <c r="ELL84">
        <f t="shared" si="279"/>
        <v>2</v>
      </c>
      <c r="ELM84">
        <f t="shared" si="279"/>
        <v>2</v>
      </c>
      <c r="ELN84">
        <f t="shared" si="279"/>
        <v>2</v>
      </c>
      <c r="ELO84">
        <f t="shared" si="279"/>
        <v>2</v>
      </c>
      <c r="ELP84">
        <f t="shared" si="279"/>
        <v>2</v>
      </c>
      <c r="ELQ84">
        <f t="shared" si="279"/>
        <v>2</v>
      </c>
      <c r="ELR84">
        <f t="shared" si="279"/>
        <v>2</v>
      </c>
      <c r="ELS84">
        <f t="shared" ref="ELS84:EOD84" si="280">COUNTBLANK(ELS2:ELS5)</f>
        <v>2</v>
      </c>
      <c r="ELT84">
        <f t="shared" si="280"/>
        <v>2</v>
      </c>
      <c r="ELU84">
        <f t="shared" si="280"/>
        <v>2</v>
      </c>
      <c r="ELV84">
        <f t="shared" si="280"/>
        <v>2</v>
      </c>
      <c r="ELW84">
        <f t="shared" si="280"/>
        <v>3</v>
      </c>
      <c r="ELX84">
        <f t="shared" si="280"/>
        <v>3</v>
      </c>
      <c r="ELY84">
        <f t="shared" si="280"/>
        <v>3</v>
      </c>
      <c r="ELZ84">
        <f t="shared" si="280"/>
        <v>3</v>
      </c>
      <c r="EMA84">
        <f t="shared" si="280"/>
        <v>3</v>
      </c>
      <c r="EMB84">
        <f t="shared" si="280"/>
        <v>3</v>
      </c>
      <c r="EMC84">
        <f t="shared" si="280"/>
        <v>3</v>
      </c>
      <c r="EMD84">
        <f t="shared" si="280"/>
        <v>3</v>
      </c>
      <c r="EME84">
        <f t="shared" si="280"/>
        <v>3</v>
      </c>
      <c r="EMF84">
        <f t="shared" si="280"/>
        <v>3</v>
      </c>
      <c r="EMG84">
        <f t="shared" si="280"/>
        <v>3</v>
      </c>
      <c r="EMH84">
        <f t="shared" si="280"/>
        <v>3</v>
      </c>
      <c r="EMI84">
        <f t="shared" si="280"/>
        <v>3</v>
      </c>
      <c r="EMJ84">
        <f t="shared" si="280"/>
        <v>3</v>
      </c>
      <c r="EMK84">
        <f t="shared" si="280"/>
        <v>3</v>
      </c>
      <c r="EML84">
        <f t="shared" si="280"/>
        <v>3</v>
      </c>
      <c r="EMM84">
        <f t="shared" si="280"/>
        <v>3</v>
      </c>
      <c r="EMN84">
        <f t="shared" si="280"/>
        <v>3</v>
      </c>
      <c r="EMO84">
        <f t="shared" si="280"/>
        <v>3</v>
      </c>
      <c r="EMP84">
        <f t="shared" si="280"/>
        <v>3</v>
      </c>
      <c r="EMQ84">
        <f t="shared" si="280"/>
        <v>3</v>
      </c>
      <c r="EMR84">
        <f t="shared" si="280"/>
        <v>3</v>
      </c>
      <c r="EMS84">
        <f t="shared" si="280"/>
        <v>3</v>
      </c>
      <c r="EMT84">
        <f t="shared" si="280"/>
        <v>3</v>
      </c>
      <c r="EMU84">
        <f t="shared" si="280"/>
        <v>3</v>
      </c>
      <c r="EMV84">
        <f t="shared" si="280"/>
        <v>3</v>
      </c>
      <c r="EMW84">
        <f t="shared" si="280"/>
        <v>3</v>
      </c>
      <c r="EMX84">
        <f t="shared" si="280"/>
        <v>3</v>
      </c>
      <c r="EMY84">
        <f t="shared" si="280"/>
        <v>3</v>
      </c>
      <c r="EMZ84">
        <f t="shared" si="280"/>
        <v>3</v>
      </c>
      <c r="ENA84">
        <f t="shared" si="280"/>
        <v>3</v>
      </c>
      <c r="ENB84">
        <f t="shared" si="280"/>
        <v>3</v>
      </c>
      <c r="ENC84">
        <f t="shared" si="280"/>
        <v>3</v>
      </c>
      <c r="END84">
        <f t="shared" si="280"/>
        <v>3</v>
      </c>
      <c r="ENE84">
        <f t="shared" si="280"/>
        <v>3</v>
      </c>
      <c r="ENF84">
        <f t="shared" si="280"/>
        <v>3</v>
      </c>
      <c r="ENG84">
        <f t="shared" si="280"/>
        <v>3</v>
      </c>
      <c r="ENH84">
        <f t="shared" si="280"/>
        <v>3</v>
      </c>
      <c r="ENI84">
        <f t="shared" si="280"/>
        <v>3</v>
      </c>
      <c r="ENJ84">
        <f t="shared" si="280"/>
        <v>3</v>
      </c>
      <c r="ENK84">
        <f t="shared" si="280"/>
        <v>3</v>
      </c>
      <c r="ENL84">
        <f t="shared" si="280"/>
        <v>3</v>
      </c>
      <c r="ENM84">
        <f t="shared" si="280"/>
        <v>3</v>
      </c>
      <c r="ENN84">
        <f t="shared" si="280"/>
        <v>3</v>
      </c>
      <c r="ENO84">
        <f t="shared" si="280"/>
        <v>3</v>
      </c>
      <c r="ENP84">
        <f t="shared" si="280"/>
        <v>3</v>
      </c>
      <c r="ENQ84">
        <f t="shared" si="280"/>
        <v>3</v>
      </c>
      <c r="ENR84">
        <f t="shared" si="280"/>
        <v>3</v>
      </c>
      <c r="ENS84">
        <f t="shared" si="280"/>
        <v>3</v>
      </c>
      <c r="ENT84">
        <f t="shared" si="280"/>
        <v>3</v>
      </c>
      <c r="ENU84">
        <f t="shared" si="280"/>
        <v>3</v>
      </c>
      <c r="ENV84">
        <f t="shared" si="280"/>
        <v>3</v>
      </c>
      <c r="ENW84">
        <f t="shared" si="280"/>
        <v>3</v>
      </c>
      <c r="ENX84">
        <f t="shared" si="280"/>
        <v>3</v>
      </c>
      <c r="ENY84">
        <f t="shared" si="280"/>
        <v>3</v>
      </c>
      <c r="ENZ84">
        <f t="shared" si="280"/>
        <v>3</v>
      </c>
      <c r="EOA84">
        <f t="shared" si="280"/>
        <v>3</v>
      </c>
      <c r="EOB84">
        <f t="shared" si="280"/>
        <v>3</v>
      </c>
      <c r="EOC84">
        <f t="shared" si="280"/>
        <v>3</v>
      </c>
      <c r="EOD84">
        <f t="shared" si="280"/>
        <v>3</v>
      </c>
      <c r="EOE84">
        <f t="shared" ref="EOE84:EQP84" si="281">COUNTBLANK(EOE2:EOE5)</f>
        <v>3</v>
      </c>
      <c r="EOF84">
        <f t="shared" si="281"/>
        <v>3</v>
      </c>
      <c r="EOG84">
        <f t="shared" si="281"/>
        <v>3</v>
      </c>
      <c r="EOH84">
        <f t="shared" si="281"/>
        <v>3</v>
      </c>
      <c r="EOI84">
        <f t="shared" si="281"/>
        <v>3</v>
      </c>
      <c r="EOJ84">
        <f t="shared" si="281"/>
        <v>3</v>
      </c>
      <c r="EOK84">
        <f t="shared" si="281"/>
        <v>3</v>
      </c>
      <c r="EOL84">
        <f t="shared" si="281"/>
        <v>3</v>
      </c>
      <c r="EOM84">
        <f t="shared" si="281"/>
        <v>3</v>
      </c>
      <c r="EON84">
        <f t="shared" si="281"/>
        <v>3</v>
      </c>
      <c r="EOO84">
        <f t="shared" si="281"/>
        <v>3</v>
      </c>
      <c r="EOP84">
        <f t="shared" si="281"/>
        <v>3</v>
      </c>
      <c r="EOQ84">
        <f t="shared" si="281"/>
        <v>3</v>
      </c>
      <c r="EOR84">
        <f t="shared" si="281"/>
        <v>3</v>
      </c>
      <c r="EOS84">
        <f t="shared" si="281"/>
        <v>3</v>
      </c>
      <c r="EOT84">
        <f t="shared" si="281"/>
        <v>3</v>
      </c>
      <c r="EOU84">
        <f t="shared" si="281"/>
        <v>3</v>
      </c>
      <c r="EOV84">
        <f t="shared" si="281"/>
        <v>3</v>
      </c>
      <c r="EOW84">
        <f t="shared" si="281"/>
        <v>3</v>
      </c>
      <c r="EOX84">
        <f t="shared" si="281"/>
        <v>3</v>
      </c>
      <c r="EOY84">
        <f t="shared" si="281"/>
        <v>3</v>
      </c>
      <c r="EOZ84">
        <f t="shared" si="281"/>
        <v>3</v>
      </c>
      <c r="EPA84">
        <f t="shared" si="281"/>
        <v>3</v>
      </c>
      <c r="EPB84">
        <f t="shared" si="281"/>
        <v>3</v>
      </c>
      <c r="EPC84">
        <f t="shared" si="281"/>
        <v>3</v>
      </c>
      <c r="EPD84">
        <f t="shared" si="281"/>
        <v>3</v>
      </c>
      <c r="EPE84">
        <f t="shared" si="281"/>
        <v>3</v>
      </c>
      <c r="EPF84">
        <f t="shared" si="281"/>
        <v>3</v>
      </c>
      <c r="EPG84">
        <f t="shared" si="281"/>
        <v>3</v>
      </c>
      <c r="EPH84">
        <f t="shared" si="281"/>
        <v>3</v>
      </c>
      <c r="EPI84">
        <f t="shared" si="281"/>
        <v>3</v>
      </c>
      <c r="EPJ84">
        <f t="shared" si="281"/>
        <v>3</v>
      </c>
      <c r="EPK84">
        <f t="shared" si="281"/>
        <v>3</v>
      </c>
      <c r="EPL84">
        <f t="shared" si="281"/>
        <v>3</v>
      </c>
      <c r="EPM84">
        <f t="shared" si="281"/>
        <v>3</v>
      </c>
      <c r="EPN84">
        <f t="shared" si="281"/>
        <v>3</v>
      </c>
      <c r="EPO84">
        <f t="shared" si="281"/>
        <v>3</v>
      </c>
      <c r="EPP84">
        <f t="shared" si="281"/>
        <v>3</v>
      </c>
      <c r="EPQ84">
        <f t="shared" si="281"/>
        <v>3</v>
      </c>
      <c r="EPR84">
        <f t="shared" si="281"/>
        <v>3</v>
      </c>
      <c r="EPS84">
        <f t="shared" si="281"/>
        <v>3</v>
      </c>
      <c r="EPT84">
        <f t="shared" si="281"/>
        <v>3</v>
      </c>
      <c r="EPU84">
        <f t="shared" si="281"/>
        <v>3</v>
      </c>
      <c r="EPV84">
        <f t="shared" si="281"/>
        <v>3</v>
      </c>
      <c r="EPW84">
        <f t="shared" si="281"/>
        <v>3</v>
      </c>
      <c r="EPX84">
        <f t="shared" si="281"/>
        <v>3</v>
      </c>
      <c r="EPY84">
        <f t="shared" si="281"/>
        <v>3</v>
      </c>
      <c r="EPZ84">
        <f t="shared" si="281"/>
        <v>3</v>
      </c>
      <c r="EQA84">
        <f t="shared" si="281"/>
        <v>3</v>
      </c>
      <c r="EQB84">
        <f t="shared" si="281"/>
        <v>3</v>
      </c>
      <c r="EQC84">
        <f t="shared" si="281"/>
        <v>3</v>
      </c>
      <c r="EQD84">
        <f t="shared" si="281"/>
        <v>3</v>
      </c>
      <c r="EQE84">
        <f t="shared" si="281"/>
        <v>3</v>
      </c>
      <c r="EQF84">
        <f t="shared" si="281"/>
        <v>3</v>
      </c>
      <c r="EQG84">
        <f t="shared" si="281"/>
        <v>3</v>
      </c>
      <c r="EQH84">
        <f t="shared" si="281"/>
        <v>3</v>
      </c>
      <c r="EQI84">
        <f t="shared" si="281"/>
        <v>3</v>
      </c>
      <c r="EQJ84">
        <f t="shared" si="281"/>
        <v>3</v>
      </c>
      <c r="EQK84">
        <f t="shared" si="281"/>
        <v>3</v>
      </c>
      <c r="EQL84">
        <f t="shared" si="281"/>
        <v>3</v>
      </c>
      <c r="EQM84">
        <f t="shared" si="281"/>
        <v>3</v>
      </c>
      <c r="EQN84">
        <f t="shared" si="281"/>
        <v>3</v>
      </c>
      <c r="EQO84">
        <f t="shared" si="281"/>
        <v>3</v>
      </c>
      <c r="EQP84">
        <f t="shared" si="281"/>
        <v>3</v>
      </c>
      <c r="EQQ84">
        <f t="shared" ref="EQQ84:ETB84" si="282">COUNTBLANK(EQQ2:EQQ5)</f>
        <v>3</v>
      </c>
      <c r="EQR84">
        <f t="shared" si="282"/>
        <v>3</v>
      </c>
      <c r="EQS84">
        <f t="shared" si="282"/>
        <v>3</v>
      </c>
      <c r="EQT84">
        <f t="shared" si="282"/>
        <v>3</v>
      </c>
      <c r="EQU84">
        <f t="shared" si="282"/>
        <v>3</v>
      </c>
      <c r="EQV84">
        <f t="shared" si="282"/>
        <v>3</v>
      </c>
      <c r="EQW84">
        <f t="shared" si="282"/>
        <v>3</v>
      </c>
      <c r="EQX84">
        <f t="shared" si="282"/>
        <v>3</v>
      </c>
      <c r="EQY84">
        <f t="shared" si="282"/>
        <v>3</v>
      </c>
      <c r="EQZ84">
        <f t="shared" si="282"/>
        <v>3</v>
      </c>
      <c r="ERA84">
        <f t="shared" si="282"/>
        <v>3</v>
      </c>
      <c r="ERB84">
        <f t="shared" si="282"/>
        <v>3</v>
      </c>
      <c r="ERC84">
        <f t="shared" si="282"/>
        <v>3</v>
      </c>
      <c r="ERD84">
        <f t="shared" si="282"/>
        <v>3</v>
      </c>
      <c r="ERE84">
        <f t="shared" si="282"/>
        <v>3</v>
      </c>
      <c r="ERF84">
        <f t="shared" si="282"/>
        <v>3</v>
      </c>
      <c r="ERG84">
        <f t="shared" si="282"/>
        <v>3</v>
      </c>
      <c r="ERH84">
        <f t="shared" si="282"/>
        <v>3</v>
      </c>
      <c r="ERI84">
        <f t="shared" si="282"/>
        <v>3</v>
      </c>
      <c r="ERJ84">
        <f t="shared" si="282"/>
        <v>3</v>
      </c>
      <c r="ERK84">
        <f t="shared" si="282"/>
        <v>3</v>
      </c>
      <c r="ERL84">
        <f t="shared" si="282"/>
        <v>3</v>
      </c>
      <c r="ERM84">
        <f t="shared" si="282"/>
        <v>3</v>
      </c>
      <c r="ERN84">
        <f t="shared" si="282"/>
        <v>3</v>
      </c>
      <c r="ERO84">
        <f t="shared" si="282"/>
        <v>3</v>
      </c>
      <c r="ERP84">
        <f t="shared" si="282"/>
        <v>3</v>
      </c>
      <c r="ERQ84">
        <f t="shared" si="282"/>
        <v>3</v>
      </c>
      <c r="ERR84">
        <f t="shared" si="282"/>
        <v>3</v>
      </c>
      <c r="ERS84">
        <f t="shared" si="282"/>
        <v>3</v>
      </c>
      <c r="ERT84">
        <f t="shared" si="282"/>
        <v>3</v>
      </c>
      <c r="ERU84">
        <f t="shared" si="282"/>
        <v>3</v>
      </c>
      <c r="ERV84">
        <f t="shared" si="282"/>
        <v>3</v>
      </c>
      <c r="ERW84">
        <f t="shared" si="282"/>
        <v>3</v>
      </c>
      <c r="ERX84">
        <f t="shared" si="282"/>
        <v>3</v>
      </c>
      <c r="ERY84">
        <f t="shared" si="282"/>
        <v>3</v>
      </c>
      <c r="ERZ84">
        <f t="shared" si="282"/>
        <v>3</v>
      </c>
      <c r="ESA84">
        <f t="shared" si="282"/>
        <v>3</v>
      </c>
      <c r="ESB84">
        <f t="shared" si="282"/>
        <v>3</v>
      </c>
      <c r="ESC84">
        <f t="shared" si="282"/>
        <v>3</v>
      </c>
      <c r="ESD84">
        <f t="shared" si="282"/>
        <v>3</v>
      </c>
      <c r="ESE84">
        <f t="shared" si="282"/>
        <v>3</v>
      </c>
      <c r="ESF84">
        <f t="shared" si="282"/>
        <v>3</v>
      </c>
      <c r="ESG84">
        <f t="shared" si="282"/>
        <v>3</v>
      </c>
      <c r="ESH84">
        <f t="shared" si="282"/>
        <v>3</v>
      </c>
      <c r="ESI84">
        <f t="shared" si="282"/>
        <v>3</v>
      </c>
      <c r="ESJ84">
        <f t="shared" si="282"/>
        <v>3</v>
      </c>
      <c r="ESK84">
        <f t="shared" si="282"/>
        <v>3</v>
      </c>
      <c r="ESL84">
        <f t="shared" si="282"/>
        <v>3</v>
      </c>
      <c r="ESM84">
        <f t="shared" si="282"/>
        <v>3</v>
      </c>
      <c r="ESN84">
        <f t="shared" si="282"/>
        <v>3</v>
      </c>
      <c r="ESO84">
        <f t="shared" si="282"/>
        <v>3</v>
      </c>
      <c r="ESP84">
        <f t="shared" si="282"/>
        <v>3</v>
      </c>
      <c r="ESQ84">
        <f t="shared" si="282"/>
        <v>3</v>
      </c>
      <c r="ESR84">
        <f t="shared" si="282"/>
        <v>3</v>
      </c>
      <c r="ESS84">
        <f t="shared" si="282"/>
        <v>3</v>
      </c>
      <c r="EST84">
        <f t="shared" si="282"/>
        <v>3</v>
      </c>
      <c r="ESU84">
        <f t="shared" si="282"/>
        <v>3</v>
      </c>
      <c r="ESV84">
        <f t="shared" si="282"/>
        <v>3</v>
      </c>
      <c r="ESW84">
        <f t="shared" si="282"/>
        <v>3</v>
      </c>
      <c r="ESX84">
        <f t="shared" si="282"/>
        <v>3</v>
      </c>
      <c r="ESY84">
        <f t="shared" si="282"/>
        <v>3</v>
      </c>
      <c r="ESZ84">
        <f t="shared" si="282"/>
        <v>3</v>
      </c>
      <c r="ETA84">
        <f t="shared" si="282"/>
        <v>3</v>
      </c>
      <c r="ETB84">
        <f t="shared" si="282"/>
        <v>3</v>
      </c>
      <c r="ETC84">
        <f t="shared" ref="ETC84:EVN84" si="283">COUNTBLANK(ETC2:ETC5)</f>
        <v>3</v>
      </c>
      <c r="ETD84">
        <f t="shared" si="283"/>
        <v>3</v>
      </c>
      <c r="ETE84">
        <f t="shared" si="283"/>
        <v>3</v>
      </c>
      <c r="ETF84">
        <f t="shared" si="283"/>
        <v>3</v>
      </c>
      <c r="ETG84">
        <f t="shared" si="283"/>
        <v>3</v>
      </c>
      <c r="ETH84">
        <f t="shared" si="283"/>
        <v>3</v>
      </c>
      <c r="ETI84">
        <f t="shared" si="283"/>
        <v>3</v>
      </c>
      <c r="ETJ84">
        <f t="shared" si="283"/>
        <v>3</v>
      </c>
      <c r="ETK84">
        <f t="shared" si="283"/>
        <v>3</v>
      </c>
      <c r="ETL84">
        <f t="shared" si="283"/>
        <v>3</v>
      </c>
      <c r="ETM84">
        <f t="shared" si="283"/>
        <v>3</v>
      </c>
      <c r="ETN84">
        <f t="shared" si="283"/>
        <v>3</v>
      </c>
      <c r="ETO84">
        <f t="shared" si="283"/>
        <v>3</v>
      </c>
      <c r="ETP84">
        <f t="shared" si="283"/>
        <v>3</v>
      </c>
      <c r="ETQ84">
        <f t="shared" si="283"/>
        <v>3</v>
      </c>
      <c r="ETR84">
        <f t="shared" si="283"/>
        <v>3</v>
      </c>
      <c r="ETS84">
        <f t="shared" si="283"/>
        <v>3</v>
      </c>
      <c r="ETT84">
        <f t="shared" si="283"/>
        <v>3</v>
      </c>
      <c r="ETU84">
        <f t="shared" si="283"/>
        <v>3</v>
      </c>
      <c r="ETV84">
        <f t="shared" si="283"/>
        <v>3</v>
      </c>
      <c r="ETW84">
        <f t="shared" si="283"/>
        <v>3</v>
      </c>
      <c r="ETX84">
        <f t="shared" si="283"/>
        <v>3</v>
      </c>
      <c r="ETY84">
        <f t="shared" si="283"/>
        <v>3</v>
      </c>
      <c r="ETZ84">
        <f t="shared" si="283"/>
        <v>3</v>
      </c>
      <c r="EUA84">
        <f t="shared" si="283"/>
        <v>3</v>
      </c>
      <c r="EUB84">
        <f t="shared" si="283"/>
        <v>3</v>
      </c>
      <c r="EUC84">
        <f t="shared" si="283"/>
        <v>3</v>
      </c>
      <c r="EUD84">
        <f t="shared" si="283"/>
        <v>3</v>
      </c>
      <c r="EUE84">
        <f t="shared" si="283"/>
        <v>3</v>
      </c>
      <c r="EUF84">
        <f t="shared" si="283"/>
        <v>3</v>
      </c>
      <c r="EUG84">
        <f t="shared" si="283"/>
        <v>3</v>
      </c>
      <c r="EUH84">
        <f t="shared" si="283"/>
        <v>3</v>
      </c>
      <c r="EUI84">
        <f t="shared" si="283"/>
        <v>3</v>
      </c>
      <c r="EUJ84">
        <f t="shared" si="283"/>
        <v>3</v>
      </c>
      <c r="EUK84">
        <f t="shared" si="283"/>
        <v>3</v>
      </c>
      <c r="EUL84">
        <f t="shared" si="283"/>
        <v>3</v>
      </c>
      <c r="EUM84">
        <f t="shared" si="283"/>
        <v>3</v>
      </c>
      <c r="EUN84">
        <f t="shared" si="283"/>
        <v>3</v>
      </c>
      <c r="EUO84">
        <f t="shared" si="283"/>
        <v>3</v>
      </c>
      <c r="EUP84">
        <f t="shared" si="283"/>
        <v>3</v>
      </c>
      <c r="EUQ84">
        <f t="shared" si="283"/>
        <v>3</v>
      </c>
      <c r="EUR84">
        <f t="shared" si="283"/>
        <v>3</v>
      </c>
      <c r="EUS84">
        <f t="shared" si="283"/>
        <v>3</v>
      </c>
      <c r="EUT84">
        <f t="shared" si="283"/>
        <v>3</v>
      </c>
      <c r="EUU84">
        <f t="shared" si="283"/>
        <v>2</v>
      </c>
      <c r="EUV84">
        <f t="shared" si="283"/>
        <v>2</v>
      </c>
      <c r="EUW84">
        <f t="shared" si="283"/>
        <v>2</v>
      </c>
      <c r="EUX84">
        <f t="shared" si="283"/>
        <v>2</v>
      </c>
      <c r="EUY84">
        <f t="shared" si="283"/>
        <v>2</v>
      </c>
      <c r="EUZ84">
        <f t="shared" si="283"/>
        <v>2</v>
      </c>
      <c r="EVA84">
        <f t="shared" si="283"/>
        <v>2</v>
      </c>
      <c r="EVB84">
        <f t="shared" si="283"/>
        <v>2</v>
      </c>
      <c r="EVC84">
        <f t="shared" si="283"/>
        <v>2</v>
      </c>
      <c r="EVD84">
        <f t="shared" si="283"/>
        <v>2</v>
      </c>
      <c r="EVE84">
        <f t="shared" si="283"/>
        <v>2</v>
      </c>
      <c r="EVF84">
        <f t="shared" si="283"/>
        <v>3</v>
      </c>
      <c r="EVG84">
        <f t="shared" si="283"/>
        <v>3</v>
      </c>
      <c r="EVH84">
        <f t="shared" si="283"/>
        <v>3</v>
      </c>
      <c r="EVI84">
        <f t="shared" si="283"/>
        <v>3</v>
      </c>
      <c r="EVJ84">
        <f t="shared" si="283"/>
        <v>3</v>
      </c>
      <c r="EVK84">
        <f t="shared" si="283"/>
        <v>3</v>
      </c>
      <c r="EVL84">
        <f t="shared" si="283"/>
        <v>3</v>
      </c>
      <c r="EVM84">
        <f t="shared" si="283"/>
        <v>3</v>
      </c>
      <c r="EVN84">
        <f t="shared" si="283"/>
        <v>3</v>
      </c>
      <c r="EVO84">
        <f t="shared" ref="EVO84:EXZ84" si="284">COUNTBLANK(EVO2:EVO5)</f>
        <v>3</v>
      </c>
      <c r="EVP84">
        <f t="shared" si="284"/>
        <v>3</v>
      </c>
      <c r="EVQ84">
        <f t="shared" si="284"/>
        <v>3</v>
      </c>
      <c r="EVR84">
        <f t="shared" si="284"/>
        <v>3</v>
      </c>
      <c r="EVS84">
        <f t="shared" si="284"/>
        <v>3</v>
      </c>
      <c r="EVT84">
        <f t="shared" si="284"/>
        <v>3</v>
      </c>
      <c r="EVU84">
        <f t="shared" si="284"/>
        <v>3</v>
      </c>
      <c r="EVV84">
        <f t="shared" si="284"/>
        <v>3</v>
      </c>
      <c r="EVW84">
        <f t="shared" si="284"/>
        <v>3</v>
      </c>
      <c r="EVX84">
        <f t="shared" si="284"/>
        <v>3</v>
      </c>
      <c r="EVY84">
        <f t="shared" si="284"/>
        <v>3</v>
      </c>
      <c r="EVZ84">
        <f t="shared" si="284"/>
        <v>3</v>
      </c>
      <c r="EWA84">
        <f t="shared" si="284"/>
        <v>3</v>
      </c>
      <c r="EWB84">
        <f t="shared" si="284"/>
        <v>3</v>
      </c>
      <c r="EWC84">
        <f t="shared" si="284"/>
        <v>3</v>
      </c>
      <c r="EWD84">
        <f t="shared" si="284"/>
        <v>3</v>
      </c>
      <c r="EWE84">
        <f t="shared" si="284"/>
        <v>3</v>
      </c>
      <c r="EWF84">
        <f t="shared" si="284"/>
        <v>3</v>
      </c>
      <c r="EWG84">
        <f t="shared" si="284"/>
        <v>3</v>
      </c>
      <c r="EWH84">
        <f t="shared" si="284"/>
        <v>3</v>
      </c>
      <c r="EWI84">
        <f t="shared" si="284"/>
        <v>3</v>
      </c>
      <c r="EWJ84">
        <f t="shared" si="284"/>
        <v>3</v>
      </c>
      <c r="EWK84">
        <f t="shared" si="284"/>
        <v>3</v>
      </c>
      <c r="EWL84">
        <f t="shared" si="284"/>
        <v>3</v>
      </c>
      <c r="EWM84">
        <f t="shared" si="284"/>
        <v>3</v>
      </c>
      <c r="EWN84">
        <f t="shared" si="284"/>
        <v>3</v>
      </c>
      <c r="EWO84">
        <f t="shared" si="284"/>
        <v>3</v>
      </c>
      <c r="EWP84">
        <f t="shared" si="284"/>
        <v>3</v>
      </c>
      <c r="EWQ84">
        <f t="shared" si="284"/>
        <v>3</v>
      </c>
      <c r="EWR84">
        <f t="shared" si="284"/>
        <v>3</v>
      </c>
      <c r="EWS84">
        <f t="shared" si="284"/>
        <v>3</v>
      </c>
      <c r="EWT84">
        <f t="shared" si="284"/>
        <v>3</v>
      </c>
      <c r="EWU84">
        <f t="shared" si="284"/>
        <v>3</v>
      </c>
      <c r="EWV84">
        <f t="shared" si="284"/>
        <v>3</v>
      </c>
      <c r="EWW84">
        <f t="shared" si="284"/>
        <v>3</v>
      </c>
      <c r="EWX84">
        <f t="shared" si="284"/>
        <v>3</v>
      </c>
      <c r="EWY84">
        <f t="shared" si="284"/>
        <v>3</v>
      </c>
      <c r="EWZ84">
        <f t="shared" si="284"/>
        <v>3</v>
      </c>
      <c r="EXA84">
        <f t="shared" si="284"/>
        <v>3</v>
      </c>
      <c r="EXB84">
        <f t="shared" si="284"/>
        <v>3</v>
      </c>
      <c r="EXC84">
        <f t="shared" si="284"/>
        <v>3</v>
      </c>
      <c r="EXD84">
        <f t="shared" si="284"/>
        <v>3</v>
      </c>
      <c r="EXE84">
        <f t="shared" si="284"/>
        <v>3</v>
      </c>
      <c r="EXF84">
        <f t="shared" si="284"/>
        <v>3</v>
      </c>
      <c r="EXG84">
        <f t="shared" si="284"/>
        <v>3</v>
      </c>
      <c r="EXH84">
        <f t="shared" si="284"/>
        <v>3</v>
      </c>
      <c r="EXI84">
        <f t="shared" si="284"/>
        <v>3</v>
      </c>
      <c r="EXJ84">
        <f t="shared" si="284"/>
        <v>3</v>
      </c>
      <c r="EXK84">
        <f t="shared" si="284"/>
        <v>3</v>
      </c>
      <c r="EXL84">
        <f t="shared" si="284"/>
        <v>3</v>
      </c>
      <c r="EXM84">
        <f t="shared" si="284"/>
        <v>3</v>
      </c>
      <c r="EXN84">
        <f t="shared" si="284"/>
        <v>3</v>
      </c>
      <c r="EXO84">
        <f t="shared" si="284"/>
        <v>3</v>
      </c>
      <c r="EXP84">
        <f t="shared" si="284"/>
        <v>3</v>
      </c>
      <c r="EXQ84">
        <f t="shared" si="284"/>
        <v>3</v>
      </c>
      <c r="EXR84">
        <f t="shared" si="284"/>
        <v>3</v>
      </c>
      <c r="EXS84">
        <f t="shared" si="284"/>
        <v>3</v>
      </c>
      <c r="EXT84">
        <f t="shared" si="284"/>
        <v>3</v>
      </c>
      <c r="EXU84">
        <f t="shared" si="284"/>
        <v>3</v>
      </c>
      <c r="EXV84">
        <f t="shared" si="284"/>
        <v>3</v>
      </c>
      <c r="EXW84">
        <f t="shared" si="284"/>
        <v>3</v>
      </c>
      <c r="EXX84">
        <f t="shared" si="284"/>
        <v>3</v>
      </c>
      <c r="EXY84">
        <f t="shared" si="284"/>
        <v>3</v>
      </c>
      <c r="EXZ84">
        <f t="shared" si="284"/>
        <v>3</v>
      </c>
      <c r="EYA84">
        <f t="shared" ref="EYA84:FAL84" si="285">COUNTBLANK(EYA2:EYA5)</f>
        <v>3</v>
      </c>
      <c r="EYB84">
        <f t="shared" si="285"/>
        <v>3</v>
      </c>
      <c r="EYC84">
        <f t="shared" si="285"/>
        <v>3</v>
      </c>
      <c r="EYD84">
        <f t="shared" si="285"/>
        <v>3</v>
      </c>
      <c r="EYE84">
        <f t="shared" si="285"/>
        <v>3</v>
      </c>
      <c r="EYF84">
        <f t="shared" si="285"/>
        <v>3</v>
      </c>
      <c r="EYG84">
        <f t="shared" si="285"/>
        <v>3</v>
      </c>
      <c r="EYH84">
        <f t="shared" si="285"/>
        <v>3</v>
      </c>
      <c r="EYI84">
        <f t="shared" si="285"/>
        <v>3</v>
      </c>
      <c r="EYJ84">
        <f t="shared" si="285"/>
        <v>3</v>
      </c>
      <c r="EYK84">
        <f t="shared" si="285"/>
        <v>3</v>
      </c>
      <c r="EYL84">
        <f t="shared" si="285"/>
        <v>3</v>
      </c>
      <c r="EYM84">
        <f t="shared" si="285"/>
        <v>3</v>
      </c>
      <c r="EYN84">
        <f t="shared" si="285"/>
        <v>3</v>
      </c>
      <c r="EYO84">
        <f t="shared" si="285"/>
        <v>3</v>
      </c>
      <c r="EYP84">
        <f t="shared" si="285"/>
        <v>3</v>
      </c>
      <c r="EYQ84">
        <f t="shared" si="285"/>
        <v>3</v>
      </c>
      <c r="EYR84">
        <f t="shared" si="285"/>
        <v>3</v>
      </c>
      <c r="EYS84">
        <f t="shared" si="285"/>
        <v>3</v>
      </c>
      <c r="EYT84">
        <f t="shared" si="285"/>
        <v>3</v>
      </c>
      <c r="EYU84">
        <f t="shared" si="285"/>
        <v>3</v>
      </c>
      <c r="EYV84">
        <f t="shared" si="285"/>
        <v>3</v>
      </c>
      <c r="EYW84">
        <f t="shared" si="285"/>
        <v>3</v>
      </c>
      <c r="EYX84">
        <f t="shared" si="285"/>
        <v>3</v>
      </c>
      <c r="EYY84">
        <f t="shared" si="285"/>
        <v>3</v>
      </c>
      <c r="EYZ84">
        <f t="shared" si="285"/>
        <v>3</v>
      </c>
      <c r="EZA84">
        <f t="shared" si="285"/>
        <v>3</v>
      </c>
      <c r="EZB84">
        <f t="shared" si="285"/>
        <v>3</v>
      </c>
      <c r="EZC84">
        <f t="shared" si="285"/>
        <v>3</v>
      </c>
      <c r="EZD84">
        <f t="shared" si="285"/>
        <v>3</v>
      </c>
      <c r="EZE84">
        <f t="shared" si="285"/>
        <v>3</v>
      </c>
      <c r="EZF84">
        <f t="shared" si="285"/>
        <v>3</v>
      </c>
      <c r="EZG84">
        <f t="shared" si="285"/>
        <v>3</v>
      </c>
      <c r="EZH84">
        <f t="shared" si="285"/>
        <v>3</v>
      </c>
      <c r="EZI84">
        <f t="shared" si="285"/>
        <v>3</v>
      </c>
      <c r="EZJ84">
        <f t="shared" si="285"/>
        <v>3</v>
      </c>
      <c r="EZK84">
        <f t="shared" si="285"/>
        <v>3</v>
      </c>
      <c r="EZL84">
        <f t="shared" si="285"/>
        <v>3</v>
      </c>
      <c r="EZM84">
        <f t="shared" si="285"/>
        <v>3</v>
      </c>
      <c r="EZN84">
        <f t="shared" si="285"/>
        <v>3</v>
      </c>
      <c r="EZO84">
        <f t="shared" si="285"/>
        <v>3</v>
      </c>
      <c r="EZP84">
        <f t="shared" si="285"/>
        <v>3</v>
      </c>
      <c r="EZQ84">
        <f t="shared" si="285"/>
        <v>3</v>
      </c>
      <c r="EZR84">
        <f t="shared" si="285"/>
        <v>3</v>
      </c>
      <c r="EZS84">
        <f t="shared" si="285"/>
        <v>3</v>
      </c>
      <c r="EZT84">
        <f t="shared" si="285"/>
        <v>3</v>
      </c>
      <c r="EZU84">
        <f t="shared" si="285"/>
        <v>3</v>
      </c>
      <c r="EZV84">
        <f t="shared" si="285"/>
        <v>3</v>
      </c>
      <c r="EZW84">
        <f t="shared" si="285"/>
        <v>3</v>
      </c>
      <c r="EZX84">
        <f t="shared" si="285"/>
        <v>3</v>
      </c>
      <c r="EZY84">
        <f t="shared" si="285"/>
        <v>3</v>
      </c>
      <c r="EZZ84">
        <f t="shared" si="285"/>
        <v>3</v>
      </c>
      <c r="FAA84">
        <f t="shared" si="285"/>
        <v>3</v>
      </c>
      <c r="FAB84">
        <f t="shared" si="285"/>
        <v>3</v>
      </c>
      <c r="FAC84">
        <f t="shared" si="285"/>
        <v>3</v>
      </c>
      <c r="FAD84">
        <f t="shared" si="285"/>
        <v>3</v>
      </c>
      <c r="FAE84">
        <f t="shared" si="285"/>
        <v>3</v>
      </c>
      <c r="FAF84">
        <f t="shared" si="285"/>
        <v>3</v>
      </c>
      <c r="FAG84">
        <f t="shared" si="285"/>
        <v>3</v>
      </c>
      <c r="FAH84">
        <f t="shared" si="285"/>
        <v>3</v>
      </c>
      <c r="FAI84">
        <f t="shared" si="285"/>
        <v>3</v>
      </c>
      <c r="FAJ84">
        <f t="shared" si="285"/>
        <v>3</v>
      </c>
      <c r="FAK84">
        <f t="shared" si="285"/>
        <v>3</v>
      </c>
      <c r="FAL84">
        <f t="shared" si="285"/>
        <v>3</v>
      </c>
      <c r="FAM84">
        <f t="shared" ref="FAM84:FCX84" si="286">COUNTBLANK(FAM2:FAM5)</f>
        <v>3</v>
      </c>
      <c r="FAN84">
        <f t="shared" si="286"/>
        <v>3</v>
      </c>
      <c r="FAO84">
        <f t="shared" si="286"/>
        <v>3</v>
      </c>
      <c r="FAP84">
        <f t="shared" si="286"/>
        <v>3</v>
      </c>
      <c r="FAQ84">
        <f t="shared" si="286"/>
        <v>3</v>
      </c>
      <c r="FAR84">
        <f t="shared" si="286"/>
        <v>3</v>
      </c>
      <c r="FAS84">
        <f t="shared" si="286"/>
        <v>3</v>
      </c>
      <c r="FAT84">
        <f t="shared" si="286"/>
        <v>3</v>
      </c>
      <c r="FAU84">
        <f t="shared" si="286"/>
        <v>3</v>
      </c>
      <c r="FAV84">
        <f t="shared" si="286"/>
        <v>3</v>
      </c>
      <c r="FAW84">
        <f t="shared" si="286"/>
        <v>3</v>
      </c>
      <c r="FAX84">
        <f t="shared" si="286"/>
        <v>3</v>
      </c>
      <c r="FAY84">
        <f t="shared" si="286"/>
        <v>3</v>
      </c>
      <c r="FAZ84">
        <f t="shared" si="286"/>
        <v>3</v>
      </c>
      <c r="FBA84">
        <f t="shared" si="286"/>
        <v>3</v>
      </c>
      <c r="FBB84">
        <f t="shared" si="286"/>
        <v>3</v>
      </c>
      <c r="FBC84">
        <f t="shared" si="286"/>
        <v>3</v>
      </c>
      <c r="FBD84">
        <f t="shared" si="286"/>
        <v>3</v>
      </c>
      <c r="FBE84">
        <f t="shared" si="286"/>
        <v>3</v>
      </c>
      <c r="FBF84">
        <f t="shared" si="286"/>
        <v>3</v>
      </c>
      <c r="FBG84">
        <f t="shared" si="286"/>
        <v>3</v>
      </c>
      <c r="FBH84">
        <f t="shared" si="286"/>
        <v>3</v>
      </c>
      <c r="FBI84">
        <f t="shared" si="286"/>
        <v>3</v>
      </c>
      <c r="FBJ84">
        <f t="shared" si="286"/>
        <v>3</v>
      </c>
      <c r="FBK84">
        <f t="shared" si="286"/>
        <v>3</v>
      </c>
      <c r="FBL84">
        <f t="shared" si="286"/>
        <v>3</v>
      </c>
      <c r="FBM84">
        <f t="shared" si="286"/>
        <v>3</v>
      </c>
      <c r="FBN84">
        <f t="shared" si="286"/>
        <v>3</v>
      </c>
      <c r="FBO84">
        <f t="shared" si="286"/>
        <v>3</v>
      </c>
      <c r="FBP84">
        <f t="shared" si="286"/>
        <v>3</v>
      </c>
      <c r="FBQ84">
        <f t="shared" si="286"/>
        <v>3</v>
      </c>
      <c r="FBR84">
        <f t="shared" si="286"/>
        <v>3</v>
      </c>
      <c r="FBS84">
        <f t="shared" si="286"/>
        <v>3</v>
      </c>
      <c r="FBT84">
        <f t="shared" si="286"/>
        <v>3</v>
      </c>
      <c r="FBU84">
        <f t="shared" si="286"/>
        <v>3</v>
      </c>
      <c r="FBV84">
        <f t="shared" si="286"/>
        <v>3</v>
      </c>
      <c r="FBW84">
        <f t="shared" si="286"/>
        <v>3</v>
      </c>
      <c r="FBX84">
        <f t="shared" si="286"/>
        <v>3</v>
      </c>
      <c r="FBY84">
        <f t="shared" si="286"/>
        <v>3</v>
      </c>
      <c r="FBZ84">
        <f t="shared" si="286"/>
        <v>3</v>
      </c>
      <c r="FCA84">
        <f t="shared" si="286"/>
        <v>3</v>
      </c>
      <c r="FCB84">
        <f t="shared" si="286"/>
        <v>3</v>
      </c>
      <c r="FCC84">
        <f t="shared" si="286"/>
        <v>3</v>
      </c>
      <c r="FCD84">
        <f t="shared" si="286"/>
        <v>3</v>
      </c>
      <c r="FCE84">
        <f t="shared" si="286"/>
        <v>3</v>
      </c>
      <c r="FCF84">
        <f t="shared" si="286"/>
        <v>3</v>
      </c>
      <c r="FCG84">
        <f t="shared" si="286"/>
        <v>3</v>
      </c>
      <c r="FCH84">
        <f t="shared" si="286"/>
        <v>3</v>
      </c>
      <c r="FCI84">
        <f t="shared" si="286"/>
        <v>3</v>
      </c>
      <c r="FCJ84">
        <f t="shared" si="286"/>
        <v>3</v>
      </c>
      <c r="FCK84">
        <f t="shared" si="286"/>
        <v>3</v>
      </c>
      <c r="FCL84">
        <f t="shared" si="286"/>
        <v>3</v>
      </c>
      <c r="FCM84">
        <f t="shared" si="286"/>
        <v>3</v>
      </c>
      <c r="FCN84">
        <f t="shared" si="286"/>
        <v>3</v>
      </c>
      <c r="FCO84">
        <f t="shared" si="286"/>
        <v>3</v>
      </c>
      <c r="FCP84">
        <f t="shared" si="286"/>
        <v>3</v>
      </c>
      <c r="FCQ84">
        <f t="shared" si="286"/>
        <v>3</v>
      </c>
      <c r="FCR84">
        <f t="shared" si="286"/>
        <v>3</v>
      </c>
      <c r="FCS84">
        <f t="shared" si="286"/>
        <v>3</v>
      </c>
      <c r="FCT84">
        <f t="shared" si="286"/>
        <v>3</v>
      </c>
      <c r="FCU84">
        <f t="shared" si="286"/>
        <v>3</v>
      </c>
      <c r="FCV84">
        <f t="shared" si="286"/>
        <v>3</v>
      </c>
      <c r="FCW84">
        <f t="shared" si="286"/>
        <v>3</v>
      </c>
      <c r="FCX84">
        <f t="shared" si="286"/>
        <v>3</v>
      </c>
      <c r="FCY84">
        <f t="shared" ref="FCY84:FFJ84" si="287">COUNTBLANK(FCY2:FCY5)</f>
        <v>3</v>
      </c>
      <c r="FCZ84">
        <f t="shared" si="287"/>
        <v>3</v>
      </c>
      <c r="FDA84">
        <f t="shared" si="287"/>
        <v>3</v>
      </c>
      <c r="FDB84">
        <f t="shared" si="287"/>
        <v>3</v>
      </c>
      <c r="FDC84">
        <f t="shared" si="287"/>
        <v>3</v>
      </c>
      <c r="FDD84">
        <f t="shared" si="287"/>
        <v>3</v>
      </c>
      <c r="FDE84">
        <f t="shared" si="287"/>
        <v>3</v>
      </c>
      <c r="FDF84">
        <f t="shared" si="287"/>
        <v>3</v>
      </c>
      <c r="FDG84">
        <f t="shared" si="287"/>
        <v>3</v>
      </c>
      <c r="FDH84">
        <f t="shared" si="287"/>
        <v>3</v>
      </c>
      <c r="FDI84">
        <f t="shared" si="287"/>
        <v>3</v>
      </c>
      <c r="FDJ84">
        <f t="shared" si="287"/>
        <v>3</v>
      </c>
      <c r="FDK84">
        <f t="shared" si="287"/>
        <v>3</v>
      </c>
      <c r="FDL84">
        <f t="shared" si="287"/>
        <v>3</v>
      </c>
      <c r="FDM84">
        <f t="shared" si="287"/>
        <v>3</v>
      </c>
      <c r="FDN84">
        <f t="shared" si="287"/>
        <v>3</v>
      </c>
      <c r="FDO84">
        <f t="shared" si="287"/>
        <v>3</v>
      </c>
      <c r="FDP84">
        <f t="shared" si="287"/>
        <v>3</v>
      </c>
      <c r="FDQ84">
        <f t="shared" si="287"/>
        <v>3</v>
      </c>
      <c r="FDR84">
        <f t="shared" si="287"/>
        <v>3</v>
      </c>
      <c r="FDS84">
        <f t="shared" si="287"/>
        <v>3</v>
      </c>
      <c r="FDT84">
        <f t="shared" si="287"/>
        <v>3</v>
      </c>
      <c r="FDU84">
        <f t="shared" si="287"/>
        <v>3</v>
      </c>
      <c r="FDV84">
        <f t="shared" si="287"/>
        <v>3</v>
      </c>
      <c r="FDW84">
        <f t="shared" si="287"/>
        <v>3</v>
      </c>
      <c r="FDX84">
        <f t="shared" si="287"/>
        <v>3</v>
      </c>
      <c r="FDY84">
        <f t="shared" si="287"/>
        <v>3</v>
      </c>
      <c r="FDZ84">
        <f t="shared" si="287"/>
        <v>3</v>
      </c>
      <c r="FEA84">
        <f t="shared" si="287"/>
        <v>3</v>
      </c>
      <c r="FEB84">
        <f t="shared" si="287"/>
        <v>3</v>
      </c>
      <c r="FEC84">
        <f t="shared" si="287"/>
        <v>3</v>
      </c>
      <c r="FED84">
        <f t="shared" si="287"/>
        <v>3</v>
      </c>
      <c r="FEE84">
        <f t="shared" si="287"/>
        <v>3</v>
      </c>
      <c r="FEF84">
        <f t="shared" si="287"/>
        <v>3</v>
      </c>
      <c r="FEG84">
        <f t="shared" si="287"/>
        <v>3</v>
      </c>
      <c r="FEH84">
        <f t="shared" si="287"/>
        <v>3</v>
      </c>
      <c r="FEI84">
        <f t="shared" si="287"/>
        <v>3</v>
      </c>
      <c r="FEJ84">
        <f t="shared" si="287"/>
        <v>3</v>
      </c>
      <c r="FEK84">
        <f t="shared" si="287"/>
        <v>3</v>
      </c>
      <c r="FEL84">
        <f t="shared" si="287"/>
        <v>3</v>
      </c>
      <c r="FEM84">
        <f t="shared" si="287"/>
        <v>3</v>
      </c>
      <c r="FEN84">
        <f t="shared" si="287"/>
        <v>3</v>
      </c>
      <c r="FEO84">
        <f t="shared" si="287"/>
        <v>3</v>
      </c>
      <c r="FEP84">
        <f t="shared" si="287"/>
        <v>3</v>
      </c>
      <c r="FEQ84">
        <f t="shared" si="287"/>
        <v>3</v>
      </c>
      <c r="FER84">
        <f t="shared" si="287"/>
        <v>3</v>
      </c>
      <c r="FES84">
        <f t="shared" si="287"/>
        <v>3</v>
      </c>
      <c r="FET84">
        <f t="shared" si="287"/>
        <v>3</v>
      </c>
      <c r="FEU84">
        <f t="shared" si="287"/>
        <v>3</v>
      </c>
      <c r="FEV84">
        <f t="shared" si="287"/>
        <v>3</v>
      </c>
      <c r="FEW84">
        <f t="shared" si="287"/>
        <v>3</v>
      </c>
      <c r="FEX84">
        <f t="shared" si="287"/>
        <v>3</v>
      </c>
      <c r="FEY84">
        <f t="shared" si="287"/>
        <v>3</v>
      </c>
      <c r="FEZ84">
        <f t="shared" si="287"/>
        <v>3</v>
      </c>
      <c r="FFA84">
        <f t="shared" si="287"/>
        <v>3</v>
      </c>
      <c r="FFB84">
        <f t="shared" si="287"/>
        <v>3</v>
      </c>
      <c r="FFC84">
        <f t="shared" si="287"/>
        <v>3</v>
      </c>
      <c r="FFD84">
        <f t="shared" si="287"/>
        <v>3</v>
      </c>
      <c r="FFE84">
        <f t="shared" si="287"/>
        <v>3</v>
      </c>
      <c r="FFF84">
        <f t="shared" si="287"/>
        <v>3</v>
      </c>
      <c r="FFG84">
        <f t="shared" si="287"/>
        <v>3</v>
      </c>
      <c r="FFH84">
        <f t="shared" si="287"/>
        <v>3</v>
      </c>
      <c r="FFI84">
        <f t="shared" si="287"/>
        <v>3</v>
      </c>
      <c r="FFJ84">
        <f t="shared" si="287"/>
        <v>3</v>
      </c>
      <c r="FFK84">
        <f t="shared" ref="FFK84:FHV84" si="288">COUNTBLANK(FFK2:FFK5)</f>
        <v>3</v>
      </c>
      <c r="FFL84">
        <f t="shared" si="288"/>
        <v>3</v>
      </c>
      <c r="FFM84">
        <f t="shared" si="288"/>
        <v>3</v>
      </c>
      <c r="FFN84">
        <f t="shared" si="288"/>
        <v>3</v>
      </c>
      <c r="FFO84">
        <f t="shared" si="288"/>
        <v>3</v>
      </c>
      <c r="FFP84">
        <f t="shared" si="288"/>
        <v>3</v>
      </c>
      <c r="FFQ84">
        <f t="shared" si="288"/>
        <v>3</v>
      </c>
      <c r="FFR84">
        <f t="shared" si="288"/>
        <v>3</v>
      </c>
      <c r="FFS84">
        <f t="shared" si="288"/>
        <v>3</v>
      </c>
      <c r="FFT84">
        <f t="shared" si="288"/>
        <v>3</v>
      </c>
      <c r="FFU84">
        <f t="shared" si="288"/>
        <v>3</v>
      </c>
      <c r="FFV84">
        <f t="shared" si="288"/>
        <v>3</v>
      </c>
      <c r="FFW84">
        <f t="shared" si="288"/>
        <v>3</v>
      </c>
      <c r="FFX84">
        <f t="shared" si="288"/>
        <v>3</v>
      </c>
      <c r="FFY84">
        <f t="shared" si="288"/>
        <v>3</v>
      </c>
      <c r="FFZ84">
        <f t="shared" si="288"/>
        <v>3</v>
      </c>
      <c r="FGA84">
        <f t="shared" si="288"/>
        <v>3</v>
      </c>
      <c r="FGB84">
        <f t="shared" si="288"/>
        <v>3</v>
      </c>
      <c r="FGC84">
        <f t="shared" si="288"/>
        <v>3</v>
      </c>
      <c r="FGD84">
        <f t="shared" si="288"/>
        <v>3</v>
      </c>
      <c r="FGE84">
        <f t="shared" si="288"/>
        <v>3</v>
      </c>
      <c r="FGF84">
        <f t="shared" si="288"/>
        <v>3</v>
      </c>
      <c r="FGG84">
        <f t="shared" si="288"/>
        <v>3</v>
      </c>
      <c r="FGH84">
        <f t="shared" si="288"/>
        <v>3</v>
      </c>
      <c r="FGI84">
        <f t="shared" si="288"/>
        <v>3</v>
      </c>
      <c r="FGJ84">
        <f t="shared" si="288"/>
        <v>3</v>
      </c>
      <c r="FGK84">
        <f t="shared" si="288"/>
        <v>3</v>
      </c>
      <c r="FGL84">
        <f t="shared" si="288"/>
        <v>3</v>
      </c>
      <c r="FGM84">
        <f t="shared" si="288"/>
        <v>3</v>
      </c>
      <c r="FGN84">
        <f t="shared" si="288"/>
        <v>3</v>
      </c>
      <c r="FGO84">
        <f t="shared" si="288"/>
        <v>3</v>
      </c>
      <c r="FGP84">
        <f t="shared" si="288"/>
        <v>3</v>
      </c>
      <c r="FGQ84">
        <f t="shared" si="288"/>
        <v>3</v>
      </c>
      <c r="FGR84">
        <f t="shared" si="288"/>
        <v>3</v>
      </c>
      <c r="FGS84">
        <f t="shared" si="288"/>
        <v>3</v>
      </c>
      <c r="FGT84">
        <f t="shared" si="288"/>
        <v>3</v>
      </c>
      <c r="FGU84">
        <f t="shared" si="288"/>
        <v>3</v>
      </c>
      <c r="FGV84">
        <f t="shared" si="288"/>
        <v>3</v>
      </c>
      <c r="FGW84">
        <f t="shared" si="288"/>
        <v>3</v>
      </c>
      <c r="FGX84">
        <f t="shared" si="288"/>
        <v>3</v>
      </c>
      <c r="FGY84">
        <f t="shared" si="288"/>
        <v>3</v>
      </c>
      <c r="FGZ84">
        <f t="shared" si="288"/>
        <v>3</v>
      </c>
      <c r="FHA84">
        <f t="shared" si="288"/>
        <v>3</v>
      </c>
      <c r="FHB84">
        <f t="shared" si="288"/>
        <v>3</v>
      </c>
      <c r="FHC84">
        <f t="shared" si="288"/>
        <v>3</v>
      </c>
      <c r="FHD84">
        <f t="shared" si="288"/>
        <v>3</v>
      </c>
      <c r="FHE84">
        <f t="shared" si="288"/>
        <v>3</v>
      </c>
      <c r="FHF84">
        <f t="shared" si="288"/>
        <v>3</v>
      </c>
      <c r="FHG84">
        <f t="shared" si="288"/>
        <v>3</v>
      </c>
      <c r="FHH84">
        <f t="shared" si="288"/>
        <v>3</v>
      </c>
      <c r="FHI84">
        <f t="shared" si="288"/>
        <v>3</v>
      </c>
      <c r="FHJ84">
        <f t="shared" si="288"/>
        <v>3</v>
      </c>
      <c r="FHK84">
        <f t="shared" si="288"/>
        <v>3</v>
      </c>
      <c r="FHL84">
        <f t="shared" si="288"/>
        <v>3</v>
      </c>
      <c r="FHM84">
        <f t="shared" si="288"/>
        <v>3</v>
      </c>
      <c r="FHN84">
        <f t="shared" si="288"/>
        <v>3</v>
      </c>
      <c r="FHO84">
        <f t="shared" si="288"/>
        <v>3</v>
      </c>
      <c r="FHP84">
        <f t="shared" si="288"/>
        <v>3</v>
      </c>
      <c r="FHQ84">
        <f t="shared" si="288"/>
        <v>3</v>
      </c>
      <c r="FHR84">
        <f t="shared" si="288"/>
        <v>3</v>
      </c>
      <c r="FHS84">
        <f t="shared" si="288"/>
        <v>3</v>
      </c>
      <c r="FHT84">
        <f t="shared" si="288"/>
        <v>3</v>
      </c>
      <c r="FHU84">
        <f t="shared" si="288"/>
        <v>3</v>
      </c>
      <c r="FHV84">
        <f t="shared" si="288"/>
        <v>3</v>
      </c>
      <c r="FHW84">
        <f t="shared" ref="FHW84:FKH84" si="289">COUNTBLANK(FHW2:FHW5)</f>
        <v>3</v>
      </c>
      <c r="FHX84">
        <f t="shared" si="289"/>
        <v>3</v>
      </c>
      <c r="FHY84">
        <f t="shared" si="289"/>
        <v>3</v>
      </c>
      <c r="FHZ84">
        <f t="shared" si="289"/>
        <v>3</v>
      </c>
      <c r="FIA84">
        <f t="shared" si="289"/>
        <v>3</v>
      </c>
      <c r="FIB84">
        <f t="shared" si="289"/>
        <v>3</v>
      </c>
      <c r="FIC84">
        <f t="shared" si="289"/>
        <v>3</v>
      </c>
      <c r="FID84">
        <f t="shared" si="289"/>
        <v>3</v>
      </c>
      <c r="FIE84">
        <f t="shared" si="289"/>
        <v>3</v>
      </c>
      <c r="FIF84">
        <f t="shared" si="289"/>
        <v>3</v>
      </c>
      <c r="FIG84">
        <f t="shared" si="289"/>
        <v>3</v>
      </c>
      <c r="FIH84">
        <f t="shared" si="289"/>
        <v>3</v>
      </c>
      <c r="FII84">
        <f t="shared" si="289"/>
        <v>3</v>
      </c>
      <c r="FIJ84">
        <f t="shared" si="289"/>
        <v>3</v>
      </c>
      <c r="FIK84">
        <f t="shared" si="289"/>
        <v>3</v>
      </c>
      <c r="FIL84">
        <f t="shared" si="289"/>
        <v>3</v>
      </c>
      <c r="FIM84">
        <f t="shared" si="289"/>
        <v>3</v>
      </c>
      <c r="FIN84">
        <f t="shared" si="289"/>
        <v>3</v>
      </c>
      <c r="FIO84">
        <f t="shared" si="289"/>
        <v>3</v>
      </c>
      <c r="FIP84">
        <f t="shared" si="289"/>
        <v>3</v>
      </c>
      <c r="FIQ84">
        <f t="shared" si="289"/>
        <v>3</v>
      </c>
      <c r="FIR84">
        <f t="shared" si="289"/>
        <v>3</v>
      </c>
      <c r="FIS84">
        <f t="shared" si="289"/>
        <v>3</v>
      </c>
      <c r="FIT84">
        <f t="shared" si="289"/>
        <v>3</v>
      </c>
      <c r="FIU84">
        <f t="shared" si="289"/>
        <v>3</v>
      </c>
      <c r="FIV84">
        <f t="shared" si="289"/>
        <v>3</v>
      </c>
      <c r="FIW84">
        <f t="shared" si="289"/>
        <v>3</v>
      </c>
      <c r="FIX84">
        <f t="shared" si="289"/>
        <v>3</v>
      </c>
      <c r="FIY84">
        <f t="shared" si="289"/>
        <v>3</v>
      </c>
      <c r="FIZ84">
        <f t="shared" si="289"/>
        <v>3</v>
      </c>
      <c r="FJA84">
        <f t="shared" si="289"/>
        <v>3</v>
      </c>
      <c r="FJB84">
        <f t="shared" si="289"/>
        <v>3</v>
      </c>
      <c r="FJC84">
        <f t="shared" si="289"/>
        <v>3</v>
      </c>
      <c r="FJD84">
        <f t="shared" si="289"/>
        <v>3</v>
      </c>
      <c r="FJE84">
        <f t="shared" si="289"/>
        <v>3</v>
      </c>
      <c r="FJF84">
        <f t="shared" si="289"/>
        <v>3</v>
      </c>
      <c r="FJG84">
        <f t="shared" si="289"/>
        <v>3</v>
      </c>
      <c r="FJH84">
        <f t="shared" si="289"/>
        <v>3</v>
      </c>
      <c r="FJI84">
        <f t="shared" si="289"/>
        <v>3</v>
      </c>
      <c r="FJJ84">
        <f t="shared" si="289"/>
        <v>3</v>
      </c>
      <c r="FJK84">
        <f t="shared" si="289"/>
        <v>3</v>
      </c>
      <c r="FJL84">
        <f t="shared" si="289"/>
        <v>3</v>
      </c>
      <c r="FJM84">
        <f t="shared" si="289"/>
        <v>3</v>
      </c>
      <c r="FJN84">
        <f t="shared" si="289"/>
        <v>3</v>
      </c>
      <c r="FJO84">
        <f t="shared" si="289"/>
        <v>3</v>
      </c>
      <c r="FJP84">
        <f t="shared" si="289"/>
        <v>3</v>
      </c>
      <c r="FJQ84">
        <f t="shared" si="289"/>
        <v>3</v>
      </c>
      <c r="FJR84">
        <f t="shared" si="289"/>
        <v>3</v>
      </c>
      <c r="FJS84">
        <f t="shared" si="289"/>
        <v>3</v>
      </c>
      <c r="FJT84">
        <f t="shared" si="289"/>
        <v>3</v>
      </c>
      <c r="FJU84">
        <f t="shared" si="289"/>
        <v>3</v>
      </c>
      <c r="FJV84">
        <f t="shared" si="289"/>
        <v>3</v>
      </c>
      <c r="FJW84">
        <f t="shared" si="289"/>
        <v>3</v>
      </c>
      <c r="FJX84">
        <f t="shared" si="289"/>
        <v>3</v>
      </c>
      <c r="FJY84">
        <f t="shared" si="289"/>
        <v>3</v>
      </c>
      <c r="FJZ84">
        <f t="shared" si="289"/>
        <v>3</v>
      </c>
      <c r="FKA84">
        <f t="shared" si="289"/>
        <v>3</v>
      </c>
      <c r="FKB84">
        <f t="shared" si="289"/>
        <v>3</v>
      </c>
      <c r="FKC84">
        <f t="shared" si="289"/>
        <v>3</v>
      </c>
      <c r="FKD84">
        <f t="shared" si="289"/>
        <v>3</v>
      </c>
      <c r="FKE84">
        <f t="shared" si="289"/>
        <v>3</v>
      </c>
      <c r="FKF84">
        <f t="shared" si="289"/>
        <v>3</v>
      </c>
      <c r="FKG84">
        <f t="shared" si="289"/>
        <v>3</v>
      </c>
      <c r="FKH84">
        <f t="shared" si="289"/>
        <v>3</v>
      </c>
      <c r="FKI84">
        <f t="shared" ref="FKI84:FMT84" si="290">COUNTBLANK(FKI2:FKI5)</f>
        <v>3</v>
      </c>
      <c r="FKJ84">
        <f t="shared" si="290"/>
        <v>3</v>
      </c>
      <c r="FKK84">
        <f t="shared" si="290"/>
        <v>3</v>
      </c>
      <c r="FKL84">
        <f t="shared" si="290"/>
        <v>3</v>
      </c>
      <c r="FKM84">
        <f t="shared" si="290"/>
        <v>3</v>
      </c>
      <c r="FKN84">
        <f t="shared" si="290"/>
        <v>3</v>
      </c>
      <c r="FKO84">
        <f t="shared" si="290"/>
        <v>3</v>
      </c>
      <c r="FKP84">
        <f t="shared" si="290"/>
        <v>3</v>
      </c>
      <c r="FKQ84">
        <f t="shared" si="290"/>
        <v>3</v>
      </c>
      <c r="FKR84">
        <f t="shared" si="290"/>
        <v>3</v>
      </c>
      <c r="FKS84">
        <f t="shared" si="290"/>
        <v>3</v>
      </c>
      <c r="FKT84">
        <f t="shared" si="290"/>
        <v>3</v>
      </c>
      <c r="FKU84">
        <f t="shared" si="290"/>
        <v>3</v>
      </c>
      <c r="FKV84">
        <f t="shared" si="290"/>
        <v>3</v>
      </c>
      <c r="FKW84">
        <f t="shared" si="290"/>
        <v>3</v>
      </c>
      <c r="FKX84">
        <f t="shared" si="290"/>
        <v>3</v>
      </c>
      <c r="FKY84">
        <f t="shared" si="290"/>
        <v>3</v>
      </c>
      <c r="FKZ84">
        <f t="shared" si="290"/>
        <v>3</v>
      </c>
      <c r="FLA84">
        <f t="shared" si="290"/>
        <v>3</v>
      </c>
      <c r="FLB84">
        <f t="shared" si="290"/>
        <v>3</v>
      </c>
      <c r="FLC84">
        <f t="shared" si="290"/>
        <v>3</v>
      </c>
      <c r="FLD84">
        <f t="shared" si="290"/>
        <v>3</v>
      </c>
      <c r="FLE84">
        <f t="shared" si="290"/>
        <v>3</v>
      </c>
      <c r="FLF84">
        <f t="shared" si="290"/>
        <v>3</v>
      </c>
      <c r="FLG84">
        <f t="shared" si="290"/>
        <v>3</v>
      </c>
      <c r="FLH84">
        <f t="shared" si="290"/>
        <v>3</v>
      </c>
      <c r="FLI84">
        <f t="shared" si="290"/>
        <v>3</v>
      </c>
      <c r="FLJ84">
        <f t="shared" si="290"/>
        <v>3</v>
      </c>
      <c r="FLK84">
        <f t="shared" si="290"/>
        <v>3</v>
      </c>
      <c r="FLL84">
        <f t="shared" si="290"/>
        <v>3</v>
      </c>
      <c r="FLM84">
        <f t="shared" si="290"/>
        <v>3</v>
      </c>
      <c r="FLN84">
        <f t="shared" si="290"/>
        <v>3</v>
      </c>
      <c r="FLO84">
        <f t="shared" si="290"/>
        <v>3</v>
      </c>
      <c r="FLP84">
        <f t="shared" si="290"/>
        <v>3</v>
      </c>
      <c r="FLQ84">
        <f t="shared" si="290"/>
        <v>3</v>
      </c>
      <c r="FLR84">
        <f t="shared" si="290"/>
        <v>3</v>
      </c>
      <c r="FLS84">
        <f t="shared" si="290"/>
        <v>3</v>
      </c>
      <c r="FLT84">
        <f t="shared" si="290"/>
        <v>3</v>
      </c>
      <c r="FLU84">
        <f t="shared" si="290"/>
        <v>3</v>
      </c>
      <c r="FLV84">
        <f t="shared" si="290"/>
        <v>3</v>
      </c>
      <c r="FLW84">
        <f t="shared" si="290"/>
        <v>3</v>
      </c>
      <c r="FLX84">
        <f t="shared" si="290"/>
        <v>3</v>
      </c>
      <c r="FLY84">
        <f t="shared" si="290"/>
        <v>3</v>
      </c>
      <c r="FLZ84">
        <f t="shared" si="290"/>
        <v>3</v>
      </c>
      <c r="FMA84">
        <f t="shared" si="290"/>
        <v>3</v>
      </c>
      <c r="FMB84">
        <f t="shared" si="290"/>
        <v>3</v>
      </c>
      <c r="FMC84">
        <f t="shared" si="290"/>
        <v>3</v>
      </c>
      <c r="FMD84">
        <f t="shared" si="290"/>
        <v>3</v>
      </c>
      <c r="FME84">
        <f t="shared" si="290"/>
        <v>3</v>
      </c>
      <c r="FMF84">
        <f t="shared" si="290"/>
        <v>3</v>
      </c>
      <c r="FMG84">
        <f t="shared" si="290"/>
        <v>3</v>
      </c>
      <c r="FMH84">
        <f t="shared" si="290"/>
        <v>3</v>
      </c>
      <c r="FMI84">
        <f t="shared" si="290"/>
        <v>3</v>
      </c>
      <c r="FMJ84">
        <f t="shared" si="290"/>
        <v>3</v>
      </c>
      <c r="FMK84">
        <f t="shared" si="290"/>
        <v>3</v>
      </c>
      <c r="FML84">
        <f t="shared" si="290"/>
        <v>3</v>
      </c>
      <c r="FMM84">
        <f t="shared" si="290"/>
        <v>3</v>
      </c>
      <c r="FMN84">
        <f t="shared" si="290"/>
        <v>3</v>
      </c>
      <c r="FMO84">
        <f t="shared" si="290"/>
        <v>3</v>
      </c>
      <c r="FMP84">
        <f t="shared" si="290"/>
        <v>3</v>
      </c>
      <c r="FMQ84">
        <f t="shared" si="290"/>
        <v>3</v>
      </c>
      <c r="FMR84">
        <f t="shared" si="290"/>
        <v>3</v>
      </c>
      <c r="FMS84">
        <f t="shared" si="290"/>
        <v>3</v>
      </c>
      <c r="FMT84">
        <f t="shared" si="290"/>
        <v>3</v>
      </c>
      <c r="FMU84">
        <f t="shared" ref="FMU84:FPF84" si="291">COUNTBLANK(FMU2:FMU5)</f>
        <v>3</v>
      </c>
      <c r="FMV84">
        <f t="shared" si="291"/>
        <v>3</v>
      </c>
      <c r="FMW84">
        <f t="shared" si="291"/>
        <v>3</v>
      </c>
      <c r="FMX84">
        <f t="shared" si="291"/>
        <v>3</v>
      </c>
      <c r="FMY84">
        <f t="shared" si="291"/>
        <v>3</v>
      </c>
      <c r="FMZ84">
        <f t="shared" si="291"/>
        <v>3</v>
      </c>
      <c r="FNA84">
        <f t="shared" si="291"/>
        <v>3</v>
      </c>
      <c r="FNB84">
        <f t="shared" si="291"/>
        <v>3</v>
      </c>
      <c r="FNC84">
        <f t="shared" si="291"/>
        <v>3</v>
      </c>
      <c r="FND84">
        <f t="shared" si="291"/>
        <v>3</v>
      </c>
      <c r="FNE84">
        <f t="shared" si="291"/>
        <v>3</v>
      </c>
      <c r="FNF84">
        <f t="shared" si="291"/>
        <v>3</v>
      </c>
      <c r="FNG84">
        <f t="shared" si="291"/>
        <v>3</v>
      </c>
      <c r="FNH84">
        <f t="shared" si="291"/>
        <v>3</v>
      </c>
      <c r="FNI84">
        <f t="shared" si="291"/>
        <v>3</v>
      </c>
      <c r="FNJ84">
        <f t="shared" si="291"/>
        <v>3</v>
      </c>
      <c r="FNK84">
        <f t="shared" si="291"/>
        <v>3</v>
      </c>
      <c r="FNL84">
        <f t="shared" si="291"/>
        <v>3</v>
      </c>
      <c r="FNM84">
        <f t="shared" si="291"/>
        <v>3</v>
      </c>
      <c r="FNN84">
        <f t="shared" si="291"/>
        <v>3</v>
      </c>
      <c r="FNO84">
        <f t="shared" si="291"/>
        <v>3</v>
      </c>
      <c r="FNP84">
        <f t="shared" si="291"/>
        <v>3</v>
      </c>
      <c r="FNQ84">
        <f t="shared" si="291"/>
        <v>3</v>
      </c>
      <c r="FNR84">
        <f t="shared" si="291"/>
        <v>3</v>
      </c>
      <c r="FNS84">
        <f t="shared" si="291"/>
        <v>3</v>
      </c>
      <c r="FNT84">
        <f t="shared" si="291"/>
        <v>3</v>
      </c>
      <c r="FNU84">
        <f t="shared" si="291"/>
        <v>3</v>
      </c>
      <c r="FNV84">
        <f t="shared" si="291"/>
        <v>3</v>
      </c>
      <c r="FNW84">
        <f t="shared" si="291"/>
        <v>3</v>
      </c>
      <c r="FNX84">
        <f t="shared" si="291"/>
        <v>3</v>
      </c>
      <c r="FNY84">
        <f t="shared" si="291"/>
        <v>3</v>
      </c>
      <c r="FNZ84">
        <f t="shared" si="291"/>
        <v>3</v>
      </c>
      <c r="FOA84">
        <f t="shared" si="291"/>
        <v>3</v>
      </c>
      <c r="FOB84">
        <f t="shared" si="291"/>
        <v>3</v>
      </c>
      <c r="FOC84">
        <f t="shared" si="291"/>
        <v>3</v>
      </c>
      <c r="FOD84">
        <f t="shared" si="291"/>
        <v>3</v>
      </c>
      <c r="FOE84">
        <f t="shared" si="291"/>
        <v>3</v>
      </c>
      <c r="FOF84">
        <f t="shared" si="291"/>
        <v>3</v>
      </c>
      <c r="FOG84">
        <f t="shared" si="291"/>
        <v>3</v>
      </c>
      <c r="FOH84">
        <f t="shared" si="291"/>
        <v>3</v>
      </c>
      <c r="FOI84">
        <f t="shared" si="291"/>
        <v>3</v>
      </c>
      <c r="FOJ84">
        <f t="shared" si="291"/>
        <v>3</v>
      </c>
      <c r="FOK84">
        <f t="shared" si="291"/>
        <v>3</v>
      </c>
      <c r="FOL84">
        <f t="shared" si="291"/>
        <v>3</v>
      </c>
      <c r="FOM84">
        <f t="shared" si="291"/>
        <v>3</v>
      </c>
      <c r="FON84">
        <f t="shared" si="291"/>
        <v>3</v>
      </c>
      <c r="FOO84">
        <f t="shared" si="291"/>
        <v>3</v>
      </c>
      <c r="FOP84">
        <f t="shared" si="291"/>
        <v>3</v>
      </c>
      <c r="FOQ84">
        <f t="shared" si="291"/>
        <v>3</v>
      </c>
      <c r="FOR84">
        <f t="shared" si="291"/>
        <v>3</v>
      </c>
      <c r="FOS84">
        <f t="shared" si="291"/>
        <v>3</v>
      </c>
      <c r="FOT84">
        <f t="shared" si="291"/>
        <v>3</v>
      </c>
      <c r="FOU84">
        <f t="shared" si="291"/>
        <v>3</v>
      </c>
      <c r="FOV84">
        <f t="shared" si="291"/>
        <v>3</v>
      </c>
      <c r="FOW84">
        <f t="shared" si="291"/>
        <v>3</v>
      </c>
      <c r="FOX84">
        <f t="shared" si="291"/>
        <v>3</v>
      </c>
      <c r="FOY84">
        <f t="shared" si="291"/>
        <v>3</v>
      </c>
      <c r="FOZ84">
        <f t="shared" si="291"/>
        <v>3</v>
      </c>
      <c r="FPA84">
        <f t="shared" si="291"/>
        <v>3</v>
      </c>
      <c r="FPB84">
        <f t="shared" si="291"/>
        <v>3</v>
      </c>
      <c r="FPC84">
        <f t="shared" si="291"/>
        <v>3</v>
      </c>
      <c r="FPD84">
        <f t="shared" si="291"/>
        <v>3</v>
      </c>
      <c r="FPE84">
        <f t="shared" si="291"/>
        <v>3</v>
      </c>
      <c r="FPF84">
        <f t="shared" si="291"/>
        <v>3</v>
      </c>
      <c r="FPG84">
        <f t="shared" ref="FPG84:FRR84" si="292">COUNTBLANK(FPG2:FPG5)</f>
        <v>3</v>
      </c>
      <c r="FPH84">
        <f t="shared" si="292"/>
        <v>3</v>
      </c>
      <c r="FPI84">
        <f t="shared" si="292"/>
        <v>3</v>
      </c>
      <c r="FPJ84">
        <f t="shared" si="292"/>
        <v>3</v>
      </c>
      <c r="FPK84">
        <f t="shared" si="292"/>
        <v>3</v>
      </c>
      <c r="FPL84">
        <f t="shared" si="292"/>
        <v>3</v>
      </c>
      <c r="FPM84">
        <f t="shared" si="292"/>
        <v>3</v>
      </c>
      <c r="FPN84">
        <f t="shared" si="292"/>
        <v>3</v>
      </c>
      <c r="FPO84">
        <f t="shared" si="292"/>
        <v>3</v>
      </c>
      <c r="FPP84">
        <f t="shared" si="292"/>
        <v>3</v>
      </c>
      <c r="FPQ84">
        <f t="shared" si="292"/>
        <v>3</v>
      </c>
      <c r="FPR84">
        <f t="shared" si="292"/>
        <v>3</v>
      </c>
      <c r="FPS84">
        <f t="shared" si="292"/>
        <v>3</v>
      </c>
      <c r="FPT84">
        <f t="shared" si="292"/>
        <v>3</v>
      </c>
      <c r="FPU84">
        <f t="shared" si="292"/>
        <v>3</v>
      </c>
      <c r="FPV84">
        <f t="shared" si="292"/>
        <v>3</v>
      </c>
      <c r="FPW84">
        <f t="shared" si="292"/>
        <v>3</v>
      </c>
      <c r="FPX84">
        <f t="shared" si="292"/>
        <v>3</v>
      </c>
      <c r="FPY84">
        <f t="shared" si="292"/>
        <v>3</v>
      </c>
      <c r="FPZ84">
        <f t="shared" si="292"/>
        <v>3</v>
      </c>
      <c r="FQA84">
        <f t="shared" si="292"/>
        <v>3</v>
      </c>
      <c r="FQB84">
        <f t="shared" si="292"/>
        <v>3</v>
      </c>
      <c r="FQC84">
        <f t="shared" si="292"/>
        <v>3</v>
      </c>
      <c r="FQD84">
        <f t="shared" si="292"/>
        <v>3</v>
      </c>
      <c r="FQE84">
        <f t="shared" si="292"/>
        <v>3</v>
      </c>
      <c r="FQF84">
        <f t="shared" si="292"/>
        <v>3</v>
      </c>
      <c r="FQG84">
        <f t="shared" si="292"/>
        <v>3</v>
      </c>
      <c r="FQH84">
        <f t="shared" si="292"/>
        <v>3</v>
      </c>
      <c r="FQI84">
        <f t="shared" si="292"/>
        <v>3</v>
      </c>
      <c r="FQJ84">
        <f t="shared" si="292"/>
        <v>3</v>
      </c>
      <c r="FQK84">
        <f t="shared" si="292"/>
        <v>3</v>
      </c>
      <c r="FQL84">
        <f t="shared" si="292"/>
        <v>3</v>
      </c>
      <c r="FQM84">
        <f t="shared" si="292"/>
        <v>3</v>
      </c>
      <c r="FQN84">
        <f t="shared" si="292"/>
        <v>3</v>
      </c>
      <c r="FQO84">
        <f t="shared" si="292"/>
        <v>3</v>
      </c>
      <c r="FQP84">
        <f t="shared" si="292"/>
        <v>3</v>
      </c>
      <c r="FQQ84">
        <f t="shared" si="292"/>
        <v>3</v>
      </c>
      <c r="FQR84">
        <f t="shared" si="292"/>
        <v>3</v>
      </c>
      <c r="FQS84">
        <f t="shared" si="292"/>
        <v>3</v>
      </c>
      <c r="FQT84">
        <f t="shared" si="292"/>
        <v>3</v>
      </c>
      <c r="FQU84">
        <f t="shared" si="292"/>
        <v>3</v>
      </c>
      <c r="FQV84">
        <f t="shared" si="292"/>
        <v>3</v>
      </c>
      <c r="FQW84">
        <f t="shared" si="292"/>
        <v>3</v>
      </c>
      <c r="FQX84">
        <f t="shared" si="292"/>
        <v>3</v>
      </c>
      <c r="FQY84">
        <f t="shared" si="292"/>
        <v>3</v>
      </c>
      <c r="FQZ84">
        <f t="shared" si="292"/>
        <v>3</v>
      </c>
      <c r="FRA84">
        <f t="shared" si="292"/>
        <v>3</v>
      </c>
      <c r="FRB84">
        <f t="shared" si="292"/>
        <v>3</v>
      </c>
      <c r="FRC84">
        <f t="shared" si="292"/>
        <v>3</v>
      </c>
      <c r="FRD84">
        <f t="shared" si="292"/>
        <v>3</v>
      </c>
      <c r="FRE84">
        <f t="shared" si="292"/>
        <v>3</v>
      </c>
      <c r="FRF84">
        <f t="shared" si="292"/>
        <v>3</v>
      </c>
      <c r="FRG84">
        <f t="shared" si="292"/>
        <v>3</v>
      </c>
      <c r="FRH84">
        <f t="shared" si="292"/>
        <v>3</v>
      </c>
      <c r="FRI84">
        <f t="shared" si="292"/>
        <v>3</v>
      </c>
      <c r="FRJ84">
        <f t="shared" si="292"/>
        <v>3</v>
      </c>
      <c r="FRK84">
        <f t="shared" si="292"/>
        <v>3</v>
      </c>
      <c r="FRL84">
        <f t="shared" si="292"/>
        <v>3</v>
      </c>
      <c r="FRM84">
        <f t="shared" si="292"/>
        <v>3</v>
      </c>
      <c r="FRN84">
        <f t="shared" si="292"/>
        <v>3</v>
      </c>
      <c r="FRO84">
        <f t="shared" si="292"/>
        <v>3</v>
      </c>
      <c r="FRP84">
        <f t="shared" si="292"/>
        <v>3</v>
      </c>
      <c r="FRQ84">
        <f t="shared" si="292"/>
        <v>3</v>
      </c>
      <c r="FRR84">
        <f t="shared" si="292"/>
        <v>3</v>
      </c>
      <c r="FRS84">
        <f t="shared" ref="FRS84:FUD84" si="293">COUNTBLANK(FRS2:FRS5)</f>
        <v>3</v>
      </c>
      <c r="FRT84">
        <f t="shared" si="293"/>
        <v>3</v>
      </c>
      <c r="FRU84">
        <f t="shared" si="293"/>
        <v>3</v>
      </c>
      <c r="FRV84">
        <f t="shared" si="293"/>
        <v>3</v>
      </c>
      <c r="FRW84">
        <f t="shared" si="293"/>
        <v>3</v>
      </c>
      <c r="FRX84">
        <f t="shared" si="293"/>
        <v>3</v>
      </c>
      <c r="FRY84">
        <f t="shared" si="293"/>
        <v>3</v>
      </c>
      <c r="FRZ84">
        <f t="shared" si="293"/>
        <v>3</v>
      </c>
      <c r="FSA84">
        <f t="shared" si="293"/>
        <v>3</v>
      </c>
      <c r="FSB84">
        <f t="shared" si="293"/>
        <v>3</v>
      </c>
      <c r="FSC84">
        <f t="shared" si="293"/>
        <v>3</v>
      </c>
      <c r="FSD84">
        <f t="shared" si="293"/>
        <v>3</v>
      </c>
      <c r="FSE84">
        <f t="shared" si="293"/>
        <v>3</v>
      </c>
      <c r="FSF84">
        <f t="shared" si="293"/>
        <v>3</v>
      </c>
      <c r="FSG84">
        <f t="shared" si="293"/>
        <v>3</v>
      </c>
      <c r="FSH84">
        <f t="shared" si="293"/>
        <v>3</v>
      </c>
      <c r="FSI84">
        <f t="shared" si="293"/>
        <v>3</v>
      </c>
      <c r="FSJ84">
        <f t="shared" si="293"/>
        <v>3</v>
      </c>
      <c r="FSK84">
        <f t="shared" si="293"/>
        <v>3</v>
      </c>
      <c r="FSL84">
        <f t="shared" si="293"/>
        <v>3</v>
      </c>
      <c r="FSM84">
        <f t="shared" si="293"/>
        <v>3</v>
      </c>
      <c r="FSN84">
        <f t="shared" si="293"/>
        <v>3</v>
      </c>
      <c r="FSO84">
        <f t="shared" si="293"/>
        <v>3</v>
      </c>
      <c r="FSP84">
        <f t="shared" si="293"/>
        <v>3</v>
      </c>
      <c r="FSQ84">
        <f t="shared" si="293"/>
        <v>3</v>
      </c>
      <c r="FSR84">
        <f t="shared" si="293"/>
        <v>3</v>
      </c>
      <c r="FSS84">
        <f t="shared" si="293"/>
        <v>3</v>
      </c>
      <c r="FST84">
        <f t="shared" si="293"/>
        <v>3</v>
      </c>
      <c r="FSU84">
        <f t="shared" si="293"/>
        <v>3</v>
      </c>
      <c r="FSV84">
        <f t="shared" si="293"/>
        <v>3</v>
      </c>
      <c r="FSW84">
        <f t="shared" si="293"/>
        <v>3</v>
      </c>
      <c r="FSX84">
        <f t="shared" si="293"/>
        <v>3</v>
      </c>
      <c r="FSY84">
        <f t="shared" si="293"/>
        <v>3</v>
      </c>
      <c r="FSZ84">
        <f t="shared" si="293"/>
        <v>3</v>
      </c>
      <c r="FTA84">
        <f t="shared" si="293"/>
        <v>3</v>
      </c>
      <c r="FTB84">
        <f t="shared" si="293"/>
        <v>2</v>
      </c>
      <c r="FTC84">
        <f t="shared" si="293"/>
        <v>2</v>
      </c>
      <c r="FTD84">
        <f t="shared" si="293"/>
        <v>2</v>
      </c>
      <c r="FTE84">
        <f t="shared" si="293"/>
        <v>2</v>
      </c>
      <c r="FTF84">
        <f t="shared" si="293"/>
        <v>2</v>
      </c>
      <c r="FTG84">
        <f t="shared" si="293"/>
        <v>2</v>
      </c>
      <c r="FTH84">
        <f t="shared" si="293"/>
        <v>2</v>
      </c>
      <c r="FTI84">
        <f t="shared" si="293"/>
        <v>3</v>
      </c>
      <c r="FTJ84">
        <f t="shared" si="293"/>
        <v>3</v>
      </c>
      <c r="FTK84">
        <f t="shared" si="293"/>
        <v>3</v>
      </c>
      <c r="FTL84">
        <f t="shared" si="293"/>
        <v>3</v>
      </c>
      <c r="FTM84">
        <f t="shared" si="293"/>
        <v>3</v>
      </c>
      <c r="FTN84">
        <f t="shared" si="293"/>
        <v>3</v>
      </c>
      <c r="FTO84">
        <f t="shared" si="293"/>
        <v>3</v>
      </c>
      <c r="FTP84">
        <f t="shared" si="293"/>
        <v>3</v>
      </c>
      <c r="FTQ84">
        <f t="shared" si="293"/>
        <v>3</v>
      </c>
      <c r="FTR84">
        <f t="shared" si="293"/>
        <v>3</v>
      </c>
      <c r="FTS84">
        <f t="shared" si="293"/>
        <v>3</v>
      </c>
      <c r="FTT84">
        <f t="shared" si="293"/>
        <v>3</v>
      </c>
      <c r="FTU84">
        <f t="shared" si="293"/>
        <v>3</v>
      </c>
      <c r="FTV84">
        <f t="shared" si="293"/>
        <v>3</v>
      </c>
      <c r="FTW84">
        <f t="shared" si="293"/>
        <v>3</v>
      </c>
      <c r="FTX84">
        <f t="shared" si="293"/>
        <v>3</v>
      </c>
      <c r="FTY84">
        <f t="shared" si="293"/>
        <v>3</v>
      </c>
      <c r="FTZ84">
        <f t="shared" si="293"/>
        <v>3</v>
      </c>
      <c r="FUA84">
        <f t="shared" si="293"/>
        <v>3</v>
      </c>
      <c r="FUB84">
        <f t="shared" si="293"/>
        <v>3</v>
      </c>
      <c r="FUC84">
        <f t="shared" si="293"/>
        <v>3</v>
      </c>
      <c r="FUD84">
        <f t="shared" si="293"/>
        <v>3</v>
      </c>
      <c r="FUE84">
        <f t="shared" ref="FUE84:FWP84" si="294">COUNTBLANK(FUE2:FUE5)</f>
        <v>3</v>
      </c>
      <c r="FUF84">
        <f t="shared" si="294"/>
        <v>3</v>
      </c>
      <c r="FUG84">
        <f t="shared" si="294"/>
        <v>3</v>
      </c>
      <c r="FUH84">
        <f t="shared" si="294"/>
        <v>3</v>
      </c>
      <c r="FUI84">
        <f t="shared" si="294"/>
        <v>3</v>
      </c>
      <c r="FUJ84">
        <f t="shared" si="294"/>
        <v>3</v>
      </c>
      <c r="FUK84">
        <f t="shared" si="294"/>
        <v>3</v>
      </c>
      <c r="FUL84">
        <f t="shared" si="294"/>
        <v>3</v>
      </c>
      <c r="FUM84">
        <f t="shared" si="294"/>
        <v>3</v>
      </c>
      <c r="FUN84">
        <f t="shared" si="294"/>
        <v>3</v>
      </c>
      <c r="FUO84">
        <f t="shared" si="294"/>
        <v>3</v>
      </c>
      <c r="FUP84">
        <f t="shared" si="294"/>
        <v>3</v>
      </c>
      <c r="FUQ84">
        <f t="shared" si="294"/>
        <v>3</v>
      </c>
      <c r="FUR84">
        <f t="shared" si="294"/>
        <v>3</v>
      </c>
      <c r="FUS84">
        <f t="shared" si="294"/>
        <v>3</v>
      </c>
      <c r="FUT84">
        <f t="shared" si="294"/>
        <v>3</v>
      </c>
      <c r="FUU84">
        <f t="shared" si="294"/>
        <v>3</v>
      </c>
      <c r="FUV84">
        <f t="shared" si="294"/>
        <v>3</v>
      </c>
      <c r="FUW84">
        <f t="shared" si="294"/>
        <v>3</v>
      </c>
      <c r="FUX84">
        <f t="shared" si="294"/>
        <v>3</v>
      </c>
      <c r="FUY84">
        <f t="shared" si="294"/>
        <v>3</v>
      </c>
      <c r="FUZ84">
        <f t="shared" si="294"/>
        <v>3</v>
      </c>
      <c r="FVA84">
        <f t="shared" si="294"/>
        <v>3</v>
      </c>
      <c r="FVB84">
        <f t="shared" si="294"/>
        <v>3</v>
      </c>
      <c r="FVC84">
        <f t="shared" si="294"/>
        <v>3</v>
      </c>
      <c r="FVD84">
        <f t="shared" si="294"/>
        <v>3</v>
      </c>
      <c r="FVE84">
        <f t="shared" si="294"/>
        <v>3</v>
      </c>
      <c r="FVF84">
        <f t="shared" si="294"/>
        <v>3</v>
      </c>
      <c r="FVG84">
        <f t="shared" si="294"/>
        <v>3</v>
      </c>
      <c r="FVH84">
        <f t="shared" si="294"/>
        <v>3</v>
      </c>
      <c r="FVI84">
        <f t="shared" si="294"/>
        <v>3</v>
      </c>
      <c r="FVJ84">
        <f t="shared" si="294"/>
        <v>3</v>
      </c>
      <c r="FVK84">
        <f t="shared" si="294"/>
        <v>3</v>
      </c>
      <c r="FVL84">
        <f t="shared" si="294"/>
        <v>3</v>
      </c>
      <c r="FVM84">
        <f t="shared" si="294"/>
        <v>3</v>
      </c>
      <c r="FVN84">
        <f t="shared" si="294"/>
        <v>3</v>
      </c>
      <c r="FVO84">
        <f t="shared" si="294"/>
        <v>3</v>
      </c>
      <c r="FVP84">
        <f t="shared" si="294"/>
        <v>3</v>
      </c>
      <c r="FVQ84">
        <f t="shared" si="294"/>
        <v>3</v>
      </c>
      <c r="FVR84">
        <f t="shared" si="294"/>
        <v>3</v>
      </c>
      <c r="FVS84">
        <f t="shared" si="294"/>
        <v>3</v>
      </c>
      <c r="FVT84">
        <f t="shared" si="294"/>
        <v>3</v>
      </c>
      <c r="FVU84">
        <f t="shared" si="294"/>
        <v>3</v>
      </c>
      <c r="FVV84">
        <f t="shared" si="294"/>
        <v>3</v>
      </c>
      <c r="FVW84">
        <f t="shared" si="294"/>
        <v>3</v>
      </c>
      <c r="FVX84">
        <f t="shared" si="294"/>
        <v>3</v>
      </c>
      <c r="FVY84">
        <f t="shared" si="294"/>
        <v>3</v>
      </c>
      <c r="FVZ84">
        <f t="shared" si="294"/>
        <v>3</v>
      </c>
      <c r="FWA84">
        <f t="shared" si="294"/>
        <v>3</v>
      </c>
      <c r="FWB84">
        <f t="shared" si="294"/>
        <v>3</v>
      </c>
      <c r="FWC84">
        <f t="shared" si="294"/>
        <v>3</v>
      </c>
      <c r="FWD84">
        <f t="shared" si="294"/>
        <v>3</v>
      </c>
      <c r="FWE84">
        <f t="shared" si="294"/>
        <v>3</v>
      </c>
      <c r="FWF84">
        <f t="shared" si="294"/>
        <v>3</v>
      </c>
      <c r="FWG84">
        <f t="shared" si="294"/>
        <v>3</v>
      </c>
      <c r="FWH84">
        <f t="shared" si="294"/>
        <v>3</v>
      </c>
      <c r="FWI84">
        <f t="shared" si="294"/>
        <v>3</v>
      </c>
      <c r="FWJ84">
        <f t="shared" si="294"/>
        <v>3</v>
      </c>
      <c r="FWK84">
        <f t="shared" si="294"/>
        <v>3</v>
      </c>
      <c r="FWL84">
        <f t="shared" si="294"/>
        <v>3</v>
      </c>
      <c r="FWM84">
        <f t="shared" si="294"/>
        <v>3</v>
      </c>
      <c r="FWN84">
        <f t="shared" si="294"/>
        <v>3</v>
      </c>
      <c r="FWO84">
        <f t="shared" si="294"/>
        <v>3</v>
      </c>
      <c r="FWP84">
        <f t="shared" si="294"/>
        <v>3</v>
      </c>
      <c r="FWQ84">
        <f t="shared" ref="FWQ84:FZB84" si="295">COUNTBLANK(FWQ2:FWQ5)</f>
        <v>3</v>
      </c>
      <c r="FWR84">
        <f t="shared" si="295"/>
        <v>3</v>
      </c>
      <c r="FWS84">
        <f t="shared" si="295"/>
        <v>3</v>
      </c>
      <c r="FWT84">
        <f t="shared" si="295"/>
        <v>3</v>
      </c>
      <c r="FWU84">
        <f t="shared" si="295"/>
        <v>3</v>
      </c>
      <c r="FWV84">
        <f t="shared" si="295"/>
        <v>3</v>
      </c>
      <c r="FWW84">
        <f t="shared" si="295"/>
        <v>3</v>
      </c>
      <c r="FWX84">
        <f t="shared" si="295"/>
        <v>3</v>
      </c>
      <c r="FWY84">
        <f t="shared" si="295"/>
        <v>3</v>
      </c>
      <c r="FWZ84">
        <f t="shared" si="295"/>
        <v>3</v>
      </c>
      <c r="FXA84">
        <f t="shared" si="295"/>
        <v>3</v>
      </c>
      <c r="FXB84">
        <f t="shared" si="295"/>
        <v>3</v>
      </c>
      <c r="FXC84">
        <f t="shared" si="295"/>
        <v>3</v>
      </c>
      <c r="FXD84">
        <f t="shared" si="295"/>
        <v>3</v>
      </c>
      <c r="FXE84">
        <f t="shared" si="295"/>
        <v>3</v>
      </c>
      <c r="FXF84">
        <f t="shared" si="295"/>
        <v>3</v>
      </c>
      <c r="FXG84">
        <f t="shared" si="295"/>
        <v>3</v>
      </c>
      <c r="FXH84">
        <f t="shared" si="295"/>
        <v>3</v>
      </c>
      <c r="FXI84">
        <f t="shared" si="295"/>
        <v>3</v>
      </c>
      <c r="FXJ84">
        <f t="shared" si="295"/>
        <v>3</v>
      </c>
      <c r="FXK84">
        <f t="shared" si="295"/>
        <v>3</v>
      </c>
      <c r="FXL84">
        <f t="shared" si="295"/>
        <v>3</v>
      </c>
      <c r="FXM84">
        <f t="shared" si="295"/>
        <v>3</v>
      </c>
      <c r="FXN84">
        <f t="shared" si="295"/>
        <v>3</v>
      </c>
      <c r="FXO84">
        <f t="shared" si="295"/>
        <v>3</v>
      </c>
      <c r="FXP84">
        <f t="shared" si="295"/>
        <v>3</v>
      </c>
      <c r="FXQ84">
        <f t="shared" si="295"/>
        <v>3</v>
      </c>
      <c r="FXR84">
        <f t="shared" si="295"/>
        <v>3</v>
      </c>
      <c r="FXS84">
        <f t="shared" si="295"/>
        <v>3</v>
      </c>
      <c r="FXT84">
        <f t="shared" si="295"/>
        <v>3</v>
      </c>
      <c r="FXU84">
        <f t="shared" si="295"/>
        <v>3</v>
      </c>
      <c r="FXV84">
        <f t="shared" si="295"/>
        <v>3</v>
      </c>
      <c r="FXW84">
        <f t="shared" si="295"/>
        <v>3</v>
      </c>
      <c r="FXX84">
        <f t="shared" si="295"/>
        <v>3</v>
      </c>
      <c r="FXY84">
        <f t="shared" si="295"/>
        <v>3</v>
      </c>
      <c r="FXZ84">
        <f t="shared" si="295"/>
        <v>3</v>
      </c>
      <c r="FYA84">
        <f t="shared" si="295"/>
        <v>3</v>
      </c>
      <c r="FYB84">
        <f t="shared" si="295"/>
        <v>3</v>
      </c>
      <c r="FYC84">
        <f t="shared" si="295"/>
        <v>3</v>
      </c>
      <c r="FYD84">
        <f t="shared" si="295"/>
        <v>3</v>
      </c>
      <c r="FYE84">
        <f t="shared" si="295"/>
        <v>3</v>
      </c>
      <c r="FYF84">
        <f t="shared" si="295"/>
        <v>3</v>
      </c>
      <c r="FYG84">
        <f t="shared" si="295"/>
        <v>3</v>
      </c>
      <c r="FYH84">
        <f t="shared" si="295"/>
        <v>3</v>
      </c>
      <c r="FYI84">
        <f t="shared" si="295"/>
        <v>3</v>
      </c>
      <c r="FYJ84">
        <f t="shared" si="295"/>
        <v>3</v>
      </c>
      <c r="FYK84">
        <f t="shared" si="295"/>
        <v>3</v>
      </c>
      <c r="FYL84">
        <f t="shared" si="295"/>
        <v>3</v>
      </c>
      <c r="FYM84">
        <f t="shared" si="295"/>
        <v>3</v>
      </c>
      <c r="FYN84">
        <f t="shared" si="295"/>
        <v>3</v>
      </c>
      <c r="FYO84">
        <f t="shared" si="295"/>
        <v>3</v>
      </c>
      <c r="FYP84">
        <f t="shared" si="295"/>
        <v>3</v>
      </c>
      <c r="FYQ84">
        <f t="shared" si="295"/>
        <v>3</v>
      </c>
      <c r="FYR84">
        <f t="shared" si="295"/>
        <v>3</v>
      </c>
      <c r="FYS84">
        <f t="shared" si="295"/>
        <v>3</v>
      </c>
      <c r="FYT84">
        <f t="shared" si="295"/>
        <v>3</v>
      </c>
      <c r="FYU84">
        <f t="shared" si="295"/>
        <v>3</v>
      </c>
      <c r="FYV84">
        <f t="shared" si="295"/>
        <v>3</v>
      </c>
      <c r="FYW84">
        <f t="shared" si="295"/>
        <v>3</v>
      </c>
      <c r="FYX84">
        <f t="shared" si="295"/>
        <v>3</v>
      </c>
      <c r="FYY84">
        <f t="shared" si="295"/>
        <v>3</v>
      </c>
      <c r="FYZ84">
        <f t="shared" si="295"/>
        <v>3</v>
      </c>
      <c r="FZA84">
        <f t="shared" si="295"/>
        <v>3</v>
      </c>
      <c r="FZB84">
        <f t="shared" si="295"/>
        <v>3</v>
      </c>
      <c r="FZC84">
        <f t="shared" ref="FZC84:GBN84" si="296">COUNTBLANK(FZC2:FZC5)</f>
        <v>3</v>
      </c>
      <c r="FZD84">
        <f t="shared" si="296"/>
        <v>3</v>
      </c>
      <c r="FZE84">
        <f t="shared" si="296"/>
        <v>3</v>
      </c>
      <c r="FZF84">
        <f t="shared" si="296"/>
        <v>3</v>
      </c>
      <c r="FZG84">
        <f t="shared" si="296"/>
        <v>3</v>
      </c>
      <c r="FZH84">
        <f t="shared" si="296"/>
        <v>3</v>
      </c>
      <c r="FZI84">
        <f t="shared" si="296"/>
        <v>3</v>
      </c>
      <c r="FZJ84">
        <f t="shared" si="296"/>
        <v>3</v>
      </c>
      <c r="FZK84">
        <f t="shared" si="296"/>
        <v>3</v>
      </c>
      <c r="FZL84">
        <f t="shared" si="296"/>
        <v>3</v>
      </c>
      <c r="FZM84">
        <f t="shared" si="296"/>
        <v>3</v>
      </c>
      <c r="FZN84">
        <f t="shared" si="296"/>
        <v>3</v>
      </c>
      <c r="FZO84">
        <f t="shared" si="296"/>
        <v>3</v>
      </c>
      <c r="FZP84">
        <f t="shared" si="296"/>
        <v>3</v>
      </c>
      <c r="FZQ84">
        <f t="shared" si="296"/>
        <v>3</v>
      </c>
      <c r="FZR84">
        <f t="shared" si="296"/>
        <v>3</v>
      </c>
      <c r="FZS84">
        <f t="shared" si="296"/>
        <v>3</v>
      </c>
      <c r="FZT84">
        <f t="shared" si="296"/>
        <v>3</v>
      </c>
      <c r="FZU84">
        <f t="shared" si="296"/>
        <v>3</v>
      </c>
      <c r="FZV84">
        <f t="shared" si="296"/>
        <v>3</v>
      </c>
      <c r="FZW84">
        <f t="shared" si="296"/>
        <v>3</v>
      </c>
      <c r="FZX84">
        <f t="shared" si="296"/>
        <v>3</v>
      </c>
      <c r="FZY84">
        <f t="shared" si="296"/>
        <v>3</v>
      </c>
      <c r="FZZ84">
        <f t="shared" si="296"/>
        <v>3</v>
      </c>
      <c r="GAA84">
        <f t="shared" si="296"/>
        <v>3</v>
      </c>
      <c r="GAB84">
        <f t="shared" si="296"/>
        <v>3</v>
      </c>
      <c r="GAC84">
        <f t="shared" si="296"/>
        <v>3</v>
      </c>
      <c r="GAD84">
        <f t="shared" si="296"/>
        <v>3</v>
      </c>
      <c r="GAE84">
        <f t="shared" si="296"/>
        <v>3</v>
      </c>
      <c r="GAF84">
        <f t="shared" si="296"/>
        <v>3</v>
      </c>
      <c r="GAG84">
        <f t="shared" si="296"/>
        <v>3</v>
      </c>
      <c r="GAH84">
        <f t="shared" si="296"/>
        <v>3</v>
      </c>
      <c r="GAI84">
        <f t="shared" si="296"/>
        <v>3</v>
      </c>
      <c r="GAJ84">
        <f t="shared" si="296"/>
        <v>3</v>
      </c>
      <c r="GAK84">
        <f t="shared" si="296"/>
        <v>3</v>
      </c>
      <c r="GAL84">
        <f t="shared" si="296"/>
        <v>3</v>
      </c>
      <c r="GAM84">
        <f t="shared" si="296"/>
        <v>3</v>
      </c>
      <c r="GAN84">
        <f t="shared" si="296"/>
        <v>3</v>
      </c>
      <c r="GAO84">
        <f t="shared" si="296"/>
        <v>3</v>
      </c>
      <c r="GAP84">
        <f t="shared" si="296"/>
        <v>3</v>
      </c>
      <c r="GAQ84">
        <f t="shared" si="296"/>
        <v>3</v>
      </c>
      <c r="GAR84">
        <f t="shared" si="296"/>
        <v>3</v>
      </c>
      <c r="GAS84">
        <f t="shared" si="296"/>
        <v>3</v>
      </c>
      <c r="GAT84">
        <f t="shared" si="296"/>
        <v>3</v>
      </c>
      <c r="GAU84">
        <f t="shared" si="296"/>
        <v>3</v>
      </c>
      <c r="GAV84">
        <f t="shared" si="296"/>
        <v>3</v>
      </c>
      <c r="GAW84">
        <f t="shared" si="296"/>
        <v>3</v>
      </c>
      <c r="GAX84">
        <f t="shared" si="296"/>
        <v>3</v>
      </c>
      <c r="GAY84">
        <f t="shared" si="296"/>
        <v>3</v>
      </c>
      <c r="GAZ84">
        <f t="shared" si="296"/>
        <v>3</v>
      </c>
      <c r="GBA84">
        <f t="shared" si="296"/>
        <v>3</v>
      </c>
      <c r="GBB84">
        <f t="shared" si="296"/>
        <v>3</v>
      </c>
      <c r="GBC84">
        <f t="shared" si="296"/>
        <v>3</v>
      </c>
      <c r="GBD84">
        <f t="shared" si="296"/>
        <v>3</v>
      </c>
      <c r="GBE84">
        <f t="shared" si="296"/>
        <v>3</v>
      </c>
      <c r="GBF84">
        <f t="shared" si="296"/>
        <v>3</v>
      </c>
      <c r="GBG84">
        <f t="shared" si="296"/>
        <v>3</v>
      </c>
      <c r="GBH84">
        <f t="shared" si="296"/>
        <v>3</v>
      </c>
      <c r="GBI84">
        <f t="shared" si="296"/>
        <v>3</v>
      </c>
      <c r="GBJ84">
        <f t="shared" si="296"/>
        <v>3</v>
      </c>
      <c r="GBK84">
        <f t="shared" si="296"/>
        <v>3</v>
      </c>
      <c r="GBL84">
        <f t="shared" si="296"/>
        <v>3</v>
      </c>
      <c r="GBM84">
        <f t="shared" si="296"/>
        <v>3</v>
      </c>
      <c r="GBN84">
        <f t="shared" si="296"/>
        <v>3</v>
      </c>
      <c r="GBO84">
        <f t="shared" ref="GBO84:GDZ84" si="297">COUNTBLANK(GBO2:GBO5)</f>
        <v>3</v>
      </c>
      <c r="GBP84">
        <f t="shared" si="297"/>
        <v>3</v>
      </c>
      <c r="GBQ84">
        <f t="shared" si="297"/>
        <v>3</v>
      </c>
      <c r="GBR84">
        <f t="shared" si="297"/>
        <v>3</v>
      </c>
      <c r="GBS84">
        <f t="shared" si="297"/>
        <v>3</v>
      </c>
      <c r="GBT84">
        <f t="shared" si="297"/>
        <v>3</v>
      </c>
      <c r="GBU84">
        <f t="shared" si="297"/>
        <v>3</v>
      </c>
      <c r="GBV84">
        <f t="shared" si="297"/>
        <v>3</v>
      </c>
      <c r="GBW84">
        <f t="shared" si="297"/>
        <v>3</v>
      </c>
      <c r="GBX84">
        <f t="shared" si="297"/>
        <v>3</v>
      </c>
      <c r="GBY84">
        <f t="shared" si="297"/>
        <v>3</v>
      </c>
      <c r="GBZ84">
        <f t="shared" si="297"/>
        <v>3</v>
      </c>
      <c r="GCA84">
        <f t="shared" si="297"/>
        <v>3</v>
      </c>
      <c r="GCB84">
        <f t="shared" si="297"/>
        <v>3</v>
      </c>
      <c r="GCC84">
        <f t="shared" si="297"/>
        <v>3</v>
      </c>
      <c r="GCD84">
        <f t="shared" si="297"/>
        <v>3</v>
      </c>
      <c r="GCE84">
        <f t="shared" si="297"/>
        <v>3</v>
      </c>
      <c r="GCF84">
        <f t="shared" si="297"/>
        <v>3</v>
      </c>
      <c r="GCG84">
        <f t="shared" si="297"/>
        <v>3</v>
      </c>
      <c r="GCH84">
        <f t="shared" si="297"/>
        <v>3</v>
      </c>
      <c r="GCI84">
        <f t="shared" si="297"/>
        <v>3</v>
      </c>
      <c r="GCJ84">
        <f t="shared" si="297"/>
        <v>3</v>
      </c>
      <c r="GCK84">
        <f t="shared" si="297"/>
        <v>3</v>
      </c>
      <c r="GCL84">
        <f t="shared" si="297"/>
        <v>3</v>
      </c>
      <c r="GCM84">
        <f t="shared" si="297"/>
        <v>3</v>
      </c>
      <c r="GCN84">
        <f t="shared" si="297"/>
        <v>3</v>
      </c>
      <c r="GCO84">
        <f t="shared" si="297"/>
        <v>3</v>
      </c>
      <c r="GCP84">
        <f t="shared" si="297"/>
        <v>3</v>
      </c>
      <c r="GCQ84">
        <f t="shared" si="297"/>
        <v>3</v>
      </c>
      <c r="GCR84">
        <f t="shared" si="297"/>
        <v>3</v>
      </c>
      <c r="GCS84">
        <f t="shared" si="297"/>
        <v>3</v>
      </c>
      <c r="GCT84">
        <f t="shared" si="297"/>
        <v>3</v>
      </c>
      <c r="GCU84">
        <f t="shared" si="297"/>
        <v>3</v>
      </c>
      <c r="GCV84">
        <f t="shared" si="297"/>
        <v>3</v>
      </c>
      <c r="GCW84">
        <f t="shared" si="297"/>
        <v>3</v>
      </c>
      <c r="GCX84">
        <f t="shared" si="297"/>
        <v>3</v>
      </c>
      <c r="GCY84">
        <f t="shared" si="297"/>
        <v>3</v>
      </c>
      <c r="GCZ84">
        <f t="shared" si="297"/>
        <v>3</v>
      </c>
      <c r="GDA84">
        <f t="shared" si="297"/>
        <v>3</v>
      </c>
      <c r="GDB84">
        <f t="shared" si="297"/>
        <v>3</v>
      </c>
      <c r="GDC84">
        <f t="shared" si="297"/>
        <v>3</v>
      </c>
      <c r="GDD84">
        <f t="shared" si="297"/>
        <v>3</v>
      </c>
      <c r="GDE84">
        <f t="shared" si="297"/>
        <v>3</v>
      </c>
      <c r="GDF84">
        <f t="shared" si="297"/>
        <v>3</v>
      </c>
      <c r="GDG84">
        <f t="shared" si="297"/>
        <v>3</v>
      </c>
      <c r="GDH84">
        <f t="shared" si="297"/>
        <v>3</v>
      </c>
      <c r="GDI84">
        <f t="shared" si="297"/>
        <v>3</v>
      </c>
      <c r="GDJ84">
        <f t="shared" si="297"/>
        <v>3</v>
      </c>
      <c r="GDK84">
        <f t="shared" si="297"/>
        <v>3</v>
      </c>
      <c r="GDL84">
        <f t="shared" si="297"/>
        <v>3</v>
      </c>
      <c r="GDM84">
        <f t="shared" si="297"/>
        <v>3</v>
      </c>
      <c r="GDN84">
        <f t="shared" si="297"/>
        <v>2</v>
      </c>
      <c r="GDO84">
        <f t="shared" si="297"/>
        <v>2</v>
      </c>
      <c r="GDP84">
        <f t="shared" si="297"/>
        <v>2</v>
      </c>
      <c r="GDQ84">
        <f t="shared" si="297"/>
        <v>2</v>
      </c>
      <c r="GDR84">
        <f t="shared" si="297"/>
        <v>2</v>
      </c>
      <c r="GDS84">
        <f t="shared" si="297"/>
        <v>2</v>
      </c>
      <c r="GDT84">
        <f t="shared" si="297"/>
        <v>2</v>
      </c>
      <c r="GDU84">
        <f t="shared" si="297"/>
        <v>2</v>
      </c>
      <c r="GDV84">
        <f t="shared" si="297"/>
        <v>2</v>
      </c>
      <c r="GDW84">
        <f t="shared" si="297"/>
        <v>2</v>
      </c>
      <c r="GDX84">
        <f t="shared" si="297"/>
        <v>2</v>
      </c>
      <c r="GDY84">
        <f t="shared" si="297"/>
        <v>3</v>
      </c>
      <c r="GDZ84">
        <f t="shared" si="297"/>
        <v>3</v>
      </c>
      <c r="GEA84">
        <f t="shared" ref="GEA84:GGL84" si="298">COUNTBLANK(GEA2:GEA5)</f>
        <v>3</v>
      </c>
      <c r="GEB84">
        <f t="shared" si="298"/>
        <v>3</v>
      </c>
      <c r="GEC84">
        <f t="shared" si="298"/>
        <v>3</v>
      </c>
      <c r="GED84">
        <f t="shared" si="298"/>
        <v>3</v>
      </c>
      <c r="GEE84">
        <f t="shared" si="298"/>
        <v>3</v>
      </c>
      <c r="GEF84">
        <f t="shared" si="298"/>
        <v>3</v>
      </c>
      <c r="GEG84">
        <f t="shared" si="298"/>
        <v>3</v>
      </c>
      <c r="GEH84">
        <f t="shared" si="298"/>
        <v>3</v>
      </c>
      <c r="GEI84">
        <f t="shared" si="298"/>
        <v>3</v>
      </c>
      <c r="GEJ84">
        <f t="shared" si="298"/>
        <v>3</v>
      </c>
      <c r="GEK84">
        <f t="shared" si="298"/>
        <v>3</v>
      </c>
      <c r="GEL84">
        <f t="shared" si="298"/>
        <v>3</v>
      </c>
      <c r="GEM84">
        <f t="shared" si="298"/>
        <v>3</v>
      </c>
      <c r="GEN84">
        <f t="shared" si="298"/>
        <v>3</v>
      </c>
      <c r="GEO84">
        <f t="shared" si="298"/>
        <v>3</v>
      </c>
      <c r="GEP84">
        <f t="shared" si="298"/>
        <v>3</v>
      </c>
      <c r="GEQ84">
        <f t="shared" si="298"/>
        <v>3</v>
      </c>
      <c r="GER84">
        <f t="shared" si="298"/>
        <v>3</v>
      </c>
      <c r="GES84">
        <f t="shared" si="298"/>
        <v>3</v>
      </c>
      <c r="GET84">
        <f t="shared" si="298"/>
        <v>3</v>
      </c>
      <c r="GEU84">
        <f t="shared" si="298"/>
        <v>3</v>
      </c>
      <c r="GEV84">
        <f t="shared" si="298"/>
        <v>3</v>
      </c>
      <c r="GEW84">
        <f t="shared" si="298"/>
        <v>3</v>
      </c>
      <c r="GEX84">
        <f t="shared" si="298"/>
        <v>3</v>
      </c>
      <c r="GEY84">
        <f t="shared" si="298"/>
        <v>3</v>
      </c>
      <c r="GEZ84">
        <f t="shared" si="298"/>
        <v>3</v>
      </c>
      <c r="GFA84">
        <f t="shared" si="298"/>
        <v>3</v>
      </c>
      <c r="GFB84">
        <f t="shared" si="298"/>
        <v>3</v>
      </c>
      <c r="GFC84">
        <f t="shared" si="298"/>
        <v>3</v>
      </c>
      <c r="GFD84">
        <f t="shared" si="298"/>
        <v>3</v>
      </c>
      <c r="GFE84">
        <f t="shared" si="298"/>
        <v>3</v>
      </c>
      <c r="GFF84">
        <f t="shared" si="298"/>
        <v>3</v>
      </c>
      <c r="GFG84">
        <f t="shared" si="298"/>
        <v>3</v>
      </c>
      <c r="GFH84">
        <f t="shared" si="298"/>
        <v>3</v>
      </c>
      <c r="GFI84">
        <f t="shared" si="298"/>
        <v>3</v>
      </c>
      <c r="GFJ84">
        <f t="shared" si="298"/>
        <v>3</v>
      </c>
      <c r="GFK84">
        <f t="shared" si="298"/>
        <v>3</v>
      </c>
      <c r="GFL84">
        <f t="shared" si="298"/>
        <v>3</v>
      </c>
      <c r="GFM84">
        <f t="shared" si="298"/>
        <v>3</v>
      </c>
      <c r="GFN84">
        <f t="shared" si="298"/>
        <v>3</v>
      </c>
      <c r="GFO84">
        <f t="shared" si="298"/>
        <v>3</v>
      </c>
      <c r="GFP84">
        <f t="shared" si="298"/>
        <v>3</v>
      </c>
      <c r="GFQ84">
        <f t="shared" si="298"/>
        <v>3</v>
      </c>
      <c r="GFR84">
        <f t="shared" si="298"/>
        <v>3</v>
      </c>
      <c r="GFS84">
        <f t="shared" si="298"/>
        <v>3</v>
      </c>
      <c r="GFT84">
        <f t="shared" si="298"/>
        <v>3</v>
      </c>
      <c r="GFU84">
        <f t="shared" si="298"/>
        <v>3</v>
      </c>
      <c r="GFV84">
        <f t="shared" si="298"/>
        <v>3</v>
      </c>
      <c r="GFW84">
        <f t="shared" si="298"/>
        <v>3</v>
      </c>
      <c r="GFX84">
        <f t="shared" si="298"/>
        <v>3</v>
      </c>
      <c r="GFY84">
        <f t="shared" si="298"/>
        <v>3</v>
      </c>
      <c r="GFZ84">
        <f t="shared" si="298"/>
        <v>3</v>
      </c>
      <c r="GGA84">
        <f t="shared" si="298"/>
        <v>3</v>
      </c>
      <c r="GGB84">
        <f t="shared" si="298"/>
        <v>3</v>
      </c>
      <c r="GGC84">
        <f t="shared" si="298"/>
        <v>3</v>
      </c>
      <c r="GGD84">
        <f t="shared" si="298"/>
        <v>3</v>
      </c>
      <c r="GGE84">
        <f t="shared" si="298"/>
        <v>3</v>
      </c>
      <c r="GGF84">
        <f t="shared" si="298"/>
        <v>3</v>
      </c>
      <c r="GGG84">
        <f t="shared" si="298"/>
        <v>3</v>
      </c>
      <c r="GGH84">
        <f t="shared" si="298"/>
        <v>3</v>
      </c>
      <c r="GGI84">
        <f t="shared" si="298"/>
        <v>3</v>
      </c>
      <c r="GGJ84">
        <f t="shared" si="298"/>
        <v>3</v>
      </c>
      <c r="GGK84">
        <f t="shared" si="298"/>
        <v>3</v>
      </c>
      <c r="GGL84">
        <f t="shared" si="298"/>
        <v>3</v>
      </c>
      <c r="GGM84">
        <f t="shared" ref="GGM84:GIX84" si="299">COUNTBLANK(GGM2:GGM5)</f>
        <v>3</v>
      </c>
      <c r="GGN84">
        <f t="shared" si="299"/>
        <v>3</v>
      </c>
      <c r="GGO84">
        <f t="shared" si="299"/>
        <v>3</v>
      </c>
      <c r="GGP84">
        <f t="shared" si="299"/>
        <v>3</v>
      </c>
      <c r="GGQ84">
        <f t="shared" si="299"/>
        <v>3</v>
      </c>
      <c r="GGR84">
        <f t="shared" si="299"/>
        <v>3</v>
      </c>
      <c r="GGS84">
        <f t="shared" si="299"/>
        <v>3</v>
      </c>
      <c r="GGT84">
        <f t="shared" si="299"/>
        <v>3</v>
      </c>
      <c r="GGU84">
        <f t="shared" si="299"/>
        <v>3</v>
      </c>
      <c r="GGV84">
        <f t="shared" si="299"/>
        <v>3</v>
      </c>
      <c r="GGW84">
        <f t="shared" si="299"/>
        <v>3</v>
      </c>
      <c r="GGX84">
        <f t="shared" si="299"/>
        <v>3</v>
      </c>
      <c r="GGY84">
        <f t="shared" si="299"/>
        <v>3</v>
      </c>
      <c r="GGZ84">
        <f t="shared" si="299"/>
        <v>3</v>
      </c>
      <c r="GHA84">
        <f t="shared" si="299"/>
        <v>3</v>
      </c>
      <c r="GHB84">
        <f t="shared" si="299"/>
        <v>3</v>
      </c>
      <c r="GHC84">
        <f t="shared" si="299"/>
        <v>3</v>
      </c>
      <c r="GHD84">
        <f t="shared" si="299"/>
        <v>3</v>
      </c>
      <c r="GHE84">
        <f t="shared" si="299"/>
        <v>3</v>
      </c>
      <c r="GHF84">
        <f t="shared" si="299"/>
        <v>3</v>
      </c>
      <c r="GHG84">
        <f t="shared" si="299"/>
        <v>3</v>
      </c>
      <c r="GHH84">
        <f t="shared" si="299"/>
        <v>3</v>
      </c>
      <c r="GHI84">
        <f t="shared" si="299"/>
        <v>3</v>
      </c>
      <c r="GHJ84">
        <f t="shared" si="299"/>
        <v>3</v>
      </c>
      <c r="GHK84">
        <f t="shared" si="299"/>
        <v>3</v>
      </c>
      <c r="GHL84">
        <f t="shared" si="299"/>
        <v>3</v>
      </c>
      <c r="GHM84">
        <f t="shared" si="299"/>
        <v>3</v>
      </c>
      <c r="GHN84">
        <f t="shared" si="299"/>
        <v>3</v>
      </c>
      <c r="GHO84">
        <f t="shared" si="299"/>
        <v>3</v>
      </c>
      <c r="GHP84">
        <f t="shared" si="299"/>
        <v>3</v>
      </c>
      <c r="GHQ84">
        <f t="shared" si="299"/>
        <v>3</v>
      </c>
      <c r="GHR84">
        <f t="shared" si="299"/>
        <v>3</v>
      </c>
      <c r="GHS84">
        <f t="shared" si="299"/>
        <v>3</v>
      </c>
      <c r="GHT84">
        <f t="shared" si="299"/>
        <v>3</v>
      </c>
      <c r="GHU84">
        <f t="shared" si="299"/>
        <v>3</v>
      </c>
      <c r="GHV84">
        <f t="shared" si="299"/>
        <v>3</v>
      </c>
      <c r="GHW84">
        <f t="shared" si="299"/>
        <v>3</v>
      </c>
      <c r="GHX84">
        <f t="shared" si="299"/>
        <v>3</v>
      </c>
      <c r="GHY84">
        <f t="shared" si="299"/>
        <v>3</v>
      </c>
      <c r="GHZ84">
        <f t="shared" si="299"/>
        <v>3</v>
      </c>
      <c r="GIA84">
        <f t="shared" si="299"/>
        <v>3</v>
      </c>
      <c r="GIB84">
        <f t="shared" si="299"/>
        <v>3</v>
      </c>
      <c r="GIC84">
        <f t="shared" si="299"/>
        <v>3</v>
      </c>
      <c r="GID84">
        <f t="shared" si="299"/>
        <v>3</v>
      </c>
      <c r="GIE84">
        <f t="shared" si="299"/>
        <v>3</v>
      </c>
      <c r="GIF84">
        <f t="shared" si="299"/>
        <v>3</v>
      </c>
      <c r="GIG84">
        <f t="shared" si="299"/>
        <v>3</v>
      </c>
      <c r="GIH84">
        <f t="shared" si="299"/>
        <v>3</v>
      </c>
      <c r="GII84">
        <f t="shared" si="299"/>
        <v>3</v>
      </c>
      <c r="GIJ84">
        <f t="shared" si="299"/>
        <v>3</v>
      </c>
      <c r="GIK84">
        <f t="shared" si="299"/>
        <v>3</v>
      </c>
      <c r="GIL84">
        <f t="shared" si="299"/>
        <v>3</v>
      </c>
      <c r="GIM84">
        <f t="shared" si="299"/>
        <v>3</v>
      </c>
      <c r="GIN84">
        <f t="shared" si="299"/>
        <v>3</v>
      </c>
      <c r="GIO84">
        <f t="shared" si="299"/>
        <v>3</v>
      </c>
      <c r="GIP84">
        <f t="shared" si="299"/>
        <v>3</v>
      </c>
      <c r="GIQ84">
        <f t="shared" si="299"/>
        <v>3</v>
      </c>
      <c r="GIR84">
        <f t="shared" si="299"/>
        <v>3</v>
      </c>
      <c r="GIS84">
        <f t="shared" si="299"/>
        <v>3</v>
      </c>
      <c r="GIT84">
        <f t="shared" si="299"/>
        <v>3</v>
      </c>
      <c r="GIU84">
        <f t="shared" si="299"/>
        <v>3</v>
      </c>
      <c r="GIV84">
        <f t="shared" si="299"/>
        <v>3</v>
      </c>
      <c r="GIW84">
        <f t="shared" si="299"/>
        <v>3</v>
      </c>
      <c r="GIX84">
        <f t="shared" si="299"/>
        <v>3</v>
      </c>
      <c r="GIY84">
        <f t="shared" ref="GIY84:GLJ84" si="300">COUNTBLANK(GIY2:GIY5)</f>
        <v>3</v>
      </c>
      <c r="GIZ84">
        <f t="shared" si="300"/>
        <v>3</v>
      </c>
      <c r="GJA84">
        <f t="shared" si="300"/>
        <v>3</v>
      </c>
      <c r="GJB84">
        <f t="shared" si="300"/>
        <v>3</v>
      </c>
      <c r="GJC84">
        <f t="shared" si="300"/>
        <v>3</v>
      </c>
      <c r="GJD84">
        <f t="shared" si="300"/>
        <v>3</v>
      </c>
      <c r="GJE84">
        <f t="shared" si="300"/>
        <v>3</v>
      </c>
      <c r="GJF84">
        <f t="shared" si="300"/>
        <v>3</v>
      </c>
      <c r="GJG84">
        <f t="shared" si="300"/>
        <v>3</v>
      </c>
      <c r="GJH84">
        <f t="shared" si="300"/>
        <v>3</v>
      </c>
      <c r="GJI84">
        <f t="shared" si="300"/>
        <v>3</v>
      </c>
      <c r="GJJ84">
        <f t="shared" si="300"/>
        <v>3</v>
      </c>
      <c r="GJK84">
        <f t="shared" si="300"/>
        <v>3</v>
      </c>
      <c r="GJL84">
        <f t="shared" si="300"/>
        <v>3</v>
      </c>
      <c r="GJM84">
        <f t="shared" si="300"/>
        <v>3</v>
      </c>
      <c r="GJN84">
        <f t="shared" si="300"/>
        <v>3</v>
      </c>
      <c r="GJO84">
        <f t="shared" si="300"/>
        <v>3</v>
      </c>
      <c r="GJP84">
        <f t="shared" si="300"/>
        <v>3</v>
      </c>
      <c r="GJQ84">
        <f t="shared" si="300"/>
        <v>3</v>
      </c>
      <c r="GJR84">
        <f t="shared" si="300"/>
        <v>3</v>
      </c>
      <c r="GJS84">
        <f t="shared" si="300"/>
        <v>3</v>
      </c>
      <c r="GJT84">
        <f t="shared" si="300"/>
        <v>3</v>
      </c>
      <c r="GJU84">
        <f t="shared" si="300"/>
        <v>3</v>
      </c>
      <c r="GJV84">
        <f t="shared" si="300"/>
        <v>3</v>
      </c>
      <c r="GJW84">
        <f t="shared" si="300"/>
        <v>3</v>
      </c>
      <c r="GJX84">
        <f t="shared" si="300"/>
        <v>3</v>
      </c>
      <c r="GJY84">
        <f t="shared" si="300"/>
        <v>3</v>
      </c>
      <c r="GJZ84">
        <f t="shared" si="300"/>
        <v>3</v>
      </c>
      <c r="GKA84">
        <f t="shared" si="300"/>
        <v>3</v>
      </c>
      <c r="GKB84">
        <f t="shared" si="300"/>
        <v>3</v>
      </c>
      <c r="GKC84">
        <f t="shared" si="300"/>
        <v>3</v>
      </c>
      <c r="GKD84">
        <f t="shared" si="300"/>
        <v>3</v>
      </c>
      <c r="GKE84">
        <f t="shared" si="300"/>
        <v>3</v>
      </c>
      <c r="GKF84">
        <f t="shared" si="300"/>
        <v>3</v>
      </c>
      <c r="GKG84">
        <f t="shared" si="300"/>
        <v>3</v>
      </c>
      <c r="GKH84">
        <f t="shared" si="300"/>
        <v>3</v>
      </c>
      <c r="GKI84">
        <f t="shared" si="300"/>
        <v>3</v>
      </c>
      <c r="GKJ84">
        <f t="shared" si="300"/>
        <v>3</v>
      </c>
      <c r="GKK84">
        <f t="shared" si="300"/>
        <v>3</v>
      </c>
      <c r="GKL84">
        <f t="shared" si="300"/>
        <v>3</v>
      </c>
      <c r="GKM84">
        <f t="shared" si="300"/>
        <v>3</v>
      </c>
      <c r="GKN84">
        <f t="shared" si="300"/>
        <v>3</v>
      </c>
      <c r="GKO84">
        <f t="shared" si="300"/>
        <v>3</v>
      </c>
      <c r="GKP84">
        <f t="shared" si="300"/>
        <v>3</v>
      </c>
      <c r="GKQ84">
        <f t="shared" si="300"/>
        <v>3</v>
      </c>
      <c r="GKR84">
        <f t="shared" si="300"/>
        <v>3</v>
      </c>
      <c r="GKS84">
        <f t="shared" si="300"/>
        <v>3</v>
      </c>
      <c r="GKT84">
        <f t="shared" si="300"/>
        <v>3</v>
      </c>
      <c r="GKU84">
        <f t="shared" si="300"/>
        <v>3</v>
      </c>
      <c r="GKV84">
        <f t="shared" si="300"/>
        <v>3</v>
      </c>
      <c r="GKW84">
        <f t="shared" si="300"/>
        <v>3</v>
      </c>
      <c r="GKX84">
        <f t="shared" si="300"/>
        <v>3</v>
      </c>
      <c r="GKY84">
        <f t="shared" si="300"/>
        <v>3</v>
      </c>
      <c r="GKZ84">
        <f t="shared" si="300"/>
        <v>3</v>
      </c>
      <c r="GLA84">
        <f t="shared" si="300"/>
        <v>3</v>
      </c>
      <c r="GLB84">
        <f t="shared" si="300"/>
        <v>3</v>
      </c>
      <c r="GLC84">
        <f t="shared" si="300"/>
        <v>3</v>
      </c>
      <c r="GLD84">
        <f t="shared" si="300"/>
        <v>3</v>
      </c>
      <c r="GLE84">
        <f t="shared" si="300"/>
        <v>3</v>
      </c>
      <c r="GLF84">
        <f t="shared" si="300"/>
        <v>3</v>
      </c>
      <c r="GLG84">
        <f t="shared" si="300"/>
        <v>3</v>
      </c>
      <c r="GLH84">
        <f t="shared" si="300"/>
        <v>3</v>
      </c>
      <c r="GLI84">
        <f t="shared" si="300"/>
        <v>3</v>
      </c>
      <c r="GLJ84">
        <f t="shared" si="300"/>
        <v>3</v>
      </c>
      <c r="GLK84">
        <f t="shared" ref="GLK84:GNV84" si="301">COUNTBLANK(GLK2:GLK5)</f>
        <v>3</v>
      </c>
      <c r="GLL84">
        <f t="shared" si="301"/>
        <v>3</v>
      </c>
      <c r="GLM84">
        <f t="shared" si="301"/>
        <v>3</v>
      </c>
      <c r="GLN84">
        <f t="shared" si="301"/>
        <v>3</v>
      </c>
      <c r="GLO84">
        <f t="shared" si="301"/>
        <v>3</v>
      </c>
      <c r="GLP84">
        <f t="shared" si="301"/>
        <v>3</v>
      </c>
      <c r="GLQ84">
        <f t="shared" si="301"/>
        <v>3</v>
      </c>
      <c r="GLR84">
        <f t="shared" si="301"/>
        <v>3</v>
      </c>
      <c r="GLS84">
        <f t="shared" si="301"/>
        <v>3</v>
      </c>
      <c r="GLT84">
        <f t="shared" si="301"/>
        <v>3</v>
      </c>
      <c r="GLU84">
        <f t="shared" si="301"/>
        <v>3</v>
      </c>
      <c r="GLV84">
        <f t="shared" si="301"/>
        <v>3</v>
      </c>
      <c r="GLW84">
        <f t="shared" si="301"/>
        <v>3</v>
      </c>
      <c r="GLX84">
        <f t="shared" si="301"/>
        <v>3</v>
      </c>
      <c r="GLY84">
        <f t="shared" si="301"/>
        <v>3</v>
      </c>
      <c r="GLZ84">
        <f t="shared" si="301"/>
        <v>3</v>
      </c>
      <c r="GMA84">
        <f t="shared" si="301"/>
        <v>3</v>
      </c>
      <c r="GMB84">
        <f t="shared" si="301"/>
        <v>3</v>
      </c>
      <c r="GMC84">
        <f t="shared" si="301"/>
        <v>3</v>
      </c>
      <c r="GMD84">
        <f t="shared" si="301"/>
        <v>3</v>
      </c>
      <c r="GME84">
        <f t="shared" si="301"/>
        <v>3</v>
      </c>
      <c r="GMF84">
        <f t="shared" si="301"/>
        <v>3</v>
      </c>
      <c r="GMG84">
        <f t="shared" si="301"/>
        <v>3</v>
      </c>
      <c r="GMH84">
        <f t="shared" si="301"/>
        <v>3</v>
      </c>
      <c r="GMI84">
        <f t="shared" si="301"/>
        <v>3</v>
      </c>
      <c r="GMJ84">
        <f t="shared" si="301"/>
        <v>3</v>
      </c>
      <c r="GMK84">
        <f t="shared" si="301"/>
        <v>3</v>
      </c>
      <c r="GML84">
        <f t="shared" si="301"/>
        <v>3</v>
      </c>
      <c r="GMM84">
        <f t="shared" si="301"/>
        <v>3</v>
      </c>
      <c r="GMN84">
        <f t="shared" si="301"/>
        <v>3</v>
      </c>
      <c r="GMO84">
        <f t="shared" si="301"/>
        <v>3</v>
      </c>
      <c r="GMP84">
        <f t="shared" si="301"/>
        <v>3</v>
      </c>
      <c r="GMQ84">
        <f t="shared" si="301"/>
        <v>3</v>
      </c>
      <c r="GMR84">
        <f t="shared" si="301"/>
        <v>3</v>
      </c>
      <c r="GMS84">
        <f t="shared" si="301"/>
        <v>3</v>
      </c>
      <c r="GMT84">
        <f t="shared" si="301"/>
        <v>3</v>
      </c>
      <c r="GMU84">
        <f t="shared" si="301"/>
        <v>3</v>
      </c>
      <c r="GMV84">
        <f t="shared" si="301"/>
        <v>3</v>
      </c>
      <c r="GMW84">
        <f t="shared" si="301"/>
        <v>3</v>
      </c>
      <c r="GMX84">
        <f t="shared" si="301"/>
        <v>3</v>
      </c>
      <c r="GMY84">
        <f t="shared" si="301"/>
        <v>3</v>
      </c>
      <c r="GMZ84">
        <f t="shared" si="301"/>
        <v>3</v>
      </c>
      <c r="GNA84">
        <f t="shared" si="301"/>
        <v>3</v>
      </c>
      <c r="GNB84">
        <f t="shared" si="301"/>
        <v>3</v>
      </c>
      <c r="GNC84">
        <f t="shared" si="301"/>
        <v>3</v>
      </c>
      <c r="GND84">
        <f t="shared" si="301"/>
        <v>3</v>
      </c>
      <c r="GNE84">
        <f t="shared" si="301"/>
        <v>3</v>
      </c>
      <c r="GNF84">
        <f t="shared" si="301"/>
        <v>3</v>
      </c>
      <c r="GNG84">
        <f t="shared" si="301"/>
        <v>3</v>
      </c>
      <c r="GNH84">
        <f t="shared" si="301"/>
        <v>3</v>
      </c>
      <c r="GNI84">
        <f t="shared" si="301"/>
        <v>3</v>
      </c>
      <c r="GNJ84">
        <f t="shared" si="301"/>
        <v>3</v>
      </c>
      <c r="GNK84">
        <f t="shared" si="301"/>
        <v>3</v>
      </c>
      <c r="GNL84">
        <f t="shared" si="301"/>
        <v>3</v>
      </c>
      <c r="GNM84">
        <f t="shared" si="301"/>
        <v>3</v>
      </c>
      <c r="GNN84">
        <f t="shared" si="301"/>
        <v>3</v>
      </c>
      <c r="GNO84">
        <f t="shared" si="301"/>
        <v>3</v>
      </c>
      <c r="GNP84">
        <f t="shared" si="301"/>
        <v>3</v>
      </c>
      <c r="GNQ84">
        <f t="shared" si="301"/>
        <v>3</v>
      </c>
      <c r="GNR84">
        <f t="shared" si="301"/>
        <v>3</v>
      </c>
      <c r="GNS84">
        <f t="shared" si="301"/>
        <v>3</v>
      </c>
      <c r="GNT84">
        <f t="shared" si="301"/>
        <v>3</v>
      </c>
      <c r="GNU84">
        <f t="shared" si="301"/>
        <v>3</v>
      </c>
      <c r="GNV84">
        <f t="shared" si="301"/>
        <v>3</v>
      </c>
      <c r="GNW84">
        <f t="shared" ref="GNW84:GQH84" si="302">COUNTBLANK(GNW2:GNW5)</f>
        <v>3</v>
      </c>
      <c r="GNX84">
        <f t="shared" si="302"/>
        <v>3</v>
      </c>
      <c r="GNY84">
        <f t="shared" si="302"/>
        <v>3</v>
      </c>
      <c r="GNZ84">
        <f t="shared" si="302"/>
        <v>3</v>
      </c>
      <c r="GOA84">
        <f t="shared" si="302"/>
        <v>3</v>
      </c>
      <c r="GOB84">
        <f t="shared" si="302"/>
        <v>3</v>
      </c>
      <c r="GOC84">
        <f t="shared" si="302"/>
        <v>3</v>
      </c>
      <c r="GOD84">
        <f t="shared" si="302"/>
        <v>3</v>
      </c>
      <c r="GOE84">
        <f t="shared" si="302"/>
        <v>3</v>
      </c>
      <c r="GOF84">
        <f t="shared" si="302"/>
        <v>3</v>
      </c>
      <c r="GOG84">
        <f t="shared" si="302"/>
        <v>3</v>
      </c>
      <c r="GOH84">
        <f t="shared" si="302"/>
        <v>3</v>
      </c>
      <c r="GOI84">
        <f t="shared" si="302"/>
        <v>3</v>
      </c>
      <c r="GOJ84">
        <f t="shared" si="302"/>
        <v>3</v>
      </c>
      <c r="GOK84">
        <f t="shared" si="302"/>
        <v>3</v>
      </c>
      <c r="GOL84">
        <f t="shared" si="302"/>
        <v>3</v>
      </c>
      <c r="GOM84">
        <f t="shared" si="302"/>
        <v>3</v>
      </c>
      <c r="GON84">
        <f t="shared" si="302"/>
        <v>3</v>
      </c>
      <c r="GOO84">
        <f t="shared" si="302"/>
        <v>3</v>
      </c>
      <c r="GOP84">
        <f t="shared" si="302"/>
        <v>3</v>
      </c>
      <c r="GOQ84">
        <f t="shared" si="302"/>
        <v>3</v>
      </c>
      <c r="GOR84">
        <f t="shared" si="302"/>
        <v>3</v>
      </c>
      <c r="GOS84">
        <f t="shared" si="302"/>
        <v>3</v>
      </c>
      <c r="GOT84">
        <f t="shared" si="302"/>
        <v>3</v>
      </c>
      <c r="GOU84">
        <f t="shared" si="302"/>
        <v>3</v>
      </c>
      <c r="GOV84">
        <f t="shared" si="302"/>
        <v>3</v>
      </c>
      <c r="GOW84">
        <f t="shared" si="302"/>
        <v>3</v>
      </c>
      <c r="GOX84">
        <f t="shared" si="302"/>
        <v>3</v>
      </c>
      <c r="GOY84">
        <f t="shared" si="302"/>
        <v>3</v>
      </c>
      <c r="GOZ84">
        <f t="shared" si="302"/>
        <v>3</v>
      </c>
      <c r="GPA84">
        <f t="shared" si="302"/>
        <v>3</v>
      </c>
      <c r="GPB84">
        <f t="shared" si="302"/>
        <v>3</v>
      </c>
      <c r="GPC84">
        <f t="shared" si="302"/>
        <v>3</v>
      </c>
      <c r="GPD84">
        <f t="shared" si="302"/>
        <v>3</v>
      </c>
      <c r="GPE84">
        <f t="shared" si="302"/>
        <v>3</v>
      </c>
      <c r="GPF84">
        <f t="shared" si="302"/>
        <v>3</v>
      </c>
      <c r="GPG84">
        <f t="shared" si="302"/>
        <v>3</v>
      </c>
      <c r="GPH84">
        <f t="shared" si="302"/>
        <v>3</v>
      </c>
      <c r="GPI84">
        <f t="shared" si="302"/>
        <v>3</v>
      </c>
      <c r="GPJ84">
        <f t="shared" si="302"/>
        <v>3</v>
      </c>
      <c r="GPK84">
        <f t="shared" si="302"/>
        <v>3</v>
      </c>
      <c r="GPL84">
        <f t="shared" si="302"/>
        <v>3</v>
      </c>
      <c r="GPM84">
        <f t="shared" si="302"/>
        <v>3</v>
      </c>
      <c r="GPN84">
        <f t="shared" si="302"/>
        <v>3</v>
      </c>
      <c r="GPO84">
        <f t="shared" si="302"/>
        <v>3</v>
      </c>
      <c r="GPP84">
        <f t="shared" si="302"/>
        <v>3</v>
      </c>
      <c r="GPQ84">
        <f t="shared" si="302"/>
        <v>3</v>
      </c>
      <c r="GPR84">
        <f t="shared" si="302"/>
        <v>3</v>
      </c>
      <c r="GPS84">
        <f t="shared" si="302"/>
        <v>3</v>
      </c>
      <c r="GPT84">
        <f t="shared" si="302"/>
        <v>3</v>
      </c>
      <c r="GPU84">
        <f t="shared" si="302"/>
        <v>3</v>
      </c>
      <c r="GPV84">
        <f t="shared" si="302"/>
        <v>3</v>
      </c>
      <c r="GPW84">
        <f t="shared" si="302"/>
        <v>3</v>
      </c>
      <c r="GPX84">
        <f t="shared" si="302"/>
        <v>3</v>
      </c>
      <c r="GPY84">
        <f t="shared" si="302"/>
        <v>3</v>
      </c>
      <c r="GPZ84">
        <f t="shared" si="302"/>
        <v>3</v>
      </c>
      <c r="GQA84">
        <f t="shared" si="302"/>
        <v>3</v>
      </c>
      <c r="GQB84">
        <f t="shared" si="302"/>
        <v>3</v>
      </c>
      <c r="GQC84">
        <f t="shared" si="302"/>
        <v>3</v>
      </c>
      <c r="GQD84">
        <f t="shared" si="302"/>
        <v>3</v>
      </c>
      <c r="GQE84">
        <f t="shared" si="302"/>
        <v>3</v>
      </c>
      <c r="GQF84">
        <f t="shared" si="302"/>
        <v>3</v>
      </c>
      <c r="GQG84">
        <f t="shared" si="302"/>
        <v>3</v>
      </c>
      <c r="GQH84">
        <f t="shared" si="302"/>
        <v>3</v>
      </c>
      <c r="GQI84">
        <f t="shared" ref="GQI84:GST84" si="303">COUNTBLANK(GQI2:GQI5)</f>
        <v>3</v>
      </c>
      <c r="GQJ84">
        <f t="shared" si="303"/>
        <v>3</v>
      </c>
      <c r="GQK84">
        <f t="shared" si="303"/>
        <v>3</v>
      </c>
      <c r="GQL84">
        <f t="shared" si="303"/>
        <v>3</v>
      </c>
      <c r="GQM84">
        <f t="shared" si="303"/>
        <v>3</v>
      </c>
      <c r="GQN84">
        <f t="shared" si="303"/>
        <v>3</v>
      </c>
      <c r="GQO84">
        <f t="shared" si="303"/>
        <v>3</v>
      </c>
      <c r="GQP84">
        <f t="shared" si="303"/>
        <v>3</v>
      </c>
      <c r="GQQ84">
        <f t="shared" si="303"/>
        <v>3</v>
      </c>
      <c r="GQR84">
        <f t="shared" si="303"/>
        <v>3</v>
      </c>
      <c r="GQS84">
        <f t="shared" si="303"/>
        <v>3</v>
      </c>
      <c r="GQT84">
        <f t="shared" si="303"/>
        <v>3</v>
      </c>
      <c r="GQU84">
        <f t="shared" si="303"/>
        <v>3</v>
      </c>
      <c r="GQV84">
        <f t="shared" si="303"/>
        <v>3</v>
      </c>
      <c r="GQW84">
        <f t="shared" si="303"/>
        <v>3</v>
      </c>
      <c r="GQX84">
        <f t="shared" si="303"/>
        <v>3</v>
      </c>
      <c r="GQY84">
        <f t="shared" si="303"/>
        <v>3</v>
      </c>
      <c r="GQZ84">
        <f t="shared" si="303"/>
        <v>3</v>
      </c>
      <c r="GRA84">
        <f t="shared" si="303"/>
        <v>3</v>
      </c>
      <c r="GRB84">
        <f t="shared" si="303"/>
        <v>3</v>
      </c>
      <c r="GRC84">
        <f t="shared" si="303"/>
        <v>3</v>
      </c>
      <c r="GRD84">
        <f t="shared" si="303"/>
        <v>3</v>
      </c>
      <c r="GRE84">
        <f t="shared" si="303"/>
        <v>3</v>
      </c>
      <c r="GRF84">
        <f t="shared" si="303"/>
        <v>3</v>
      </c>
      <c r="GRG84">
        <f t="shared" si="303"/>
        <v>3</v>
      </c>
      <c r="GRH84">
        <f t="shared" si="303"/>
        <v>3</v>
      </c>
      <c r="GRI84">
        <f t="shared" si="303"/>
        <v>3</v>
      </c>
      <c r="GRJ84">
        <f t="shared" si="303"/>
        <v>3</v>
      </c>
      <c r="GRK84">
        <f t="shared" si="303"/>
        <v>3</v>
      </c>
      <c r="GRL84">
        <f t="shared" si="303"/>
        <v>3</v>
      </c>
      <c r="GRM84">
        <f t="shared" si="303"/>
        <v>3</v>
      </c>
      <c r="GRN84">
        <f t="shared" si="303"/>
        <v>3</v>
      </c>
      <c r="GRO84">
        <f t="shared" si="303"/>
        <v>3</v>
      </c>
      <c r="GRP84">
        <f t="shared" si="303"/>
        <v>3</v>
      </c>
      <c r="GRQ84">
        <f t="shared" si="303"/>
        <v>3</v>
      </c>
      <c r="GRR84">
        <f t="shared" si="303"/>
        <v>3</v>
      </c>
      <c r="GRS84">
        <f t="shared" si="303"/>
        <v>3</v>
      </c>
      <c r="GRT84">
        <f t="shared" si="303"/>
        <v>3</v>
      </c>
      <c r="GRU84">
        <f t="shared" si="303"/>
        <v>3</v>
      </c>
      <c r="GRV84">
        <f t="shared" si="303"/>
        <v>3</v>
      </c>
      <c r="GRW84">
        <f t="shared" si="303"/>
        <v>3</v>
      </c>
      <c r="GRX84">
        <f t="shared" si="303"/>
        <v>3</v>
      </c>
      <c r="GRY84">
        <f t="shared" si="303"/>
        <v>3</v>
      </c>
      <c r="GRZ84">
        <f t="shared" si="303"/>
        <v>3</v>
      </c>
      <c r="GSA84">
        <f t="shared" si="303"/>
        <v>3</v>
      </c>
      <c r="GSB84">
        <f t="shared" si="303"/>
        <v>3</v>
      </c>
      <c r="GSC84">
        <f t="shared" si="303"/>
        <v>3</v>
      </c>
      <c r="GSD84">
        <f t="shared" si="303"/>
        <v>3</v>
      </c>
      <c r="GSE84">
        <f t="shared" si="303"/>
        <v>3</v>
      </c>
      <c r="GSF84">
        <f t="shared" si="303"/>
        <v>3</v>
      </c>
      <c r="GSG84">
        <f t="shared" si="303"/>
        <v>3</v>
      </c>
      <c r="GSH84">
        <f t="shared" si="303"/>
        <v>3</v>
      </c>
      <c r="GSI84">
        <f t="shared" si="303"/>
        <v>3</v>
      </c>
      <c r="GSJ84">
        <f t="shared" si="303"/>
        <v>3</v>
      </c>
      <c r="GSK84">
        <f t="shared" si="303"/>
        <v>3</v>
      </c>
      <c r="GSL84">
        <f t="shared" si="303"/>
        <v>3</v>
      </c>
      <c r="GSM84">
        <f t="shared" si="303"/>
        <v>3</v>
      </c>
      <c r="GSN84">
        <f t="shared" si="303"/>
        <v>3</v>
      </c>
      <c r="GSO84">
        <f t="shared" si="303"/>
        <v>3</v>
      </c>
      <c r="GSP84">
        <f t="shared" si="303"/>
        <v>3</v>
      </c>
      <c r="GSQ84">
        <f t="shared" si="303"/>
        <v>3</v>
      </c>
      <c r="GSR84">
        <f t="shared" si="303"/>
        <v>3</v>
      </c>
      <c r="GSS84">
        <f t="shared" si="303"/>
        <v>3</v>
      </c>
      <c r="GST84">
        <f t="shared" si="303"/>
        <v>3</v>
      </c>
      <c r="GSU84">
        <f t="shared" ref="GSU84:GVF84" si="304">COUNTBLANK(GSU2:GSU5)</f>
        <v>3</v>
      </c>
      <c r="GSV84">
        <f t="shared" si="304"/>
        <v>3</v>
      </c>
      <c r="GSW84">
        <f t="shared" si="304"/>
        <v>3</v>
      </c>
      <c r="GSX84">
        <f t="shared" si="304"/>
        <v>3</v>
      </c>
      <c r="GSY84">
        <f t="shared" si="304"/>
        <v>3</v>
      </c>
      <c r="GSZ84">
        <f t="shared" si="304"/>
        <v>3</v>
      </c>
      <c r="GTA84">
        <f t="shared" si="304"/>
        <v>3</v>
      </c>
      <c r="GTB84">
        <f t="shared" si="304"/>
        <v>3</v>
      </c>
      <c r="GTC84">
        <f t="shared" si="304"/>
        <v>3</v>
      </c>
      <c r="GTD84">
        <f t="shared" si="304"/>
        <v>3</v>
      </c>
      <c r="GTE84">
        <f t="shared" si="304"/>
        <v>3</v>
      </c>
      <c r="GTF84">
        <f t="shared" si="304"/>
        <v>3</v>
      </c>
      <c r="GTG84">
        <f t="shared" si="304"/>
        <v>3</v>
      </c>
      <c r="GTH84">
        <f t="shared" si="304"/>
        <v>3</v>
      </c>
      <c r="GTI84">
        <f t="shared" si="304"/>
        <v>3</v>
      </c>
      <c r="GTJ84">
        <f t="shared" si="304"/>
        <v>3</v>
      </c>
      <c r="GTK84">
        <f t="shared" si="304"/>
        <v>3</v>
      </c>
      <c r="GTL84">
        <f t="shared" si="304"/>
        <v>3</v>
      </c>
      <c r="GTM84">
        <f t="shared" si="304"/>
        <v>3</v>
      </c>
      <c r="GTN84">
        <f t="shared" si="304"/>
        <v>3</v>
      </c>
      <c r="GTO84">
        <f t="shared" si="304"/>
        <v>3</v>
      </c>
      <c r="GTP84">
        <f t="shared" si="304"/>
        <v>3</v>
      </c>
      <c r="GTQ84">
        <f t="shared" si="304"/>
        <v>3</v>
      </c>
      <c r="GTR84">
        <f t="shared" si="304"/>
        <v>3</v>
      </c>
      <c r="GTS84">
        <f t="shared" si="304"/>
        <v>3</v>
      </c>
      <c r="GTT84">
        <f t="shared" si="304"/>
        <v>3</v>
      </c>
      <c r="GTU84">
        <f t="shared" si="304"/>
        <v>3</v>
      </c>
      <c r="GTV84">
        <f t="shared" si="304"/>
        <v>3</v>
      </c>
      <c r="GTW84">
        <f t="shared" si="304"/>
        <v>3</v>
      </c>
      <c r="GTX84">
        <f t="shared" si="304"/>
        <v>3</v>
      </c>
      <c r="GTY84">
        <f t="shared" si="304"/>
        <v>3</v>
      </c>
      <c r="GTZ84">
        <f t="shared" si="304"/>
        <v>3</v>
      </c>
      <c r="GUA84">
        <f t="shared" si="304"/>
        <v>3</v>
      </c>
      <c r="GUB84">
        <f t="shared" si="304"/>
        <v>3</v>
      </c>
      <c r="GUC84">
        <f t="shared" si="304"/>
        <v>3</v>
      </c>
      <c r="GUD84">
        <f t="shared" si="304"/>
        <v>3</v>
      </c>
      <c r="GUE84">
        <f t="shared" si="304"/>
        <v>3</v>
      </c>
      <c r="GUF84">
        <f t="shared" si="304"/>
        <v>3</v>
      </c>
      <c r="GUG84">
        <f t="shared" si="304"/>
        <v>3</v>
      </c>
      <c r="GUH84">
        <f t="shared" si="304"/>
        <v>3</v>
      </c>
      <c r="GUI84">
        <f t="shared" si="304"/>
        <v>3</v>
      </c>
      <c r="GUJ84">
        <f t="shared" si="304"/>
        <v>3</v>
      </c>
      <c r="GUK84">
        <f t="shared" si="304"/>
        <v>3</v>
      </c>
      <c r="GUL84">
        <f t="shared" si="304"/>
        <v>3</v>
      </c>
      <c r="GUM84">
        <f t="shared" si="304"/>
        <v>3</v>
      </c>
      <c r="GUN84">
        <f t="shared" si="304"/>
        <v>3</v>
      </c>
      <c r="GUO84">
        <f t="shared" si="304"/>
        <v>3</v>
      </c>
      <c r="GUP84">
        <f t="shared" si="304"/>
        <v>3</v>
      </c>
      <c r="GUQ84">
        <f t="shared" si="304"/>
        <v>3</v>
      </c>
      <c r="GUR84">
        <f t="shared" si="304"/>
        <v>3</v>
      </c>
      <c r="GUS84">
        <f t="shared" si="304"/>
        <v>3</v>
      </c>
      <c r="GUT84">
        <f t="shared" si="304"/>
        <v>3</v>
      </c>
      <c r="GUU84">
        <f t="shared" si="304"/>
        <v>3</v>
      </c>
      <c r="GUV84">
        <f t="shared" si="304"/>
        <v>3</v>
      </c>
      <c r="GUW84">
        <f t="shared" si="304"/>
        <v>3</v>
      </c>
      <c r="GUX84">
        <f t="shared" si="304"/>
        <v>3</v>
      </c>
      <c r="GUY84">
        <f t="shared" si="304"/>
        <v>3</v>
      </c>
      <c r="GUZ84">
        <f t="shared" si="304"/>
        <v>3</v>
      </c>
      <c r="GVA84">
        <f t="shared" si="304"/>
        <v>3</v>
      </c>
      <c r="GVB84">
        <f t="shared" si="304"/>
        <v>3</v>
      </c>
      <c r="GVC84">
        <f t="shared" si="304"/>
        <v>3</v>
      </c>
      <c r="GVD84">
        <f t="shared" si="304"/>
        <v>3</v>
      </c>
      <c r="GVE84">
        <f t="shared" si="304"/>
        <v>3</v>
      </c>
      <c r="GVF84">
        <f t="shared" si="304"/>
        <v>3</v>
      </c>
      <c r="GVG84">
        <f t="shared" ref="GVG84:GXR84" si="305">COUNTBLANK(GVG2:GVG5)</f>
        <v>3</v>
      </c>
      <c r="GVH84">
        <f t="shared" si="305"/>
        <v>3</v>
      </c>
      <c r="GVI84">
        <f t="shared" si="305"/>
        <v>3</v>
      </c>
      <c r="GVJ84">
        <f t="shared" si="305"/>
        <v>3</v>
      </c>
      <c r="GVK84">
        <f t="shared" si="305"/>
        <v>3</v>
      </c>
      <c r="GVL84">
        <f t="shared" si="305"/>
        <v>3</v>
      </c>
      <c r="GVM84">
        <f t="shared" si="305"/>
        <v>3</v>
      </c>
      <c r="GVN84">
        <f t="shared" si="305"/>
        <v>3</v>
      </c>
      <c r="GVO84">
        <f t="shared" si="305"/>
        <v>3</v>
      </c>
      <c r="GVP84">
        <f t="shared" si="305"/>
        <v>3</v>
      </c>
      <c r="GVQ84">
        <f t="shared" si="305"/>
        <v>3</v>
      </c>
      <c r="GVR84">
        <f t="shared" si="305"/>
        <v>3</v>
      </c>
      <c r="GVS84">
        <f t="shared" si="305"/>
        <v>3</v>
      </c>
      <c r="GVT84">
        <f t="shared" si="305"/>
        <v>3</v>
      </c>
      <c r="GVU84">
        <f t="shared" si="305"/>
        <v>3</v>
      </c>
      <c r="GVV84">
        <f t="shared" si="305"/>
        <v>3</v>
      </c>
      <c r="GVW84">
        <f t="shared" si="305"/>
        <v>3</v>
      </c>
      <c r="GVX84">
        <f t="shared" si="305"/>
        <v>3</v>
      </c>
      <c r="GVY84">
        <f t="shared" si="305"/>
        <v>3</v>
      </c>
      <c r="GVZ84">
        <f t="shared" si="305"/>
        <v>3</v>
      </c>
      <c r="GWA84">
        <f t="shared" si="305"/>
        <v>3</v>
      </c>
      <c r="GWB84">
        <f t="shared" si="305"/>
        <v>3</v>
      </c>
      <c r="GWC84">
        <f t="shared" si="305"/>
        <v>3</v>
      </c>
      <c r="GWD84">
        <f t="shared" si="305"/>
        <v>3</v>
      </c>
      <c r="GWE84">
        <f t="shared" si="305"/>
        <v>3</v>
      </c>
      <c r="GWF84">
        <f t="shared" si="305"/>
        <v>3</v>
      </c>
      <c r="GWG84">
        <f t="shared" si="305"/>
        <v>3</v>
      </c>
      <c r="GWH84">
        <f t="shared" si="305"/>
        <v>3</v>
      </c>
      <c r="GWI84">
        <f t="shared" si="305"/>
        <v>3</v>
      </c>
      <c r="GWJ84">
        <f t="shared" si="305"/>
        <v>3</v>
      </c>
      <c r="GWK84">
        <f t="shared" si="305"/>
        <v>3</v>
      </c>
      <c r="GWL84">
        <f t="shared" si="305"/>
        <v>3</v>
      </c>
      <c r="GWM84">
        <f t="shared" si="305"/>
        <v>3</v>
      </c>
      <c r="GWN84">
        <f t="shared" si="305"/>
        <v>3</v>
      </c>
      <c r="GWO84">
        <f t="shared" si="305"/>
        <v>3</v>
      </c>
      <c r="GWP84">
        <f t="shared" si="305"/>
        <v>3</v>
      </c>
      <c r="GWQ84">
        <f t="shared" si="305"/>
        <v>3</v>
      </c>
      <c r="GWR84">
        <f t="shared" si="305"/>
        <v>3</v>
      </c>
      <c r="GWS84">
        <f t="shared" si="305"/>
        <v>3</v>
      </c>
      <c r="GWT84">
        <f t="shared" si="305"/>
        <v>3</v>
      </c>
      <c r="GWU84">
        <f t="shared" si="305"/>
        <v>3</v>
      </c>
      <c r="GWV84">
        <f t="shared" si="305"/>
        <v>3</v>
      </c>
      <c r="GWW84">
        <f t="shared" si="305"/>
        <v>3</v>
      </c>
      <c r="GWX84">
        <f t="shared" si="305"/>
        <v>3</v>
      </c>
      <c r="GWY84">
        <f t="shared" si="305"/>
        <v>3</v>
      </c>
      <c r="GWZ84">
        <f t="shared" si="305"/>
        <v>3</v>
      </c>
      <c r="GXA84">
        <f t="shared" si="305"/>
        <v>3</v>
      </c>
      <c r="GXB84">
        <f t="shared" si="305"/>
        <v>3</v>
      </c>
      <c r="GXC84">
        <f t="shared" si="305"/>
        <v>3</v>
      </c>
      <c r="GXD84">
        <f t="shared" si="305"/>
        <v>3</v>
      </c>
      <c r="GXE84">
        <f t="shared" si="305"/>
        <v>3</v>
      </c>
      <c r="GXF84">
        <f t="shared" si="305"/>
        <v>3</v>
      </c>
      <c r="GXG84">
        <f t="shared" si="305"/>
        <v>3</v>
      </c>
      <c r="GXH84">
        <f t="shared" si="305"/>
        <v>2</v>
      </c>
      <c r="GXI84">
        <f t="shared" si="305"/>
        <v>2</v>
      </c>
      <c r="GXJ84">
        <f t="shared" si="305"/>
        <v>2</v>
      </c>
      <c r="GXK84">
        <f t="shared" si="305"/>
        <v>2</v>
      </c>
      <c r="GXL84">
        <f t="shared" si="305"/>
        <v>2</v>
      </c>
      <c r="GXM84">
        <f t="shared" si="305"/>
        <v>2</v>
      </c>
      <c r="GXN84">
        <f t="shared" si="305"/>
        <v>2</v>
      </c>
      <c r="GXO84">
        <f t="shared" si="305"/>
        <v>2</v>
      </c>
      <c r="GXP84">
        <f t="shared" si="305"/>
        <v>3</v>
      </c>
      <c r="GXQ84">
        <f t="shared" si="305"/>
        <v>3</v>
      </c>
      <c r="GXR84">
        <f t="shared" si="305"/>
        <v>3</v>
      </c>
      <c r="GXS84">
        <f t="shared" ref="GXS84:HAD84" si="306">COUNTBLANK(GXS2:GXS5)</f>
        <v>3</v>
      </c>
      <c r="GXT84">
        <f t="shared" si="306"/>
        <v>3</v>
      </c>
      <c r="GXU84">
        <f t="shared" si="306"/>
        <v>3</v>
      </c>
      <c r="GXV84">
        <f t="shared" si="306"/>
        <v>3</v>
      </c>
      <c r="GXW84">
        <f t="shared" si="306"/>
        <v>3</v>
      </c>
      <c r="GXX84">
        <f t="shared" si="306"/>
        <v>3</v>
      </c>
      <c r="GXY84">
        <f t="shared" si="306"/>
        <v>3</v>
      </c>
      <c r="GXZ84">
        <f t="shared" si="306"/>
        <v>3</v>
      </c>
      <c r="GYA84">
        <f t="shared" si="306"/>
        <v>3</v>
      </c>
      <c r="GYB84">
        <f t="shared" si="306"/>
        <v>3</v>
      </c>
      <c r="GYC84">
        <f t="shared" si="306"/>
        <v>3</v>
      </c>
      <c r="GYD84">
        <f t="shared" si="306"/>
        <v>3</v>
      </c>
      <c r="GYE84">
        <f t="shared" si="306"/>
        <v>3</v>
      </c>
      <c r="GYF84">
        <f t="shared" si="306"/>
        <v>3</v>
      </c>
      <c r="GYG84">
        <f t="shared" si="306"/>
        <v>3</v>
      </c>
      <c r="GYH84">
        <f t="shared" si="306"/>
        <v>3</v>
      </c>
      <c r="GYI84">
        <f t="shared" si="306"/>
        <v>3</v>
      </c>
      <c r="GYJ84">
        <f t="shared" si="306"/>
        <v>3</v>
      </c>
      <c r="GYK84">
        <f t="shared" si="306"/>
        <v>3</v>
      </c>
      <c r="GYL84">
        <f t="shared" si="306"/>
        <v>3</v>
      </c>
      <c r="GYM84">
        <f t="shared" si="306"/>
        <v>3</v>
      </c>
      <c r="GYN84">
        <f t="shared" si="306"/>
        <v>3</v>
      </c>
      <c r="GYO84">
        <f t="shared" si="306"/>
        <v>3</v>
      </c>
      <c r="GYP84">
        <f t="shared" si="306"/>
        <v>3</v>
      </c>
      <c r="GYQ84">
        <f t="shared" si="306"/>
        <v>3</v>
      </c>
      <c r="GYR84">
        <f t="shared" si="306"/>
        <v>3</v>
      </c>
      <c r="GYS84">
        <f t="shared" si="306"/>
        <v>3</v>
      </c>
      <c r="GYT84">
        <f t="shared" si="306"/>
        <v>3</v>
      </c>
      <c r="GYU84">
        <f t="shared" si="306"/>
        <v>3</v>
      </c>
      <c r="GYV84">
        <f t="shared" si="306"/>
        <v>3</v>
      </c>
      <c r="GYW84">
        <f t="shared" si="306"/>
        <v>3</v>
      </c>
      <c r="GYX84">
        <f t="shared" si="306"/>
        <v>3</v>
      </c>
      <c r="GYY84">
        <f t="shared" si="306"/>
        <v>3</v>
      </c>
      <c r="GYZ84">
        <f t="shared" si="306"/>
        <v>3</v>
      </c>
      <c r="GZA84">
        <f t="shared" si="306"/>
        <v>3</v>
      </c>
      <c r="GZB84">
        <f t="shared" si="306"/>
        <v>3</v>
      </c>
      <c r="GZC84">
        <f t="shared" si="306"/>
        <v>3</v>
      </c>
      <c r="GZD84">
        <f t="shared" si="306"/>
        <v>3</v>
      </c>
      <c r="GZE84">
        <f t="shared" si="306"/>
        <v>3</v>
      </c>
      <c r="GZF84">
        <f t="shared" si="306"/>
        <v>3</v>
      </c>
      <c r="GZG84">
        <f t="shared" si="306"/>
        <v>3</v>
      </c>
      <c r="GZH84">
        <f t="shared" si="306"/>
        <v>3</v>
      </c>
      <c r="GZI84">
        <f t="shared" si="306"/>
        <v>3</v>
      </c>
      <c r="GZJ84">
        <f t="shared" si="306"/>
        <v>3</v>
      </c>
      <c r="GZK84">
        <f t="shared" si="306"/>
        <v>3</v>
      </c>
      <c r="GZL84">
        <f t="shared" si="306"/>
        <v>3</v>
      </c>
      <c r="GZM84">
        <f t="shared" si="306"/>
        <v>3</v>
      </c>
      <c r="GZN84">
        <f t="shared" si="306"/>
        <v>3</v>
      </c>
      <c r="GZO84">
        <f t="shared" si="306"/>
        <v>3</v>
      </c>
      <c r="GZP84">
        <f t="shared" si="306"/>
        <v>3</v>
      </c>
      <c r="GZQ84">
        <f t="shared" si="306"/>
        <v>3</v>
      </c>
      <c r="GZR84">
        <f t="shared" si="306"/>
        <v>3</v>
      </c>
      <c r="GZS84">
        <f t="shared" si="306"/>
        <v>3</v>
      </c>
      <c r="GZT84">
        <f t="shared" si="306"/>
        <v>3</v>
      </c>
      <c r="GZU84">
        <f t="shared" si="306"/>
        <v>3</v>
      </c>
      <c r="GZV84">
        <f t="shared" si="306"/>
        <v>3</v>
      </c>
      <c r="GZW84">
        <f t="shared" si="306"/>
        <v>3</v>
      </c>
      <c r="GZX84">
        <f t="shared" si="306"/>
        <v>3</v>
      </c>
      <c r="GZY84">
        <f t="shared" si="306"/>
        <v>3</v>
      </c>
      <c r="GZZ84">
        <f t="shared" si="306"/>
        <v>3</v>
      </c>
      <c r="HAA84">
        <f t="shared" si="306"/>
        <v>3</v>
      </c>
      <c r="HAB84">
        <f t="shared" si="306"/>
        <v>3</v>
      </c>
      <c r="HAC84">
        <f t="shared" si="306"/>
        <v>3</v>
      </c>
      <c r="HAD84">
        <f t="shared" si="306"/>
        <v>3</v>
      </c>
      <c r="HAE84">
        <f t="shared" ref="HAE84:HCP84" si="307">COUNTBLANK(HAE2:HAE5)</f>
        <v>3</v>
      </c>
      <c r="HAF84">
        <f t="shared" si="307"/>
        <v>3</v>
      </c>
      <c r="HAG84">
        <f t="shared" si="307"/>
        <v>3</v>
      </c>
      <c r="HAH84">
        <f t="shared" si="307"/>
        <v>3</v>
      </c>
      <c r="HAI84">
        <f t="shared" si="307"/>
        <v>3</v>
      </c>
      <c r="HAJ84">
        <f t="shared" si="307"/>
        <v>3</v>
      </c>
      <c r="HAK84">
        <f t="shared" si="307"/>
        <v>3</v>
      </c>
      <c r="HAL84">
        <f t="shared" si="307"/>
        <v>3</v>
      </c>
      <c r="HAM84">
        <f t="shared" si="307"/>
        <v>3</v>
      </c>
      <c r="HAN84">
        <f t="shared" si="307"/>
        <v>3</v>
      </c>
      <c r="HAO84">
        <f t="shared" si="307"/>
        <v>3</v>
      </c>
      <c r="HAP84">
        <f t="shared" si="307"/>
        <v>3</v>
      </c>
      <c r="HAQ84">
        <f t="shared" si="307"/>
        <v>3</v>
      </c>
      <c r="HAR84">
        <f t="shared" si="307"/>
        <v>3</v>
      </c>
      <c r="HAS84">
        <f t="shared" si="307"/>
        <v>3</v>
      </c>
      <c r="HAT84">
        <f t="shared" si="307"/>
        <v>3</v>
      </c>
      <c r="HAU84">
        <f t="shared" si="307"/>
        <v>3</v>
      </c>
      <c r="HAV84">
        <f t="shared" si="307"/>
        <v>3</v>
      </c>
      <c r="HAW84">
        <f t="shared" si="307"/>
        <v>3</v>
      </c>
      <c r="HAX84">
        <f t="shared" si="307"/>
        <v>3</v>
      </c>
      <c r="HAY84">
        <f t="shared" si="307"/>
        <v>3</v>
      </c>
      <c r="HAZ84">
        <f t="shared" si="307"/>
        <v>3</v>
      </c>
      <c r="HBA84">
        <f t="shared" si="307"/>
        <v>3</v>
      </c>
      <c r="HBB84">
        <f t="shared" si="307"/>
        <v>3</v>
      </c>
      <c r="HBC84">
        <f t="shared" si="307"/>
        <v>3</v>
      </c>
      <c r="HBD84">
        <f t="shared" si="307"/>
        <v>3</v>
      </c>
      <c r="HBE84">
        <f t="shared" si="307"/>
        <v>3</v>
      </c>
      <c r="HBF84">
        <f t="shared" si="307"/>
        <v>3</v>
      </c>
      <c r="HBG84">
        <f t="shared" si="307"/>
        <v>3</v>
      </c>
      <c r="HBH84">
        <f t="shared" si="307"/>
        <v>3</v>
      </c>
      <c r="HBI84">
        <f t="shared" si="307"/>
        <v>3</v>
      </c>
      <c r="HBJ84">
        <f t="shared" si="307"/>
        <v>3</v>
      </c>
      <c r="HBK84">
        <f t="shared" si="307"/>
        <v>3</v>
      </c>
      <c r="HBL84">
        <f t="shared" si="307"/>
        <v>3</v>
      </c>
      <c r="HBM84">
        <f t="shared" si="307"/>
        <v>3</v>
      </c>
      <c r="HBN84">
        <f t="shared" si="307"/>
        <v>3</v>
      </c>
      <c r="HBO84">
        <f t="shared" si="307"/>
        <v>3</v>
      </c>
      <c r="HBP84">
        <f t="shared" si="307"/>
        <v>3</v>
      </c>
      <c r="HBQ84">
        <f t="shared" si="307"/>
        <v>3</v>
      </c>
      <c r="HBR84">
        <f t="shared" si="307"/>
        <v>3</v>
      </c>
      <c r="HBS84">
        <f t="shared" si="307"/>
        <v>3</v>
      </c>
      <c r="HBT84">
        <f t="shared" si="307"/>
        <v>3</v>
      </c>
      <c r="HBU84">
        <f t="shared" si="307"/>
        <v>3</v>
      </c>
      <c r="HBV84">
        <f t="shared" si="307"/>
        <v>3</v>
      </c>
      <c r="HBW84">
        <f t="shared" si="307"/>
        <v>3</v>
      </c>
      <c r="HBX84">
        <f t="shared" si="307"/>
        <v>3</v>
      </c>
      <c r="HBY84">
        <f t="shared" si="307"/>
        <v>3</v>
      </c>
      <c r="HBZ84">
        <f t="shared" si="307"/>
        <v>3</v>
      </c>
      <c r="HCA84">
        <f t="shared" si="307"/>
        <v>3</v>
      </c>
      <c r="HCB84">
        <f t="shared" si="307"/>
        <v>3</v>
      </c>
      <c r="HCC84">
        <f t="shared" si="307"/>
        <v>3</v>
      </c>
      <c r="HCD84">
        <f t="shared" si="307"/>
        <v>3</v>
      </c>
      <c r="HCE84">
        <f t="shared" si="307"/>
        <v>3</v>
      </c>
      <c r="HCF84">
        <f t="shared" si="307"/>
        <v>3</v>
      </c>
      <c r="HCG84">
        <f t="shared" si="307"/>
        <v>3</v>
      </c>
      <c r="HCH84">
        <f t="shared" si="307"/>
        <v>3</v>
      </c>
      <c r="HCI84">
        <f t="shared" si="307"/>
        <v>3</v>
      </c>
      <c r="HCJ84">
        <f t="shared" si="307"/>
        <v>3</v>
      </c>
      <c r="HCK84">
        <f t="shared" si="307"/>
        <v>3</v>
      </c>
      <c r="HCL84">
        <f t="shared" si="307"/>
        <v>3</v>
      </c>
      <c r="HCM84">
        <f t="shared" si="307"/>
        <v>3</v>
      </c>
      <c r="HCN84">
        <f t="shared" si="307"/>
        <v>3</v>
      </c>
      <c r="HCO84">
        <f t="shared" si="307"/>
        <v>3</v>
      </c>
      <c r="HCP84">
        <f t="shared" si="307"/>
        <v>3</v>
      </c>
      <c r="HCQ84">
        <f t="shared" ref="HCQ84:HFB84" si="308">COUNTBLANK(HCQ2:HCQ5)</f>
        <v>3</v>
      </c>
      <c r="HCR84">
        <f t="shared" si="308"/>
        <v>3</v>
      </c>
      <c r="HCS84">
        <f t="shared" si="308"/>
        <v>3</v>
      </c>
      <c r="HCT84">
        <f t="shared" si="308"/>
        <v>3</v>
      </c>
      <c r="HCU84">
        <f t="shared" si="308"/>
        <v>3</v>
      </c>
      <c r="HCV84">
        <f t="shared" si="308"/>
        <v>3</v>
      </c>
      <c r="HCW84">
        <f t="shared" si="308"/>
        <v>3</v>
      </c>
      <c r="HCX84">
        <f t="shared" si="308"/>
        <v>3</v>
      </c>
      <c r="HCY84">
        <f t="shared" si="308"/>
        <v>3</v>
      </c>
      <c r="HCZ84">
        <f t="shared" si="308"/>
        <v>3</v>
      </c>
      <c r="HDA84">
        <f t="shared" si="308"/>
        <v>3</v>
      </c>
      <c r="HDB84">
        <f t="shared" si="308"/>
        <v>3</v>
      </c>
      <c r="HDC84">
        <f t="shared" si="308"/>
        <v>3</v>
      </c>
      <c r="HDD84">
        <f t="shared" si="308"/>
        <v>3</v>
      </c>
      <c r="HDE84">
        <f t="shared" si="308"/>
        <v>3</v>
      </c>
      <c r="HDF84">
        <f t="shared" si="308"/>
        <v>3</v>
      </c>
      <c r="HDG84">
        <f t="shared" si="308"/>
        <v>3</v>
      </c>
      <c r="HDH84">
        <f t="shared" si="308"/>
        <v>3</v>
      </c>
      <c r="HDI84">
        <f t="shared" si="308"/>
        <v>3</v>
      </c>
      <c r="HDJ84">
        <f t="shared" si="308"/>
        <v>3</v>
      </c>
      <c r="HDK84">
        <f t="shared" si="308"/>
        <v>3</v>
      </c>
      <c r="HDL84">
        <f t="shared" si="308"/>
        <v>3</v>
      </c>
      <c r="HDM84">
        <f t="shared" si="308"/>
        <v>3</v>
      </c>
      <c r="HDN84">
        <f t="shared" si="308"/>
        <v>3</v>
      </c>
      <c r="HDO84">
        <f t="shared" si="308"/>
        <v>3</v>
      </c>
      <c r="HDP84">
        <f t="shared" si="308"/>
        <v>3</v>
      </c>
      <c r="HDQ84">
        <f t="shared" si="308"/>
        <v>3</v>
      </c>
      <c r="HDR84">
        <f t="shared" si="308"/>
        <v>3</v>
      </c>
      <c r="HDS84">
        <f t="shared" si="308"/>
        <v>3</v>
      </c>
      <c r="HDT84">
        <f t="shared" si="308"/>
        <v>3</v>
      </c>
      <c r="HDU84">
        <f t="shared" si="308"/>
        <v>3</v>
      </c>
      <c r="HDV84">
        <f t="shared" si="308"/>
        <v>3</v>
      </c>
      <c r="HDW84">
        <f t="shared" si="308"/>
        <v>3</v>
      </c>
      <c r="HDX84">
        <f t="shared" si="308"/>
        <v>3</v>
      </c>
      <c r="HDY84">
        <f t="shared" si="308"/>
        <v>3</v>
      </c>
      <c r="HDZ84">
        <f t="shared" si="308"/>
        <v>3</v>
      </c>
      <c r="HEA84">
        <f t="shared" si="308"/>
        <v>3</v>
      </c>
      <c r="HEB84">
        <f t="shared" si="308"/>
        <v>3</v>
      </c>
      <c r="HEC84">
        <f t="shared" si="308"/>
        <v>3</v>
      </c>
      <c r="HED84">
        <f t="shared" si="308"/>
        <v>3</v>
      </c>
      <c r="HEE84">
        <f t="shared" si="308"/>
        <v>3</v>
      </c>
      <c r="HEF84">
        <f t="shared" si="308"/>
        <v>3</v>
      </c>
      <c r="HEG84">
        <f t="shared" si="308"/>
        <v>3</v>
      </c>
      <c r="HEH84">
        <f t="shared" si="308"/>
        <v>3</v>
      </c>
      <c r="HEI84">
        <f t="shared" si="308"/>
        <v>3</v>
      </c>
      <c r="HEJ84">
        <f t="shared" si="308"/>
        <v>3</v>
      </c>
      <c r="HEK84">
        <f t="shared" si="308"/>
        <v>3</v>
      </c>
      <c r="HEL84">
        <f t="shared" si="308"/>
        <v>3</v>
      </c>
      <c r="HEM84">
        <f t="shared" si="308"/>
        <v>3</v>
      </c>
      <c r="HEN84">
        <f t="shared" si="308"/>
        <v>3</v>
      </c>
      <c r="HEO84">
        <f t="shared" si="308"/>
        <v>3</v>
      </c>
      <c r="HEP84">
        <f t="shared" si="308"/>
        <v>3</v>
      </c>
      <c r="HEQ84">
        <f t="shared" si="308"/>
        <v>3</v>
      </c>
      <c r="HER84">
        <f t="shared" si="308"/>
        <v>3</v>
      </c>
      <c r="HES84">
        <f t="shared" si="308"/>
        <v>3</v>
      </c>
      <c r="HET84">
        <f t="shared" si="308"/>
        <v>3</v>
      </c>
      <c r="HEU84">
        <f t="shared" si="308"/>
        <v>3</v>
      </c>
      <c r="HEV84">
        <f t="shared" si="308"/>
        <v>3</v>
      </c>
      <c r="HEW84">
        <f t="shared" si="308"/>
        <v>3</v>
      </c>
      <c r="HEX84">
        <f t="shared" si="308"/>
        <v>3</v>
      </c>
      <c r="HEY84">
        <f t="shared" si="308"/>
        <v>3</v>
      </c>
      <c r="HEZ84">
        <f t="shared" si="308"/>
        <v>3</v>
      </c>
      <c r="HFA84">
        <f t="shared" si="308"/>
        <v>3</v>
      </c>
      <c r="HFB84">
        <f t="shared" si="308"/>
        <v>3</v>
      </c>
      <c r="HFC84">
        <f t="shared" ref="HFC84:HHN84" si="309">COUNTBLANK(HFC2:HFC5)</f>
        <v>3</v>
      </c>
      <c r="HFD84">
        <f t="shared" si="309"/>
        <v>3</v>
      </c>
      <c r="HFE84">
        <f t="shared" si="309"/>
        <v>3</v>
      </c>
      <c r="HFF84">
        <f t="shared" si="309"/>
        <v>3</v>
      </c>
      <c r="HFG84">
        <f t="shared" si="309"/>
        <v>3</v>
      </c>
      <c r="HFH84">
        <f t="shared" si="309"/>
        <v>3</v>
      </c>
      <c r="HFI84">
        <f t="shared" si="309"/>
        <v>3</v>
      </c>
      <c r="HFJ84">
        <f t="shared" si="309"/>
        <v>3</v>
      </c>
      <c r="HFK84">
        <f t="shared" si="309"/>
        <v>3</v>
      </c>
      <c r="HFL84">
        <f t="shared" si="309"/>
        <v>3</v>
      </c>
      <c r="HFM84">
        <f t="shared" si="309"/>
        <v>3</v>
      </c>
      <c r="HFN84">
        <f t="shared" si="309"/>
        <v>3</v>
      </c>
      <c r="HFO84">
        <f t="shared" si="309"/>
        <v>3</v>
      </c>
      <c r="HFP84">
        <f t="shared" si="309"/>
        <v>3</v>
      </c>
      <c r="HFQ84">
        <f t="shared" si="309"/>
        <v>3</v>
      </c>
      <c r="HFR84">
        <f t="shared" si="309"/>
        <v>3</v>
      </c>
      <c r="HFS84">
        <f t="shared" si="309"/>
        <v>3</v>
      </c>
      <c r="HFT84">
        <f t="shared" si="309"/>
        <v>3</v>
      </c>
      <c r="HFU84">
        <f t="shared" si="309"/>
        <v>3</v>
      </c>
      <c r="HFV84">
        <f t="shared" si="309"/>
        <v>3</v>
      </c>
      <c r="HFW84">
        <f t="shared" si="309"/>
        <v>3</v>
      </c>
      <c r="HFX84">
        <f t="shared" si="309"/>
        <v>3</v>
      </c>
      <c r="HFY84">
        <f t="shared" si="309"/>
        <v>3</v>
      </c>
      <c r="HFZ84">
        <f t="shared" si="309"/>
        <v>3</v>
      </c>
      <c r="HGA84">
        <f t="shared" si="309"/>
        <v>3</v>
      </c>
      <c r="HGB84">
        <f t="shared" si="309"/>
        <v>3</v>
      </c>
      <c r="HGC84">
        <f t="shared" si="309"/>
        <v>3</v>
      </c>
      <c r="HGD84">
        <f t="shared" si="309"/>
        <v>3</v>
      </c>
      <c r="HGE84">
        <f t="shared" si="309"/>
        <v>3</v>
      </c>
      <c r="HGF84">
        <f t="shared" si="309"/>
        <v>3</v>
      </c>
      <c r="HGG84">
        <f t="shared" si="309"/>
        <v>3</v>
      </c>
      <c r="HGH84">
        <f t="shared" si="309"/>
        <v>3</v>
      </c>
      <c r="HGI84">
        <f t="shared" si="309"/>
        <v>3</v>
      </c>
      <c r="HGJ84">
        <f t="shared" si="309"/>
        <v>3</v>
      </c>
      <c r="HGK84">
        <f t="shared" si="309"/>
        <v>3</v>
      </c>
      <c r="HGL84">
        <f t="shared" si="309"/>
        <v>3</v>
      </c>
      <c r="HGM84">
        <f t="shared" si="309"/>
        <v>3</v>
      </c>
      <c r="HGN84">
        <f t="shared" si="309"/>
        <v>3</v>
      </c>
      <c r="HGO84">
        <f t="shared" si="309"/>
        <v>3</v>
      </c>
      <c r="HGP84">
        <f t="shared" si="309"/>
        <v>3</v>
      </c>
      <c r="HGQ84">
        <f t="shared" si="309"/>
        <v>3</v>
      </c>
      <c r="HGR84">
        <f t="shared" si="309"/>
        <v>3</v>
      </c>
      <c r="HGS84">
        <f t="shared" si="309"/>
        <v>3</v>
      </c>
      <c r="HGT84">
        <f t="shared" si="309"/>
        <v>3</v>
      </c>
      <c r="HGU84">
        <f t="shared" si="309"/>
        <v>3</v>
      </c>
      <c r="HGV84">
        <f t="shared" si="309"/>
        <v>3</v>
      </c>
      <c r="HGW84">
        <f t="shared" si="309"/>
        <v>3</v>
      </c>
      <c r="HGX84">
        <f t="shared" si="309"/>
        <v>3</v>
      </c>
      <c r="HGY84">
        <f t="shared" si="309"/>
        <v>3</v>
      </c>
      <c r="HGZ84">
        <f t="shared" si="309"/>
        <v>3</v>
      </c>
      <c r="HHA84">
        <f t="shared" si="309"/>
        <v>3</v>
      </c>
      <c r="HHB84">
        <f t="shared" si="309"/>
        <v>3</v>
      </c>
      <c r="HHC84">
        <f t="shared" si="309"/>
        <v>3</v>
      </c>
      <c r="HHD84">
        <f t="shared" si="309"/>
        <v>3</v>
      </c>
      <c r="HHE84">
        <f t="shared" si="309"/>
        <v>3</v>
      </c>
      <c r="HHF84">
        <f t="shared" si="309"/>
        <v>3</v>
      </c>
      <c r="HHG84">
        <f t="shared" si="309"/>
        <v>3</v>
      </c>
      <c r="HHH84">
        <f t="shared" si="309"/>
        <v>3</v>
      </c>
      <c r="HHI84">
        <f t="shared" si="309"/>
        <v>3</v>
      </c>
      <c r="HHJ84">
        <f t="shared" si="309"/>
        <v>3</v>
      </c>
      <c r="HHK84">
        <f t="shared" si="309"/>
        <v>3</v>
      </c>
      <c r="HHL84">
        <f t="shared" si="309"/>
        <v>3</v>
      </c>
      <c r="HHM84">
        <f t="shared" si="309"/>
        <v>3</v>
      </c>
      <c r="HHN84">
        <f t="shared" si="309"/>
        <v>3</v>
      </c>
      <c r="HHO84">
        <f t="shared" ref="HHO84:HJZ84" si="310">COUNTBLANK(HHO2:HHO5)</f>
        <v>3</v>
      </c>
      <c r="HHP84">
        <f t="shared" si="310"/>
        <v>3</v>
      </c>
      <c r="HHQ84">
        <f t="shared" si="310"/>
        <v>3</v>
      </c>
      <c r="HHR84">
        <f t="shared" si="310"/>
        <v>3</v>
      </c>
      <c r="HHS84">
        <f t="shared" si="310"/>
        <v>3</v>
      </c>
      <c r="HHT84">
        <f t="shared" si="310"/>
        <v>3</v>
      </c>
      <c r="HHU84">
        <f t="shared" si="310"/>
        <v>3</v>
      </c>
      <c r="HHV84">
        <f t="shared" si="310"/>
        <v>3</v>
      </c>
      <c r="HHW84">
        <f t="shared" si="310"/>
        <v>3</v>
      </c>
      <c r="HHX84">
        <f t="shared" si="310"/>
        <v>3</v>
      </c>
      <c r="HHY84">
        <f t="shared" si="310"/>
        <v>3</v>
      </c>
      <c r="HHZ84">
        <f t="shared" si="310"/>
        <v>3</v>
      </c>
      <c r="HIA84">
        <f t="shared" si="310"/>
        <v>3</v>
      </c>
      <c r="HIB84">
        <f t="shared" si="310"/>
        <v>3</v>
      </c>
      <c r="HIC84">
        <f t="shared" si="310"/>
        <v>3</v>
      </c>
      <c r="HID84">
        <f t="shared" si="310"/>
        <v>3</v>
      </c>
      <c r="HIE84">
        <f t="shared" si="310"/>
        <v>3</v>
      </c>
      <c r="HIF84">
        <f t="shared" si="310"/>
        <v>3</v>
      </c>
      <c r="HIG84">
        <f t="shared" si="310"/>
        <v>3</v>
      </c>
      <c r="HIH84">
        <f t="shared" si="310"/>
        <v>3</v>
      </c>
      <c r="HII84">
        <f t="shared" si="310"/>
        <v>3</v>
      </c>
      <c r="HIJ84">
        <f t="shared" si="310"/>
        <v>3</v>
      </c>
      <c r="HIK84">
        <f t="shared" si="310"/>
        <v>3</v>
      </c>
      <c r="HIL84">
        <f t="shared" si="310"/>
        <v>3</v>
      </c>
      <c r="HIM84">
        <f t="shared" si="310"/>
        <v>3</v>
      </c>
      <c r="HIN84">
        <f t="shared" si="310"/>
        <v>3</v>
      </c>
      <c r="HIO84">
        <f t="shared" si="310"/>
        <v>3</v>
      </c>
      <c r="HIP84">
        <f t="shared" si="310"/>
        <v>3</v>
      </c>
      <c r="HIQ84">
        <f t="shared" si="310"/>
        <v>3</v>
      </c>
      <c r="HIR84">
        <f t="shared" si="310"/>
        <v>3</v>
      </c>
      <c r="HIS84">
        <f t="shared" si="310"/>
        <v>3</v>
      </c>
      <c r="HIT84">
        <f t="shared" si="310"/>
        <v>3</v>
      </c>
      <c r="HIU84">
        <f t="shared" si="310"/>
        <v>3</v>
      </c>
      <c r="HIV84">
        <f t="shared" si="310"/>
        <v>3</v>
      </c>
      <c r="HIW84">
        <f t="shared" si="310"/>
        <v>3</v>
      </c>
      <c r="HIX84">
        <f t="shared" si="310"/>
        <v>3</v>
      </c>
      <c r="HIY84">
        <f t="shared" si="310"/>
        <v>3</v>
      </c>
      <c r="HIZ84">
        <f t="shared" si="310"/>
        <v>3</v>
      </c>
      <c r="HJA84">
        <f t="shared" si="310"/>
        <v>3</v>
      </c>
      <c r="HJB84">
        <f t="shared" si="310"/>
        <v>3</v>
      </c>
      <c r="HJC84">
        <f t="shared" si="310"/>
        <v>3</v>
      </c>
      <c r="HJD84">
        <f t="shared" si="310"/>
        <v>3</v>
      </c>
      <c r="HJE84">
        <f t="shared" si="310"/>
        <v>3</v>
      </c>
      <c r="HJF84">
        <f t="shared" si="310"/>
        <v>3</v>
      </c>
      <c r="HJG84">
        <f t="shared" si="310"/>
        <v>3</v>
      </c>
      <c r="HJH84">
        <f t="shared" si="310"/>
        <v>3</v>
      </c>
      <c r="HJI84">
        <f t="shared" si="310"/>
        <v>3</v>
      </c>
      <c r="HJJ84">
        <f t="shared" si="310"/>
        <v>3</v>
      </c>
      <c r="HJK84">
        <f t="shared" si="310"/>
        <v>3</v>
      </c>
      <c r="HJL84">
        <f t="shared" si="310"/>
        <v>3</v>
      </c>
      <c r="HJM84">
        <f t="shared" si="310"/>
        <v>3</v>
      </c>
      <c r="HJN84">
        <f t="shared" si="310"/>
        <v>3</v>
      </c>
      <c r="HJO84">
        <f t="shared" si="310"/>
        <v>3</v>
      </c>
      <c r="HJP84">
        <f t="shared" si="310"/>
        <v>3</v>
      </c>
      <c r="HJQ84">
        <f t="shared" si="310"/>
        <v>3</v>
      </c>
      <c r="HJR84">
        <f t="shared" si="310"/>
        <v>3</v>
      </c>
      <c r="HJS84">
        <f t="shared" si="310"/>
        <v>3</v>
      </c>
      <c r="HJT84">
        <f t="shared" si="310"/>
        <v>3</v>
      </c>
      <c r="HJU84">
        <f t="shared" si="310"/>
        <v>3</v>
      </c>
      <c r="HJV84">
        <f t="shared" si="310"/>
        <v>3</v>
      </c>
      <c r="HJW84">
        <f t="shared" si="310"/>
        <v>3</v>
      </c>
      <c r="HJX84">
        <f t="shared" si="310"/>
        <v>3</v>
      </c>
      <c r="HJY84">
        <f t="shared" si="310"/>
        <v>3</v>
      </c>
      <c r="HJZ84">
        <f t="shared" si="310"/>
        <v>3</v>
      </c>
      <c r="HKA84">
        <f t="shared" ref="HKA84:HML84" si="311">COUNTBLANK(HKA2:HKA5)</f>
        <v>3</v>
      </c>
      <c r="HKB84">
        <f t="shared" si="311"/>
        <v>2</v>
      </c>
      <c r="HKC84">
        <f t="shared" si="311"/>
        <v>2</v>
      </c>
      <c r="HKD84">
        <f t="shared" si="311"/>
        <v>2</v>
      </c>
      <c r="HKE84">
        <f t="shared" si="311"/>
        <v>2</v>
      </c>
      <c r="HKF84">
        <f t="shared" si="311"/>
        <v>2</v>
      </c>
      <c r="HKG84">
        <f t="shared" si="311"/>
        <v>2</v>
      </c>
      <c r="HKH84">
        <f t="shared" si="311"/>
        <v>2</v>
      </c>
      <c r="HKI84">
        <f t="shared" si="311"/>
        <v>2</v>
      </c>
      <c r="HKJ84">
        <f t="shared" si="311"/>
        <v>2</v>
      </c>
      <c r="HKK84">
        <f t="shared" si="311"/>
        <v>2</v>
      </c>
      <c r="HKL84">
        <f t="shared" si="311"/>
        <v>2</v>
      </c>
      <c r="HKM84">
        <f t="shared" si="311"/>
        <v>2</v>
      </c>
      <c r="HKN84">
        <f t="shared" si="311"/>
        <v>2</v>
      </c>
      <c r="HKO84">
        <f t="shared" si="311"/>
        <v>2</v>
      </c>
      <c r="HKP84">
        <f t="shared" si="311"/>
        <v>2</v>
      </c>
      <c r="HKQ84">
        <f t="shared" si="311"/>
        <v>3</v>
      </c>
      <c r="HKR84">
        <f t="shared" si="311"/>
        <v>3</v>
      </c>
      <c r="HKS84">
        <f t="shared" si="311"/>
        <v>3</v>
      </c>
      <c r="HKT84">
        <f t="shared" si="311"/>
        <v>3</v>
      </c>
      <c r="HKU84">
        <f t="shared" si="311"/>
        <v>3</v>
      </c>
      <c r="HKV84">
        <f t="shared" si="311"/>
        <v>3</v>
      </c>
      <c r="HKW84">
        <f t="shared" si="311"/>
        <v>3</v>
      </c>
      <c r="HKX84">
        <f t="shared" si="311"/>
        <v>3</v>
      </c>
      <c r="HKY84">
        <f t="shared" si="311"/>
        <v>3</v>
      </c>
      <c r="HKZ84">
        <f t="shared" si="311"/>
        <v>3</v>
      </c>
      <c r="HLA84">
        <f t="shared" si="311"/>
        <v>3</v>
      </c>
      <c r="HLB84">
        <f t="shared" si="311"/>
        <v>3</v>
      </c>
      <c r="HLC84">
        <f t="shared" si="311"/>
        <v>3</v>
      </c>
      <c r="HLD84">
        <f t="shared" si="311"/>
        <v>3</v>
      </c>
      <c r="HLE84">
        <f t="shared" si="311"/>
        <v>3</v>
      </c>
      <c r="HLF84">
        <f t="shared" si="311"/>
        <v>3</v>
      </c>
      <c r="HLG84">
        <f t="shared" si="311"/>
        <v>3</v>
      </c>
      <c r="HLH84">
        <f t="shared" si="311"/>
        <v>3</v>
      </c>
      <c r="HLI84">
        <f t="shared" si="311"/>
        <v>3</v>
      </c>
      <c r="HLJ84">
        <f t="shared" si="311"/>
        <v>3</v>
      </c>
      <c r="HLK84">
        <f t="shared" si="311"/>
        <v>3</v>
      </c>
      <c r="HLL84">
        <f t="shared" si="311"/>
        <v>3</v>
      </c>
      <c r="HLM84">
        <f t="shared" si="311"/>
        <v>3</v>
      </c>
      <c r="HLN84">
        <f t="shared" si="311"/>
        <v>3</v>
      </c>
      <c r="HLO84">
        <f t="shared" si="311"/>
        <v>3</v>
      </c>
      <c r="HLP84">
        <f t="shared" si="311"/>
        <v>3</v>
      </c>
      <c r="HLQ84">
        <f t="shared" si="311"/>
        <v>3</v>
      </c>
      <c r="HLR84">
        <f t="shared" si="311"/>
        <v>3</v>
      </c>
      <c r="HLS84">
        <f t="shared" si="311"/>
        <v>3</v>
      </c>
      <c r="HLT84">
        <f t="shared" si="311"/>
        <v>3</v>
      </c>
      <c r="HLU84">
        <f t="shared" si="311"/>
        <v>3</v>
      </c>
      <c r="HLV84">
        <f t="shared" si="311"/>
        <v>3</v>
      </c>
      <c r="HLW84">
        <f t="shared" si="311"/>
        <v>3</v>
      </c>
      <c r="HLX84">
        <f t="shared" si="311"/>
        <v>3</v>
      </c>
      <c r="HLY84">
        <f t="shared" si="311"/>
        <v>3</v>
      </c>
      <c r="HLZ84">
        <f t="shared" si="311"/>
        <v>3</v>
      </c>
      <c r="HMA84">
        <f t="shared" si="311"/>
        <v>3</v>
      </c>
      <c r="HMB84">
        <f t="shared" si="311"/>
        <v>3</v>
      </c>
      <c r="HMC84">
        <f t="shared" si="311"/>
        <v>3</v>
      </c>
      <c r="HMD84">
        <f t="shared" si="311"/>
        <v>3</v>
      </c>
      <c r="HME84">
        <f t="shared" si="311"/>
        <v>3</v>
      </c>
      <c r="HMF84">
        <f t="shared" si="311"/>
        <v>3</v>
      </c>
      <c r="HMG84">
        <f t="shared" si="311"/>
        <v>3</v>
      </c>
      <c r="HMH84">
        <f t="shared" si="311"/>
        <v>3</v>
      </c>
      <c r="HMI84">
        <f t="shared" si="311"/>
        <v>3</v>
      </c>
      <c r="HMJ84">
        <f t="shared" si="311"/>
        <v>3</v>
      </c>
      <c r="HMK84">
        <f t="shared" si="311"/>
        <v>3</v>
      </c>
      <c r="HML84">
        <f t="shared" si="311"/>
        <v>3</v>
      </c>
      <c r="HMM84">
        <f t="shared" ref="HMM84:HOX84" si="312">COUNTBLANK(HMM2:HMM5)</f>
        <v>3</v>
      </c>
      <c r="HMN84">
        <f t="shared" si="312"/>
        <v>3</v>
      </c>
      <c r="HMO84">
        <f t="shared" si="312"/>
        <v>3</v>
      </c>
      <c r="HMP84">
        <f t="shared" si="312"/>
        <v>3</v>
      </c>
      <c r="HMQ84">
        <f t="shared" si="312"/>
        <v>3</v>
      </c>
      <c r="HMR84">
        <f t="shared" si="312"/>
        <v>3</v>
      </c>
      <c r="HMS84">
        <f t="shared" si="312"/>
        <v>3</v>
      </c>
      <c r="HMT84">
        <f t="shared" si="312"/>
        <v>3</v>
      </c>
      <c r="HMU84">
        <f t="shared" si="312"/>
        <v>3</v>
      </c>
      <c r="HMV84">
        <f t="shared" si="312"/>
        <v>3</v>
      </c>
      <c r="HMW84">
        <f t="shared" si="312"/>
        <v>3</v>
      </c>
      <c r="HMX84">
        <f t="shared" si="312"/>
        <v>3</v>
      </c>
      <c r="HMY84">
        <f t="shared" si="312"/>
        <v>3</v>
      </c>
      <c r="HMZ84">
        <f t="shared" si="312"/>
        <v>3</v>
      </c>
      <c r="HNA84">
        <f t="shared" si="312"/>
        <v>3</v>
      </c>
      <c r="HNB84">
        <f t="shared" si="312"/>
        <v>3</v>
      </c>
      <c r="HNC84">
        <f t="shared" si="312"/>
        <v>3</v>
      </c>
      <c r="HND84">
        <f t="shared" si="312"/>
        <v>3</v>
      </c>
      <c r="HNE84">
        <f t="shared" si="312"/>
        <v>3</v>
      </c>
      <c r="HNF84">
        <f t="shared" si="312"/>
        <v>3</v>
      </c>
      <c r="HNG84">
        <f t="shared" si="312"/>
        <v>3</v>
      </c>
      <c r="HNH84">
        <f t="shared" si="312"/>
        <v>3</v>
      </c>
      <c r="HNI84">
        <f t="shared" si="312"/>
        <v>3</v>
      </c>
      <c r="HNJ84">
        <f t="shared" si="312"/>
        <v>3</v>
      </c>
      <c r="HNK84">
        <f t="shared" si="312"/>
        <v>3</v>
      </c>
      <c r="HNL84">
        <f t="shared" si="312"/>
        <v>3</v>
      </c>
      <c r="HNM84">
        <f t="shared" si="312"/>
        <v>3</v>
      </c>
      <c r="HNN84">
        <f t="shared" si="312"/>
        <v>3</v>
      </c>
      <c r="HNO84">
        <f t="shared" si="312"/>
        <v>3</v>
      </c>
      <c r="HNP84">
        <f t="shared" si="312"/>
        <v>3</v>
      </c>
      <c r="HNQ84">
        <f t="shared" si="312"/>
        <v>3</v>
      </c>
      <c r="HNR84">
        <f t="shared" si="312"/>
        <v>3</v>
      </c>
      <c r="HNS84">
        <f t="shared" si="312"/>
        <v>3</v>
      </c>
      <c r="HNT84">
        <f t="shared" si="312"/>
        <v>3</v>
      </c>
      <c r="HNU84">
        <f t="shared" si="312"/>
        <v>3</v>
      </c>
      <c r="HNV84">
        <f t="shared" si="312"/>
        <v>3</v>
      </c>
      <c r="HNW84">
        <f t="shared" si="312"/>
        <v>3</v>
      </c>
      <c r="HNX84">
        <f t="shared" si="312"/>
        <v>3</v>
      </c>
      <c r="HNY84">
        <f t="shared" si="312"/>
        <v>3</v>
      </c>
      <c r="HNZ84">
        <f t="shared" si="312"/>
        <v>3</v>
      </c>
      <c r="HOA84">
        <f t="shared" si="312"/>
        <v>3</v>
      </c>
      <c r="HOB84">
        <f t="shared" si="312"/>
        <v>3</v>
      </c>
      <c r="HOC84">
        <f t="shared" si="312"/>
        <v>3</v>
      </c>
      <c r="HOD84">
        <f t="shared" si="312"/>
        <v>3</v>
      </c>
      <c r="HOE84">
        <f t="shared" si="312"/>
        <v>3</v>
      </c>
      <c r="HOF84">
        <f t="shared" si="312"/>
        <v>3</v>
      </c>
      <c r="HOG84">
        <f t="shared" si="312"/>
        <v>3</v>
      </c>
      <c r="HOH84">
        <f t="shared" si="312"/>
        <v>3</v>
      </c>
      <c r="HOI84">
        <f t="shared" si="312"/>
        <v>3</v>
      </c>
      <c r="HOJ84">
        <f t="shared" si="312"/>
        <v>3</v>
      </c>
      <c r="HOK84">
        <f t="shared" si="312"/>
        <v>3</v>
      </c>
      <c r="HOL84">
        <f t="shared" si="312"/>
        <v>3</v>
      </c>
      <c r="HOM84">
        <f t="shared" si="312"/>
        <v>3</v>
      </c>
      <c r="HON84">
        <f t="shared" si="312"/>
        <v>3</v>
      </c>
      <c r="HOO84">
        <f t="shared" si="312"/>
        <v>3</v>
      </c>
      <c r="HOP84">
        <f t="shared" si="312"/>
        <v>3</v>
      </c>
      <c r="HOQ84">
        <f t="shared" si="312"/>
        <v>3</v>
      </c>
      <c r="HOR84">
        <f t="shared" si="312"/>
        <v>3</v>
      </c>
      <c r="HOS84">
        <f t="shared" si="312"/>
        <v>3</v>
      </c>
      <c r="HOT84">
        <f t="shared" si="312"/>
        <v>3</v>
      </c>
      <c r="HOU84">
        <f t="shared" si="312"/>
        <v>3</v>
      </c>
      <c r="HOV84">
        <f t="shared" si="312"/>
        <v>3</v>
      </c>
      <c r="HOW84">
        <f t="shared" si="312"/>
        <v>3</v>
      </c>
      <c r="HOX84">
        <f t="shared" si="312"/>
        <v>3</v>
      </c>
      <c r="HOY84">
        <f t="shared" ref="HOY84:HRJ84" si="313">COUNTBLANK(HOY2:HOY5)</f>
        <v>3</v>
      </c>
      <c r="HOZ84">
        <f t="shared" si="313"/>
        <v>3</v>
      </c>
      <c r="HPA84">
        <f t="shared" si="313"/>
        <v>3</v>
      </c>
      <c r="HPB84">
        <f t="shared" si="313"/>
        <v>3</v>
      </c>
      <c r="HPC84">
        <f t="shared" si="313"/>
        <v>3</v>
      </c>
      <c r="HPD84">
        <f t="shared" si="313"/>
        <v>3</v>
      </c>
      <c r="HPE84">
        <f t="shared" si="313"/>
        <v>3</v>
      </c>
      <c r="HPF84">
        <f t="shared" si="313"/>
        <v>3</v>
      </c>
      <c r="HPG84">
        <f t="shared" si="313"/>
        <v>3</v>
      </c>
      <c r="HPH84">
        <f t="shared" si="313"/>
        <v>3</v>
      </c>
      <c r="HPI84">
        <f t="shared" si="313"/>
        <v>3</v>
      </c>
      <c r="HPJ84">
        <f t="shared" si="313"/>
        <v>3</v>
      </c>
      <c r="HPK84">
        <f t="shared" si="313"/>
        <v>3</v>
      </c>
      <c r="HPL84">
        <f t="shared" si="313"/>
        <v>3</v>
      </c>
      <c r="HPM84">
        <f t="shared" si="313"/>
        <v>3</v>
      </c>
      <c r="HPN84">
        <f t="shared" si="313"/>
        <v>3</v>
      </c>
      <c r="HPO84">
        <f t="shared" si="313"/>
        <v>3</v>
      </c>
      <c r="HPP84">
        <f t="shared" si="313"/>
        <v>3</v>
      </c>
      <c r="HPQ84">
        <f t="shared" si="313"/>
        <v>3</v>
      </c>
      <c r="HPR84">
        <f t="shared" si="313"/>
        <v>3</v>
      </c>
      <c r="HPS84">
        <f t="shared" si="313"/>
        <v>3</v>
      </c>
      <c r="HPT84">
        <f t="shared" si="313"/>
        <v>3</v>
      </c>
      <c r="HPU84">
        <f t="shared" si="313"/>
        <v>3</v>
      </c>
      <c r="HPV84">
        <f t="shared" si="313"/>
        <v>3</v>
      </c>
      <c r="HPW84">
        <f t="shared" si="313"/>
        <v>3</v>
      </c>
      <c r="HPX84">
        <f t="shared" si="313"/>
        <v>3</v>
      </c>
      <c r="HPY84">
        <f t="shared" si="313"/>
        <v>3</v>
      </c>
      <c r="HPZ84">
        <f t="shared" si="313"/>
        <v>3</v>
      </c>
      <c r="HQA84">
        <f t="shared" si="313"/>
        <v>2</v>
      </c>
      <c r="HQB84">
        <f t="shared" si="313"/>
        <v>2</v>
      </c>
      <c r="HQC84">
        <f t="shared" si="313"/>
        <v>2</v>
      </c>
      <c r="HQD84">
        <f t="shared" si="313"/>
        <v>2</v>
      </c>
      <c r="HQE84">
        <f t="shared" si="313"/>
        <v>2</v>
      </c>
      <c r="HQF84">
        <f t="shared" si="313"/>
        <v>2</v>
      </c>
      <c r="HQG84">
        <f t="shared" si="313"/>
        <v>3</v>
      </c>
      <c r="HQH84">
        <f t="shared" si="313"/>
        <v>3</v>
      </c>
      <c r="HQI84">
        <f t="shared" si="313"/>
        <v>3</v>
      </c>
      <c r="HQJ84">
        <f t="shared" si="313"/>
        <v>3</v>
      </c>
      <c r="HQK84">
        <f t="shared" si="313"/>
        <v>3</v>
      </c>
      <c r="HQL84">
        <f t="shared" si="313"/>
        <v>3</v>
      </c>
      <c r="HQM84">
        <f t="shared" si="313"/>
        <v>3</v>
      </c>
      <c r="HQN84">
        <f t="shared" si="313"/>
        <v>3</v>
      </c>
      <c r="HQO84">
        <f t="shared" si="313"/>
        <v>3</v>
      </c>
      <c r="HQP84">
        <f t="shared" si="313"/>
        <v>3</v>
      </c>
      <c r="HQQ84">
        <f t="shared" si="313"/>
        <v>3</v>
      </c>
      <c r="HQR84">
        <f t="shared" si="313"/>
        <v>3</v>
      </c>
      <c r="HQS84">
        <f t="shared" si="313"/>
        <v>3</v>
      </c>
      <c r="HQT84">
        <f t="shared" si="313"/>
        <v>3</v>
      </c>
      <c r="HQU84">
        <f t="shared" si="313"/>
        <v>3</v>
      </c>
      <c r="HQV84">
        <f t="shared" si="313"/>
        <v>3</v>
      </c>
      <c r="HQW84">
        <f t="shared" si="313"/>
        <v>3</v>
      </c>
      <c r="HQX84">
        <f t="shared" si="313"/>
        <v>3</v>
      </c>
      <c r="HQY84">
        <f t="shared" si="313"/>
        <v>3</v>
      </c>
      <c r="HQZ84">
        <f t="shared" si="313"/>
        <v>3</v>
      </c>
      <c r="HRA84">
        <f t="shared" si="313"/>
        <v>3</v>
      </c>
      <c r="HRB84">
        <f t="shared" si="313"/>
        <v>3</v>
      </c>
      <c r="HRC84">
        <f t="shared" si="313"/>
        <v>3</v>
      </c>
      <c r="HRD84">
        <f t="shared" si="313"/>
        <v>3</v>
      </c>
      <c r="HRE84">
        <f t="shared" si="313"/>
        <v>3</v>
      </c>
      <c r="HRF84">
        <f t="shared" si="313"/>
        <v>3</v>
      </c>
      <c r="HRG84">
        <f t="shared" si="313"/>
        <v>3</v>
      </c>
      <c r="HRH84">
        <f t="shared" si="313"/>
        <v>3</v>
      </c>
      <c r="HRI84">
        <f t="shared" si="313"/>
        <v>3</v>
      </c>
      <c r="HRJ84">
        <f t="shared" si="313"/>
        <v>3</v>
      </c>
      <c r="HRK84">
        <f t="shared" ref="HRK84:HTV84" si="314">COUNTBLANK(HRK2:HRK5)</f>
        <v>3</v>
      </c>
      <c r="HRL84">
        <f t="shared" si="314"/>
        <v>3</v>
      </c>
      <c r="HRM84">
        <f t="shared" si="314"/>
        <v>3</v>
      </c>
      <c r="HRN84">
        <f t="shared" si="314"/>
        <v>3</v>
      </c>
      <c r="HRO84">
        <f t="shared" si="314"/>
        <v>3</v>
      </c>
      <c r="HRP84">
        <f t="shared" si="314"/>
        <v>3</v>
      </c>
      <c r="HRQ84">
        <f t="shared" si="314"/>
        <v>3</v>
      </c>
      <c r="HRR84">
        <f t="shared" si="314"/>
        <v>3</v>
      </c>
      <c r="HRS84">
        <f t="shared" si="314"/>
        <v>3</v>
      </c>
      <c r="HRT84">
        <f t="shared" si="314"/>
        <v>3</v>
      </c>
      <c r="HRU84">
        <f t="shared" si="314"/>
        <v>3</v>
      </c>
      <c r="HRV84">
        <f t="shared" si="314"/>
        <v>3</v>
      </c>
      <c r="HRW84">
        <f t="shared" si="314"/>
        <v>3</v>
      </c>
      <c r="HRX84">
        <f t="shared" si="314"/>
        <v>3</v>
      </c>
      <c r="HRY84">
        <f t="shared" si="314"/>
        <v>3</v>
      </c>
      <c r="HRZ84">
        <f t="shared" si="314"/>
        <v>3</v>
      </c>
      <c r="HSA84">
        <f t="shared" si="314"/>
        <v>3</v>
      </c>
      <c r="HSB84">
        <f t="shared" si="314"/>
        <v>3</v>
      </c>
      <c r="HSC84">
        <f t="shared" si="314"/>
        <v>3</v>
      </c>
      <c r="HSD84">
        <f t="shared" si="314"/>
        <v>3</v>
      </c>
      <c r="HSE84">
        <f t="shared" si="314"/>
        <v>3</v>
      </c>
      <c r="HSF84">
        <f t="shared" si="314"/>
        <v>3</v>
      </c>
      <c r="HSG84">
        <f t="shared" si="314"/>
        <v>3</v>
      </c>
      <c r="HSH84">
        <f t="shared" si="314"/>
        <v>3</v>
      </c>
      <c r="HSI84">
        <f t="shared" si="314"/>
        <v>3</v>
      </c>
      <c r="HSJ84">
        <f t="shared" si="314"/>
        <v>3</v>
      </c>
      <c r="HSK84">
        <f t="shared" si="314"/>
        <v>3</v>
      </c>
      <c r="HSL84">
        <f t="shared" si="314"/>
        <v>3</v>
      </c>
      <c r="HSM84">
        <f t="shared" si="314"/>
        <v>3</v>
      </c>
      <c r="HSN84">
        <f t="shared" si="314"/>
        <v>3</v>
      </c>
      <c r="HSO84">
        <f t="shared" si="314"/>
        <v>3</v>
      </c>
      <c r="HSP84">
        <f t="shared" si="314"/>
        <v>3</v>
      </c>
      <c r="HSQ84">
        <f t="shared" si="314"/>
        <v>3</v>
      </c>
      <c r="HSR84">
        <f t="shared" si="314"/>
        <v>3</v>
      </c>
      <c r="HSS84">
        <f t="shared" si="314"/>
        <v>3</v>
      </c>
      <c r="HST84">
        <f t="shared" si="314"/>
        <v>3</v>
      </c>
      <c r="HSU84">
        <f t="shared" si="314"/>
        <v>3</v>
      </c>
      <c r="HSV84">
        <f t="shared" si="314"/>
        <v>3</v>
      </c>
      <c r="HSW84">
        <f t="shared" si="314"/>
        <v>3</v>
      </c>
      <c r="HSX84">
        <f t="shared" si="314"/>
        <v>3</v>
      </c>
      <c r="HSY84">
        <f t="shared" si="314"/>
        <v>3</v>
      </c>
      <c r="HSZ84">
        <f t="shared" si="314"/>
        <v>3</v>
      </c>
      <c r="HTA84">
        <f t="shared" si="314"/>
        <v>3</v>
      </c>
      <c r="HTB84">
        <f t="shared" si="314"/>
        <v>3</v>
      </c>
      <c r="HTC84">
        <f t="shared" si="314"/>
        <v>3</v>
      </c>
      <c r="HTD84">
        <f t="shared" si="314"/>
        <v>3</v>
      </c>
      <c r="HTE84">
        <f t="shared" si="314"/>
        <v>3</v>
      </c>
      <c r="HTF84">
        <f t="shared" si="314"/>
        <v>3</v>
      </c>
      <c r="HTG84">
        <f t="shared" si="314"/>
        <v>3</v>
      </c>
      <c r="HTH84">
        <f t="shared" si="314"/>
        <v>3</v>
      </c>
      <c r="HTI84">
        <f t="shared" si="314"/>
        <v>3</v>
      </c>
      <c r="HTJ84">
        <f t="shared" si="314"/>
        <v>3</v>
      </c>
      <c r="HTK84">
        <f t="shared" si="314"/>
        <v>3</v>
      </c>
      <c r="HTL84">
        <f t="shared" si="314"/>
        <v>3</v>
      </c>
      <c r="HTM84">
        <f t="shared" si="314"/>
        <v>3</v>
      </c>
      <c r="HTN84">
        <f t="shared" si="314"/>
        <v>3</v>
      </c>
      <c r="HTO84">
        <f t="shared" si="314"/>
        <v>3</v>
      </c>
      <c r="HTP84">
        <f t="shared" si="314"/>
        <v>3</v>
      </c>
      <c r="HTQ84">
        <f t="shared" si="314"/>
        <v>3</v>
      </c>
      <c r="HTR84">
        <f t="shared" si="314"/>
        <v>3</v>
      </c>
      <c r="HTS84">
        <f t="shared" si="314"/>
        <v>3</v>
      </c>
      <c r="HTT84">
        <f t="shared" si="314"/>
        <v>3</v>
      </c>
      <c r="HTU84">
        <f t="shared" si="314"/>
        <v>2</v>
      </c>
      <c r="HTV84">
        <f t="shared" si="314"/>
        <v>2</v>
      </c>
      <c r="HTW84">
        <f t="shared" ref="HTW84:HWH84" si="315">COUNTBLANK(HTW2:HTW5)</f>
        <v>2</v>
      </c>
      <c r="HTX84">
        <f t="shared" si="315"/>
        <v>2</v>
      </c>
      <c r="HTY84">
        <f t="shared" si="315"/>
        <v>2</v>
      </c>
      <c r="HTZ84">
        <f t="shared" si="315"/>
        <v>2</v>
      </c>
      <c r="HUA84">
        <f t="shared" si="315"/>
        <v>2</v>
      </c>
      <c r="HUB84">
        <f t="shared" si="315"/>
        <v>3</v>
      </c>
      <c r="HUC84">
        <f t="shared" si="315"/>
        <v>3</v>
      </c>
      <c r="HUD84">
        <f t="shared" si="315"/>
        <v>3</v>
      </c>
      <c r="HUE84">
        <f t="shared" si="315"/>
        <v>3</v>
      </c>
      <c r="HUF84">
        <f t="shared" si="315"/>
        <v>3</v>
      </c>
      <c r="HUG84">
        <f t="shared" si="315"/>
        <v>3</v>
      </c>
      <c r="HUH84">
        <f t="shared" si="315"/>
        <v>3</v>
      </c>
      <c r="HUI84">
        <f t="shared" si="315"/>
        <v>3</v>
      </c>
      <c r="HUJ84">
        <f t="shared" si="315"/>
        <v>3</v>
      </c>
      <c r="HUK84">
        <f t="shared" si="315"/>
        <v>3</v>
      </c>
      <c r="HUL84">
        <f t="shared" si="315"/>
        <v>3</v>
      </c>
      <c r="HUM84">
        <f t="shared" si="315"/>
        <v>3</v>
      </c>
      <c r="HUN84">
        <f t="shared" si="315"/>
        <v>3</v>
      </c>
      <c r="HUO84">
        <f t="shared" si="315"/>
        <v>3</v>
      </c>
      <c r="HUP84">
        <f t="shared" si="315"/>
        <v>3</v>
      </c>
      <c r="HUQ84">
        <f t="shared" si="315"/>
        <v>3</v>
      </c>
      <c r="HUR84">
        <f t="shared" si="315"/>
        <v>3</v>
      </c>
      <c r="HUS84">
        <f t="shared" si="315"/>
        <v>3</v>
      </c>
      <c r="HUT84">
        <f t="shared" si="315"/>
        <v>3</v>
      </c>
      <c r="HUU84">
        <f t="shared" si="315"/>
        <v>3</v>
      </c>
      <c r="HUV84">
        <f t="shared" si="315"/>
        <v>3</v>
      </c>
      <c r="HUW84">
        <f t="shared" si="315"/>
        <v>3</v>
      </c>
      <c r="HUX84">
        <f t="shared" si="315"/>
        <v>3</v>
      </c>
      <c r="HUY84">
        <f t="shared" si="315"/>
        <v>3</v>
      </c>
      <c r="HUZ84">
        <f t="shared" si="315"/>
        <v>3</v>
      </c>
      <c r="HVA84">
        <f t="shared" si="315"/>
        <v>3</v>
      </c>
      <c r="HVB84">
        <f t="shared" si="315"/>
        <v>3</v>
      </c>
      <c r="HVC84">
        <f t="shared" si="315"/>
        <v>3</v>
      </c>
      <c r="HVD84">
        <f t="shared" si="315"/>
        <v>3</v>
      </c>
      <c r="HVE84">
        <f t="shared" si="315"/>
        <v>3</v>
      </c>
      <c r="HVF84">
        <f t="shared" si="315"/>
        <v>3</v>
      </c>
      <c r="HVG84">
        <f t="shared" si="315"/>
        <v>3</v>
      </c>
      <c r="HVH84">
        <f t="shared" si="315"/>
        <v>3</v>
      </c>
      <c r="HVI84">
        <f t="shared" si="315"/>
        <v>3</v>
      </c>
      <c r="HVJ84">
        <f t="shared" si="315"/>
        <v>3</v>
      </c>
      <c r="HVK84">
        <f t="shared" si="315"/>
        <v>3</v>
      </c>
      <c r="HVL84">
        <f t="shared" si="315"/>
        <v>3</v>
      </c>
      <c r="HVM84">
        <f t="shared" si="315"/>
        <v>3</v>
      </c>
      <c r="HVN84">
        <f t="shared" si="315"/>
        <v>3</v>
      </c>
      <c r="HVO84">
        <f t="shared" si="315"/>
        <v>3</v>
      </c>
      <c r="HVP84">
        <f t="shared" si="315"/>
        <v>3</v>
      </c>
      <c r="HVQ84">
        <f t="shared" si="315"/>
        <v>3</v>
      </c>
      <c r="HVR84">
        <f t="shared" si="315"/>
        <v>3</v>
      </c>
      <c r="HVS84">
        <f t="shared" si="315"/>
        <v>3</v>
      </c>
      <c r="HVT84">
        <f t="shared" si="315"/>
        <v>3</v>
      </c>
      <c r="HVU84">
        <f t="shared" si="315"/>
        <v>3</v>
      </c>
      <c r="HVV84">
        <f t="shared" si="315"/>
        <v>3</v>
      </c>
      <c r="HVW84">
        <f t="shared" si="315"/>
        <v>3</v>
      </c>
      <c r="HVX84">
        <f t="shared" si="315"/>
        <v>3</v>
      </c>
      <c r="HVY84">
        <f t="shared" si="315"/>
        <v>3</v>
      </c>
      <c r="HVZ84">
        <f t="shared" si="315"/>
        <v>3</v>
      </c>
      <c r="HWA84">
        <f t="shared" si="315"/>
        <v>3</v>
      </c>
      <c r="HWB84">
        <f t="shared" si="315"/>
        <v>3</v>
      </c>
      <c r="HWC84">
        <f t="shared" si="315"/>
        <v>3</v>
      </c>
      <c r="HWD84">
        <f t="shared" si="315"/>
        <v>3</v>
      </c>
      <c r="HWE84">
        <f t="shared" si="315"/>
        <v>3</v>
      </c>
      <c r="HWF84">
        <f t="shared" si="315"/>
        <v>3</v>
      </c>
      <c r="HWG84">
        <f t="shared" si="315"/>
        <v>3</v>
      </c>
      <c r="HWH84">
        <f t="shared" si="315"/>
        <v>3</v>
      </c>
      <c r="HWI84">
        <f t="shared" ref="HWI84:HYT84" si="316">COUNTBLANK(HWI2:HWI5)</f>
        <v>3</v>
      </c>
      <c r="HWJ84">
        <f t="shared" si="316"/>
        <v>3</v>
      </c>
      <c r="HWK84">
        <f t="shared" si="316"/>
        <v>3</v>
      </c>
      <c r="HWL84">
        <f t="shared" si="316"/>
        <v>3</v>
      </c>
      <c r="HWM84">
        <f t="shared" si="316"/>
        <v>3</v>
      </c>
      <c r="HWN84">
        <f t="shared" si="316"/>
        <v>3</v>
      </c>
      <c r="HWO84">
        <f t="shared" si="316"/>
        <v>3</v>
      </c>
      <c r="HWP84">
        <f t="shared" si="316"/>
        <v>3</v>
      </c>
      <c r="HWQ84">
        <f t="shared" si="316"/>
        <v>3</v>
      </c>
      <c r="HWR84">
        <f t="shared" si="316"/>
        <v>3</v>
      </c>
      <c r="HWS84">
        <f t="shared" si="316"/>
        <v>3</v>
      </c>
      <c r="HWT84">
        <f t="shared" si="316"/>
        <v>3</v>
      </c>
      <c r="HWU84">
        <f t="shared" si="316"/>
        <v>3</v>
      </c>
      <c r="HWV84">
        <f t="shared" si="316"/>
        <v>3</v>
      </c>
      <c r="HWW84">
        <f t="shared" si="316"/>
        <v>3</v>
      </c>
      <c r="HWX84">
        <f t="shared" si="316"/>
        <v>3</v>
      </c>
      <c r="HWY84">
        <f t="shared" si="316"/>
        <v>3</v>
      </c>
      <c r="HWZ84">
        <f t="shared" si="316"/>
        <v>3</v>
      </c>
      <c r="HXA84">
        <f t="shared" si="316"/>
        <v>3</v>
      </c>
      <c r="HXB84">
        <f t="shared" si="316"/>
        <v>3</v>
      </c>
      <c r="HXC84">
        <f t="shared" si="316"/>
        <v>3</v>
      </c>
      <c r="HXD84">
        <f t="shared" si="316"/>
        <v>3</v>
      </c>
      <c r="HXE84">
        <f t="shared" si="316"/>
        <v>3</v>
      </c>
      <c r="HXF84">
        <f t="shared" si="316"/>
        <v>3</v>
      </c>
      <c r="HXG84">
        <f t="shared" si="316"/>
        <v>3</v>
      </c>
      <c r="HXH84">
        <f t="shared" si="316"/>
        <v>3</v>
      </c>
      <c r="HXI84">
        <f t="shared" si="316"/>
        <v>3</v>
      </c>
      <c r="HXJ84">
        <f t="shared" si="316"/>
        <v>3</v>
      </c>
      <c r="HXK84">
        <f t="shared" si="316"/>
        <v>3</v>
      </c>
      <c r="HXL84">
        <f t="shared" si="316"/>
        <v>3</v>
      </c>
      <c r="HXM84">
        <f t="shared" si="316"/>
        <v>3</v>
      </c>
      <c r="HXN84">
        <f t="shared" si="316"/>
        <v>3</v>
      </c>
      <c r="HXO84">
        <f t="shared" si="316"/>
        <v>3</v>
      </c>
      <c r="HXP84">
        <f t="shared" si="316"/>
        <v>3</v>
      </c>
      <c r="HXQ84">
        <f t="shared" si="316"/>
        <v>3</v>
      </c>
      <c r="HXR84">
        <f t="shared" si="316"/>
        <v>3</v>
      </c>
      <c r="HXS84">
        <f t="shared" si="316"/>
        <v>3</v>
      </c>
      <c r="HXT84">
        <f t="shared" si="316"/>
        <v>3</v>
      </c>
      <c r="HXU84">
        <f t="shared" si="316"/>
        <v>3</v>
      </c>
      <c r="HXV84">
        <f t="shared" si="316"/>
        <v>3</v>
      </c>
      <c r="HXW84">
        <f t="shared" si="316"/>
        <v>3</v>
      </c>
      <c r="HXX84">
        <f t="shared" si="316"/>
        <v>3</v>
      </c>
      <c r="HXY84">
        <f t="shared" si="316"/>
        <v>3</v>
      </c>
      <c r="HXZ84">
        <f t="shared" si="316"/>
        <v>3</v>
      </c>
      <c r="HYA84">
        <f t="shared" si="316"/>
        <v>3</v>
      </c>
      <c r="HYB84">
        <f t="shared" si="316"/>
        <v>3</v>
      </c>
      <c r="HYC84">
        <f t="shared" si="316"/>
        <v>3</v>
      </c>
      <c r="HYD84">
        <f t="shared" si="316"/>
        <v>3</v>
      </c>
      <c r="HYE84">
        <f t="shared" si="316"/>
        <v>3</v>
      </c>
      <c r="HYF84">
        <f t="shared" si="316"/>
        <v>3</v>
      </c>
      <c r="HYG84">
        <f t="shared" si="316"/>
        <v>3</v>
      </c>
      <c r="HYH84">
        <f t="shared" si="316"/>
        <v>3</v>
      </c>
      <c r="HYI84">
        <f t="shared" si="316"/>
        <v>3</v>
      </c>
      <c r="HYJ84">
        <f t="shared" si="316"/>
        <v>3</v>
      </c>
      <c r="HYK84">
        <f t="shared" si="316"/>
        <v>3</v>
      </c>
      <c r="HYL84">
        <f t="shared" si="316"/>
        <v>3</v>
      </c>
      <c r="HYM84">
        <f t="shared" si="316"/>
        <v>3</v>
      </c>
      <c r="HYN84">
        <f t="shared" si="316"/>
        <v>3</v>
      </c>
      <c r="HYO84">
        <f t="shared" si="316"/>
        <v>3</v>
      </c>
      <c r="HYP84">
        <f t="shared" si="316"/>
        <v>3</v>
      </c>
      <c r="HYQ84">
        <f t="shared" si="316"/>
        <v>3</v>
      </c>
      <c r="HYR84">
        <f t="shared" si="316"/>
        <v>3</v>
      </c>
      <c r="HYS84">
        <f t="shared" si="316"/>
        <v>3</v>
      </c>
      <c r="HYT84">
        <f t="shared" si="316"/>
        <v>3</v>
      </c>
      <c r="HYU84">
        <f t="shared" ref="HYU84:IBF84" si="317">COUNTBLANK(HYU2:HYU5)</f>
        <v>3</v>
      </c>
      <c r="HYV84">
        <f t="shared" si="317"/>
        <v>3</v>
      </c>
      <c r="HYW84">
        <f t="shared" si="317"/>
        <v>3</v>
      </c>
      <c r="HYX84">
        <f t="shared" si="317"/>
        <v>3</v>
      </c>
      <c r="HYY84">
        <f t="shared" si="317"/>
        <v>3</v>
      </c>
      <c r="HYZ84">
        <f t="shared" si="317"/>
        <v>3</v>
      </c>
      <c r="HZA84">
        <f t="shared" si="317"/>
        <v>3</v>
      </c>
      <c r="HZB84">
        <f t="shared" si="317"/>
        <v>3</v>
      </c>
      <c r="HZC84">
        <f t="shared" si="317"/>
        <v>3</v>
      </c>
      <c r="HZD84">
        <f t="shared" si="317"/>
        <v>3</v>
      </c>
      <c r="HZE84">
        <f t="shared" si="317"/>
        <v>3</v>
      </c>
      <c r="HZF84">
        <f t="shared" si="317"/>
        <v>2</v>
      </c>
      <c r="HZG84">
        <f t="shared" si="317"/>
        <v>2</v>
      </c>
      <c r="HZH84">
        <f t="shared" si="317"/>
        <v>2</v>
      </c>
      <c r="HZI84">
        <f t="shared" si="317"/>
        <v>2</v>
      </c>
      <c r="HZJ84">
        <f t="shared" si="317"/>
        <v>2</v>
      </c>
      <c r="HZK84">
        <f t="shared" si="317"/>
        <v>2</v>
      </c>
      <c r="HZL84">
        <f t="shared" si="317"/>
        <v>2</v>
      </c>
      <c r="HZM84">
        <f t="shared" si="317"/>
        <v>3</v>
      </c>
      <c r="HZN84">
        <f t="shared" si="317"/>
        <v>3</v>
      </c>
      <c r="HZO84">
        <f t="shared" si="317"/>
        <v>3</v>
      </c>
      <c r="HZP84">
        <f t="shared" si="317"/>
        <v>3</v>
      </c>
      <c r="HZQ84">
        <f t="shared" si="317"/>
        <v>3</v>
      </c>
      <c r="HZR84">
        <f t="shared" si="317"/>
        <v>3</v>
      </c>
      <c r="HZS84">
        <f t="shared" si="317"/>
        <v>3</v>
      </c>
      <c r="HZT84">
        <f t="shared" si="317"/>
        <v>3</v>
      </c>
      <c r="HZU84">
        <f t="shared" si="317"/>
        <v>3</v>
      </c>
      <c r="HZV84">
        <f t="shared" si="317"/>
        <v>3</v>
      </c>
      <c r="HZW84">
        <f t="shared" si="317"/>
        <v>3</v>
      </c>
      <c r="HZX84">
        <f t="shared" si="317"/>
        <v>3</v>
      </c>
      <c r="HZY84">
        <f t="shared" si="317"/>
        <v>3</v>
      </c>
      <c r="HZZ84">
        <f t="shared" si="317"/>
        <v>3</v>
      </c>
      <c r="IAA84">
        <f t="shared" si="317"/>
        <v>3</v>
      </c>
      <c r="IAB84">
        <f t="shared" si="317"/>
        <v>3</v>
      </c>
      <c r="IAC84">
        <f t="shared" si="317"/>
        <v>3</v>
      </c>
      <c r="IAD84">
        <f t="shared" si="317"/>
        <v>3</v>
      </c>
      <c r="IAE84">
        <f t="shared" si="317"/>
        <v>3</v>
      </c>
      <c r="IAF84">
        <f t="shared" si="317"/>
        <v>3</v>
      </c>
      <c r="IAG84">
        <f t="shared" si="317"/>
        <v>3</v>
      </c>
      <c r="IAH84">
        <f t="shared" si="317"/>
        <v>3</v>
      </c>
      <c r="IAI84">
        <f t="shared" si="317"/>
        <v>3</v>
      </c>
      <c r="IAJ84">
        <f t="shared" si="317"/>
        <v>3</v>
      </c>
      <c r="IAK84">
        <f t="shared" si="317"/>
        <v>3</v>
      </c>
      <c r="IAL84">
        <f t="shared" si="317"/>
        <v>3</v>
      </c>
      <c r="IAM84">
        <f t="shared" si="317"/>
        <v>3</v>
      </c>
      <c r="IAN84">
        <f t="shared" si="317"/>
        <v>3</v>
      </c>
      <c r="IAO84">
        <f t="shared" si="317"/>
        <v>3</v>
      </c>
      <c r="IAP84">
        <f t="shared" si="317"/>
        <v>3</v>
      </c>
      <c r="IAQ84">
        <f t="shared" si="317"/>
        <v>3</v>
      </c>
      <c r="IAR84">
        <f t="shared" si="317"/>
        <v>3</v>
      </c>
      <c r="IAS84">
        <f t="shared" si="317"/>
        <v>3</v>
      </c>
      <c r="IAT84">
        <f t="shared" si="317"/>
        <v>3</v>
      </c>
      <c r="IAU84">
        <f t="shared" si="317"/>
        <v>3</v>
      </c>
      <c r="IAV84">
        <f t="shared" si="317"/>
        <v>3</v>
      </c>
      <c r="IAW84">
        <f t="shared" si="317"/>
        <v>3</v>
      </c>
      <c r="IAX84">
        <f t="shared" si="317"/>
        <v>3</v>
      </c>
      <c r="IAY84">
        <f t="shared" si="317"/>
        <v>3</v>
      </c>
      <c r="IAZ84">
        <f t="shared" si="317"/>
        <v>3</v>
      </c>
      <c r="IBA84">
        <f t="shared" si="317"/>
        <v>3</v>
      </c>
      <c r="IBB84">
        <f t="shared" si="317"/>
        <v>3</v>
      </c>
      <c r="IBC84">
        <f t="shared" si="317"/>
        <v>3</v>
      </c>
      <c r="IBD84">
        <f t="shared" si="317"/>
        <v>3</v>
      </c>
      <c r="IBE84">
        <f t="shared" si="317"/>
        <v>3</v>
      </c>
      <c r="IBF84">
        <f t="shared" si="317"/>
        <v>3</v>
      </c>
      <c r="IBG84">
        <f t="shared" ref="IBG84:IDR84" si="318">COUNTBLANK(IBG2:IBG5)</f>
        <v>3</v>
      </c>
      <c r="IBH84">
        <f t="shared" si="318"/>
        <v>3</v>
      </c>
      <c r="IBI84">
        <f t="shared" si="318"/>
        <v>3</v>
      </c>
      <c r="IBJ84">
        <f t="shared" si="318"/>
        <v>3</v>
      </c>
      <c r="IBK84">
        <f t="shared" si="318"/>
        <v>3</v>
      </c>
      <c r="IBL84">
        <f t="shared" si="318"/>
        <v>3</v>
      </c>
      <c r="IBM84">
        <f t="shared" si="318"/>
        <v>3</v>
      </c>
      <c r="IBN84">
        <f t="shared" si="318"/>
        <v>3</v>
      </c>
      <c r="IBO84">
        <f t="shared" si="318"/>
        <v>3</v>
      </c>
      <c r="IBP84">
        <f t="shared" si="318"/>
        <v>3</v>
      </c>
      <c r="IBQ84">
        <f t="shared" si="318"/>
        <v>3</v>
      </c>
      <c r="IBR84">
        <f t="shared" si="318"/>
        <v>3</v>
      </c>
      <c r="IBS84">
        <f t="shared" si="318"/>
        <v>3</v>
      </c>
      <c r="IBT84">
        <f t="shared" si="318"/>
        <v>3</v>
      </c>
      <c r="IBU84">
        <f t="shared" si="318"/>
        <v>3</v>
      </c>
      <c r="IBV84">
        <f t="shared" si="318"/>
        <v>3</v>
      </c>
      <c r="IBW84">
        <f t="shared" si="318"/>
        <v>3</v>
      </c>
      <c r="IBX84">
        <f t="shared" si="318"/>
        <v>3</v>
      </c>
      <c r="IBY84">
        <f t="shared" si="318"/>
        <v>3</v>
      </c>
      <c r="IBZ84">
        <f t="shared" si="318"/>
        <v>3</v>
      </c>
      <c r="ICA84">
        <f t="shared" si="318"/>
        <v>3</v>
      </c>
      <c r="ICB84">
        <f t="shared" si="318"/>
        <v>3</v>
      </c>
      <c r="ICC84">
        <f t="shared" si="318"/>
        <v>3</v>
      </c>
      <c r="ICD84">
        <f t="shared" si="318"/>
        <v>3</v>
      </c>
      <c r="ICE84">
        <f t="shared" si="318"/>
        <v>3</v>
      </c>
      <c r="ICF84">
        <f t="shared" si="318"/>
        <v>3</v>
      </c>
      <c r="ICG84">
        <f t="shared" si="318"/>
        <v>3</v>
      </c>
      <c r="ICH84">
        <f t="shared" si="318"/>
        <v>3</v>
      </c>
      <c r="ICI84">
        <f t="shared" si="318"/>
        <v>3</v>
      </c>
      <c r="ICJ84">
        <f t="shared" si="318"/>
        <v>3</v>
      </c>
      <c r="ICK84">
        <f t="shared" si="318"/>
        <v>3</v>
      </c>
      <c r="ICL84">
        <f t="shared" si="318"/>
        <v>3</v>
      </c>
      <c r="ICM84">
        <f t="shared" si="318"/>
        <v>3</v>
      </c>
      <c r="ICN84">
        <f t="shared" si="318"/>
        <v>3</v>
      </c>
      <c r="ICO84">
        <f t="shared" si="318"/>
        <v>3</v>
      </c>
      <c r="ICP84">
        <f t="shared" si="318"/>
        <v>3</v>
      </c>
      <c r="ICQ84">
        <f t="shared" si="318"/>
        <v>3</v>
      </c>
      <c r="ICR84">
        <f t="shared" si="318"/>
        <v>3</v>
      </c>
      <c r="ICS84">
        <f t="shared" si="318"/>
        <v>3</v>
      </c>
      <c r="ICT84">
        <f t="shared" si="318"/>
        <v>3</v>
      </c>
      <c r="ICU84">
        <f t="shared" si="318"/>
        <v>3</v>
      </c>
      <c r="ICV84">
        <f t="shared" si="318"/>
        <v>3</v>
      </c>
      <c r="ICW84">
        <f t="shared" si="318"/>
        <v>3</v>
      </c>
      <c r="ICX84">
        <f t="shared" si="318"/>
        <v>3</v>
      </c>
      <c r="ICY84">
        <f t="shared" si="318"/>
        <v>3</v>
      </c>
      <c r="ICZ84">
        <f t="shared" si="318"/>
        <v>3</v>
      </c>
      <c r="IDA84">
        <f t="shared" si="318"/>
        <v>3</v>
      </c>
      <c r="IDB84">
        <f t="shared" si="318"/>
        <v>3</v>
      </c>
      <c r="IDC84">
        <f t="shared" si="318"/>
        <v>3</v>
      </c>
      <c r="IDD84">
        <f t="shared" si="318"/>
        <v>3</v>
      </c>
      <c r="IDE84">
        <f t="shared" si="318"/>
        <v>3</v>
      </c>
      <c r="IDF84">
        <f t="shared" si="318"/>
        <v>3</v>
      </c>
      <c r="IDG84">
        <f t="shared" si="318"/>
        <v>3</v>
      </c>
      <c r="IDH84">
        <f t="shared" si="318"/>
        <v>3</v>
      </c>
      <c r="IDI84">
        <f t="shared" si="318"/>
        <v>3</v>
      </c>
      <c r="IDJ84">
        <f t="shared" si="318"/>
        <v>3</v>
      </c>
      <c r="IDK84">
        <f t="shared" si="318"/>
        <v>3</v>
      </c>
      <c r="IDL84">
        <f t="shared" si="318"/>
        <v>3</v>
      </c>
      <c r="IDM84">
        <f t="shared" si="318"/>
        <v>3</v>
      </c>
      <c r="IDN84">
        <f t="shared" si="318"/>
        <v>3</v>
      </c>
      <c r="IDO84">
        <f t="shared" si="318"/>
        <v>3</v>
      </c>
      <c r="IDP84">
        <f t="shared" si="318"/>
        <v>3</v>
      </c>
      <c r="IDQ84">
        <f t="shared" si="318"/>
        <v>3</v>
      </c>
      <c r="IDR84">
        <f t="shared" si="318"/>
        <v>3</v>
      </c>
      <c r="IDS84">
        <f t="shared" ref="IDS84:IGD84" si="319">COUNTBLANK(IDS2:IDS5)</f>
        <v>3</v>
      </c>
      <c r="IDT84">
        <f t="shared" si="319"/>
        <v>3</v>
      </c>
      <c r="IDU84">
        <f t="shared" si="319"/>
        <v>3</v>
      </c>
      <c r="IDV84">
        <f t="shared" si="319"/>
        <v>3</v>
      </c>
      <c r="IDW84">
        <f t="shared" si="319"/>
        <v>3</v>
      </c>
      <c r="IDX84">
        <f t="shared" si="319"/>
        <v>3</v>
      </c>
      <c r="IDY84">
        <f t="shared" si="319"/>
        <v>3</v>
      </c>
      <c r="IDZ84">
        <f t="shared" si="319"/>
        <v>3</v>
      </c>
      <c r="IEA84">
        <f t="shared" si="319"/>
        <v>3</v>
      </c>
      <c r="IEB84">
        <f t="shared" si="319"/>
        <v>3</v>
      </c>
      <c r="IEC84">
        <f t="shared" si="319"/>
        <v>3</v>
      </c>
      <c r="IED84">
        <f t="shared" si="319"/>
        <v>3</v>
      </c>
      <c r="IEE84">
        <f t="shared" si="319"/>
        <v>3</v>
      </c>
      <c r="IEF84">
        <f t="shared" si="319"/>
        <v>3</v>
      </c>
      <c r="IEG84">
        <f t="shared" si="319"/>
        <v>3</v>
      </c>
      <c r="IEH84">
        <f t="shared" si="319"/>
        <v>3</v>
      </c>
      <c r="IEI84">
        <f t="shared" si="319"/>
        <v>3</v>
      </c>
      <c r="IEJ84">
        <f t="shared" si="319"/>
        <v>3</v>
      </c>
      <c r="IEK84">
        <f t="shared" si="319"/>
        <v>3</v>
      </c>
      <c r="IEL84">
        <f t="shared" si="319"/>
        <v>3</v>
      </c>
      <c r="IEM84">
        <f t="shared" si="319"/>
        <v>3</v>
      </c>
      <c r="IEN84">
        <f t="shared" si="319"/>
        <v>3</v>
      </c>
      <c r="IEO84">
        <f t="shared" si="319"/>
        <v>3</v>
      </c>
      <c r="IEP84">
        <f t="shared" si="319"/>
        <v>3</v>
      </c>
      <c r="IEQ84">
        <f t="shared" si="319"/>
        <v>3</v>
      </c>
      <c r="IER84">
        <f t="shared" si="319"/>
        <v>3</v>
      </c>
      <c r="IES84">
        <f t="shared" si="319"/>
        <v>3</v>
      </c>
      <c r="IET84">
        <f t="shared" si="319"/>
        <v>3</v>
      </c>
      <c r="IEU84">
        <f t="shared" si="319"/>
        <v>3</v>
      </c>
      <c r="IEV84">
        <f t="shared" si="319"/>
        <v>3</v>
      </c>
      <c r="IEW84">
        <f t="shared" si="319"/>
        <v>3</v>
      </c>
      <c r="IEX84">
        <f t="shared" si="319"/>
        <v>3</v>
      </c>
      <c r="IEY84">
        <f t="shared" si="319"/>
        <v>3</v>
      </c>
      <c r="IEZ84">
        <f t="shared" si="319"/>
        <v>3</v>
      </c>
      <c r="IFA84">
        <f t="shared" si="319"/>
        <v>3</v>
      </c>
      <c r="IFB84">
        <f t="shared" si="319"/>
        <v>3</v>
      </c>
      <c r="IFC84">
        <f t="shared" si="319"/>
        <v>3</v>
      </c>
      <c r="IFD84">
        <f t="shared" si="319"/>
        <v>3</v>
      </c>
      <c r="IFE84">
        <f t="shared" si="319"/>
        <v>3</v>
      </c>
      <c r="IFF84">
        <f t="shared" si="319"/>
        <v>3</v>
      </c>
      <c r="IFG84">
        <f t="shared" si="319"/>
        <v>3</v>
      </c>
      <c r="IFH84">
        <f t="shared" si="319"/>
        <v>3</v>
      </c>
      <c r="IFI84">
        <f t="shared" si="319"/>
        <v>3</v>
      </c>
      <c r="IFJ84">
        <f t="shared" si="319"/>
        <v>3</v>
      </c>
      <c r="IFK84">
        <f t="shared" si="319"/>
        <v>3</v>
      </c>
      <c r="IFL84">
        <f t="shared" si="319"/>
        <v>3</v>
      </c>
      <c r="IFM84">
        <f t="shared" si="319"/>
        <v>3</v>
      </c>
      <c r="IFN84">
        <f t="shared" si="319"/>
        <v>3</v>
      </c>
      <c r="IFO84">
        <f t="shared" si="319"/>
        <v>3</v>
      </c>
      <c r="IFP84">
        <f t="shared" si="319"/>
        <v>3</v>
      </c>
      <c r="IFQ84">
        <f t="shared" si="319"/>
        <v>3</v>
      </c>
      <c r="IFR84">
        <f t="shared" si="319"/>
        <v>3</v>
      </c>
      <c r="IFS84">
        <f t="shared" si="319"/>
        <v>3</v>
      </c>
      <c r="IFT84">
        <f t="shared" si="319"/>
        <v>3</v>
      </c>
      <c r="IFU84">
        <f t="shared" si="319"/>
        <v>3</v>
      </c>
      <c r="IFV84">
        <f t="shared" si="319"/>
        <v>3</v>
      </c>
      <c r="IFW84">
        <f t="shared" si="319"/>
        <v>3</v>
      </c>
      <c r="IFX84">
        <f t="shared" si="319"/>
        <v>3</v>
      </c>
      <c r="IFY84">
        <f t="shared" si="319"/>
        <v>3</v>
      </c>
      <c r="IFZ84">
        <f t="shared" si="319"/>
        <v>3</v>
      </c>
      <c r="IGA84">
        <f t="shared" si="319"/>
        <v>3</v>
      </c>
      <c r="IGB84">
        <f t="shared" si="319"/>
        <v>3</v>
      </c>
      <c r="IGC84">
        <f t="shared" si="319"/>
        <v>3</v>
      </c>
      <c r="IGD84">
        <f t="shared" si="319"/>
        <v>3</v>
      </c>
      <c r="IGE84">
        <f t="shared" ref="IGE84:IIP84" si="320">COUNTBLANK(IGE2:IGE5)</f>
        <v>3</v>
      </c>
      <c r="IGF84">
        <f t="shared" si="320"/>
        <v>3</v>
      </c>
      <c r="IGG84">
        <f t="shared" si="320"/>
        <v>3</v>
      </c>
      <c r="IGH84">
        <f t="shared" si="320"/>
        <v>3</v>
      </c>
      <c r="IGI84">
        <f t="shared" si="320"/>
        <v>3</v>
      </c>
      <c r="IGJ84">
        <f t="shared" si="320"/>
        <v>3</v>
      </c>
      <c r="IGK84">
        <f t="shared" si="320"/>
        <v>3</v>
      </c>
      <c r="IGL84">
        <f t="shared" si="320"/>
        <v>3</v>
      </c>
      <c r="IGM84">
        <f t="shared" si="320"/>
        <v>3</v>
      </c>
      <c r="IGN84">
        <f t="shared" si="320"/>
        <v>3</v>
      </c>
      <c r="IGO84">
        <f t="shared" si="320"/>
        <v>3</v>
      </c>
      <c r="IGP84">
        <f t="shared" si="320"/>
        <v>3</v>
      </c>
      <c r="IGQ84">
        <f t="shared" si="320"/>
        <v>3</v>
      </c>
      <c r="IGR84">
        <f t="shared" si="320"/>
        <v>3</v>
      </c>
      <c r="IGS84">
        <f t="shared" si="320"/>
        <v>3</v>
      </c>
      <c r="IGT84">
        <f t="shared" si="320"/>
        <v>3</v>
      </c>
      <c r="IGU84">
        <f t="shared" si="320"/>
        <v>3</v>
      </c>
      <c r="IGV84">
        <f t="shared" si="320"/>
        <v>3</v>
      </c>
      <c r="IGW84">
        <f t="shared" si="320"/>
        <v>3</v>
      </c>
      <c r="IGX84">
        <f t="shared" si="320"/>
        <v>3</v>
      </c>
      <c r="IGY84">
        <f t="shared" si="320"/>
        <v>3</v>
      </c>
      <c r="IGZ84">
        <f t="shared" si="320"/>
        <v>3</v>
      </c>
      <c r="IHA84">
        <f t="shared" si="320"/>
        <v>3</v>
      </c>
      <c r="IHB84">
        <f t="shared" si="320"/>
        <v>3</v>
      </c>
      <c r="IHC84">
        <f t="shared" si="320"/>
        <v>3</v>
      </c>
      <c r="IHD84">
        <f t="shared" si="320"/>
        <v>3</v>
      </c>
      <c r="IHE84">
        <f t="shared" si="320"/>
        <v>3</v>
      </c>
      <c r="IHF84">
        <f t="shared" si="320"/>
        <v>3</v>
      </c>
      <c r="IHG84">
        <f t="shared" si="320"/>
        <v>3</v>
      </c>
      <c r="IHH84">
        <f t="shared" si="320"/>
        <v>3</v>
      </c>
      <c r="IHI84">
        <f t="shared" si="320"/>
        <v>3</v>
      </c>
      <c r="IHJ84">
        <f t="shared" si="320"/>
        <v>3</v>
      </c>
      <c r="IHK84">
        <f t="shared" si="320"/>
        <v>3</v>
      </c>
      <c r="IHL84">
        <f t="shared" si="320"/>
        <v>3</v>
      </c>
      <c r="IHM84">
        <f t="shared" si="320"/>
        <v>3</v>
      </c>
      <c r="IHN84">
        <f t="shared" si="320"/>
        <v>3</v>
      </c>
      <c r="IHO84">
        <f t="shared" si="320"/>
        <v>3</v>
      </c>
      <c r="IHP84">
        <f t="shared" si="320"/>
        <v>3</v>
      </c>
      <c r="IHQ84">
        <f t="shared" si="320"/>
        <v>3</v>
      </c>
      <c r="IHR84">
        <f t="shared" si="320"/>
        <v>3</v>
      </c>
      <c r="IHS84">
        <f t="shared" si="320"/>
        <v>3</v>
      </c>
      <c r="IHT84">
        <f t="shared" si="320"/>
        <v>3</v>
      </c>
      <c r="IHU84">
        <f t="shared" si="320"/>
        <v>3</v>
      </c>
      <c r="IHV84">
        <f t="shared" si="320"/>
        <v>3</v>
      </c>
      <c r="IHW84">
        <f t="shared" si="320"/>
        <v>3</v>
      </c>
      <c r="IHX84">
        <f t="shared" si="320"/>
        <v>3</v>
      </c>
      <c r="IHY84">
        <f t="shared" si="320"/>
        <v>3</v>
      </c>
      <c r="IHZ84">
        <f t="shared" si="320"/>
        <v>3</v>
      </c>
      <c r="IIA84">
        <f t="shared" si="320"/>
        <v>3</v>
      </c>
      <c r="IIB84">
        <f t="shared" si="320"/>
        <v>3</v>
      </c>
      <c r="IIC84">
        <f t="shared" si="320"/>
        <v>3</v>
      </c>
      <c r="IID84">
        <f t="shared" si="320"/>
        <v>3</v>
      </c>
      <c r="IIE84">
        <f t="shared" si="320"/>
        <v>3</v>
      </c>
      <c r="IIF84">
        <f t="shared" si="320"/>
        <v>3</v>
      </c>
      <c r="IIG84">
        <f t="shared" si="320"/>
        <v>3</v>
      </c>
      <c r="IIH84">
        <f t="shared" si="320"/>
        <v>3</v>
      </c>
      <c r="III84">
        <f t="shared" si="320"/>
        <v>3</v>
      </c>
      <c r="IIJ84">
        <f t="shared" si="320"/>
        <v>3</v>
      </c>
      <c r="IIK84">
        <f t="shared" si="320"/>
        <v>3</v>
      </c>
      <c r="IIL84">
        <f t="shared" si="320"/>
        <v>3</v>
      </c>
      <c r="IIM84">
        <f t="shared" si="320"/>
        <v>3</v>
      </c>
      <c r="IIN84">
        <f t="shared" si="320"/>
        <v>3</v>
      </c>
      <c r="IIO84">
        <f t="shared" si="320"/>
        <v>3</v>
      </c>
      <c r="IIP84">
        <f t="shared" si="320"/>
        <v>3</v>
      </c>
      <c r="IIQ84">
        <f t="shared" ref="IIQ84:ILB84" si="321">COUNTBLANK(IIQ2:IIQ5)</f>
        <v>3</v>
      </c>
      <c r="IIR84">
        <f t="shared" si="321"/>
        <v>3</v>
      </c>
      <c r="IIS84">
        <f t="shared" si="321"/>
        <v>3</v>
      </c>
      <c r="IIT84">
        <f t="shared" si="321"/>
        <v>3</v>
      </c>
      <c r="IIU84">
        <f t="shared" si="321"/>
        <v>3</v>
      </c>
      <c r="IIV84">
        <f t="shared" si="321"/>
        <v>3</v>
      </c>
      <c r="IIW84">
        <f t="shared" si="321"/>
        <v>3</v>
      </c>
      <c r="IIX84">
        <f t="shared" si="321"/>
        <v>3</v>
      </c>
      <c r="IIY84">
        <f t="shared" si="321"/>
        <v>3</v>
      </c>
      <c r="IIZ84">
        <f t="shared" si="321"/>
        <v>3</v>
      </c>
      <c r="IJA84">
        <f t="shared" si="321"/>
        <v>3</v>
      </c>
      <c r="IJB84">
        <f t="shared" si="321"/>
        <v>3</v>
      </c>
      <c r="IJC84">
        <f t="shared" si="321"/>
        <v>3</v>
      </c>
      <c r="IJD84">
        <f t="shared" si="321"/>
        <v>3</v>
      </c>
      <c r="IJE84">
        <f t="shared" si="321"/>
        <v>3</v>
      </c>
      <c r="IJF84">
        <f t="shared" si="321"/>
        <v>3</v>
      </c>
      <c r="IJG84">
        <f t="shared" si="321"/>
        <v>3</v>
      </c>
      <c r="IJH84">
        <f t="shared" si="321"/>
        <v>3</v>
      </c>
      <c r="IJI84">
        <f t="shared" si="321"/>
        <v>3</v>
      </c>
      <c r="IJJ84">
        <f t="shared" si="321"/>
        <v>3</v>
      </c>
      <c r="IJK84">
        <f t="shared" si="321"/>
        <v>3</v>
      </c>
      <c r="IJL84">
        <f t="shared" si="321"/>
        <v>3</v>
      </c>
      <c r="IJM84">
        <f t="shared" si="321"/>
        <v>3</v>
      </c>
      <c r="IJN84">
        <f t="shared" si="321"/>
        <v>3</v>
      </c>
      <c r="IJO84">
        <f t="shared" si="321"/>
        <v>3</v>
      </c>
      <c r="IJP84">
        <f t="shared" si="321"/>
        <v>3</v>
      </c>
      <c r="IJQ84">
        <f t="shared" si="321"/>
        <v>3</v>
      </c>
      <c r="IJR84">
        <f t="shared" si="321"/>
        <v>3</v>
      </c>
      <c r="IJS84">
        <f t="shared" si="321"/>
        <v>3</v>
      </c>
      <c r="IJT84">
        <f t="shared" si="321"/>
        <v>3</v>
      </c>
      <c r="IJU84">
        <f t="shared" si="321"/>
        <v>3</v>
      </c>
      <c r="IJV84">
        <f t="shared" si="321"/>
        <v>3</v>
      </c>
      <c r="IJW84">
        <f t="shared" si="321"/>
        <v>3</v>
      </c>
      <c r="IJX84">
        <f t="shared" si="321"/>
        <v>3</v>
      </c>
      <c r="IJY84">
        <f t="shared" si="321"/>
        <v>3</v>
      </c>
      <c r="IJZ84">
        <f t="shared" si="321"/>
        <v>3</v>
      </c>
      <c r="IKA84">
        <f t="shared" si="321"/>
        <v>3</v>
      </c>
      <c r="IKB84">
        <f t="shared" si="321"/>
        <v>3</v>
      </c>
      <c r="IKC84">
        <f t="shared" si="321"/>
        <v>3</v>
      </c>
      <c r="IKD84">
        <f t="shared" si="321"/>
        <v>3</v>
      </c>
      <c r="IKE84">
        <f t="shared" si="321"/>
        <v>3</v>
      </c>
      <c r="IKF84">
        <f t="shared" si="321"/>
        <v>3</v>
      </c>
      <c r="IKG84">
        <f t="shared" si="321"/>
        <v>3</v>
      </c>
      <c r="IKH84">
        <f t="shared" si="321"/>
        <v>3</v>
      </c>
      <c r="IKI84">
        <f t="shared" si="321"/>
        <v>3</v>
      </c>
      <c r="IKJ84">
        <f t="shared" si="321"/>
        <v>3</v>
      </c>
      <c r="IKK84">
        <f t="shared" si="321"/>
        <v>3</v>
      </c>
      <c r="IKL84">
        <f t="shared" si="321"/>
        <v>3</v>
      </c>
      <c r="IKM84">
        <f t="shared" si="321"/>
        <v>3</v>
      </c>
      <c r="IKN84">
        <f t="shared" si="321"/>
        <v>3</v>
      </c>
      <c r="IKO84">
        <f t="shared" si="321"/>
        <v>3</v>
      </c>
      <c r="IKP84">
        <f t="shared" si="321"/>
        <v>3</v>
      </c>
      <c r="IKQ84">
        <f t="shared" si="321"/>
        <v>3</v>
      </c>
      <c r="IKR84">
        <f t="shared" si="321"/>
        <v>3</v>
      </c>
      <c r="IKS84">
        <f t="shared" si="321"/>
        <v>3</v>
      </c>
      <c r="IKT84">
        <f t="shared" si="321"/>
        <v>3</v>
      </c>
      <c r="IKU84">
        <f t="shared" si="321"/>
        <v>3</v>
      </c>
      <c r="IKV84">
        <f t="shared" si="321"/>
        <v>3</v>
      </c>
      <c r="IKW84">
        <f t="shared" si="321"/>
        <v>3</v>
      </c>
      <c r="IKX84">
        <f t="shared" si="321"/>
        <v>3</v>
      </c>
      <c r="IKY84">
        <f t="shared" si="321"/>
        <v>3</v>
      </c>
      <c r="IKZ84">
        <f t="shared" si="321"/>
        <v>3</v>
      </c>
      <c r="ILA84">
        <f t="shared" si="321"/>
        <v>3</v>
      </c>
      <c r="ILB84">
        <f t="shared" si="321"/>
        <v>3</v>
      </c>
      <c r="ILC84">
        <f t="shared" ref="ILC84:INN84" si="322">COUNTBLANK(ILC2:ILC5)</f>
        <v>3</v>
      </c>
      <c r="ILD84">
        <f t="shared" si="322"/>
        <v>3</v>
      </c>
      <c r="ILE84">
        <f t="shared" si="322"/>
        <v>3</v>
      </c>
      <c r="ILF84">
        <f t="shared" si="322"/>
        <v>3</v>
      </c>
      <c r="ILG84">
        <f t="shared" si="322"/>
        <v>3</v>
      </c>
      <c r="ILH84">
        <f t="shared" si="322"/>
        <v>3</v>
      </c>
      <c r="ILI84">
        <f t="shared" si="322"/>
        <v>3</v>
      </c>
      <c r="ILJ84">
        <f t="shared" si="322"/>
        <v>3</v>
      </c>
      <c r="ILK84">
        <f t="shared" si="322"/>
        <v>3</v>
      </c>
      <c r="ILL84">
        <f t="shared" si="322"/>
        <v>3</v>
      </c>
      <c r="ILM84">
        <f t="shared" si="322"/>
        <v>3</v>
      </c>
      <c r="ILN84">
        <f t="shared" si="322"/>
        <v>3</v>
      </c>
      <c r="ILO84">
        <f t="shared" si="322"/>
        <v>3</v>
      </c>
      <c r="ILP84">
        <f t="shared" si="322"/>
        <v>3</v>
      </c>
      <c r="ILQ84">
        <f t="shared" si="322"/>
        <v>3</v>
      </c>
      <c r="ILR84">
        <f t="shared" si="322"/>
        <v>3</v>
      </c>
      <c r="ILS84">
        <f t="shared" si="322"/>
        <v>3</v>
      </c>
      <c r="ILT84">
        <f t="shared" si="322"/>
        <v>3</v>
      </c>
      <c r="ILU84">
        <f t="shared" si="322"/>
        <v>3</v>
      </c>
      <c r="ILV84">
        <f t="shared" si="322"/>
        <v>3</v>
      </c>
      <c r="ILW84">
        <f t="shared" si="322"/>
        <v>3</v>
      </c>
      <c r="ILX84">
        <f t="shared" si="322"/>
        <v>3</v>
      </c>
      <c r="ILY84">
        <f t="shared" si="322"/>
        <v>3</v>
      </c>
      <c r="ILZ84">
        <f t="shared" si="322"/>
        <v>3</v>
      </c>
      <c r="IMA84">
        <f t="shared" si="322"/>
        <v>3</v>
      </c>
      <c r="IMB84">
        <f t="shared" si="322"/>
        <v>3</v>
      </c>
      <c r="IMC84">
        <f t="shared" si="322"/>
        <v>3</v>
      </c>
      <c r="IMD84">
        <f t="shared" si="322"/>
        <v>3</v>
      </c>
      <c r="IME84">
        <f t="shared" si="322"/>
        <v>3</v>
      </c>
      <c r="IMF84">
        <f t="shared" si="322"/>
        <v>3</v>
      </c>
      <c r="IMG84">
        <f t="shared" si="322"/>
        <v>3</v>
      </c>
      <c r="IMH84">
        <f t="shared" si="322"/>
        <v>3</v>
      </c>
      <c r="IMI84">
        <f t="shared" si="322"/>
        <v>3</v>
      </c>
      <c r="IMJ84">
        <f t="shared" si="322"/>
        <v>3</v>
      </c>
      <c r="IMK84">
        <f t="shared" si="322"/>
        <v>3</v>
      </c>
      <c r="IML84">
        <f t="shared" si="322"/>
        <v>3</v>
      </c>
      <c r="IMM84">
        <f t="shared" si="322"/>
        <v>3</v>
      </c>
      <c r="IMN84">
        <f t="shared" si="322"/>
        <v>3</v>
      </c>
      <c r="IMO84">
        <f t="shared" si="322"/>
        <v>3</v>
      </c>
      <c r="IMP84">
        <f t="shared" si="322"/>
        <v>3</v>
      </c>
      <c r="IMQ84">
        <f t="shared" si="322"/>
        <v>3</v>
      </c>
      <c r="IMR84">
        <f t="shared" si="322"/>
        <v>3</v>
      </c>
      <c r="IMS84">
        <f t="shared" si="322"/>
        <v>3</v>
      </c>
      <c r="IMT84">
        <f t="shared" si="322"/>
        <v>3</v>
      </c>
      <c r="IMU84">
        <f t="shared" si="322"/>
        <v>3</v>
      </c>
      <c r="IMV84">
        <f t="shared" si="322"/>
        <v>3</v>
      </c>
      <c r="IMW84">
        <f t="shared" si="322"/>
        <v>3</v>
      </c>
      <c r="IMX84">
        <f t="shared" si="322"/>
        <v>3</v>
      </c>
      <c r="IMY84">
        <f t="shared" si="322"/>
        <v>3</v>
      </c>
      <c r="IMZ84">
        <f t="shared" si="322"/>
        <v>3</v>
      </c>
      <c r="INA84">
        <f t="shared" si="322"/>
        <v>3</v>
      </c>
      <c r="INB84">
        <f t="shared" si="322"/>
        <v>3</v>
      </c>
      <c r="INC84">
        <f t="shared" si="322"/>
        <v>3</v>
      </c>
      <c r="IND84">
        <f t="shared" si="322"/>
        <v>3</v>
      </c>
      <c r="INE84">
        <f t="shared" si="322"/>
        <v>3</v>
      </c>
      <c r="INF84">
        <f t="shared" si="322"/>
        <v>3</v>
      </c>
      <c r="ING84">
        <f t="shared" si="322"/>
        <v>3</v>
      </c>
      <c r="INH84">
        <f t="shared" si="322"/>
        <v>3</v>
      </c>
      <c r="INI84">
        <f t="shared" si="322"/>
        <v>3</v>
      </c>
      <c r="INJ84">
        <f t="shared" si="322"/>
        <v>3</v>
      </c>
      <c r="INK84">
        <f t="shared" si="322"/>
        <v>3</v>
      </c>
      <c r="INL84">
        <f t="shared" si="322"/>
        <v>3</v>
      </c>
      <c r="INM84">
        <f t="shared" si="322"/>
        <v>3</v>
      </c>
      <c r="INN84">
        <f t="shared" si="322"/>
        <v>3</v>
      </c>
      <c r="INO84">
        <f t="shared" ref="INO84:IPZ84" si="323">COUNTBLANK(INO2:INO5)</f>
        <v>3</v>
      </c>
      <c r="INP84">
        <f t="shared" si="323"/>
        <v>3</v>
      </c>
      <c r="INQ84">
        <f t="shared" si="323"/>
        <v>3</v>
      </c>
      <c r="INR84">
        <f t="shared" si="323"/>
        <v>3</v>
      </c>
      <c r="INS84">
        <f t="shared" si="323"/>
        <v>3</v>
      </c>
      <c r="INT84">
        <f t="shared" si="323"/>
        <v>3</v>
      </c>
      <c r="INU84">
        <f t="shared" si="323"/>
        <v>2</v>
      </c>
      <c r="INV84">
        <f t="shared" si="323"/>
        <v>2</v>
      </c>
      <c r="INW84">
        <f t="shared" si="323"/>
        <v>2</v>
      </c>
      <c r="INX84">
        <f t="shared" si="323"/>
        <v>2</v>
      </c>
      <c r="INY84">
        <f t="shared" si="323"/>
        <v>2</v>
      </c>
      <c r="INZ84">
        <f t="shared" si="323"/>
        <v>2</v>
      </c>
      <c r="IOA84">
        <f t="shared" si="323"/>
        <v>2</v>
      </c>
      <c r="IOB84">
        <f t="shared" si="323"/>
        <v>2</v>
      </c>
      <c r="IOC84">
        <f t="shared" si="323"/>
        <v>2</v>
      </c>
      <c r="IOD84">
        <f t="shared" si="323"/>
        <v>2</v>
      </c>
      <c r="IOE84">
        <f t="shared" si="323"/>
        <v>2</v>
      </c>
      <c r="IOF84">
        <f t="shared" si="323"/>
        <v>2</v>
      </c>
      <c r="IOG84">
        <f t="shared" si="323"/>
        <v>2</v>
      </c>
      <c r="IOH84">
        <f t="shared" si="323"/>
        <v>2</v>
      </c>
      <c r="IOI84">
        <f t="shared" si="323"/>
        <v>3</v>
      </c>
      <c r="IOJ84">
        <f t="shared" si="323"/>
        <v>3</v>
      </c>
      <c r="IOK84">
        <f t="shared" si="323"/>
        <v>3</v>
      </c>
      <c r="IOL84">
        <f t="shared" si="323"/>
        <v>3</v>
      </c>
      <c r="IOM84">
        <f t="shared" si="323"/>
        <v>3</v>
      </c>
      <c r="ION84">
        <f t="shared" si="323"/>
        <v>3</v>
      </c>
      <c r="IOO84">
        <f t="shared" si="323"/>
        <v>3</v>
      </c>
      <c r="IOP84">
        <f t="shared" si="323"/>
        <v>3</v>
      </c>
      <c r="IOQ84">
        <f t="shared" si="323"/>
        <v>3</v>
      </c>
      <c r="IOR84">
        <f t="shared" si="323"/>
        <v>3</v>
      </c>
      <c r="IOS84">
        <f t="shared" si="323"/>
        <v>3</v>
      </c>
      <c r="IOT84">
        <f t="shared" si="323"/>
        <v>3</v>
      </c>
      <c r="IOU84">
        <f t="shared" si="323"/>
        <v>3</v>
      </c>
      <c r="IOV84">
        <f t="shared" si="323"/>
        <v>3</v>
      </c>
      <c r="IOW84">
        <f t="shared" si="323"/>
        <v>3</v>
      </c>
      <c r="IOX84">
        <f t="shared" si="323"/>
        <v>3</v>
      </c>
      <c r="IOY84">
        <f t="shared" si="323"/>
        <v>3</v>
      </c>
      <c r="IOZ84">
        <f t="shared" si="323"/>
        <v>3</v>
      </c>
      <c r="IPA84">
        <f t="shared" si="323"/>
        <v>3</v>
      </c>
      <c r="IPB84">
        <f t="shared" si="323"/>
        <v>3</v>
      </c>
      <c r="IPC84">
        <f t="shared" si="323"/>
        <v>3</v>
      </c>
      <c r="IPD84">
        <f t="shared" si="323"/>
        <v>3</v>
      </c>
      <c r="IPE84">
        <f t="shared" si="323"/>
        <v>3</v>
      </c>
      <c r="IPF84">
        <f t="shared" si="323"/>
        <v>3</v>
      </c>
      <c r="IPG84">
        <f t="shared" si="323"/>
        <v>3</v>
      </c>
      <c r="IPH84">
        <f t="shared" si="323"/>
        <v>3</v>
      </c>
      <c r="IPI84">
        <f t="shared" si="323"/>
        <v>3</v>
      </c>
      <c r="IPJ84">
        <f t="shared" si="323"/>
        <v>3</v>
      </c>
      <c r="IPK84">
        <f t="shared" si="323"/>
        <v>3</v>
      </c>
      <c r="IPL84">
        <f t="shared" si="323"/>
        <v>3</v>
      </c>
      <c r="IPM84">
        <f t="shared" si="323"/>
        <v>3</v>
      </c>
      <c r="IPN84">
        <f t="shared" si="323"/>
        <v>3</v>
      </c>
      <c r="IPO84">
        <f t="shared" si="323"/>
        <v>3</v>
      </c>
      <c r="IPP84">
        <f t="shared" si="323"/>
        <v>3</v>
      </c>
      <c r="IPQ84">
        <f t="shared" si="323"/>
        <v>3</v>
      </c>
      <c r="IPR84">
        <f t="shared" si="323"/>
        <v>3</v>
      </c>
      <c r="IPS84">
        <f t="shared" si="323"/>
        <v>3</v>
      </c>
      <c r="IPT84">
        <f t="shared" si="323"/>
        <v>3</v>
      </c>
      <c r="IPU84">
        <f t="shared" si="323"/>
        <v>3</v>
      </c>
      <c r="IPV84">
        <f t="shared" si="323"/>
        <v>3</v>
      </c>
      <c r="IPW84">
        <f t="shared" si="323"/>
        <v>3</v>
      </c>
      <c r="IPX84">
        <f t="shared" si="323"/>
        <v>3</v>
      </c>
      <c r="IPY84">
        <f t="shared" si="323"/>
        <v>3</v>
      </c>
      <c r="IPZ84">
        <f t="shared" si="323"/>
        <v>3</v>
      </c>
      <c r="IQA84">
        <f t="shared" ref="IQA84:ISL84" si="324">COUNTBLANK(IQA2:IQA5)</f>
        <v>3</v>
      </c>
      <c r="IQB84">
        <f t="shared" si="324"/>
        <v>3</v>
      </c>
      <c r="IQC84">
        <f t="shared" si="324"/>
        <v>3</v>
      </c>
      <c r="IQD84">
        <f t="shared" si="324"/>
        <v>3</v>
      </c>
      <c r="IQE84">
        <f t="shared" si="324"/>
        <v>3</v>
      </c>
      <c r="IQF84">
        <f t="shared" si="324"/>
        <v>3</v>
      </c>
      <c r="IQG84">
        <f t="shared" si="324"/>
        <v>3</v>
      </c>
      <c r="IQH84">
        <f t="shared" si="324"/>
        <v>3</v>
      </c>
      <c r="IQI84">
        <f t="shared" si="324"/>
        <v>3</v>
      </c>
      <c r="IQJ84">
        <f t="shared" si="324"/>
        <v>3</v>
      </c>
      <c r="IQK84">
        <f t="shared" si="324"/>
        <v>3</v>
      </c>
      <c r="IQL84">
        <f t="shared" si="324"/>
        <v>3</v>
      </c>
      <c r="IQM84">
        <f t="shared" si="324"/>
        <v>3</v>
      </c>
      <c r="IQN84">
        <f t="shared" si="324"/>
        <v>3</v>
      </c>
      <c r="IQO84">
        <f t="shared" si="324"/>
        <v>3</v>
      </c>
      <c r="IQP84">
        <f t="shared" si="324"/>
        <v>3</v>
      </c>
      <c r="IQQ84">
        <f t="shared" si="324"/>
        <v>3</v>
      </c>
      <c r="IQR84">
        <f t="shared" si="324"/>
        <v>3</v>
      </c>
      <c r="IQS84">
        <f t="shared" si="324"/>
        <v>3</v>
      </c>
      <c r="IQT84">
        <f t="shared" si="324"/>
        <v>3</v>
      </c>
      <c r="IQU84">
        <f t="shared" si="324"/>
        <v>3</v>
      </c>
      <c r="IQV84">
        <f t="shared" si="324"/>
        <v>3</v>
      </c>
      <c r="IQW84">
        <f t="shared" si="324"/>
        <v>3</v>
      </c>
      <c r="IQX84">
        <f t="shared" si="324"/>
        <v>3</v>
      </c>
      <c r="IQY84">
        <f t="shared" si="324"/>
        <v>3</v>
      </c>
      <c r="IQZ84">
        <f t="shared" si="324"/>
        <v>3</v>
      </c>
      <c r="IRA84">
        <f t="shared" si="324"/>
        <v>3</v>
      </c>
      <c r="IRB84">
        <f t="shared" si="324"/>
        <v>3</v>
      </c>
      <c r="IRC84">
        <f t="shared" si="324"/>
        <v>3</v>
      </c>
      <c r="IRD84">
        <f t="shared" si="324"/>
        <v>3</v>
      </c>
      <c r="IRE84">
        <f t="shared" si="324"/>
        <v>3</v>
      </c>
      <c r="IRF84">
        <f t="shared" si="324"/>
        <v>3</v>
      </c>
      <c r="IRG84">
        <f t="shared" si="324"/>
        <v>3</v>
      </c>
      <c r="IRH84">
        <f t="shared" si="324"/>
        <v>3</v>
      </c>
      <c r="IRI84">
        <f t="shared" si="324"/>
        <v>3</v>
      </c>
      <c r="IRJ84">
        <f t="shared" si="324"/>
        <v>3</v>
      </c>
      <c r="IRK84">
        <f t="shared" si="324"/>
        <v>3</v>
      </c>
      <c r="IRL84">
        <f t="shared" si="324"/>
        <v>3</v>
      </c>
      <c r="IRM84">
        <f t="shared" si="324"/>
        <v>3</v>
      </c>
      <c r="IRN84">
        <f t="shared" si="324"/>
        <v>3</v>
      </c>
      <c r="IRO84">
        <f t="shared" si="324"/>
        <v>3</v>
      </c>
      <c r="IRP84">
        <f t="shared" si="324"/>
        <v>3</v>
      </c>
      <c r="IRQ84">
        <f t="shared" si="324"/>
        <v>3</v>
      </c>
      <c r="IRR84">
        <f t="shared" si="324"/>
        <v>3</v>
      </c>
      <c r="IRS84">
        <f t="shared" si="324"/>
        <v>3</v>
      </c>
      <c r="IRT84">
        <f t="shared" si="324"/>
        <v>3</v>
      </c>
      <c r="IRU84">
        <f t="shared" si="324"/>
        <v>3</v>
      </c>
      <c r="IRV84">
        <f t="shared" si="324"/>
        <v>3</v>
      </c>
      <c r="IRW84">
        <f t="shared" si="324"/>
        <v>3</v>
      </c>
      <c r="IRX84">
        <f t="shared" si="324"/>
        <v>3</v>
      </c>
      <c r="IRY84">
        <f t="shared" si="324"/>
        <v>3</v>
      </c>
      <c r="IRZ84">
        <f t="shared" si="324"/>
        <v>3</v>
      </c>
      <c r="ISA84">
        <f t="shared" si="324"/>
        <v>3</v>
      </c>
      <c r="ISB84">
        <f t="shared" si="324"/>
        <v>3</v>
      </c>
      <c r="ISC84">
        <f t="shared" si="324"/>
        <v>3</v>
      </c>
      <c r="ISD84">
        <f t="shared" si="324"/>
        <v>3</v>
      </c>
      <c r="ISE84">
        <f t="shared" si="324"/>
        <v>3</v>
      </c>
      <c r="ISF84">
        <f t="shared" si="324"/>
        <v>3</v>
      </c>
      <c r="ISG84">
        <f t="shared" si="324"/>
        <v>3</v>
      </c>
      <c r="ISH84">
        <f t="shared" si="324"/>
        <v>3</v>
      </c>
      <c r="ISI84">
        <f t="shared" si="324"/>
        <v>3</v>
      </c>
      <c r="ISJ84">
        <f t="shared" si="324"/>
        <v>3</v>
      </c>
      <c r="ISK84">
        <f t="shared" si="324"/>
        <v>3</v>
      </c>
      <c r="ISL84">
        <f t="shared" si="324"/>
        <v>3</v>
      </c>
      <c r="ISM84">
        <f t="shared" ref="ISM84:IUX84" si="325">COUNTBLANK(ISM2:ISM5)</f>
        <v>3</v>
      </c>
      <c r="ISN84">
        <f t="shared" si="325"/>
        <v>3</v>
      </c>
      <c r="ISO84">
        <f t="shared" si="325"/>
        <v>3</v>
      </c>
      <c r="ISP84">
        <f t="shared" si="325"/>
        <v>3</v>
      </c>
      <c r="ISQ84">
        <f t="shared" si="325"/>
        <v>3</v>
      </c>
      <c r="ISR84">
        <f t="shared" si="325"/>
        <v>3</v>
      </c>
      <c r="ISS84">
        <f t="shared" si="325"/>
        <v>3</v>
      </c>
      <c r="IST84">
        <f t="shared" si="325"/>
        <v>3</v>
      </c>
      <c r="ISU84">
        <f t="shared" si="325"/>
        <v>3</v>
      </c>
      <c r="ISV84">
        <f t="shared" si="325"/>
        <v>3</v>
      </c>
      <c r="ISW84">
        <f t="shared" si="325"/>
        <v>3</v>
      </c>
      <c r="ISX84">
        <f t="shared" si="325"/>
        <v>3</v>
      </c>
      <c r="ISY84">
        <f t="shared" si="325"/>
        <v>3</v>
      </c>
      <c r="ISZ84">
        <f t="shared" si="325"/>
        <v>3</v>
      </c>
      <c r="ITA84">
        <f t="shared" si="325"/>
        <v>3</v>
      </c>
      <c r="ITB84">
        <f t="shared" si="325"/>
        <v>3</v>
      </c>
      <c r="ITC84">
        <f t="shared" si="325"/>
        <v>3</v>
      </c>
      <c r="ITD84">
        <f t="shared" si="325"/>
        <v>3</v>
      </c>
      <c r="ITE84">
        <f t="shared" si="325"/>
        <v>3</v>
      </c>
      <c r="ITF84">
        <f t="shared" si="325"/>
        <v>3</v>
      </c>
      <c r="ITG84">
        <f t="shared" si="325"/>
        <v>3</v>
      </c>
      <c r="ITH84">
        <f t="shared" si="325"/>
        <v>3</v>
      </c>
      <c r="ITI84">
        <f t="shared" si="325"/>
        <v>3</v>
      </c>
      <c r="ITJ84">
        <f t="shared" si="325"/>
        <v>3</v>
      </c>
      <c r="ITK84">
        <f t="shared" si="325"/>
        <v>3</v>
      </c>
      <c r="ITL84">
        <f t="shared" si="325"/>
        <v>3</v>
      </c>
      <c r="ITM84">
        <f t="shared" si="325"/>
        <v>3</v>
      </c>
      <c r="ITN84">
        <f t="shared" si="325"/>
        <v>3</v>
      </c>
      <c r="ITO84">
        <f t="shared" si="325"/>
        <v>3</v>
      </c>
      <c r="ITP84">
        <f t="shared" si="325"/>
        <v>3</v>
      </c>
      <c r="ITQ84">
        <f t="shared" si="325"/>
        <v>3</v>
      </c>
      <c r="ITR84">
        <f t="shared" si="325"/>
        <v>3</v>
      </c>
      <c r="ITS84">
        <f t="shared" si="325"/>
        <v>3</v>
      </c>
      <c r="ITT84">
        <f t="shared" si="325"/>
        <v>3</v>
      </c>
      <c r="ITU84">
        <f t="shared" si="325"/>
        <v>3</v>
      </c>
      <c r="ITV84">
        <f t="shared" si="325"/>
        <v>3</v>
      </c>
      <c r="ITW84">
        <f t="shared" si="325"/>
        <v>3</v>
      </c>
      <c r="ITX84">
        <f t="shared" si="325"/>
        <v>3</v>
      </c>
      <c r="ITY84">
        <f t="shared" si="325"/>
        <v>3</v>
      </c>
      <c r="ITZ84">
        <f t="shared" si="325"/>
        <v>3</v>
      </c>
      <c r="IUA84">
        <f t="shared" si="325"/>
        <v>3</v>
      </c>
      <c r="IUB84">
        <f t="shared" si="325"/>
        <v>3</v>
      </c>
      <c r="IUC84">
        <f t="shared" si="325"/>
        <v>3</v>
      </c>
      <c r="IUD84">
        <f t="shared" si="325"/>
        <v>3</v>
      </c>
      <c r="IUE84">
        <f t="shared" si="325"/>
        <v>3</v>
      </c>
      <c r="IUF84">
        <f t="shared" si="325"/>
        <v>3</v>
      </c>
      <c r="IUG84">
        <f t="shared" si="325"/>
        <v>3</v>
      </c>
      <c r="IUH84">
        <f t="shared" si="325"/>
        <v>3</v>
      </c>
      <c r="IUI84">
        <f t="shared" si="325"/>
        <v>3</v>
      </c>
      <c r="IUJ84">
        <f t="shared" si="325"/>
        <v>3</v>
      </c>
      <c r="IUK84">
        <f t="shared" si="325"/>
        <v>3</v>
      </c>
      <c r="IUL84">
        <f t="shared" si="325"/>
        <v>3</v>
      </c>
      <c r="IUM84">
        <f t="shared" si="325"/>
        <v>3</v>
      </c>
      <c r="IUN84">
        <f t="shared" si="325"/>
        <v>3</v>
      </c>
      <c r="IUO84">
        <f t="shared" si="325"/>
        <v>3</v>
      </c>
      <c r="IUP84">
        <f t="shared" si="325"/>
        <v>3</v>
      </c>
      <c r="IUQ84">
        <f t="shared" si="325"/>
        <v>3</v>
      </c>
      <c r="IUR84">
        <f t="shared" si="325"/>
        <v>3</v>
      </c>
      <c r="IUS84">
        <f t="shared" si="325"/>
        <v>3</v>
      </c>
      <c r="IUT84">
        <f t="shared" si="325"/>
        <v>3</v>
      </c>
      <c r="IUU84">
        <f t="shared" si="325"/>
        <v>3</v>
      </c>
      <c r="IUV84">
        <f t="shared" si="325"/>
        <v>3</v>
      </c>
      <c r="IUW84">
        <f t="shared" si="325"/>
        <v>3</v>
      </c>
      <c r="IUX84">
        <f t="shared" si="325"/>
        <v>3</v>
      </c>
      <c r="IUY84">
        <f t="shared" ref="IUY84:IXJ84" si="326">COUNTBLANK(IUY2:IUY5)</f>
        <v>3</v>
      </c>
      <c r="IUZ84">
        <f t="shared" si="326"/>
        <v>3</v>
      </c>
      <c r="IVA84">
        <f t="shared" si="326"/>
        <v>3</v>
      </c>
      <c r="IVB84">
        <f t="shared" si="326"/>
        <v>3</v>
      </c>
      <c r="IVC84">
        <f t="shared" si="326"/>
        <v>3</v>
      </c>
      <c r="IVD84">
        <f t="shared" si="326"/>
        <v>3</v>
      </c>
      <c r="IVE84">
        <f t="shared" si="326"/>
        <v>3</v>
      </c>
      <c r="IVF84">
        <f t="shared" si="326"/>
        <v>3</v>
      </c>
      <c r="IVG84">
        <f t="shared" si="326"/>
        <v>3</v>
      </c>
      <c r="IVH84">
        <f t="shared" si="326"/>
        <v>3</v>
      </c>
      <c r="IVI84">
        <f t="shared" si="326"/>
        <v>3</v>
      </c>
      <c r="IVJ84">
        <f t="shared" si="326"/>
        <v>3</v>
      </c>
      <c r="IVK84">
        <f t="shared" si="326"/>
        <v>3</v>
      </c>
      <c r="IVL84">
        <f t="shared" si="326"/>
        <v>3</v>
      </c>
      <c r="IVM84">
        <f t="shared" si="326"/>
        <v>3</v>
      </c>
      <c r="IVN84">
        <f t="shared" si="326"/>
        <v>3</v>
      </c>
      <c r="IVO84">
        <f t="shared" si="326"/>
        <v>3</v>
      </c>
      <c r="IVP84">
        <f t="shared" si="326"/>
        <v>3</v>
      </c>
      <c r="IVQ84">
        <f t="shared" si="326"/>
        <v>3</v>
      </c>
      <c r="IVR84">
        <f t="shared" si="326"/>
        <v>3</v>
      </c>
      <c r="IVS84">
        <f t="shared" si="326"/>
        <v>3</v>
      </c>
      <c r="IVT84">
        <f t="shared" si="326"/>
        <v>3</v>
      </c>
      <c r="IVU84">
        <f t="shared" si="326"/>
        <v>3</v>
      </c>
      <c r="IVV84">
        <f t="shared" si="326"/>
        <v>3</v>
      </c>
      <c r="IVW84">
        <f t="shared" si="326"/>
        <v>3</v>
      </c>
      <c r="IVX84">
        <f t="shared" si="326"/>
        <v>3</v>
      </c>
      <c r="IVY84">
        <f t="shared" si="326"/>
        <v>3</v>
      </c>
      <c r="IVZ84">
        <f t="shared" si="326"/>
        <v>3</v>
      </c>
      <c r="IWA84">
        <f t="shared" si="326"/>
        <v>3</v>
      </c>
      <c r="IWB84">
        <f t="shared" si="326"/>
        <v>3</v>
      </c>
      <c r="IWC84">
        <f t="shared" si="326"/>
        <v>3</v>
      </c>
      <c r="IWD84">
        <f t="shared" si="326"/>
        <v>3</v>
      </c>
      <c r="IWE84">
        <f t="shared" si="326"/>
        <v>3</v>
      </c>
      <c r="IWF84">
        <f t="shared" si="326"/>
        <v>3</v>
      </c>
      <c r="IWG84">
        <f t="shared" si="326"/>
        <v>3</v>
      </c>
      <c r="IWH84">
        <f t="shared" si="326"/>
        <v>3</v>
      </c>
      <c r="IWI84">
        <f t="shared" si="326"/>
        <v>3</v>
      </c>
      <c r="IWJ84">
        <f t="shared" si="326"/>
        <v>3</v>
      </c>
      <c r="IWK84">
        <f t="shared" si="326"/>
        <v>3</v>
      </c>
      <c r="IWL84">
        <f t="shared" si="326"/>
        <v>3</v>
      </c>
      <c r="IWM84">
        <f t="shared" si="326"/>
        <v>3</v>
      </c>
      <c r="IWN84">
        <f t="shared" si="326"/>
        <v>3</v>
      </c>
      <c r="IWO84">
        <f t="shared" si="326"/>
        <v>3</v>
      </c>
      <c r="IWP84">
        <f t="shared" si="326"/>
        <v>3</v>
      </c>
      <c r="IWQ84">
        <f t="shared" si="326"/>
        <v>3</v>
      </c>
      <c r="IWR84">
        <f t="shared" si="326"/>
        <v>3</v>
      </c>
      <c r="IWS84">
        <f t="shared" si="326"/>
        <v>3</v>
      </c>
      <c r="IWT84">
        <f t="shared" si="326"/>
        <v>3</v>
      </c>
      <c r="IWU84">
        <f t="shared" si="326"/>
        <v>3</v>
      </c>
      <c r="IWV84">
        <f t="shared" si="326"/>
        <v>3</v>
      </c>
      <c r="IWW84">
        <f t="shared" si="326"/>
        <v>3</v>
      </c>
      <c r="IWX84">
        <f t="shared" si="326"/>
        <v>3</v>
      </c>
      <c r="IWY84">
        <f t="shared" si="326"/>
        <v>3</v>
      </c>
      <c r="IWZ84">
        <f t="shared" si="326"/>
        <v>3</v>
      </c>
      <c r="IXA84">
        <f t="shared" si="326"/>
        <v>3</v>
      </c>
      <c r="IXB84">
        <f t="shared" si="326"/>
        <v>3</v>
      </c>
      <c r="IXC84">
        <f t="shared" si="326"/>
        <v>3</v>
      </c>
      <c r="IXD84">
        <f t="shared" si="326"/>
        <v>3</v>
      </c>
      <c r="IXE84">
        <f t="shared" si="326"/>
        <v>3</v>
      </c>
      <c r="IXF84">
        <f t="shared" si="326"/>
        <v>3</v>
      </c>
      <c r="IXG84">
        <f t="shared" si="326"/>
        <v>3</v>
      </c>
      <c r="IXH84">
        <f t="shared" si="326"/>
        <v>3</v>
      </c>
      <c r="IXI84">
        <f t="shared" si="326"/>
        <v>3</v>
      </c>
      <c r="IXJ84">
        <f t="shared" si="326"/>
        <v>3</v>
      </c>
      <c r="IXK84">
        <f t="shared" ref="IXK84:IZV84" si="327">COUNTBLANK(IXK2:IXK5)</f>
        <v>3</v>
      </c>
      <c r="IXL84">
        <f t="shared" si="327"/>
        <v>3</v>
      </c>
      <c r="IXM84">
        <f t="shared" si="327"/>
        <v>3</v>
      </c>
      <c r="IXN84">
        <f t="shared" si="327"/>
        <v>3</v>
      </c>
      <c r="IXO84">
        <f t="shared" si="327"/>
        <v>3</v>
      </c>
      <c r="IXP84">
        <f t="shared" si="327"/>
        <v>3</v>
      </c>
      <c r="IXQ84">
        <f t="shared" si="327"/>
        <v>3</v>
      </c>
      <c r="IXR84">
        <f t="shared" si="327"/>
        <v>3</v>
      </c>
      <c r="IXS84">
        <f t="shared" si="327"/>
        <v>3</v>
      </c>
      <c r="IXT84">
        <f t="shared" si="327"/>
        <v>3</v>
      </c>
      <c r="IXU84">
        <f t="shared" si="327"/>
        <v>3</v>
      </c>
      <c r="IXV84">
        <f t="shared" si="327"/>
        <v>3</v>
      </c>
      <c r="IXW84">
        <f t="shared" si="327"/>
        <v>3</v>
      </c>
      <c r="IXX84">
        <f t="shared" si="327"/>
        <v>3</v>
      </c>
      <c r="IXY84">
        <f t="shared" si="327"/>
        <v>3</v>
      </c>
      <c r="IXZ84">
        <f t="shared" si="327"/>
        <v>3</v>
      </c>
      <c r="IYA84">
        <f t="shared" si="327"/>
        <v>3</v>
      </c>
      <c r="IYB84">
        <f t="shared" si="327"/>
        <v>3</v>
      </c>
      <c r="IYC84">
        <f t="shared" si="327"/>
        <v>3</v>
      </c>
      <c r="IYD84">
        <f t="shared" si="327"/>
        <v>3</v>
      </c>
      <c r="IYE84">
        <f t="shared" si="327"/>
        <v>3</v>
      </c>
      <c r="IYF84">
        <f t="shared" si="327"/>
        <v>3</v>
      </c>
      <c r="IYG84">
        <f t="shared" si="327"/>
        <v>3</v>
      </c>
      <c r="IYH84">
        <f t="shared" si="327"/>
        <v>3</v>
      </c>
      <c r="IYI84">
        <f t="shared" si="327"/>
        <v>3</v>
      </c>
      <c r="IYJ84">
        <f t="shared" si="327"/>
        <v>3</v>
      </c>
      <c r="IYK84">
        <f t="shared" si="327"/>
        <v>3</v>
      </c>
      <c r="IYL84">
        <f t="shared" si="327"/>
        <v>3</v>
      </c>
      <c r="IYM84">
        <f t="shared" si="327"/>
        <v>3</v>
      </c>
      <c r="IYN84">
        <f t="shared" si="327"/>
        <v>3</v>
      </c>
      <c r="IYO84">
        <f t="shared" si="327"/>
        <v>3</v>
      </c>
      <c r="IYP84">
        <f t="shared" si="327"/>
        <v>3</v>
      </c>
      <c r="IYQ84">
        <f t="shared" si="327"/>
        <v>3</v>
      </c>
      <c r="IYR84">
        <f t="shared" si="327"/>
        <v>3</v>
      </c>
      <c r="IYS84">
        <f t="shared" si="327"/>
        <v>3</v>
      </c>
      <c r="IYT84">
        <f t="shared" si="327"/>
        <v>3</v>
      </c>
      <c r="IYU84">
        <f t="shared" si="327"/>
        <v>3</v>
      </c>
      <c r="IYV84">
        <f t="shared" si="327"/>
        <v>3</v>
      </c>
      <c r="IYW84">
        <f t="shared" si="327"/>
        <v>3</v>
      </c>
      <c r="IYX84">
        <f t="shared" si="327"/>
        <v>3</v>
      </c>
      <c r="IYY84">
        <f t="shared" si="327"/>
        <v>3</v>
      </c>
      <c r="IYZ84">
        <f t="shared" si="327"/>
        <v>3</v>
      </c>
      <c r="IZA84">
        <f t="shared" si="327"/>
        <v>3</v>
      </c>
      <c r="IZB84">
        <f t="shared" si="327"/>
        <v>3</v>
      </c>
      <c r="IZC84">
        <f t="shared" si="327"/>
        <v>3</v>
      </c>
      <c r="IZD84">
        <f t="shared" si="327"/>
        <v>3</v>
      </c>
      <c r="IZE84">
        <f t="shared" si="327"/>
        <v>3</v>
      </c>
      <c r="IZF84">
        <f t="shared" si="327"/>
        <v>3</v>
      </c>
      <c r="IZG84">
        <f t="shared" si="327"/>
        <v>3</v>
      </c>
      <c r="IZH84">
        <f t="shared" si="327"/>
        <v>3</v>
      </c>
      <c r="IZI84">
        <f t="shared" si="327"/>
        <v>3</v>
      </c>
      <c r="IZJ84">
        <f t="shared" si="327"/>
        <v>3</v>
      </c>
      <c r="IZK84">
        <f t="shared" si="327"/>
        <v>3</v>
      </c>
      <c r="IZL84">
        <f t="shared" si="327"/>
        <v>3</v>
      </c>
      <c r="IZM84">
        <f t="shared" si="327"/>
        <v>3</v>
      </c>
      <c r="IZN84">
        <f t="shared" si="327"/>
        <v>3</v>
      </c>
      <c r="IZO84">
        <f t="shared" si="327"/>
        <v>3</v>
      </c>
      <c r="IZP84">
        <f t="shared" si="327"/>
        <v>3</v>
      </c>
      <c r="IZQ84">
        <f t="shared" si="327"/>
        <v>3</v>
      </c>
      <c r="IZR84">
        <f t="shared" si="327"/>
        <v>3</v>
      </c>
      <c r="IZS84">
        <f t="shared" si="327"/>
        <v>3</v>
      </c>
      <c r="IZT84">
        <f t="shared" si="327"/>
        <v>3</v>
      </c>
      <c r="IZU84">
        <f t="shared" si="327"/>
        <v>3</v>
      </c>
      <c r="IZV84">
        <f t="shared" si="327"/>
        <v>3</v>
      </c>
      <c r="IZW84">
        <f t="shared" ref="IZW84:JCH84" si="328">COUNTBLANK(IZW2:IZW5)</f>
        <v>3</v>
      </c>
      <c r="IZX84">
        <f t="shared" si="328"/>
        <v>3</v>
      </c>
      <c r="IZY84">
        <f t="shared" si="328"/>
        <v>3</v>
      </c>
      <c r="IZZ84">
        <f t="shared" si="328"/>
        <v>3</v>
      </c>
      <c r="JAA84">
        <f t="shared" si="328"/>
        <v>3</v>
      </c>
      <c r="JAB84">
        <f t="shared" si="328"/>
        <v>3</v>
      </c>
      <c r="JAC84">
        <f t="shared" si="328"/>
        <v>3</v>
      </c>
      <c r="JAD84">
        <f t="shared" si="328"/>
        <v>3</v>
      </c>
      <c r="JAE84">
        <f t="shared" si="328"/>
        <v>3</v>
      </c>
      <c r="JAF84">
        <f t="shared" si="328"/>
        <v>3</v>
      </c>
      <c r="JAG84">
        <f t="shared" si="328"/>
        <v>3</v>
      </c>
      <c r="JAH84">
        <f t="shared" si="328"/>
        <v>3</v>
      </c>
      <c r="JAI84">
        <f t="shared" si="328"/>
        <v>3</v>
      </c>
      <c r="JAJ84">
        <f t="shared" si="328"/>
        <v>3</v>
      </c>
      <c r="JAK84">
        <f t="shared" si="328"/>
        <v>3</v>
      </c>
      <c r="JAL84">
        <f t="shared" si="328"/>
        <v>3</v>
      </c>
      <c r="JAM84">
        <f t="shared" si="328"/>
        <v>3</v>
      </c>
      <c r="JAN84">
        <f t="shared" si="328"/>
        <v>3</v>
      </c>
      <c r="JAO84">
        <f t="shared" si="328"/>
        <v>3</v>
      </c>
      <c r="JAP84">
        <f t="shared" si="328"/>
        <v>3</v>
      </c>
      <c r="JAQ84">
        <f t="shared" si="328"/>
        <v>3</v>
      </c>
      <c r="JAR84">
        <f t="shared" si="328"/>
        <v>3</v>
      </c>
      <c r="JAS84">
        <f t="shared" si="328"/>
        <v>3</v>
      </c>
      <c r="JAT84">
        <f t="shared" si="328"/>
        <v>3</v>
      </c>
      <c r="JAU84">
        <f t="shared" si="328"/>
        <v>3</v>
      </c>
      <c r="JAV84">
        <f t="shared" si="328"/>
        <v>3</v>
      </c>
      <c r="JAW84">
        <f t="shared" si="328"/>
        <v>3</v>
      </c>
      <c r="JAX84">
        <f t="shared" si="328"/>
        <v>3</v>
      </c>
      <c r="JAY84">
        <f t="shared" si="328"/>
        <v>3</v>
      </c>
      <c r="JAZ84">
        <f t="shared" si="328"/>
        <v>3</v>
      </c>
      <c r="JBA84">
        <f t="shared" si="328"/>
        <v>3</v>
      </c>
      <c r="JBB84">
        <f t="shared" si="328"/>
        <v>3</v>
      </c>
      <c r="JBC84">
        <f t="shared" si="328"/>
        <v>3</v>
      </c>
      <c r="JBD84">
        <f t="shared" si="328"/>
        <v>3</v>
      </c>
      <c r="JBE84">
        <f t="shared" si="328"/>
        <v>3</v>
      </c>
      <c r="JBF84">
        <f t="shared" si="328"/>
        <v>3</v>
      </c>
      <c r="JBG84">
        <f t="shared" si="328"/>
        <v>3</v>
      </c>
      <c r="JBH84">
        <f t="shared" si="328"/>
        <v>3</v>
      </c>
      <c r="JBI84">
        <f t="shared" si="328"/>
        <v>3</v>
      </c>
      <c r="JBJ84">
        <f t="shared" si="328"/>
        <v>3</v>
      </c>
      <c r="JBK84">
        <f t="shared" si="328"/>
        <v>3</v>
      </c>
      <c r="JBL84">
        <f t="shared" si="328"/>
        <v>3</v>
      </c>
      <c r="JBM84">
        <f t="shared" si="328"/>
        <v>3</v>
      </c>
      <c r="JBN84">
        <f t="shared" si="328"/>
        <v>3</v>
      </c>
      <c r="JBO84">
        <f t="shared" si="328"/>
        <v>3</v>
      </c>
      <c r="JBP84">
        <f t="shared" si="328"/>
        <v>3</v>
      </c>
      <c r="JBQ84">
        <f t="shared" si="328"/>
        <v>3</v>
      </c>
      <c r="JBR84">
        <f t="shared" si="328"/>
        <v>3</v>
      </c>
      <c r="JBS84">
        <f t="shared" si="328"/>
        <v>3</v>
      </c>
      <c r="JBT84">
        <f t="shared" si="328"/>
        <v>3</v>
      </c>
      <c r="JBU84">
        <f t="shared" si="328"/>
        <v>3</v>
      </c>
      <c r="JBV84">
        <f t="shared" si="328"/>
        <v>3</v>
      </c>
      <c r="JBW84">
        <f t="shared" si="328"/>
        <v>3</v>
      </c>
      <c r="JBX84">
        <f t="shared" si="328"/>
        <v>3</v>
      </c>
      <c r="JBY84">
        <f t="shared" si="328"/>
        <v>3</v>
      </c>
      <c r="JBZ84">
        <f t="shared" si="328"/>
        <v>3</v>
      </c>
      <c r="JCA84">
        <f t="shared" si="328"/>
        <v>3</v>
      </c>
      <c r="JCB84">
        <f t="shared" si="328"/>
        <v>3</v>
      </c>
      <c r="JCC84">
        <f t="shared" si="328"/>
        <v>3</v>
      </c>
      <c r="JCD84">
        <f t="shared" si="328"/>
        <v>3</v>
      </c>
      <c r="JCE84">
        <f t="shared" si="328"/>
        <v>3</v>
      </c>
      <c r="JCF84">
        <f t="shared" si="328"/>
        <v>3</v>
      </c>
      <c r="JCG84">
        <f t="shared" si="328"/>
        <v>3</v>
      </c>
      <c r="JCH84">
        <f t="shared" si="328"/>
        <v>3</v>
      </c>
      <c r="JCI84">
        <f t="shared" ref="JCI84:JET84" si="329">COUNTBLANK(JCI2:JCI5)</f>
        <v>3</v>
      </c>
      <c r="JCJ84">
        <f t="shared" si="329"/>
        <v>3</v>
      </c>
      <c r="JCK84">
        <f t="shared" si="329"/>
        <v>3</v>
      </c>
      <c r="JCL84">
        <f t="shared" si="329"/>
        <v>3</v>
      </c>
      <c r="JCM84">
        <f t="shared" si="329"/>
        <v>3</v>
      </c>
      <c r="JCN84">
        <f t="shared" si="329"/>
        <v>3</v>
      </c>
      <c r="JCO84">
        <f t="shared" si="329"/>
        <v>3</v>
      </c>
      <c r="JCP84">
        <f t="shared" si="329"/>
        <v>3</v>
      </c>
      <c r="JCQ84">
        <f t="shared" si="329"/>
        <v>3</v>
      </c>
      <c r="JCR84">
        <f t="shared" si="329"/>
        <v>3</v>
      </c>
      <c r="JCS84">
        <f t="shared" si="329"/>
        <v>3</v>
      </c>
      <c r="JCT84">
        <f t="shared" si="329"/>
        <v>3</v>
      </c>
      <c r="JCU84">
        <f t="shared" si="329"/>
        <v>3</v>
      </c>
      <c r="JCV84">
        <f t="shared" si="329"/>
        <v>3</v>
      </c>
      <c r="JCW84">
        <f t="shared" si="329"/>
        <v>3</v>
      </c>
      <c r="JCX84">
        <f t="shared" si="329"/>
        <v>3</v>
      </c>
      <c r="JCY84">
        <f t="shared" si="329"/>
        <v>3</v>
      </c>
      <c r="JCZ84">
        <f t="shared" si="329"/>
        <v>3</v>
      </c>
      <c r="JDA84">
        <f t="shared" si="329"/>
        <v>3</v>
      </c>
      <c r="JDB84">
        <f t="shared" si="329"/>
        <v>3</v>
      </c>
      <c r="JDC84">
        <f t="shared" si="329"/>
        <v>3</v>
      </c>
      <c r="JDD84">
        <f t="shared" si="329"/>
        <v>3</v>
      </c>
      <c r="JDE84">
        <f t="shared" si="329"/>
        <v>3</v>
      </c>
      <c r="JDF84">
        <f t="shared" si="329"/>
        <v>3</v>
      </c>
      <c r="JDG84">
        <f t="shared" si="329"/>
        <v>3</v>
      </c>
      <c r="JDH84">
        <f t="shared" si="329"/>
        <v>3</v>
      </c>
      <c r="JDI84">
        <f t="shared" si="329"/>
        <v>3</v>
      </c>
      <c r="JDJ84">
        <f t="shared" si="329"/>
        <v>3</v>
      </c>
      <c r="JDK84">
        <f t="shared" si="329"/>
        <v>3</v>
      </c>
      <c r="JDL84">
        <f t="shared" si="329"/>
        <v>3</v>
      </c>
      <c r="JDM84">
        <f t="shared" si="329"/>
        <v>3</v>
      </c>
      <c r="JDN84">
        <f t="shared" si="329"/>
        <v>3</v>
      </c>
      <c r="JDO84">
        <f t="shared" si="329"/>
        <v>3</v>
      </c>
      <c r="JDP84">
        <f t="shared" si="329"/>
        <v>3</v>
      </c>
      <c r="JDQ84">
        <f t="shared" si="329"/>
        <v>3</v>
      </c>
      <c r="JDR84">
        <f t="shared" si="329"/>
        <v>3</v>
      </c>
      <c r="JDS84">
        <f t="shared" si="329"/>
        <v>3</v>
      </c>
      <c r="JDT84">
        <f t="shared" si="329"/>
        <v>3</v>
      </c>
      <c r="JDU84">
        <f t="shared" si="329"/>
        <v>2</v>
      </c>
      <c r="JDV84">
        <f t="shared" si="329"/>
        <v>2</v>
      </c>
      <c r="JDW84">
        <f t="shared" si="329"/>
        <v>2</v>
      </c>
      <c r="JDX84">
        <f t="shared" si="329"/>
        <v>2</v>
      </c>
      <c r="JDY84">
        <f t="shared" si="329"/>
        <v>2</v>
      </c>
      <c r="JDZ84">
        <f t="shared" si="329"/>
        <v>2</v>
      </c>
      <c r="JEA84">
        <f t="shared" si="329"/>
        <v>2</v>
      </c>
      <c r="JEB84">
        <f t="shared" si="329"/>
        <v>2</v>
      </c>
      <c r="JEC84">
        <f t="shared" si="329"/>
        <v>2</v>
      </c>
      <c r="JED84">
        <f t="shared" si="329"/>
        <v>3</v>
      </c>
      <c r="JEE84">
        <f t="shared" si="329"/>
        <v>3</v>
      </c>
      <c r="JEF84">
        <f t="shared" si="329"/>
        <v>3</v>
      </c>
      <c r="JEG84">
        <f t="shared" si="329"/>
        <v>3</v>
      </c>
      <c r="JEH84">
        <f t="shared" si="329"/>
        <v>3</v>
      </c>
      <c r="JEI84">
        <f t="shared" si="329"/>
        <v>3</v>
      </c>
      <c r="JEJ84">
        <f t="shared" si="329"/>
        <v>3</v>
      </c>
      <c r="JEK84">
        <f t="shared" si="329"/>
        <v>3</v>
      </c>
      <c r="JEL84">
        <f t="shared" si="329"/>
        <v>3</v>
      </c>
      <c r="JEM84">
        <f t="shared" si="329"/>
        <v>3</v>
      </c>
      <c r="JEN84">
        <f t="shared" si="329"/>
        <v>3</v>
      </c>
      <c r="JEO84">
        <f t="shared" si="329"/>
        <v>3</v>
      </c>
      <c r="JEP84">
        <f t="shared" si="329"/>
        <v>3</v>
      </c>
      <c r="JEQ84">
        <f t="shared" si="329"/>
        <v>3</v>
      </c>
      <c r="JER84">
        <f t="shared" si="329"/>
        <v>3</v>
      </c>
      <c r="JES84">
        <f t="shared" si="329"/>
        <v>3</v>
      </c>
      <c r="JET84">
        <f t="shared" si="329"/>
        <v>3</v>
      </c>
      <c r="JEU84">
        <f t="shared" ref="JEU84:JHF84" si="330">COUNTBLANK(JEU2:JEU5)</f>
        <v>3</v>
      </c>
      <c r="JEV84">
        <f t="shared" si="330"/>
        <v>3</v>
      </c>
      <c r="JEW84">
        <f t="shared" si="330"/>
        <v>3</v>
      </c>
      <c r="JEX84">
        <f t="shared" si="330"/>
        <v>3</v>
      </c>
      <c r="JEY84">
        <f t="shared" si="330"/>
        <v>3</v>
      </c>
      <c r="JEZ84">
        <f t="shared" si="330"/>
        <v>3</v>
      </c>
      <c r="JFA84">
        <f t="shared" si="330"/>
        <v>3</v>
      </c>
      <c r="JFB84">
        <f t="shared" si="330"/>
        <v>3</v>
      </c>
      <c r="JFC84">
        <f t="shared" si="330"/>
        <v>3</v>
      </c>
      <c r="JFD84">
        <f t="shared" si="330"/>
        <v>3</v>
      </c>
      <c r="JFE84">
        <f t="shared" si="330"/>
        <v>3</v>
      </c>
      <c r="JFF84">
        <f t="shared" si="330"/>
        <v>3</v>
      </c>
      <c r="JFG84">
        <f t="shared" si="330"/>
        <v>3</v>
      </c>
      <c r="JFH84">
        <f t="shared" si="330"/>
        <v>3</v>
      </c>
      <c r="JFI84">
        <f t="shared" si="330"/>
        <v>3</v>
      </c>
      <c r="JFJ84">
        <f t="shared" si="330"/>
        <v>3</v>
      </c>
      <c r="JFK84">
        <f t="shared" si="330"/>
        <v>3</v>
      </c>
      <c r="JFL84">
        <f t="shared" si="330"/>
        <v>3</v>
      </c>
      <c r="JFM84">
        <f t="shared" si="330"/>
        <v>3</v>
      </c>
      <c r="JFN84">
        <f t="shared" si="330"/>
        <v>3</v>
      </c>
      <c r="JFO84">
        <f t="shared" si="330"/>
        <v>3</v>
      </c>
      <c r="JFP84">
        <f t="shared" si="330"/>
        <v>3</v>
      </c>
      <c r="JFQ84">
        <f t="shared" si="330"/>
        <v>3</v>
      </c>
      <c r="JFR84">
        <f t="shared" si="330"/>
        <v>3</v>
      </c>
      <c r="JFS84">
        <f t="shared" si="330"/>
        <v>3</v>
      </c>
      <c r="JFT84">
        <f t="shared" si="330"/>
        <v>3</v>
      </c>
      <c r="JFU84">
        <f t="shared" si="330"/>
        <v>3</v>
      </c>
      <c r="JFV84">
        <f t="shared" si="330"/>
        <v>3</v>
      </c>
      <c r="JFW84">
        <f t="shared" si="330"/>
        <v>3</v>
      </c>
      <c r="JFX84">
        <f t="shared" si="330"/>
        <v>3</v>
      </c>
      <c r="JFY84">
        <f t="shared" si="330"/>
        <v>3</v>
      </c>
      <c r="JFZ84">
        <f t="shared" si="330"/>
        <v>3</v>
      </c>
      <c r="JGA84">
        <f t="shared" si="330"/>
        <v>3</v>
      </c>
      <c r="JGB84">
        <f t="shared" si="330"/>
        <v>3</v>
      </c>
      <c r="JGC84">
        <f t="shared" si="330"/>
        <v>3</v>
      </c>
      <c r="JGD84">
        <f t="shared" si="330"/>
        <v>3</v>
      </c>
      <c r="JGE84">
        <f t="shared" si="330"/>
        <v>3</v>
      </c>
      <c r="JGF84">
        <f t="shared" si="330"/>
        <v>3</v>
      </c>
      <c r="JGG84">
        <f t="shared" si="330"/>
        <v>3</v>
      </c>
      <c r="JGH84">
        <f t="shared" si="330"/>
        <v>3</v>
      </c>
      <c r="JGI84">
        <f t="shared" si="330"/>
        <v>3</v>
      </c>
      <c r="JGJ84">
        <f t="shared" si="330"/>
        <v>3</v>
      </c>
      <c r="JGK84">
        <f t="shared" si="330"/>
        <v>3</v>
      </c>
      <c r="JGL84">
        <f t="shared" si="330"/>
        <v>3</v>
      </c>
      <c r="JGM84">
        <f t="shared" si="330"/>
        <v>3</v>
      </c>
      <c r="JGN84">
        <f t="shared" si="330"/>
        <v>3</v>
      </c>
      <c r="JGO84">
        <f t="shared" si="330"/>
        <v>3</v>
      </c>
      <c r="JGP84">
        <f t="shared" si="330"/>
        <v>3</v>
      </c>
      <c r="JGQ84">
        <f t="shared" si="330"/>
        <v>3</v>
      </c>
      <c r="JGR84">
        <f t="shared" si="330"/>
        <v>3</v>
      </c>
      <c r="JGS84">
        <f t="shared" si="330"/>
        <v>3</v>
      </c>
      <c r="JGT84">
        <f t="shared" si="330"/>
        <v>3</v>
      </c>
      <c r="JGU84">
        <f t="shared" si="330"/>
        <v>3</v>
      </c>
      <c r="JGV84">
        <f t="shared" si="330"/>
        <v>3</v>
      </c>
      <c r="JGW84">
        <f t="shared" si="330"/>
        <v>3</v>
      </c>
      <c r="JGX84">
        <f t="shared" si="330"/>
        <v>3</v>
      </c>
      <c r="JGY84">
        <f t="shared" si="330"/>
        <v>3</v>
      </c>
      <c r="JGZ84">
        <f t="shared" si="330"/>
        <v>3</v>
      </c>
      <c r="JHA84">
        <f t="shared" si="330"/>
        <v>3</v>
      </c>
      <c r="JHB84">
        <f t="shared" si="330"/>
        <v>3</v>
      </c>
      <c r="JHC84">
        <f t="shared" si="330"/>
        <v>3</v>
      </c>
      <c r="JHD84">
        <f t="shared" si="330"/>
        <v>3</v>
      </c>
      <c r="JHE84">
        <f t="shared" si="330"/>
        <v>3</v>
      </c>
      <c r="JHF84">
        <f t="shared" si="330"/>
        <v>3</v>
      </c>
      <c r="JHG84">
        <f t="shared" ref="JHG84:JJR84" si="331">COUNTBLANK(JHG2:JHG5)</f>
        <v>3</v>
      </c>
      <c r="JHH84">
        <f t="shared" si="331"/>
        <v>3</v>
      </c>
      <c r="JHI84">
        <f t="shared" si="331"/>
        <v>3</v>
      </c>
      <c r="JHJ84">
        <f t="shared" si="331"/>
        <v>3</v>
      </c>
      <c r="JHK84">
        <f t="shared" si="331"/>
        <v>3</v>
      </c>
      <c r="JHL84">
        <f t="shared" si="331"/>
        <v>3</v>
      </c>
      <c r="JHM84">
        <f t="shared" si="331"/>
        <v>3</v>
      </c>
      <c r="JHN84">
        <f t="shared" si="331"/>
        <v>3</v>
      </c>
      <c r="JHO84">
        <f t="shared" si="331"/>
        <v>3</v>
      </c>
      <c r="JHP84">
        <f t="shared" si="331"/>
        <v>3</v>
      </c>
      <c r="JHQ84">
        <f t="shared" si="331"/>
        <v>3</v>
      </c>
      <c r="JHR84">
        <f t="shared" si="331"/>
        <v>3</v>
      </c>
      <c r="JHS84">
        <f t="shared" si="331"/>
        <v>3</v>
      </c>
      <c r="JHT84">
        <f t="shared" si="331"/>
        <v>3</v>
      </c>
      <c r="JHU84">
        <f t="shared" si="331"/>
        <v>3</v>
      </c>
      <c r="JHV84">
        <f t="shared" si="331"/>
        <v>3</v>
      </c>
      <c r="JHW84">
        <f t="shared" si="331"/>
        <v>3</v>
      </c>
      <c r="JHX84">
        <f t="shared" si="331"/>
        <v>3</v>
      </c>
      <c r="JHY84">
        <f t="shared" si="331"/>
        <v>3</v>
      </c>
      <c r="JHZ84">
        <f t="shared" si="331"/>
        <v>3</v>
      </c>
      <c r="JIA84">
        <f t="shared" si="331"/>
        <v>3</v>
      </c>
      <c r="JIB84">
        <f t="shared" si="331"/>
        <v>3</v>
      </c>
      <c r="JIC84">
        <f t="shared" si="331"/>
        <v>3</v>
      </c>
      <c r="JID84">
        <f t="shared" si="331"/>
        <v>3</v>
      </c>
      <c r="JIE84">
        <f t="shared" si="331"/>
        <v>3</v>
      </c>
      <c r="JIF84">
        <f t="shared" si="331"/>
        <v>3</v>
      </c>
      <c r="JIG84">
        <f t="shared" si="331"/>
        <v>3</v>
      </c>
      <c r="JIH84">
        <f t="shared" si="331"/>
        <v>3</v>
      </c>
      <c r="JII84">
        <f t="shared" si="331"/>
        <v>3</v>
      </c>
      <c r="JIJ84">
        <f t="shared" si="331"/>
        <v>3</v>
      </c>
      <c r="JIK84">
        <f t="shared" si="331"/>
        <v>3</v>
      </c>
      <c r="JIL84">
        <f t="shared" si="331"/>
        <v>3</v>
      </c>
      <c r="JIM84">
        <f t="shared" si="331"/>
        <v>3</v>
      </c>
      <c r="JIN84">
        <f t="shared" si="331"/>
        <v>3</v>
      </c>
      <c r="JIO84">
        <f t="shared" si="331"/>
        <v>3</v>
      </c>
      <c r="JIP84">
        <f t="shared" si="331"/>
        <v>3</v>
      </c>
      <c r="JIQ84">
        <f t="shared" si="331"/>
        <v>3</v>
      </c>
      <c r="JIR84">
        <f t="shared" si="331"/>
        <v>3</v>
      </c>
      <c r="JIS84">
        <f t="shared" si="331"/>
        <v>3</v>
      </c>
      <c r="JIT84">
        <f t="shared" si="331"/>
        <v>3</v>
      </c>
      <c r="JIU84">
        <f t="shared" si="331"/>
        <v>3</v>
      </c>
      <c r="JIV84">
        <f t="shared" si="331"/>
        <v>3</v>
      </c>
      <c r="JIW84">
        <f t="shared" si="331"/>
        <v>3</v>
      </c>
      <c r="JIX84">
        <f t="shared" si="331"/>
        <v>3</v>
      </c>
      <c r="JIY84">
        <f t="shared" si="331"/>
        <v>3</v>
      </c>
      <c r="JIZ84">
        <f t="shared" si="331"/>
        <v>3</v>
      </c>
      <c r="JJA84">
        <f t="shared" si="331"/>
        <v>3</v>
      </c>
      <c r="JJB84">
        <f t="shared" si="331"/>
        <v>3</v>
      </c>
      <c r="JJC84">
        <f t="shared" si="331"/>
        <v>3</v>
      </c>
      <c r="JJD84">
        <f t="shared" si="331"/>
        <v>3</v>
      </c>
      <c r="JJE84">
        <f t="shared" si="331"/>
        <v>3</v>
      </c>
      <c r="JJF84">
        <f t="shared" si="331"/>
        <v>3</v>
      </c>
      <c r="JJG84">
        <f t="shared" si="331"/>
        <v>3</v>
      </c>
      <c r="JJH84">
        <f t="shared" si="331"/>
        <v>3</v>
      </c>
      <c r="JJI84">
        <f t="shared" si="331"/>
        <v>3</v>
      </c>
      <c r="JJJ84">
        <f t="shared" si="331"/>
        <v>3</v>
      </c>
      <c r="JJK84">
        <f t="shared" si="331"/>
        <v>3</v>
      </c>
      <c r="JJL84">
        <f t="shared" si="331"/>
        <v>3</v>
      </c>
      <c r="JJM84">
        <f t="shared" si="331"/>
        <v>3</v>
      </c>
      <c r="JJN84">
        <f t="shared" si="331"/>
        <v>3</v>
      </c>
      <c r="JJO84">
        <f t="shared" si="331"/>
        <v>3</v>
      </c>
      <c r="JJP84">
        <f t="shared" si="331"/>
        <v>3</v>
      </c>
      <c r="JJQ84">
        <f t="shared" si="331"/>
        <v>3</v>
      </c>
      <c r="JJR84">
        <f t="shared" si="331"/>
        <v>3</v>
      </c>
      <c r="JJS84">
        <f t="shared" ref="JJS84:JMD84" si="332">COUNTBLANK(JJS2:JJS5)</f>
        <v>3</v>
      </c>
      <c r="JJT84">
        <f t="shared" si="332"/>
        <v>3</v>
      </c>
      <c r="JJU84">
        <f t="shared" si="332"/>
        <v>3</v>
      </c>
      <c r="JJV84">
        <f t="shared" si="332"/>
        <v>3</v>
      </c>
      <c r="JJW84">
        <f t="shared" si="332"/>
        <v>3</v>
      </c>
      <c r="JJX84">
        <f t="shared" si="332"/>
        <v>3</v>
      </c>
      <c r="JJY84">
        <f t="shared" si="332"/>
        <v>3</v>
      </c>
      <c r="JJZ84">
        <f t="shared" si="332"/>
        <v>3</v>
      </c>
      <c r="JKA84">
        <f t="shared" si="332"/>
        <v>3</v>
      </c>
      <c r="JKB84">
        <f t="shared" si="332"/>
        <v>3</v>
      </c>
      <c r="JKC84">
        <f t="shared" si="332"/>
        <v>3</v>
      </c>
      <c r="JKD84">
        <f t="shared" si="332"/>
        <v>3</v>
      </c>
      <c r="JKE84">
        <f t="shared" si="332"/>
        <v>3</v>
      </c>
      <c r="JKF84">
        <f t="shared" si="332"/>
        <v>3</v>
      </c>
      <c r="JKG84">
        <f t="shared" si="332"/>
        <v>3</v>
      </c>
      <c r="JKH84">
        <f t="shared" si="332"/>
        <v>3</v>
      </c>
      <c r="JKI84">
        <f t="shared" si="332"/>
        <v>3</v>
      </c>
      <c r="JKJ84">
        <f t="shared" si="332"/>
        <v>3</v>
      </c>
      <c r="JKK84">
        <f t="shared" si="332"/>
        <v>3</v>
      </c>
      <c r="JKL84">
        <f t="shared" si="332"/>
        <v>3</v>
      </c>
      <c r="JKM84">
        <f t="shared" si="332"/>
        <v>3</v>
      </c>
      <c r="JKN84">
        <f t="shared" si="332"/>
        <v>3</v>
      </c>
      <c r="JKO84">
        <f t="shared" si="332"/>
        <v>3</v>
      </c>
      <c r="JKP84">
        <f t="shared" si="332"/>
        <v>3</v>
      </c>
      <c r="JKQ84">
        <f t="shared" si="332"/>
        <v>3</v>
      </c>
      <c r="JKR84">
        <f t="shared" si="332"/>
        <v>3</v>
      </c>
      <c r="JKS84">
        <f t="shared" si="332"/>
        <v>3</v>
      </c>
      <c r="JKT84">
        <f t="shared" si="332"/>
        <v>3</v>
      </c>
      <c r="JKU84">
        <f t="shared" si="332"/>
        <v>3</v>
      </c>
      <c r="JKV84">
        <f t="shared" si="332"/>
        <v>3</v>
      </c>
      <c r="JKW84">
        <f t="shared" si="332"/>
        <v>3</v>
      </c>
      <c r="JKX84">
        <f t="shared" si="332"/>
        <v>3</v>
      </c>
      <c r="JKY84">
        <f t="shared" si="332"/>
        <v>3</v>
      </c>
      <c r="JKZ84">
        <f t="shared" si="332"/>
        <v>3</v>
      </c>
      <c r="JLA84">
        <f t="shared" si="332"/>
        <v>3</v>
      </c>
      <c r="JLB84">
        <f t="shared" si="332"/>
        <v>3</v>
      </c>
      <c r="JLC84">
        <f t="shared" si="332"/>
        <v>3</v>
      </c>
      <c r="JLD84">
        <f t="shared" si="332"/>
        <v>3</v>
      </c>
      <c r="JLE84">
        <f t="shared" si="332"/>
        <v>3</v>
      </c>
      <c r="JLF84">
        <f t="shared" si="332"/>
        <v>3</v>
      </c>
      <c r="JLG84">
        <f t="shared" si="332"/>
        <v>3</v>
      </c>
      <c r="JLH84">
        <f t="shared" si="332"/>
        <v>3</v>
      </c>
      <c r="JLI84">
        <f t="shared" si="332"/>
        <v>3</v>
      </c>
      <c r="JLJ84">
        <f t="shared" si="332"/>
        <v>3</v>
      </c>
      <c r="JLK84">
        <f t="shared" si="332"/>
        <v>3</v>
      </c>
      <c r="JLL84">
        <f t="shared" si="332"/>
        <v>3</v>
      </c>
      <c r="JLM84">
        <f t="shared" si="332"/>
        <v>3</v>
      </c>
      <c r="JLN84">
        <f t="shared" si="332"/>
        <v>3</v>
      </c>
      <c r="JLO84">
        <f t="shared" si="332"/>
        <v>3</v>
      </c>
      <c r="JLP84">
        <f t="shared" si="332"/>
        <v>3</v>
      </c>
      <c r="JLQ84">
        <f t="shared" si="332"/>
        <v>3</v>
      </c>
      <c r="JLR84">
        <f t="shared" si="332"/>
        <v>3</v>
      </c>
      <c r="JLS84">
        <f t="shared" si="332"/>
        <v>3</v>
      </c>
      <c r="JLT84">
        <f t="shared" si="332"/>
        <v>3</v>
      </c>
      <c r="JLU84">
        <f t="shared" si="332"/>
        <v>3</v>
      </c>
      <c r="JLV84">
        <f t="shared" si="332"/>
        <v>3</v>
      </c>
      <c r="JLW84">
        <f t="shared" si="332"/>
        <v>3</v>
      </c>
      <c r="JLX84">
        <f t="shared" si="332"/>
        <v>3</v>
      </c>
      <c r="JLY84">
        <f t="shared" si="332"/>
        <v>3</v>
      </c>
      <c r="JLZ84">
        <f t="shared" si="332"/>
        <v>3</v>
      </c>
      <c r="JMA84">
        <f t="shared" si="332"/>
        <v>3</v>
      </c>
      <c r="JMB84">
        <f t="shared" si="332"/>
        <v>3</v>
      </c>
      <c r="JMC84">
        <f t="shared" si="332"/>
        <v>3</v>
      </c>
      <c r="JMD84">
        <f t="shared" si="332"/>
        <v>3</v>
      </c>
      <c r="JME84">
        <f t="shared" ref="JME84:JOP84" si="333">COUNTBLANK(JME2:JME5)</f>
        <v>3</v>
      </c>
      <c r="JMF84">
        <f t="shared" si="333"/>
        <v>3</v>
      </c>
      <c r="JMG84">
        <f t="shared" si="333"/>
        <v>3</v>
      </c>
      <c r="JMH84">
        <f t="shared" si="333"/>
        <v>3</v>
      </c>
      <c r="JMI84">
        <f t="shared" si="333"/>
        <v>3</v>
      </c>
      <c r="JMJ84">
        <f t="shared" si="333"/>
        <v>3</v>
      </c>
      <c r="JMK84">
        <f t="shared" si="333"/>
        <v>3</v>
      </c>
      <c r="JML84">
        <f t="shared" si="333"/>
        <v>3</v>
      </c>
      <c r="JMM84">
        <f t="shared" si="333"/>
        <v>3</v>
      </c>
      <c r="JMN84">
        <f t="shared" si="333"/>
        <v>3</v>
      </c>
      <c r="JMO84">
        <f t="shared" si="333"/>
        <v>3</v>
      </c>
      <c r="JMP84">
        <f t="shared" si="333"/>
        <v>3</v>
      </c>
      <c r="JMQ84">
        <f t="shared" si="333"/>
        <v>3</v>
      </c>
      <c r="JMR84">
        <f t="shared" si="333"/>
        <v>3</v>
      </c>
      <c r="JMS84">
        <f t="shared" si="333"/>
        <v>3</v>
      </c>
      <c r="JMT84">
        <f t="shared" si="333"/>
        <v>3</v>
      </c>
      <c r="JMU84">
        <f t="shared" si="333"/>
        <v>3</v>
      </c>
      <c r="JMV84">
        <f t="shared" si="333"/>
        <v>3</v>
      </c>
      <c r="JMW84">
        <f t="shared" si="333"/>
        <v>3</v>
      </c>
      <c r="JMX84">
        <f t="shared" si="333"/>
        <v>3</v>
      </c>
      <c r="JMY84">
        <f t="shared" si="333"/>
        <v>3</v>
      </c>
      <c r="JMZ84">
        <f t="shared" si="333"/>
        <v>3</v>
      </c>
      <c r="JNA84">
        <f t="shared" si="333"/>
        <v>3</v>
      </c>
      <c r="JNB84">
        <f t="shared" si="333"/>
        <v>3</v>
      </c>
      <c r="JNC84">
        <f t="shared" si="333"/>
        <v>3</v>
      </c>
      <c r="JND84">
        <f t="shared" si="333"/>
        <v>3</v>
      </c>
      <c r="JNE84">
        <f t="shared" si="333"/>
        <v>3</v>
      </c>
      <c r="JNF84">
        <f t="shared" si="333"/>
        <v>3</v>
      </c>
      <c r="JNG84">
        <f t="shared" si="333"/>
        <v>3</v>
      </c>
      <c r="JNH84">
        <f t="shared" si="333"/>
        <v>3</v>
      </c>
      <c r="JNI84">
        <f t="shared" si="333"/>
        <v>3</v>
      </c>
      <c r="JNJ84">
        <f t="shared" si="333"/>
        <v>3</v>
      </c>
      <c r="JNK84">
        <f t="shared" si="333"/>
        <v>3</v>
      </c>
      <c r="JNL84">
        <f t="shared" si="333"/>
        <v>3</v>
      </c>
      <c r="JNM84">
        <f t="shared" si="333"/>
        <v>3</v>
      </c>
      <c r="JNN84">
        <f t="shared" si="333"/>
        <v>3</v>
      </c>
      <c r="JNO84">
        <f t="shared" si="333"/>
        <v>3</v>
      </c>
      <c r="JNP84">
        <f t="shared" si="333"/>
        <v>3</v>
      </c>
      <c r="JNQ84">
        <f t="shared" si="333"/>
        <v>3</v>
      </c>
      <c r="JNR84">
        <f t="shared" si="333"/>
        <v>3</v>
      </c>
      <c r="JNS84">
        <f t="shared" si="333"/>
        <v>3</v>
      </c>
      <c r="JNT84">
        <f t="shared" si="333"/>
        <v>3</v>
      </c>
      <c r="JNU84">
        <f t="shared" si="333"/>
        <v>3</v>
      </c>
      <c r="JNV84">
        <f t="shared" si="333"/>
        <v>3</v>
      </c>
      <c r="JNW84">
        <f t="shared" si="333"/>
        <v>3</v>
      </c>
      <c r="JNX84">
        <f t="shared" si="333"/>
        <v>3</v>
      </c>
      <c r="JNY84">
        <f t="shared" si="333"/>
        <v>3</v>
      </c>
      <c r="JNZ84">
        <f t="shared" si="333"/>
        <v>3</v>
      </c>
      <c r="JOA84">
        <f t="shared" si="333"/>
        <v>3</v>
      </c>
      <c r="JOB84">
        <f t="shared" si="333"/>
        <v>3</v>
      </c>
      <c r="JOC84">
        <f t="shared" si="333"/>
        <v>3</v>
      </c>
      <c r="JOD84">
        <f t="shared" si="333"/>
        <v>3</v>
      </c>
      <c r="JOE84">
        <f t="shared" si="333"/>
        <v>3</v>
      </c>
      <c r="JOF84">
        <f t="shared" si="333"/>
        <v>3</v>
      </c>
      <c r="JOG84">
        <f t="shared" si="333"/>
        <v>3</v>
      </c>
      <c r="JOH84">
        <f t="shared" si="333"/>
        <v>3</v>
      </c>
      <c r="JOI84">
        <f t="shared" si="333"/>
        <v>3</v>
      </c>
      <c r="JOJ84">
        <f t="shared" si="333"/>
        <v>3</v>
      </c>
      <c r="JOK84">
        <f t="shared" si="333"/>
        <v>3</v>
      </c>
      <c r="JOL84">
        <f t="shared" si="333"/>
        <v>3</v>
      </c>
      <c r="JOM84">
        <f t="shared" si="333"/>
        <v>3</v>
      </c>
      <c r="JON84">
        <f t="shared" si="333"/>
        <v>3</v>
      </c>
      <c r="JOO84">
        <f t="shared" si="333"/>
        <v>3</v>
      </c>
      <c r="JOP84">
        <f t="shared" si="333"/>
        <v>3</v>
      </c>
      <c r="JOQ84">
        <f t="shared" ref="JOQ84:JRB84" si="334">COUNTBLANK(JOQ2:JOQ5)</f>
        <v>3</v>
      </c>
      <c r="JOR84">
        <f t="shared" si="334"/>
        <v>3</v>
      </c>
      <c r="JOS84">
        <f t="shared" si="334"/>
        <v>3</v>
      </c>
      <c r="JOT84">
        <f t="shared" si="334"/>
        <v>3</v>
      </c>
      <c r="JOU84">
        <f t="shared" si="334"/>
        <v>3</v>
      </c>
      <c r="JOV84">
        <f t="shared" si="334"/>
        <v>3</v>
      </c>
      <c r="JOW84">
        <f t="shared" si="334"/>
        <v>3</v>
      </c>
      <c r="JOX84">
        <f t="shared" si="334"/>
        <v>3</v>
      </c>
      <c r="JOY84">
        <f t="shared" si="334"/>
        <v>3</v>
      </c>
      <c r="JOZ84">
        <f t="shared" si="334"/>
        <v>3</v>
      </c>
      <c r="JPA84">
        <f t="shared" si="334"/>
        <v>3</v>
      </c>
      <c r="JPB84">
        <f t="shared" si="334"/>
        <v>3</v>
      </c>
      <c r="JPC84">
        <f t="shared" si="334"/>
        <v>3</v>
      </c>
      <c r="JPD84">
        <f t="shared" si="334"/>
        <v>3</v>
      </c>
      <c r="JPE84">
        <f t="shared" si="334"/>
        <v>3</v>
      </c>
      <c r="JPF84">
        <f t="shared" si="334"/>
        <v>3</v>
      </c>
      <c r="JPG84">
        <f t="shared" si="334"/>
        <v>3</v>
      </c>
      <c r="JPH84">
        <f t="shared" si="334"/>
        <v>3</v>
      </c>
      <c r="JPI84">
        <f t="shared" si="334"/>
        <v>3</v>
      </c>
      <c r="JPJ84">
        <f t="shared" si="334"/>
        <v>3</v>
      </c>
      <c r="JPK84">
        <f t="shared" si="334"/>
        <v>3</v>
      </c>
      <c r="JPL84">
        <f t="shared" si="334"/>
        <v>3</v>
      </c>
      <c r="JPM84">
        <f t="shared" si="334"/>
        <v>3</v>
      </c>
      <c r="JPN84">
        <f t="shared" si="334"/>
        <v>3</v>
      </c>
      <c r="JPO84">
        <f t="shared" si="334"/>
        <v>3</v>
      </c>
      <c r="JPP84">
        <f t="shared" si="334"/>
        <v>3</v>
      </c>
      <c r="JPQ84">
        <f t="shared" si="334"/>
        <v>3</v>
      </c>
      <c r="JPR84">
        <f t="shared" si="334"/>
        <v>3</v>
      </c>
      <c r="JPS84">
        <f t="shared" si="334"/>
        <v>3</v>
      </c>
      <c r="JPT84">
        <f t="shared" si="334"/>
        <v>3</v>
      </c>
      <c r="JPU84">
        <f t="shared" si="334"/>
        <v>3</v>
      </c>
      <c r="JPV84">
        <f t="shared" si="334"/>
        <v>3</v>
      </c>
      <c r="JPW84">
        <f t="shared" si="334"/>
        <v>3</v>
      </c>
      <c r="JPX84">
        <f t="shared" si="334"/>
        <v>3</v>
      </c>
      <c r="JPY84">
        <f t="shared" si="334"/>
        <v>3</v>
      </c>
      <c r="JPZ84">
        <f t="shared" si="334"/>
        <v>3</v>
      </c>
      <c r="JQA84">
        <f t="shared" si="334"/>
        <v>3</v>
      </c>
      <c r="JQB84">
        <f t="shared" si="334"/>
        <v>3</v>
      </c>
      <c r="JQC84">
        <f t="shared" si="334"/>
        <v>3</v>
      </c>
      <c r="JQD84">
        <f t="shared" si="334"/>
        <v>3</v>
      </c>
      <c r="JQE84">
        <f t="shared" si="334"/>
        <v>3</v>
      </c>
      <c r="JQF84">
        <f t="shared" si="334"/>
        <v>3</v>
      </c>
      <c r="JQG84">
        <f t="shared" si="334"/>
        <v>3</v>
      </c>
      <c r="JQH84">
        <f t="shared" si="334"/>
        <v>3</v>
      </c>
      <c r="JQI84">
        <f t="shared" si="334"/>
        <v>3</v>
      </c>
      <c r="JQJ84">
        <f t="shared" si="334"/>
        <v>3</v>
      </c>
      <c r="JQK84">
        <f t="shared" si="334"/>
        <v>3</v>
      </c>
      <c r="JQL84">
        <f t="shared" si="334"/>
        <v>3</v>
      </c>
      <c r="JQM84">
        <f t="shared" si="334"/>
        <v>3</v>
      </c>
      <c r="JQN84">
        <f t="shared" si="334"/>
        <v>3</v>
      </c>
      <c r="JQO84">
        <f t="shared" si="334"/>
        <v>3</v>
      </c>
      <c r="JQP84">
        <f t="shared" si="334"/>
        <v>3</v>
      </c>
      <c r="JQQ84">
        <f t="shared" si="334"/>
        <v>3</v>
      </c>
      <c r="JQR84">
        <f t="shared" si="334"/>
        <v>3</v>
      </c>
      <c r="JQS84">
        <f t="shared" si="334"/>
        <v>3</v>
      </c>
      <c r="JQT84">
        <f t="shared" si="334"/>
        <v>3</v>
      </c>
      <c r="JQU84">
        <f t="shared" si="334"/>
        <v>3</v>
      </c>
      <c r="JQV84">
        <f t="shared" si="334"/>
        <v>3</v>
      </c>
      <c r="JQW84">
        <f t="shared" si="334"/>
        <v>3</v>
      </c>
      <c r="JQX84">
        <f t="shared" si="334"/>
        <v>3</v>
      </c>
      <c r="JQY84">
        <f t="shared" si="334"/>
        <v>3</v>
      </c>
      <c r="JQZ84">
        <f t="shared" si="334"/>
        <v>3</v>
      </c>
      <c r="JRA84">
        <f t="shared" si="334"/>
        <v>3</v>
      </c>
      <c r="JRB84">
        <f t="shared" si="334"/>
        <v>3</v>
      </c>
      <c r="JRC84">
        <f t="shared" ref="JRC84:JTN84" si="335">COUNTBLANK(JRC2:JRC5)</f>
        <v>3</v>
      </c>
      <c r="JRD84">
        <f t="shared" si="335"/>
        <v>3</v>
      </c>
      <c r="JRE84">
        <f t="shared" si="335"/>
        <v>3</v>
      </c>
      <c r="JRF84">
        <f t="shared" si="335"/>
        <v>3</v>
      </c>
      <c r="JRG84">
        <f t="shared" si="335"/>
        <v>3</v>
      </c>
      <c r="JRH84">
        <f t="shared" si="335"/>
        <v>3</v>
      </c>
      <c r="JRI84">
        <f t="shared" si="335"/>
        <v>3</v>
      </c>
      <c r="JRJ84">
        <f t="shared" si="335"/>
        <v>3</v>
      </c>
      <c r="JRK84">
        <f t="shared" si="335"/>
        <v>3</v>
      </c>
      <c r="JRL84">
        <f t="shared" si="335"/>
        <v>3</v>
      </c>
      <c r="JRM84">
        <f t="shared" si="335"/>
        <v>3</v>
      </c>
      <c r="JRN84">
        <f t="shared" si="335"/>
        <v>3</v>
      </c>
      <c r="JRO84">
        <f t="shared" si="335"/>
        <v>3</v>
      </c>
      <c r="JRP84">
        <f t="shared" si="335"/>
        <v>3</v>
      </c>
      <c r="JRQ84">
        <f t="shared" si="335"/>
        <v>3</v>
      </c>
      <c r="JRR84">
        <f t="shared" si="335"/>
        <v>3</v>
      </c>
      <c r="JRS84">
        <f t="shared" si="335"/>
        <v>3</v>
      </c>
      <c r="JRT84">
        <f t="shared" si="335"/>
        <v>3</v>
      </c>
      <c r="JRU84">
        <f t="shared" si="335"/>
        <v>3</v>
      </c>
      <c r="JRV84">
        <f t="shared" si="335"/>
        <v>3</v>
      </c>
      <c r="JRW84">
        <f t="shared" si="335"/>
        <v>3</v>
      </c>
      <c r="JRX84">
        <f t="shared" si="335"/>
        <v>3</v>
      </c>
      <c r="JRY84">
        <f t="shared" si="335"/>
        <v>3</v>
      </c>
      <c r="JRZ84">
        <f t="shared" si="335"/>
        <v>3</v>
      </c>
      <c r="JSA84">
        <f t="shared" si="335"/>
        <v>3</v>
      </c>
      <c r="JSB84">
        <f t="shared" si="335"/>
        <v>3</v>
      </c>
      <c r="JSC84">
        <f t="shared" si="335"/>
        <v>3</v>
      </c>
      <c r="JSD84">
        <f t="shared" si="335"/>
        <v>3</v>
      </c>
      <c r="JSE84">
        <f t="shared" si="335"/>
        <v>3</v>
      </c>
      <c r="JSF84">
        <f t="shared" si="335"/>
        <v>3</v>
      </c>
      <c r="JSG84">
        <f t="shared" si="335"/>
        <v>3</v>
      </c>
      <c r="JSH84">
        <f t="shared" si="335"/>
        <v>3</v>
      </c>
      <c r="JSI84">
        <f t="shared" si="335"/>
        <v>3</v>
      </c>
      <c r="JSJ84">
        <f t="shared" si="335"/>
        <v>3</v>
      </c>
      <c r="JSK84">
        <f t="shared" si="335"/>
        <v>3</v>
      </c>
      <c r="JSL84">
        <f t="shared" si="335"/>
        <v>3</v>
      </c>
      <c r="JSM84">
        <f t="shared" si="335"/>
        <v>3</v>
      </c>
      <c r="JSN84">
        <f t="shared" si="335"/>
        <v>3</v>
      </c>
      <c r="JSO84">
        <f t="shared" si="335"/>
        <v>3</v>
      </c>
      <c r="JSP84">
        <f t="shared" si="335"/>
        <v>3</v>
      </c>
      <c r="JSQ84">
        <f t="shared" si="335"/>
        <v>3</v>
      </c>
      <c r="JSR84">
        <f t="shared" si="335"/>
        <v>3</v>
      </c>
      <c r="JSS84">
        <f t="shared" si="335"/>
        <v>3</v>
      </c>
      <c r="JST84">
        <f t="shared" si="335"/>
        <v>3</v>
      </c>
      <c r="JSU84">
        <f t="shared" si="335"/>
        <v>3</v>
      </c>
      <c r="JSV84">
        <f t="shared" si="335"/>
        <v>3</v>
      </c>
      <c r="JSW84">
        <f t="shared" si="335"/>
        <v>3</v>
      </c>
      <c r="JSX84">
        <f t="shared" si="335"/>
        <v>3</v>
      </c>
      <c r="JSY84">
        <f t="shared" si="335"/>
        <v>3</v>
      </c>
      <c r="JSZ84">
        <f t="shared" si="335"/>
        <v>3</v>
      </c>
      <c r="JTA84">
        <f t="shared" si="335"/>
        <v>3</v>
      </c>
      <c r="JTB84">
        <f t="shared" si="335"/>
        <v>3</v>
      </c>
      <c r="JTC84">
        <f t="shared" si="335"/>
        <v>3</v>
      </c>
      <c r="JTD84">
        <f t="shared" si="335"/>
        <v>3</v>
      </c>
      <c r="JTE84">
        <f t="shared" si="335"/>
        <v>3</v>
      </c>
      <c r="JTF84">
        <f t="shared" si="335"/>
        <v>3</v>
      </c>
      <c r="JTG84">
        <f t="shared" si="335"/>
        <v>3</v>
      </c>
      <c r="JTH84">
        <f t="shared" si="335"/>
        <v>3</v>
      </c>
      <c r="JTI84">
        <f t="shared" si="335"/>
        <v>3</v>
      </c>
      <c r="JTJ84">
        <f t="shared" si="335"/>
        <v>3</v>
      </c>
      <c r="JTK84">
        <f t="shared" si="335"/>
        <v>3</v>
      </c>
      <c r="JTL84">
        <f t="shared" si="335"/>
        <v>3</v>
      </c>
      <c r="JTM84">
        <f t="shared" si="335"/>
        <v>3</v>
      </c>
      <c r="JTN84">
        <f t="shared" si="335"/>
        <v>3</v>
      </c>
      <c r="JTO84">
        <f t="shared" ref="JTO84:JVZ84" si="336">COUNTBLANK(JTO2:JTO5)</f>
        <v>3</v>
      </c>
      <c r="JTP84">
        <f t="shared" si="336"/>
        <v>3</v>
      </c>
      <c r="JTQ84">
        <f t="shared" si="336"/>
        <v>3</v>
      </c>
      <c r="JTR84">
        <f t="shared" si="336"/>
        <v>3</v>
      </c>
      <c r="JTS84">
        <f t="shared" si="336"/>
        <v>3</v>
      </c>
      <c r="JTT84">
        <f t="shared" si="336"/>
        <v>3</v>
      </c>
      <c r="JTU84">
        <f t="shared" si="336"/>
        <v>3</v>
      </c>
      <c r="JTV84">
        <f t="shared" si="336"/>
        <v>3</v>
      </c>
      <c r="JTW84">
        <f t="shared" si="336"/>
        <v>3</v>
      </c>
      <c r="JTX84">
        <f t="shared" si="336"/>
        <v>3</v>
      </c>
      <c r="JTY84">
        <f t="shared" si="336"/>
        <v>3</v>
      </c>
      <c r="JTZ84">
        <f t="shared" si="336"/>
        <v>3</v>
      </c>
      <c r="JUA84">
        <f t="shared" si="336"/>
        <v>3</v>
      </c>
      <c r="JUB84">
        <f t="shared" si="336"/>
        <v>3</v>
      </c>
      <c r="JUC84">
        <f t="shared" si="336"/>
        <v>3</v>
      </c>
      <c r="JUD84">
        <f t="shared" si="336"/>
        <v>3</v>
      </c>
      <c r="JUE84">
        <f t="shared" si="336"/>
        <v>3</v>
      </c>
      <c r="JUF84">
        <f t="shared" si="336"/>
        <v>3</v>
      </c>
      <c r="JUG84">
        <f t="shared" si="336"/>
        <v>3</v>
      </c>
      <c r="JUH84">
        <f t="shared" si="336"/>
        <v>3</v>
      </c>
      <c r="JUI84">
        <f t="shared" si="336"/>
        <v>3</v>
      </c>
      <c r="JUJ84">
        <f t="shared" si="336"/>
        <v>3</v>
      </c>
      <c r="JUK84">
        <f t="shared" si="336"/>
        <v>3</v>
      </c>
      <c r="JUL84">
        <f t="shared" si="336"/>
        <v>3</v>
      </c>
      <c r="JUM84">
        <f t="shared" si="336"/>
        <v>3</v>
      </c>
      <c r="JUN84">
        <f t="shared" si="336"/>
        <v>3</v>
      </c>
      <c r="JUO84">
        <f t="shared" si="336"/>
        <v>3</v>
      </c>
      <c r="JUP84">
        <f t="shared" si="336"/>
        <v>3</v>
      </c>
      <c r="JUQ84">
        <f t="shared" si="336"/>
        <v>3</v>
      </c>
      <c r="JUR84">
        <f t="shared" si="336"/>
        <v>3</v>
      </c>
      <c r="JUS84">
        <f t="shared" si="336"/>
        <v>3</v>
      </c>
      <c r="JUT84">
        <f t="shared" si="336"/>
        <v>3</v>
      </c>
      <c r="JUU84">
        <f t="shared" si="336"/>
        <v>3</v>
      </c>
      <c r="JUV84">
        <f t="shared" si="336"/>
        <v>3</v>
      </c>
      <c r="JUW84">
        <f t="shared" si="336"/>
        <v>3</v>
      </c>
      <c r="JUX84">
        <f t="shared" si="336"/>
        <v>3</v>
      </c>
      <c r="JUY84">
        <f t="shared" si="336"/>
        <v>3</v>
      </c>
      <c r="JUZ84">
        <f t="shared" si="336"/>
        <v>3</v>
      </c>
      <c r="JVA84">
        <f t="shared" si="336"/>
        <v>3</v>
      </c>
      <c r="JVB84">
        <f t="shared" si="336"/>
        <v>3</v>
      </c>
      <c r="JVC84">
        <f t="shared" si="336"/>
        <v>3</v>
      </c>
      <c r="JVD84">
        <f t="shared" si="336"/>
        <v>3</v>
      </c>
      <c r="JVE84">
        <f t="shared" si="336"/>
        <v>3</v>
      </c>
      <c r="JVF84">
        <f t="shared" si="336"/>
        <v>3</v>
      </c>
      <c r="JVG84">
        <f t="shared" si="336"/>
        <v>3</v>
      </c>
      <c r="JVH84">
        <f t="shared" si="336"/>
        <v>3</v>
      </c>
      <c r="JVI84">
        <f t="shared" si="336"/>
        <v>3</v>
      </c>
      <c r="JVJ84">
        <f t="shared" si="336"/>
        <v>3</v>
      </c>
      <c r="JVK84">
        <f t="shared" si="336"/>
        <v>2</v>
      </c>
      <c r="JVL84">
        <f t="shared" si="336"/>
        <v>2</v>
      </c>
      <c r="JVM84">
        <f t="shared" si="336"/>
        <v>2</v>
      </c>
      <c r="JVN84">
        <f t="shared" si="336"/>
        <v>2</v>
      </c>
      <c r="JVO84">
        <f t="shared" si="336"/>
        <v>2</v>
      </c>
      <c r="JVP84">
        <f t="shared" si="336"/>
        <v>2</v>
      </c>
      <c r="JVQ84">
        <f t="shared" si="336"/>
        <v>2</v>
      </c>
      <c r="JVR84">
        <f t="shared" si="336"/>
        <v>2</v>
      </c>
      <c r="JVS84">
        <f t="shared" si="336"/>
        <v>2</v>
      </c>
      <c r="JVT84">
        <f t="shared" si="336"/>
        <v>2</v>
      </c>
      <c r="JVU84">
        <f t="shared" si="336"/>
        <v>2</v>
      </c>
      <c r="JVV84">
        <f t="shared" si="336"/>
        <v>2</v>
      </c>
      <c r="JVW84">
        <f t="shared" si="336"/>
        <v>2</v>
      </c>
      <c r="JVX84">
        <f t="shared" si="336"/>
        <v>2</v>
      </c>
      <c r="JVY84">
        <f t="shared" si="336"/>
        <v>2</v>
      </c>
      <c r="JVZ84">
        <f t="shared" si="336"/>
        <v>2</v>
      </c>
      <c r="JWA84">
        <f t="shared" ref="JWA84:JYL84" si="337">COUNTBLANK(JWA2:JWA5)</f>
        <v>2</v>
      </c>
      <c r="JWB84">
        <f t="shared" si="337"/>
        <v>3</v>
      </c>
      <c r="JWC84">
        <f t="shared" si="337"/>
        <v>3</v>
      </c>
      <c r="JWD84">
        <f t="shared" si="337"/>
        <v>3</v>
      </c>
      <c r="JWE84">
        <f t="shared" si="337"/>
        <v>3</v>
      </c>
      <c r="JWF84">
        <f t="shared" si="337"/>
        <v>3</v>
      </c>
      <c r="JWG84">
        <f t="shared" si="337"/>
        <v>3</v>
      </c>
      <c r="JWH84">
        <f t="shared" si="337"/>
        <v>3</v>
      </c>
      <c r="JWI84">
        <f t="shared" si="337"/>
        <v>3</v>
      </c>
      <c r="JWJ84">
        <f t="shared" si="337"/>
        <v>3</v>
      </c>
      <c r="JWK84">
        <f t="shared" si="337"/>
        <v>3</v>
      </c>
      <c r="JWL84">
        <f t="shared" si="337"/>
        <v>3</v>
      </c>
      <c r="JWM84">
        <f t="shared" si="337"/>
        <v>3</v>
      </c>
      <c r="JWN84">
        <f t="shared" si="337"/>
        <v>3</v>
      </c>
      <c r="JWO84">
        <f t="shared" si="337"/>
        <v>3</v>
      </c>
      <c r="JWP84">
        <f t="shared" si="337"/>
        <v>3</v>
      </c>
      <c r="JWQ84">
        <f t="shared" si="337"/>
        <v>3</v>
      </c>
      <c r="JWR84">
        <f t="shared" si="337"/>
        <v>3</v>
      </c>
      <c r="JWS84">
        <f t="shared" si="337"/>
        <v>3</v>
      </c>
      <c r="JWT84">
        <f t="shared" si="337"/>
        <v>3</v>
      </c>
      <c r="JWU84">
        <f t="shared" si="337"/>
        <v>3</v>
      </c>
      <c r="JWV84">
        <f t="shared" si="337"/>
        <v>3</v>
      </c>
      <c r="JWW84">
        <f t="shared" si="337"/>
        <v>3</v>
      </c>
      <c r="JWX84">
        <f t="shared" si="337"/>
        <v>3</v>
      </c>
      <c r="JWY84">
        <f t="shared" si="337"/>
        <v>3</v>
      </c>
      <c r="JWZ84">
        <f t="shared" si="337"/>
        <v>3</v>
      </c>
      <c r="JXA84">
        <f t="shared" si="337"/>
        <v>3</v>
      </c>
      <c r="JXB84">
        <f t="shared" si="337"/>
        <v>3</v>
      </c>
      <c r="JXC84">
        <f t="shared" si="337"/>
        <v>3</v>
      </c>
      <c r="JXD84">
        <f t="shared" si="337"/>
        <v>3</v>
      </c>
      <c r="JXE84">
        <f t="shared" si="337"/>
        <v>3</v>
      </c>
      <c r="JXF84">
        <f t="shared" si="337"/>
        <v>3</v>
      </c>
      <c r="JXG84">
        <f t="shared" si="337"/>
        <v>3</v>
      </c>
      <c r="JXH84">
        <f t="shared" si="337"/>
        <v>3</v>
      </c>
      <c r="JXI84">
        <f t="shared" si="337"/>
        <v>3</v>
      </c>
      <c r="JXJ84">
        <f t="shared" si="337"/>
        <v>3</v>
      </c>
      <c r="JXK84">
        <f t="shared" si="337"/>
        <v>3</v>
      </c>
      <c r="JXL84">
        <f t="shared" si="337"/>
        <v>3</v>
      </c>
      <c r="JXM84">
        <f t="shared" si="337"/>
        <v>3</v>
      </c>
      <c r="JXN84">
        <f t="shared" si="337"/>
        <v>3</v>
      </c>
      <c r="JXO84">
        <f t="shared" si="337"/>
        <v>3</v>
      </c>
      <c r="JXP84">
        <f t="shared" si="337"/>
        <v>3</v>
      </c>
      <c r="JXQ84">
        <f t="shared" si="337"/>
        <v>3</v>
      </c>
      <c r="JXR84">
        <f t="shared" si="337"/>
        <v>3</v>
      </c>
      <c r="JXS84">
        <f t="shared" si="337"/>
        <v>3</v>
      </c>
      <c r="JXT84">
        <f t="shared" si="337"/>
        <v>3</v>
      </c>
      <c r="JXU84">
        <f t="shared" si="337"/>
        <v>3</v>
      </c>
      <c r="JXV84">
        <f t="shared" si="337"/>
        <v>3</v>
      </c>
      <c r="JXW84">
        <f t="shared" si="337"/>
        <v>3</v>
      </c>
      <c r="JXX84">
        <f t="shared" si="337"/>
        <v>3</v>
      </c>
      <c r="JXY84">
        <f t="shared" si="337"/>
        <v>3</v>
      </c>
      <c r="JXZ84">
        <f t="shared" si="337"/>
        <v>3</v>
      </c>
      <c r="JYA84">
        <f t="shared" si="337"/>
        <v>3</v>
      </c>
      <c r="JYB84">
        <f t="shared" si="337"/>
        <v>3</v>
      </c>
      <c r="JYC84">
        <f t="shared" si="337"/>
        <v>3</v>
      </c>
      <c r="JYD84">
        <f t="shared" si="337"/>
        <v>3</v>
      </c>
      <c r="JYE84">
        <f t="shared" si="337"/>
        <v>3</v>
      </c>
      <c r="JYF84">
        <f t="shared" si="337"/>
        <v>3</v>
      </c>
      <c r="JYG84">
        <f t="shared" si="337"/>
        <v>3</v>
      </c>
      <c r="JYH84">
        <f t="shared" si="337"/>
        <v>3</v>
      </c>
      <c r="JYI84">
        <f t="shared" si="337"/>
        <v>3</v>
      </c>
      <c r="JYJ84">
        <f t="shared" si="337"/>
        <v>3</v>
      </c>
      <c r="JYK84">
        <f t="shared" si="337"/>
        <v>3</v>
      </c>
      <c r="JYL84">
        <f t="shared" si="337"/>
        <v>3</v>
      </c>
      <c r="JYM84">
        <f t="shared" ref="JYM84:KAX84" si="338">COUNTBLANK(JYM2:JYM5)</f>
        <v>3</v>
      </c>
      <c r="JYN84">
        <f t="shared" si="338"/>
        <v>3</v>
      </c>
      <c r="JYO84">
        <f t="shared" si="338"/>
        <v>3</v>
      </c>
      <c r="JYP84">
        <f t="shared" si="338"/>
        <v>3</v>
      </c>
      <c r="JYQ84">
        <f t="shared" si="338"/>
        <v>3</v>
      </c>
      <c r="JYR84">
        <f t="shared" si="338"/>
        <v>3</v>
      </c>
      <c r="JYS84">
        <f t="shared" si="338"/>
        <v>3</v>
      </c>
      <c r="JYT84">
        <f t="shared" si="338"/>
        <v>3</v>
      </c>
      <c r="JYU84">
        <f t="shared" si="338"/>
        <v>3</v>
      </c>
      <c r="JYV84">
        <f t="shared" si="338"/>
        <v>3</v>
      </c>
      <c r="JYW84">
        <f t="shared" si="338"/>
        <v>3</v>
      </c>
      <c r="JYX84">
        <f t="shared" si="338"/>
        <v>3</v>
      </c>
      <c r="JYY84">
        <f t="shared" si="338"/>
        <v>3</v>
      </c>
      <c r="JYZ84">
        <f t="shared" si="338"/>
        <v>3</v>
      </c>
      <c r="JZA84">
        <f t="shared" si="338"/>
        <v>3</v>
      </c>
      <c r="JZB84">
        <f t="shared" si="338"/>
        <v>3</v>
      </c>
      <c r="JZC84">
        <f t="shared" si="338"/>
        <v>3</v>
      </c>
      <c r="JZD84">
        <f t="shared" si="338"/>
        <v>3</v>
      </c>
      <c r="JZE84">
        <f t="shared" si="338"/>
        <v>3</v>
      </c>
      <c r="JZF84">
        <f t="shared" si="338"/>
        <v>3</v>
      </c>
      <c r="JZG84">
        <f t="shared" si="338"/>
        <v>3</v>
      </c>
      <c r="JZH84">
        <f t="shared" si="338"/>
        <v>3</v>
      </c>
      <c r="JZI84">
        <f t="shared" si="338"/>
        <v>3</v>
      </c>
      <c r="JZJ84">
        <f t="shared" si="338"/>
        <v>3</v>
      </c>
      <c r="JZK84">
        <f t="shared" si="338"/>
        <v>3</v>
      </c>
      <c r="JZL84">
        <f t="shared" si="338"/>
        <v>3</v>
      </c>
      <c r="JZM84">
        <f t="shared" si="338"/>
        <v>3</v>
      </c>
      <c r="JZN84">
        <f t="shared" si="338"/>
        <v>3</v>
      </c>
      <c r="JZO84">
        <f t="shared" si="338"/>
        <v>3</v>
      </c>
      <c r="JZP84">
        <f t="shared" si="338"/>
        <v>3</v>
      </c>
      <c r="JZQ84">
        <f t="shared" si="338"/>
        <v>3</v>
      </c>
      <c r="JZR84">
        <f t="shared" si="338"/>
        <v>3</v>
      </c>
      <c r="JZS84">
        <f t="shared" si="338"/>
        <v>3</v>
      </c>
      <c r="JZT84">
        <f t="shared" si="338"/>
        <v>3</v>
      </c>
      <c r="JZU84">
        <f t="shared" si="338"/>
        <v>3</v>
      </c>
      <c r="JZV84">
        <f t="shared" si="338"/>
        <v>3</v>
      </c>
      <c r="JZW84">
        <f t="shared" si="338"/>
        <v>3</v>
      </c>
      <c r="JZX84">
        <f t="shared" si="338"/>
        <v>3</v>
      </c>
      <c r="JZY84">
        <f t="shared" si="338"/>
        <v>3</v>
      </c>
      <c r="JZZ84">
        <f t="shared" si="338"/>
        <v>3</v>
      </c>
      <c r="KAA84">
        <f t="shared" si="338"/>
        <v>3</v>
      </c>
      <c r="KAB84">
        <f t="shared" si="338"/>
        <v>3</v>
      </c>
      <c r="KAC84">
        <f t="shared" si="338"/>
        <v>3</v>
      </c>
      <c r="KAD84">
        <f t="shared" si="338"/>
        <v>3</v>
      </c>
      <c r="KAE84">
        <f t="shared" si="338"/>
        <v>3</v>
      </c>
      <c r="KAF84">
        <f t="shared" si="338"/>
        <v>3</v>
      </c>
      <c r="KAG84">
        <f t="shared" si="338"/>
        <v>3</v>
      </c>
      <c r="KAH84">
        <f t="shared" si="338"/>
        <v>3</v>
      </c>
      <c r="KAI84">
        <f t="shared" si="338"/>
        <v>3</v>
      </c>
      <c r="KAJ84">
        <f t="shared" si="338"/>
        <v>3</v>
      </c>
      <c r="KAK84">
        <f t="shared" si="338"/>
        <v>3</v>
      </c>
      <c r="KAL84">
        <f t="shared" si="338"/>
        <v>3</v>
      </c>
      <c r="KAM84">
        <f t="shared" si="338"/>
        <v>3</v>
      </c>
      <c r="KAN84">
        <f t="shared" si="338"/>
        <v>3</v>
      </c>
      <c r="KAO84">
        <f t="shared" si="338"/>
        <v>3</v>
      </c>
      <c r="KAP84">
        <f t="shared" si="338"/>
        <v>3</v>
      </c>
      <c r="KAQ84">
        <f t="shared" si="338"/>
        <v>3</v>
      </c>
      <c r="KAR84">
        <f t="shared" si="338"/>
        <v>3</v>
      </c>
      <c r="KAS84">
        <f t="shared" si="338"/>
        <v>3</v>
      </c>
      <c r="KAT84">
        <f t="shared" si="338"/>
        <v>3</v>
      </c>
      <c r="KAU84">
        <f t="shared" si="338"/>
        <v>3</v>
      </c>
      <c r="KAV84">
        <f t="shared" si="338"/>
        <v>3</v>
      </c>
      <c r="KAW84">
        <f t="shared" si="338"/>
        <v>3</v>
      </c>
      <c r="KAX84">
        <f t="shared" si="338"/>
        <v>3</v>
      </c>
      <c r="KAY84">
        <f t="shared" ref="KAY84:KDJ84" si="339">COUNTBLANK(KAY2:KAY5)</f>
        <v>3</v>
      </c>
      <c r="KAZ84">
        <f t="shared" si="339"/>
        <v>3</v>
      </c>
      <c r="KBA84">
        <f t="shared" si="339"/>
        <v>3</v>
      </c>
      <c r="KBB84">
        <f t="shared" si="339"/>
        <v>3</v>
      </c>
      <c r="KBC84">
        <f t="shared" si="339"/>
        <v>3</v>
      </c>
      <c r="KBD84">
        <f t="shared" si="339"/>
        <v>3</v>
      </c>
      <c r="KBE84">
        <f t="shared" si="339"/>
        <v>3</v>
      </c>
      <c r="KBF84">
        <f t="shared" si="339"/>
        <v>3</v>
      </c>
      <c r="KBG84">
        <f t="shared" si="339"/>
        <v>3</v>
      </c>
      <c r="KBH84">
        <f t="shared" si="339"/>
        <v>3</v>
      </c>
      <c r="KBI84">
        <f t="shared" si="339"/>
        <v>3</v>
      </c>
      <c r="KBJ84">
        <f t="shared" si="339"/>
        <v>3</v>
      </c>
      <c r="KBK84">
        <f t="shared" si="339"/>
        <v>3</v>
      </c>
      <c r="KBL84">
        <f t="shared" si="339"/>
        <v>3</v>
      </c>
      <c r="KBM84">
        <f t="shared" si="339"/>
        <v>3</v>
      </c>
      <c r="KBN84">
        <f t="shared" si="339"/>
        <v>3</v>
      </c>
      <c r="KBO84">
        <f t="shared" si="339"/>
        <v>3</v>
      </c>
      <c r="KBP84">
        <f t="shared" si="339"/>
        <v>3</v>
      </c>
      <c r="KBQ84">
        <f t="shared" si="339"/>
        <v>3</v>
      </c>
      <c r="KBR84">
        <f t="shared" si="339"/>
        <v>3</v>
      </c>
      <c r="KBS84">
        <f t="shared" si="339"/>
        <v>3</v>
      </c>
      <c r="KBT84">
        <f t="shared" si="339"/>
        <v>3</v>
      </c>
      <c r="KBU84">
        <f t="shared" si="339"/>
        <v>3</v>
      </c>
      <c r="KBV84">
        <f t="shared" si="339"/>
        <v>3</v>
      </c>
      <c r="KBW84">
        <f t="shared" si="339"/>
        <v>3</v>
      </c>
      <c r="KBX84">
        <f t="shared" si="339"/>
        <v>3</v>
      </c>
      <c r="KBY84">
        <f t="shared" si="339"/>
        <v>3</v>
      </c>
      <c r="KBZ84">
        <f t="shared" si="339"/>
        <v>3</v>
      </c>
      <c r="KCA84">
        <f t="shared" si="339"/>
        <v>3</v>
      </c>
      <c r="KCB84">
        <f t="shared" si="339"/>
        <v>3</v>
      </c>
      <c r="KCC84">
        <f t="shared" si="339"/>
        <v>3</v>
      </c>
      <c r="KCD84">
        <f t="shared" si="339"/>
        <v>3</v>
      </c>
      <c r="KCE84">
        <f t="shared" si="339"/>
        <v>3</v>
      </c>
      <c r="KCF84">
        <f t="shared" si="339"/>
        <v>3</v>
      </c>
      <c r="KCG84">
        <f t="shared" si="339"/>
        <v>3</v>
      </c>
      <c r="KCH84">
        <f t="shared" si="339"/>
        <v>3</v>
      </c>
      <c r="KCI84">
        <f t="shared" si="339"/>
        <v>3</v>
      </c>
      <c r="KCJ84">
        <f t="shared" si="339"/>
        <v>3</v>
      </c>
      <c r="KCK84">
        <f t="shared" si="339"/>
        <v>3</v>
      </c>
      <c r="KCL84">
        <f t="shared" si="339"/>
        <v>3</v>
      </c>
      <c r="KCM84">
        <f t="shared" si="339"/>
        <v>3</v>
      </c>
      <c r="KCN84">
        <f t="shared" si="339"/>
        <v>3</v>
      </c>
      <c r="KCO84">
        <f t="shared" si="339"/>
        <v>3</v>
      </c>
      <c r="KCP84">
        <f t="shared" si="339"/>
        <v>3</v>
      </c>
      <c r="KCQ84">
        <f t="shared" si="339"/>
        <v>3</v>
      </c>
      <c r="KCR84">
        <f t="shared" si="339"/>
        <v>3</v>
      </c>
      <c r="KCS84">
        <f t="shared" si="339"/>
        <v>3</v>
      </c>
      <c r="KCT84">
        <f t="shared" si="339"/>
        <v>3</v>
      </c>
      <c r="KCU84">
        <f t="shared" si="339"/>
        <v>3</v>
      </c>
      <c r="KCV84">
        <f t="shared" si="339"/>
        <v>3</v>
      </c>
      <c r="KCW84">
        <f t="shared" si="339"/>
        <v>3</v>
      </c>
      <c r="KCX84">
        <f t="shared" si="339"/>
        <v>3</v>
      </c>
      <c r="KCY84">
        <f t="shared" si="339"/>
        <v>3</v>
      </c>
      <c r="KCZ84">
        <f t="shared" si="339"/>
        <v>3</v>
      </c>
      <c r="KDA84">
        <f t="shared" si="339"/>
        <v>3</v>
      </c>
      <c r="KDB84">
        <f t="shared" si="339"/>
        <v>3</v>
      </c>
      <c r="KDC84">
        <f t="shared" si="339"/>
        <v>3</v>
      </c>
      <c r="KDD84">
        <f t="shared" si="339"/>
        <v>3</v>
      </c>
      <c r="KDE84">
        <f t="shared" si="339"/>
        <v>3</v>
      </c>
      <c r="KDF84">
        <f t="shared" si="339"/>
        <v>3</v>
      </c>
      <c r="KDG84">
        <f t="shared" si="339"/>
        <v>3</v>
      </c>
      <c r="KDH84">
        <f t="shared" si="339"/>
        <v>3</v>
      </c>
      <c r="KDI84">
        <f t="shared" si="339"/>
        <v>3</v>
      </c>
      <c r="KDJ84">
        <f t="shared" si="339"/>
        <v>3</v>
      </c>
      <c r="KDK84">
        <f t="shared" ref="KDK84:KFV84" si="340">COUNTBLANK(KDK2:KDK5)</f>
        <v>3</v>
      </c>
      <c r="KDL84">
        <f t="shared" si="340"/>
        <v>3</v>
      </c>
      <c r="KDM84">
        <f t="shared" si="340"/>
        <v>3</v>
      </c>
      <c r="KDN84">
        <f t="shared" si="340"/>
        <v>3</v>
      </c>
      <c r="KDO84">
        <f t="shared" si="340"/>
        <v>3</v>
      </c>
      <c r="KDP84">
        <f t="shared" si="340"/>
        <v>3</v>
      </c>
      <c r="KDQ84">
        <f t="shared" si="340"/>
        <v>3</v>
      </c>
      <c r="KDR84">
        <f t="shared" si="340"/>
        <v>3</v>
      </c>
      <c r="KDS84">
        <f t="shared" si="340"/>
        <v>3</v>
      </c>
      <c r="KDT84">
        <f t="shared" si="340"/>
        <v>3</v>
      </c>
      <c r="KDU84">
        <f t="shared" si="340"/>
        <v>3</v>
      </c>
      <c r="KDV84">
        <f t="shared" si="340"/>
        <v>3</v>
      </c>
      <c r="KDW84">
        <f t="shared" si="340"/>
        <v>3</v>
      </c>
      <c r="KDX84">
        <f t="shared" si="340"/>
        <v>3</v>
      </c>
      <c r="KDY84">
        <f t="shared" si="340"/>
        <v>3</v>
      </c>
      <c r="KDZ84">
        <f t="shared" si="340"/>
        <v>3</v>
      </c>
      <c r="KEA84">
        <f t="shared" si="340"/>
        <v>3</v>
      </c>
      <c r="KEB84">
        <f t="shared" si="340"/>
        <v>3</v>
      </c>
      <c r="KEC84">
        <f t="shared" si="340"/>
        <v>3</v>
      </c>
      <c r="KED84">
        <f t="shared" si="340"/>
        <v>3</v>
      </c>
      <c r="KEE84">
        <f t="shared" si="340"/>
        <v>3</v>
      </c>
      <c r="KEF84">
        <f t="shared" si="340"/>
        <v>3</v>
      </c>
      <c r="KEG84">
        <f t="shared" si="340"/>
        <v>3</v>
      </c>
      <c r="KEH84">
        <f t="shared" si="340"/>
        <v>3</v>
      </c>
      <c r="KEI84">
        <f t="shared" si="340"/>
        <v>3</v>
      </c>
      <c r="KEJ84">
        <f t="shared" si="340"/>
        <v>3</v>
      </c>
      <c r="KEK84">
        <f t="shared" si="340"/>
        <v>3</v>
      </c>
      <c r="KEL84">
        <f t="shared" si="340"/>
        <v>3</v>
      </c>
      <c r="KEM84">
        <f t="shared" si="340"/>
        <v>3</v>
      </c>
      <c r="KEN84">
        <f t="shared" si="340"/>
        <v>4</v>
      </c>
      <c r="KEO84">
        <f t="shared" si="340"/>
        <v>4</v>
      </c>
      <c r="KEP84">
        <f t="shared" si="340"/>
        <v>4</v>
      </c>
      <c r="KEQ84">
        <f t="shared" si="340"/>
        <v>4</v>
      </c>
      <c r="KER84">
        <f t="shared" si="340"/>
        <v>4</v>
      </c>
      <c r="KES84">
        <f t="shared" si="340"/>
        <v>4</v>
      </c>
      <c r="KET84">
        <f t="shared" si="340"/>
        <v>4</v>
      </c>
      <c r="KEU84">
        <f t="shared" si="340"/>
        <v>4</v>
      </c>
      <c r="KEV84">
        <f t="shared" si="340"/>
        <v>4</v>
      </c>
      <c r="KEW84">
        <f t="shared" si="340"/>
        <v>4</v>
      </c>
      <c r="KEX84">
        <f t="shared" si="340"/>
        <v>4</v>
      </c>
      <c r="KEY84">
        <f t="shared" si="340"/>
        <v>4</v>
      </c>
      <c r="KEZ84">
        <f t="shared" si="340"/>
        <v>4</v>
      </c>
      <c r="KFA84">
        <f t="shared" si="340"/>
        <v>4</v>
      </c>
      <c r="KFB84">
        <f t="shared" si="340"/>
        <v>4</v>
      </c>
      <c r="KFC84">
        <f t="shared" si="340"/>
        <v>4</v>
      </c>
      <c r="KFD84">
        <f t="shared" si="340"/>
        <v>4</v>
      </c>
      <c r="KFE84">
        <f t="shared" si="340"/>
        <v>4</v>
      </c>
      <c r="KFF84">
        <f t="shared" si="340"/>
        <v>4</v>
      </c>
      <c r="KFG84">
        <f t="shared" si="340"/>
        <v>4</v>
      </c>
      <c r="KFH84">
        <f t="shared" si="340"/>
        <v>4</v>
      </c>
      <c r="KFI84">
        <f t="shared" si="340"/>
        <v>4</v>
      </c>
      <c r="KFJ84">
        <f t="shared" si="340"/>
        <v>4</v>
      </c>
      <c r="KFK84">
        <f t="shared" si="340"/>
        <v>4</v>
      </c>
      <c r="KFL84">
        <f t="shared" si="340"/>
        <v>4</v>
      </c>
      <c r="KFM84">
        <f t="shared" si="340"/>
        <v>4</v>
      </c>
      <c r="KFN84">
        <f t="shared" si="340"/>
        <v>4</v>
      </c>
      <c r="KFO84">
        <f t="shared" si="340"/>
        <v>4</v>
      </c>
      <c r="KFP84">
        <f t="shared" si="340"/>
        <v>4</v>
      </c>
      <c r="KFQ84">
        <f t="shared" si="340"/>
        <v>4</v>
      </c>
      <c r="KFR84">
        <f t="shared" si="340"/>
        <v>4</v>
      </c>
      <c r="KFS84">
        <f t="shared" si="340"/>
        <v>4</v>
      </c>
      <c r="KFT84">
        <f t="shared" si="340"/>
        <v>4</v>
      </c>
      <c r="KFU84">
        <f t="shared" si="340"/>
        <v>4</v>
      </c>
      <c r="KFV84">
        <f t="shared" si="340"/>
        <v>4</v>
      </c>
      <c r="KFW84">
        <f t="shared" ref="KFW84:KGT84" si="341">COUNTBLANK(KFW2:KFW5)</f>
        <v>4</v>
      </c>
      <c r="KFX84">
        <f t="shared" si="341"/>
        <v>4</v>
      </c>
      <c r="KFY84">
        <f t="shared" si="341"/>
        <v>4</v>
      </c>
      <c r="KFZ84">
        <f t="shared" si="341"/>
        <v>4</v>
      </c>
      <c r="KGA84">
        <f t="shared" si="341"/>
        <v>4</v>
      </c>
      <c r="KGB84">
        <f t="shared" si="341"/>
        <v>4</v>
      </c>
      <c r="KGC84">
        <f t="shared" si="341"/>
        <v>4</v>
      </c>
      <c r="KGD84">
        <f t="shared" si="341"/>
        <v>4</v>
      </c>
      <c r="KGE84">
        <f t="shared" si="341"/>
        <v>4</v>
      </c>
      <c r="KGF84">
        <f t="shared" si="341"/>
        <v>4</v>
      </c>
      <c r="KGG84">
        <f t="shared" si="341"/>
        <v>4</v>
      </c>
      <c r="KGH84">
        <f t="shared" si="341"/>
        <v>4</v>
      </c>
      <c r="KGI84">
        <f t="shared" si="341"/>
        <v>4</v>
      </c>
      <c r="KGJ84">
        <f t="shared" si="341"/>
        <v>4</v>
      </c>
      <c r="KGK84">
        <f t="shared" si="341"/>
        <v>4</v>
      </c>
      <c r="KGL84">
        <f t="shared" si="341"/>
        <v>4</v>
      </c>
      <c r="KGM84">
        <f t="shared" si="341"/>
        <v>4</v>
      </c>
      <c r="KGN84">
        <f t="shared" si="341"/>
        <v>4</v>
      </c>
      <c r="KGO84">
        <f t="shared" si="341"/>
        <v>4</v>
      </c>
      <c r="KGP84">
        <f t="shared" si="341"/>
        <v>4</v>
      </c>
      <c r="KGQ84">
        <f t="shared" si="341"/>
        <v>4</v>
      </c>
      <c r="KGR84">
        <f t="shared" si="341"/>
        <v>4</v>
      </c>
      <c r="KGS84">
        <f t="shared" si="341"/>
        <v>4</v>
      </c>
      <c r="KGT84">
        <f t="shared" si="341"/>
        <v>4</v>
      </c>
      <c r="KGU8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637"/>
  <sheetViews>
    <sheetView zoomScale="59" zoomScaleNormal="59" workbookViewId="0">
      <pane xSplit="1" ySplit="1" topLeftCell="B116" activePane="bottomRight" state="frozen"/>
      <selection pane="topRight" activeCell="C1" sqref="C1"/>
      <selection pane="bottomLeft" activeCell="A3" sqref="A3"/>
      <selection pane="bottomRight" activeCell="A2" sqref="A2:AW7637"/>
    </sheetView>
  </sheetViews>
  <sheetFormatPr defaultColWidth="4.19921875" defaultRowHeight="13.8"/>
  <cols>
    <col min="1" max="1" width="9.8984375" bestFit="1" customWidth="1"/>
    <col min="17" max="17" width="4.3984375" customWidth="1"/>
    <col min="46" max="49" width="5.3984375" customWidth="1"/>
  </cols>
  <sheetData>
    <row r="1" spans="1:49" s="4" customFormat="1" ht="85.9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</v>
      </c>
      <c r="G1" t="s">
        <v>43</v>
      </c>
      <c r="H1" t="s">
        <v>42</v>
      </c>
      <c r="I1" t="s">
        <v>41</v>
      </c>
      <c r="J1" s="1" t="s">
        <v>5</v>
      </c>
      <c r="K1" t="s">
        <v>6</v>
      </c>
      <c r="L1" t="s">
        <v>7</v>
      </c>
      <c r="M1" t="s">
        <v>45</v>
      </c>
      <c r="N1" t="s">
        <v>8</v>
      </c>
      <c r="O1" t="s">
        <v>23</v>
      </c>
      <c r="P1" t="s">
        <v>7632</v>
      </c>
      <c r="Q1" t="s">
        <v>24</v>
      </c>
      <c r="R1" t="s">
        <v>9</v>
      </c>
      <c r="S1" t="s">
        <v>25</v>
      </c>
      <c r="T1" t="s">
        <v>10</v>
      </c>
      <c r="U1" t="s">
        <v>26</v>
      </c>
      <c r="V1" t="s">
        <v>11</v>
      </c>
      <c r="W1" t="s">
        <v>27</v>
      </c>
      <c r="X1" t="s">
        <v>12</v>
      </c>
      <c r="Y1" t="s">
        <v>28</v>
      </c>
      <c r="Z1" t="s">
        <v>13</v>
      </c>
      <c r="AA1" t="s">
        <v>29</v>
      </c>
      <c r="AB1" t="s">
        <v>14</v>
      </c>
      <c r="AC1" t="s">
        <v>30</v>
      </c>
      <c r="AD1" t="s">
        <v>15</v>
      </c>
      <c r="AE1" t="s">
        <v>31</v>
      </c>
      <c r="AF1" t="s">
        <v>16</v>
      </c>
      <c r="AG1" t="s">
        <v>32</v>
      </c>
      <c r="AH1" t="s">
        <v>17</v>
      </c>
      <c r="AI1" t="s">
        <v>33</v>
      </c>
      <c r="AJ1" t="s">
        <v>18</v>
      </c>
      <c r="AK1" t="s">
        <v>34</v>
      </c>
      <c r="AL1" t="s">
        <v>19</v>
      </c>
      <c r="AM1" t="s">
        <v>35</v>
      </c>
      <c r="AN1" t="s">
        <v>20</v>
      </c>
      <c r="AO1" t="s">
        <v>36</v>
      </c>
      <c r="AP1" t="s">
        <v>21</v>
      </c>
      <c r="AQ1" t="s">
        <v>37</v>
      </c>
      <c r="AR1" t="s">
        <v>22</v>
      </c>
      <c r="AS1" t="s">
        <v>38</v>
      </c>
      <c r="AT1" t="s">
        <v>39</v>
      </c>
      <c r="AU1" t="s">
        <v>40</v>
      </c>
      <c r="AV1" t="s">
        <v>46</v>
      </c>
      <c r="AW1" t="s">
        <v>7593</v>
      </c>
    </row>
    <row r="2" spans="1:49">
      <c r="A2" s="3">
        <v>1.1574074074074073E-5</v>
      </c>
    </row>
    <row r="3" spans="1:49">
      <c r="A3" s="3">
        <v>2.3148148148148147E-5</v>
      </c>
    </row>
    <row r="4" spans="1:49">
      <c r="A4" s="3">
        <v>3.4722222222222202E-5</v>
      </c>
    </row>
    <row r="5" spans="1:49">
      <c r="A5" s="3">
        <v>4.6296296296296301E-5</v>
      </c>
    </row>
    <row r="6" spans="1:49">
      <c r="A6" s="3">
        <v>5.78703703703704E-5</v>
      </c>
    </row>
    <row r="7" spans="1:49">
      <c r="A7" s="3">
        <v>6.9444444444444499E-5</v>
      </c>
    </row>
    <row r="8" spans="1:49">
      <c r="A8" s="3">
        <v>8.1018518518518503E-5</v>
      </c>
    </row>
    <row r="9" spans="1:49">
      <c r="A9" s="3">
        <v>9.2592592592592602E-5</v>
      </c>
    </row>
    <row r="10" spans="1:49">
      <c r="A10" s="3">
        <v>1.04166666666667E-4</v>
      </c>
    </row>
    <row r="11" spans="1:49">
      <c r="A11" s="3">
        <v>1.15740740740741E-4</v>
      </c>
    </row>
    <row r="12" spans="1:49">
      <c r="A12" s="3">
        <v>1.2731481481481499E-4</v>
      </c>
    </row>
    <row r="13" spans="1:49">
      <c r="A13" s="3">
        <v>1.38888888888889E-4</v>
      </c>
    </row>
    <row r="14" spans="1:49">
      <c r="A14" s="3">
        <v>1.50462962962963E-4</v>
      </c>
    </row>
    <row r="15" spans="1:49">
      <c r="A15" s="3">
        <v>1.6203703703703701E-4</v>
      </c>
    </row>
    <row r="16" spans="1:49">
      <c r="A16" s="3">
        <v>1.7361111111111101E-4</v>
      </c>
    </row>
    <row r="17" spans="1:1">
      <c r="A17" s="3">
        <v>1.8518518518518501E-4</v>
      </c>
    </row>
    <row r="18" spans="1:1">
      <c r="A18" s="3">
        <v>1.9675925925925899E-4</v>
      </c>
    </row>
    <row r="19" spans="1:1">
      <c r="A19" s="3">
        <v>2.0833333333333299E-4</v>
      </c>
    </row>
    <row r="20" spans="1:1">
      <c r="A20" s="3">
        <v>2.19907407407407E-4</v>
      </c>
    </row>
    <row r="21" spans="1:1">
      <c r="A21" s="3">
        <v>2.31481481481481E-4</v>
      </c>
    </row>
    <row r="22" spans="1:1">
      <c r="A22" s="3">
        <v>2.4305555555555501E-4</v>
      </c>
    </row>
    <row r="23" spans="1:1">
      <c r="A23" s="3">
        <v>2.5462962962962999E-4</v>
      </c>
    </row>
    <row r="24" spans="1:1">
      <c r="A24" s="3">
        <v>2.6620370370370399E-4</v>
      </c>
    </row>
    <row r="25" spans="1:1">
      <c r="A25" s="3">
        <v>2.7777777777777799E-4</v>
      </c>
    </row>
    <row r="26" spans="1:1">
      <c r="A26" s="3">
        <v>2.89351851851852E-4</v>
      </c>
    </row>
    <row r="27" spans="1:1">
      <c r="A27" s="3">
        <v>3.00925925925926E-4</v>
      </c>
    </row>
    <row r="28" spans="1:1">
      <c r="A28" s="3">
        <v>3.1250000000000001E-4</v>
      </c>
    </row>
    <row r="29" spans="1:1">
      <c r="A29" s="3">
        <v>3.2407407407407401E-4</v>
      </c>
    </row>
    <row r="30" spans="1:1">
      <c r="A30" s="3">
        <v>3.3564814814814801E-4</v>
      </c>
    </row>
    <row r="31" spans="1:1">
      <c r="A31" s="3">
        <v>3.4722222222222202E-4</v>
      </c>
    </row>
    <row r="32" spans="1:1">
      <c r="A32" s="3">
        <v>3.5879629629629602E-4</v>
      </c>
    </row>
    <row r="33" spans="1:1">
      <c r="A33" s="3">
        <v>3.7037037037037003E-4</v>
      </c>
    </row>
    <row r="34" spans="1:1">
      <c r="A34" s="3">
        <v>3.8194444444444398E-4</v>
      </c>
    </row>
    <row r="35" spans="1:1">
      <c r="A35" s="3" t="s">
        <v>7656</v>
      </c>
    </row>
    <row r="36" spans="1:1">
      <c r="A36" s="3" t="s">
        <v>7655</v>
      </c>
    </row>
    <row r="37" spans="1:1">
      <c r="A37" s="3" t="s">
        <v>7654</v>
      </c>
    </row>
    <row r="38" spans="1:1">
      <c r="A38" s="3" t="s">
        <v>7653</v>
      </c>
    </row>
    <row r="39" spans="1:1">
      <c r="A39" s="3" t="s">
        <v>7652</v>
      </c>
    </row>
    <row r="40" spans="1:1">
      <c r="A40" s="3" t="s">
        <v>7651</v>
      </c>
    </row>
    <row r="41" spans="1:1">
      <c r="A41" s="3" t="s">
        <v>7650</v>
      </c>
    </row>
    <row r="42" spans="1:1">
      <c r="A42" s="3" t="s">
        <v>7649</v>
      </c>
    </row>
    <row r="43" spans="1:1">
      <c r="A43" s="3" t="s">
        <v>7648</v>
      </c>
    </row>
    <row r="44" spans="1:1">
      <c r="A44" s="3" t="s">
        <v>7647</v>
      </c>
    </row>
    <row r="45" spans="1:1">
      <c r="A45" s="3" t="s">
        <v>7646</v>
      </c>
    </row>
    <row r="46" spans="1:1">
      <c r="A46" s="3" t="s">
        <v>7645</v>
      </c>
    </row>
    <row r="47" spans="1:1">
      <c r="A47" s="3" t="s">
        <v>7644</v>
      </c>
    </row>
    <row r="48" spans="1:1">
      <c r="A48" s="3" t="s">
        <v>7643</v>
      </c>
    </row>
    <row r="49" spans="1:1">
      <c r="A49" s="3" t="s">
        <v>7642</v>
      </c>
    </row>
    <row r="50" spans="1:1">
      <c r="A50" s="3" t="s">
        <v>7641</v>
      </c>
    </row>
    <row r="51" spans="1:1">
      <c r="A51" s="3" t="s">
        <v>7640</v>
      </c>
    </row>
    <row r="52" spans="1:1">
      <c r="A52" s="3" t="s">
        <v>7639</v>
      </c>
    </row>
    <row r="53" spans="1:1">
      <c r="A53" s="3" t="s">
        <v>7638</v>
      </c>
    </row>
    <row r="54" spans="1:1">
      <c r="A54" s="3" t="s">
        <v>7637</v>
      </c>
    </row>
    <row r="55" spans="1:1">
      <c r="A55" s="3" t="s">
        <v>7636</v>
      </c>
    </row>
    <row r="56" spans="1:1">
      <c r="A56" s="3" t="s">
        <v>7635</v>
      </c>
    </row>
    <row r="57" spans="1:1">
      <c r="A57" s="3" t="s">
        <v>7634</v>
      </c>
    </row>
    <row r="58" spans="1:1">
      <c r="A58" s="3" t="s">
        <v>7633</v>
      </c>
    </row>
    <row r="59" spans="1:1">
      <c r="A59" s="3">
        <v>3.9351851851851852E-4</v>
      </c>
    </row>
    <row r="60" spans="1:1">
      <c r="A60" s="3" t="s">
        <v>7598</v>
      </c>
    </row>
    <row r="61" spans="1:1">
      <c r="A61" s="3" t="s">
        <v>7599</v>
      </c>
    </row>
    <row r="62" spans="1:1">
      <c r="A62" s="3" t="s">
        <v>7600</v>
      </c>
    </row>
    <row r="63" spans="1:1">
      <c r="A63" s="3" t="s">
        <v>7601</v>
      </c>
    </row>
    <row r="64" spans="1:1">
      <c r="A64" s="3" t="s">
        <v>7602</v>
      </c>
    </row>
    <row r="65" spans="1:10">
      <c r="A65" s="3" t="s">
        <v>7603</v>
      </c>
    </row>
    <row r="66" spans="1:10">
      <c r="A66" s="3" t="s">
        <v>7604</v>
      </c>
    </row>
    <row r="67" spans="1:10">
      <c r="A67" s="3" t="s">
        <v>7605</v>
      </c>
    </row>
    <row r="68" spans="1:10">
      <c r="A68" s="3" t="s">
        <v>7606</v>
      </c>
    </row>
    <row r="69" spans="1:10">
      <c r="A69" s="3" t="s">
        <v>7607</v>
      </c>
    </row>
    <row r="70" spans="1:10">
      <c r="A70" s="3" t="s">
        <v>7608</v>
      </c>
    </row>
    <row r="71" spans="1:10">
      <c r="A71" s="3" t="s">
        <v>7609</v>
      </c>
    </row>
    <row r="72" spans="1:10">
      <c r="A72" s="3" t="s">
        <v>7610</v>
      </c>
    </row>
    <row r="73" spans="1:10">
      <c r="A73" s="3" t="s">
        <v>7611</v>
      </c>
    </row>
    <row r="74" spans="1:10">
      <c r="A74" s="3" t="s">
        <v>7612</v>
      </c>
    </row>
    <row r="75" spans="1:10">
      <c r="A75" s="3" t="s">
        <v>7613</v>
      </c>
    </row>
    <row r="76" spans="1:10">
      <c r="A76" s="3" t="s">
        <v>7614</v>
      </c>
    </row>
    <row r="77" spans="1:10">
      <c r="A77" s="3" t="s">
        <v>7615</v>
      </c>
      <c r="B77">
        <v>1</v>
      </c>
      <c r="J77">
        <v>1</v>
      </c>
    </row>
    <row r="78" spans="1:10">
      <c r="A78" s="3" t="s">
        <v>7616</v>
      </c>
      <c r="B78">
        <v>1</v>
      </c>
      <c r="J78">
        <v>1</v>
      </c>
    </row>
    <row r="79" spans="1:10">
      <c r="A79" s="3" t="s">
        <v>7617</v>
      </c>
      <c r="B79">
        <v>1</v>
      </c>
      <c r="J79">
        <v>1</v>
      </c>
    </row>
    <row r="80" spans="1:10">
      <c r="A80" s="3" t="s">
        <v>7618</v>
      </c>
      <c r="B80">
        <v>1</v>
      </c>
      <c r="J80">
        <v>1</v>
      </c>
    </row>
    <row r="81" spans="1:44">
      <c r="A81" s="3" t="s">
        <v>7619</v>
      </c>
      <c r="B81">
        <v>1</v>
      </c>
      <c r="J81">
        <v>1</v>
      </c>
    </row>
    <row r="82" spans="1:44">
      <c r="A82" s="3" t="s">
        <v>7619</v>
      </c>
      <c r="B82">
        <v>1</v>
      </c>
      <c r="J82">
        <v>1</v>
      </c>
    </row>
    <row r="83" spans="1:44">
      <c r="A83" s="3" t="s">
        <v>7620</v>
      </c>
      <c r="B83">
        <v>1</v>
      </c>
      <c r="J83">
        <v>1</v>
      </c>
    </row>
    <row r="84" spans="1:44">
      <c r="A84" s="3" t="s">
        <v>7621</v>
      </c>
      <c r="B84">
        <v>1</v>
      </c>
      <c r="J84">
        <v>1</v>
      </c>
    </row>
    <row r="85" spans="1:44">
      <c r="A85" s="3" t="s">
        <v>7622</v>
      </c>
      <c r="B85">
        <v>1</v>
      </c>
      <c r="J85">
        <v>1</v>
      </c>
    </row>
    <row r="86" spans="1:44">
      <c r="A86" s="3" t="s">
        <v>7623</v>
      </c>
      <c r="B86">
        <v>1</v>
      </c>
      <c r="J86">
        <v>1</v>
      </c>
    </row>
    <row r="87" spans="1:44">
      <c r="A87" s="3" t="s">
        <v>7624</v>
      </c>
      <c r="B87">
        <v>1</v>
      </c>
      <c r="J87">
        <v>1</v>
      </c>
    </row>
    <row r="88" spans="1:44">
      <c r="A88" s="3" t="s">
        <v>7625</v>
      </c>
      <c r="B88">
        <v>1</v>
      </c>
      <c r="J88">
        <v>1</v>
      </c>
    </row>
    <row r="89" spans="1:44">
      <c r="A89" s="3" t="s">
        <v>7626</v>
      </c>
      <c r="B89">
        <v>1</v>
      </c>
      <c r="AR89">
        <v>1</v>
      </c>
    </row>
    <row r="90" spans="1:44">
      <c r="A90" s="3" t="s">
        <v>7627</v>
      </c>
      <c r="B90">
        <v>1</v>
      </c>
      <c r="AR90">
        <v>1</v>
      </c>
    </row>
    <row r="91" spans="1:44">
      <c r="A91" s="3" t="s">
        <v>7628</v>
      </c>
      <c r="B91">
        <v>1</v>
      </c>
      <c r="AR91">
        <v>1</v>
      </c>
    </row>
    <row r="92" spans="1:44">
      <c r="A92" s="3" t="s">
        <v>7629</v>
      </c>
      <c r="B92">
        <v>1</v>
      </c>
      <c r="AR92">
        <v>1</v>
      </c>
    </row>
    <row r="93" spans="1:44">
      <c r="A93" s="3" t="s">
        <v>7630</v>
      </c>
      <c r="B93">
        <v>1</v>
      </c>
      <c r="AR93">
        <v>1</v>
      </c>
    </row>
    <row r="94" spans="1:44">
      <c r="A94" s="3" t="s">
        <v>7631</v>
      </c>
      <c r="B94">
        <v>1</v>
      </c>
      <c r="AR94">
        <v>1</v>
      </c>
    </row>
    <row r="95" spans="1:44">
      <c r="A95" s="3" t="s">
        <v>47</v>
      </c>
      <c r="B95">
        <v>1</v>
      </c>
      <c r="AR95">
        <v>1</v>
      </c>
    </row>
    <row r="96" spans="1:44">
      <c r="A96" s="3" t="s">
        <v>52</v>
      </c>
      <c r="B96">
        <v>1</v>
      </c>
      <c r="AR96">
        <v>1</v>
      </c>
    </row>
    <row r="97" spans="1:44">
      <c r="A97" s="3" t="s">
        <v>53</v>
      </c>
      <c r="B97">
        <v>1</v>
      </c>
      <c r="AR97">
        <v>1</v>
      </c>
    </row>
    <row r="98" spans="1:44">
      <c r="A98" s="3" t="s">
        <v>54</v>
      </c>
      <c r="B98">
        <v>1</v>
      </c>
      <c r="AR98">
        <v>1</v>
      </c>
    </row>
    <row r="99" spans="1:44">
      <c r="A99" s="3" t="s">
        <v>55</v>
      </c>
      <c r="B99">
        <v>1</v>
      </c>
      <c r="AR99">
        <v>1</v>
      </c>
    </row>
    <row r="100" spans="1:44">
      <c r="A100" s="3" t="s">
        <v>56</v>
      </c>
      <c r="B100">
        <v>1</v>
      </c>
      <c r="J100">
        <v>2</v>
      </c>
    </row>
    <row r="101" spans="1:44">
      <c r="A101" s="3" t="s">
        <v>57</v>
      </c>
      <c r="B101">
        <v>1</v>
      </c>
      <c r="J101">
        <v>2</v>
      </c>
    </row>
    <row r="102" spans="1:44">
      <c r="A102" s="3" t="s">
        <v>58</v>
      </c>
      <c r="B102">
        <v>1</v>
      </c>
      <c r="J102">
        <v>2</v>
      </c>
    </row>
    <row r="103" spans="1:44">
      <c r="A103" s="3" t="s">
        <v>59</v>
      </c>
      <c r="B103">
        <v>1</v>
      </c>
      <c r="J103">
        <v>2</v>
      </c>
    </row>
    <row r="104" spans="1:44">
      <c r="A104" s="3" t="s">
        <v>60</v>
      </c>
      <c r="B104">
        <v>1</v>
      </c>
      <c r="J104">
        <v>2</v>
      </c>
    </row>
    <row r="105" spans="1:44">
      <c r="A105" s="3" t="s">
        <v>61</v>
      </c>
      <c r="B105">
        <v>1</v>
      </c>
      <c r="J105">
        <v>2</v>
      </c>
    </row>
    <row r="106" spans="1:44">
      <c r="A106" s="3" t="s">
        <v>62</v>
      </c>
      <c r="B106">
        <v>1</v>
      </c>
      <c r="J106">
        <v>2</v>
      </c>
    </row>
    <row r="107" spans="1:44">
      <c r="A107" s="3" t="s">
        <v>63</v>
      </c>
      <c r="B107">
        <v>1</v>
      </c>
      <c r="J107">
        <v>2</v>
      </c>
    </row>
    <row r="108" spans="1:44">
      <c r="A108" s="3" t="s">
        <v>64</v>
      </c>
      <c r="B108">
        <v>1</v>
      </c>
      <c r="J108">
        <v>2</v>
      </c>
    </row>
    <row r="109" spans="1:44">
      <c r="A109" s="3" t="s">
        <v>65</v>
      </c>
      <c r="B109">
        <v>1</v>
      </c>
      <c r="J109">
        <v>2</v>
      </c>
    </row>
    <row r="110" spans="1:44">
      <c r="A110" s="3" t="s">
        <v>48</v>
      </c>
      <c r="B110">
        <v>1</v>
      </c>
      <c r="J110">
        <v>2</v>
      </c>
    </row>
    <row r="111" spans="1:44">
      <c r="A111" s="3" t="s">
        <v>66</v>
      </c>
      <c r="B111">
        <v>1</v>
      </c>
      <c r="J111">
        <v>2</v>
      </c>
    </row>
    <row r="112" spans="1:44">
      <c r="A112" s="3" t="s">
        <v>67</v>
      </c>
      <c r="B112">
        <v>1</v>
      </c>
      <c r="J112">
        <v>2</v>
      </c>
    </row>
    <row r="113" spans="1:46">
      <c r="A113" s="3" t="s">
        <v>68</v>
      </c>
      <c r="B113">
        <v>1</v>
      </c>
      <c r="J113">
        <v>2</v>
      </c>
    </row>
    <row r="114" spans="1:46">
      <c r="A114" s="3" t="s">
        <v>69</v>
      </c>
      <c r="B114">
        <v>1</v>
      </c>
      <c r="AT114">
        <v>1</v>
      </c>
    </row>
    <row r="115" spans="1:46">
      <c r="A115" s="3" t="s">
        <v>70</v>
      </c>
      <c r="B115">
        <v>1</v>
      </c>
      <c r="AT115">
        <v>1</v>
      </c>
    </row>
    <row r="116" spans="1:46">
      <c r="A116" s="3" t="s">
        <v>71</v>
      </c>
      <c r="B116">
        <v>1</v>
      </c>
      <c r="AT116">
        <v>1</v>
      </c>
    </row>
    <row r="117" spans="1:46">
      <c r="A117" s="3" t="s">
        <v>72</v>
      </c>
      <c r="B117">
        <v>1</v>
      </c>
      <c r="AT117">
        <v>1</v>
      </c>
    </row>
    <row r="118" spans="1:46">
      <c r="A118" s="3" t="s">
        <v>73</v>
      </c>
      <c r="B118">
        <v>1</v>
      </c>
      <c r="AT118">
        <v>1</v>
      </c>
    </row>
    <row r="119" spans="1:46">
      <c r="A119" s="3" t="s">
        <v>74</v>
      </c>
      <c r="B119">
        <v>1</v>
      </c>
      <c r="AT119">
        <v>1</v>
      </c>
    </row>
    <row r="120" spans="1:46">
      <c r="A120" s="3" t="s">
        <v>75</v>
      </c>
      <c r="B120">
        <v>1</v>
      </c>
      <c r="AT120">
        <v>1</v>
      </c>
    </row>
    <row r="121" spans="1:46">
      <c r="A121" s="3" t="s">
        <v>76</v>
      </c>
      <c r="B121">
        <v>1</v>
      </c>
      <c r="AT121">
        <v>1</v>
      </c>
    </row>
    <row r="122" spans="1:46">
      <c r="A122" s="3" t="s">
        <v>49</v>
      </c>
      <c r="B122">
        <v>1</v>
      </c>
      <c r="AT122">
        <v>1</v>
      </c>
    </row>
    <row r="123" spans="1:46">
      <c r="A123" s="3" t="s">
        <v>77</v>
      </c>
      <c r="B123">
        <v>1</v>
      </c>
      <c r="AT123">
        <v>1</v>
      </c>
    </row>
    <row r="124" spans="1:46">
      <c r="A124" s="3" t="s">
        <v>78</v>
      </c>
      <c r="B124">
        <v>1</v>
      </c>
      <c r="AT124">
        <v>1</v>
      </c>
    </row>
    <row r="125" spans="1:46">
      <c r="A125" s="3" t="s">
        <v>79</v>
      </c>
      <c r="B125">
        <v>1</v>
      </c>
      <c r="AT125">
        <v>1</v>
      </c>
    </row>
    <row r="126" spans="1:46">
      <c r="A126" s="3" t="s">
        <v>80</v>
      </c>
      <c r="B126">
        <v>1</v>
      </c>
      <c r="AT126">
        <v>1</v>
      </c>
    </row>
    <row r="127" spans="1:46">
      <c r="A127" s="3" t="s">
        <v>50</v>
      </c>
      <c r="B127">
        <v>1</v>
      </c>
      <c r="AT127">
        <v>1</v>
      </c>
    </row>
    <row r="128" spans="1:46">
      <c r="A128" s="3" t="s">
        <v>81</v>
      </c>
      <c r="B128">
        <v>1</v>
      </c>
      <c r="AT128">
        <v>1</v>
      </c>
    </row>
    <row r="129" spans="1:46">
      <c r="A129" s="3" t="s">
        <v>82</v>
      </c>
      <c r="B129">
        <v>1</v>
      </c>
      <c r="AT129">
        <v>1</v>
      </c>
    </row>
    <row r="130" spans="1:46">
      <c r="A130" s="3" t="s">
        <v>83</v>
      </c>
      <c r="B130">
        <v>1</v>
      </c>
      <c r="AT130">
        <v>1</v>
      </c>
    </row>
    <row r="131" spans="1:46">
      <c r="A131" s="3" t="s">
        <v>84</v>
      </c>
      <c r="B131">
        <v>1</v>
      </c>
      <c r="AT131">
        <v>1</v>
      </c>
    </row>
    <row r="132" spans="1:46">
      <c r="A132" s="3" t="s">
        <v>85</v>
      </c>
      <c r="B132">
        <v>1</v>
      </c>
      <c r="AT132">
        <v>1</v>
      </c>
    </row>
    <row r="133" spans="1:46">
      <c r="A133" s="3" t="s">
        <v>86</v>
      </c>
      <c r="B133">
        <v>1</v>
      </c>
      <c r="AT133">
        <v>1</v>
      </c>
    </row>
    <row r="134" spans="1:46">
      <c r="A134" s="3" t="s">
        <v>87</v>
      </c>
      <c r="B134">
        <v>1</v>
      </c>
      <c r="AT134">
        <v>1</v>
      </c>
    </row>
    <row r="135" spans="1:46">
      <c r="A135" s="3" t="s">
        <v>88</v>
      </c>
      <c r="B135">
        <v>1</v>
      </c>
      <c r="AT135">
        <v>1</v>
      </c>
    </row>
    <row r="136" spans="1:46">
      <c r="A136" s="3" t="s">
        <v>89</v>
      </c>
      <c r="B136">
        <v>1</v>
      </c>
      <c r="AT136">
        <v>1</v>
      </c>
    </row>
    <row r="137" spans="1:46">
      <c r="A137" s="3" t="s">
        <v>90</v>
      </c>
      <c r="B137">
        <v>1</v>
      </c>
      <c r="J137">
        <v>3</v>
      </c>
    </row>
    <row r="138" spans="1:46">
      <c r="A138" s="3" t="s">
        <v>91</v>
      </c>
      <c r="B138">
        <v>1</v>
      </c>
      <c r="J138">
        <v>3</v>
      </c>
    </row>
    <row r="139" spans="1:46">
      <c r="A139" s="3" t="s">
        <v>92</v>
      </c>
      <c r="B139">
        <v>1</v>
      </c>
      <c r="J139">
        <v>3</v>
      </c>
    </row>
    <row r="140" spans="1:46">
      <c r="A140" s="3" t="s">
        <v>93</v>
      </c>
      <c r="B140">
        <v>1</v>
      </c>
      <c r="J140">
        <v>3</v>
      </c>
    </row>
    <row r="141" spans="1:46">
      <c r="A141" s="3" t="s">
        <v>94</v>
      </c>
      <c r="B141">
        <v>1</v>
      </c>
      <c r="J141">
        <v>3</v>
      </c>
    </row>
    <row r="142" spans="1:46">
      <c r="A142" s="3" t="s">
        <v>95</v>
      </c>
      <c r="B142">
        <v>1</v>
      </c>
      <c r="J142">
        <v>3</v>
      </c>
    </row>
    <row r="143" spans="1:46">
      <c r="A143" s="3" t="s">
        <v>96</v>
      </c>
      <c r="B143">
        <v>1</v>
      </c>
      <c r="J143">
        <v>3</v>
      </c>
    </row>
    <row r="144" spans="1:46">
      <c r="A144" s="3" t="s">
        <v>97</v>
      </c>
      <c r="B144">
        <v>1</v>
      </c>
      <c r="J144">
        <v>3</v>
      </c>
    </row>
    <row r="145" spans="1:13">
      <c r="A145" s="3" t="s">
        <v>98</v>
      </c>
      <c r="B145">
        <v>1</v>
      </c>
      <c r="J145">
        <v>3</v>
      </c>
    </row>
    <row r="146" spans="1:13">
      <c r="A146" s="3" t="s">
        <v>99</v>
      </c>
      <c r="B146">
        <v>1</v>
      </c>
      <c r="J146">
        <v>3</v>
      </c>
    </row>
    <row r="147" spans="1:13">
      <c r="A147" s="3" t="s">
        <v>100</v>
      </c>
      <c r="B147">
        <v>1</v>
      </c>
      <c r="J147">
        <v>3</v>
      </c>
    </row>
    <row r="148" spans="1:13">
      <c r="A148" s="3" t="s">
        <v>101</v>
      </c>
      <c r="B148">
        <v>1</v>
      </c>
      <c r="J148">
        <v>3</v>
      </c>
    </row>
    <row r="149" spans="1:13">
      <c r="A149" s="3" t="s">
        <v>102</v>
      </c>
      <c r="B149">
        <v>1</v>
      </c>
      <c r="J149">
        <v>3</v>
      </c>
    </row>
    <row r="150" spans="1:13">
      <c r="A150" s="3" t="s">
        <v>103</v>
      </c>
      <c r="B150">
        <v>1</v>
      </c>
      <c r="J150">
        <v>3</v>
      </c>
    </row>
    <row r="151" spans="1:13">
      <c r="A151" s="3" t="s">
        <v>104</v>
      </c>
      <c r="B151">
        <v>1</v>
      </c>
      <c r="J151">
        <v>3</v>
      </c>
    </row>
    <row r="152" spans="1:13">
      <c r="A152" s="3" t="s">
        <v>105</v>
      </c>
      <c r="B152">
        <v>1</v>
      </c>
      <c r="J152">
        <v>3</v>
      </c>
    </row>
    <row r="153" spans="1:13">
      <c r="A153" s="3" t="s">
        <v>106</v>
      </c>
      <c r="B153">
        <v>1</v>
      </c>
      <c r="J153">
        <v>3</v>
      </c>
    </row>
    <row r="154" spans="1:13">
      <c r="A154" s="3" t="s">
        <v>107</v>
      </c>
      <c r="B154">
        <v>1</v>
      </c>
      <c r="J154">
        <v>3</v>
      </c>
    </row>
    <row r="155" spans="1:13">
      <c r="A155" s="3" t="s">
        <v>108</v>
      </c>
      <c r="B155">
        <v>1</v>
      </c>
      <c r="M155">
        <v>1</v>
      </c>
    </row>
    <row r="156" spans="1:13">
      <c r="A156" s="3" t="s">
        <v>109</v>
      </c>
      <c r="B156">
        <v>1</v>
      </c>
      <c r="M156">
        <v>1</v>
      </c>
    </row>
    <row r="157" spans="1:13">
      <c r="A157" s="3" t="s">
        <v>110</v>
      </c>
      <c r="B157">
        <v>1</v>
      </c>
      <c r="M157">
        <v>1</v>
      </c>
    </row>
    <row r="158" spans="1:13">
      <c r="A158" s="3" t="s">
        <v>111</v>
      </c>
      <c r="B158">
        <v>1</v>
      </c>
      <c r="M158">
        <v>1</v>
      </c>
    </row>
    <row r="159" spans="1:13">
      <c r="A159" s="3" t="s">
        <v>112</v>
      </c>
      <c r="B159">
        <v>1</v>
      </c>
      <c r="M159">
        <v>1</v>
      </c>
    </row>
    <row r="160" spans="1:13">
      <c r="A160" s="3" t="s">
        <v>113</v>
      </c>
      <c r="B160">
        <v>1</v>
      </c>
      <c r="M160">
        <v>1</v>
      </c>
    </row>
    <row r="161" spans="1:13">
      <c r="A161" s="3" t="s">
        <v>114</v>
      </c>
      <c r="B161">
        <v>1</v>
      </c>
      <c r="M161">
        <v>1</v>
      </c>
    </row>
    <row r="162" spans="1:13">
      <c r="A162" s="3" t="s">
        <v>115</v>
      </c>
      <c r="B162">
        <v>1</v>
      </c>
      <c r="M162">
        <v>1</v>
      </c>
    </row>
    <row r="163" spans="1:13">
      <c r="A163" s="3" t="s">
        <v>116</v>
      </c>
      <c r="B163">
        <v>1</v>
      </c>
      <c r="M163">
        <v>1</v>
      </c>
    </row>
    <row r="164" spans="1:13">
      <c r="A164" s="3" t="s">
        <v>117</v>
      </c>
      <c r="B164">
        <v>1</v>
      </c>
      <c r="M164">
        <v>1</v>
      </c>
    </row>
    <row r="165" spans="1:13">
      <c r="A165" s="3" t="s">
        <v>118</v>
      </c>
      <c r="B165">
        <v>1</v>
      </c>
      <c r="M165">
        <v>1</v>
      </c>
    </row>
    <row r="166" spans="1:13">
      <c r="A166" s="3" t="s">
        <v>119</v>
      </c>
      <c r="B166">
        <v>1</v>
      </c>
      <c r="M166">
        <v>1</v>
      </c>
    </row>
    <row r="167" spans="1:13">
      <c r="A167" s="3" t="s">
        <v>120</v>
      </c>
      <c r="B167">
        <v>1</v>
      </c>
      <c r="M167">
        <v>1</v>
      </c>
    </row>
    <row r="168" spans="1:13">
      <c r="A168" s="3" t="s">
        <v>121</v>
      </c>
      <c r="B168">
        <v>1</v>
      </c>
      <c r="M168">
        <v>1</v>
      </c>
    </row>
    <row r="169" spans="1:13">
      <c r="A169" s="3" t="s">
        <v>122</v>
      </c>
      <c r="B169">
        <v>1</v>
      </c>
      <c r="M169">
        <v>1</v>
      </c>
    </row>
    <row r="170" spans="1:13">
      <c r="A170" s="3" t="s">
        <v>123</v>
      </c>
      <c r="B170">
        <v>1</v>
      </c>
      <c r="M170">
        <v>1</v>
      </c>
    </row>
    <row r="171" spans="1:13">
      <c r="A171" s="3" t="s">
        <v>124</v>
      </c>
      <c r="B171">
        <v>1</v>
      </c>
      <c r="M171">
        <v>1</v>
      </c>
    </row>
    <row r="172" spans="1:13">
      <c r="A172" s="3" t="s">
        <v>125</v>
      </c>
      <c r="B172">
        <v>1</v>
      </c>
      <c r="M172">
        <v>1</v>
      </c>
    </row>
    <row r="173" spans="1:13">
      <c r="A173" s="3" t="s">
        <v>126</v>
      </c>
      <c r="B173">
        <v>1</v>
      </c>
      <c r="M173">
        <v>1</v>
      </c>
    </row>
    <row r="174" spans="1:13">
      <c r="A174" s="3" t="s">
        <v>127</v>
      </c>
      <c r="B174">
        <v>1</v>
      </c>
      <c r="M174">
        <v>1</v>
      </c>
    </row>
    <row r="175" spans="1:13">
      <c r="A175" s="3" t="s">
        <v>128</v>
      </c>
      <c r="B175">
        <v>1</v>
      </c>
      <c r="M175">
        <v>1</v>
      </c>
    </row>
    <row r="176" spans="1:13">
      <c r="A176" s="3" t="s">
        <v>129</v>
      </c>
      <c r="B176">
        <v>1</v>
      </c>
      <c r="M176">
        <v>1</v>
      </c>
    </row>
    <row r="177" spans="1:13">
      <c r="A177" s="3" t="s">
        <v>130</v>
      </c>
      <c r="B177">
        <v>1</v>
      </c>
      <c r="M177">
        <v>1</v>
      </c>
    </row>
    <row r="178" spans="1:13">
      <c r="A178" s="3" t="s">
        <v>131</v>
      </c>
      <c r="B178">
        <v>1</v>
      </c>
      <c r="M178">
        <v>1</v>
      </c>
    </row>
    <row r="179" spans="1:13">
      <c r="A179" s="3" t="s">
        <v>132</v>
      </c>
      <c r="B179">
        <v>1</v>
      </c>
      <c r="M179">
        <v>1</v>
      </c>
    </row>
    <row r="180" spans="1:13">
      <c r="A180" s="3" t="s">
        <v>133</v>
      </c>
      <c r="B180">
        <v>1</v>
      </c>
      <c r="M180">
        <v>1</v>
      </c>
    </row>
    <row r="181" spans="1:13">
      <c r="A181" s="3" t="s">
        <v>134</v>
      </c>
      <c r="B181">
        <v>1</v>
      </c>
      <c r="M181">
        <v>1</v>
      </c>
    </row>
    <row r="182" spans="1:13">
      <c r="A182" s="3" t="s">
        <v>51</v>
      </c>
      <c r="B182">
        <v>1</v>
      </c>
      <c r="M182">
        <v>1</v>
      </c>
    </row>
    <row r="183" spans="1:13">
      <c r="A183" s="3" t="s">
        <v>135</v>
      </c>
      <c r="B183">
        <v>1</v>
      </c>
      <c r="M183">
        <v>1</v>
      </c>
    </row>
    <row r="184" spans="1:13">
      <c r="A184" s="3" t="s">
        <v>136</v>
      </c>
      <c r="B184">
        <v>1</v>
      </c>
      <c r="M184">
        <v>1</v>
      </c>
    </row>
    <row r="185" spans="1:13">
      <c r="A185" s="3" t="s">
        <v>137</v>
      </c>
      <c r="B185">
        <v>1</v>
      </c>
      <c r="M185">
        <v>1</v>
      </c>
    </row>
    <row r="186" spans="1:13">
      <c r="A186" s="3" t="s">
        <v>138</v>
      </c>
      <c r="B186">
        <v>1</v>
      </c>
      <c r="M186">
        <v>1</v>
      </c>
    </row>
    <row r="187" spans="1:13">
      <c r="A187" s="3" t="s">
        <v>139</v>
      </c>
      <c r="B187">
        <v>1</v>
      </c>
      <c r="M187">
        <v>1</v>
      </c>
    </row>
    <row r="188" spans="1:13">
      <c r="A188" s="3" t="s">
        <v>140</v>
      </c>
      <c r="B188">
        <v>1</v>
      </c>
      <c r="M188">
        <v>1</v>
      </c>
    </row>
    <row r="189" spans="1:13">
      <c r="A189" s="3" t="s">
        <v>141</v>
      </c>
      <c r="B189">
        <v>1</v>
      </c>
      <c r="M189">
        <v>1</v>
      </c>
    </row>
    <row r="190" spans="1:13">
      <c r="A190" s="3" t="s">
        <v>142</v>
      </c>
      <c r="B190">
        <v>1</v>
      </c>
      <c r="M190">
        <v>1</v>
      </c>
    </row>
    <row r="191" spans="1:13">
      <c r="A191" s="3" t="s">
        <v>143</v>
      </c>
      <c r="B191">
        <v>1</v>
      </c>
      <c r="M191">
        <v>1</v>
      </c>
    </row>
    <row r="192" spans="1:13">
      <c r="A192" s="3" t="s">
        <v>144</v>
      </c>
      <c r="B192">
        <v>1</v>
      </c>
      <c r="M192">
        <v>1</v>
      </c>
    </row>
    <row r="193" spans="1:13">
      <c r="A193" s="3" t="s">
        <v>145</v>
      </c>
      <c r="B193">
        <v>1</v>
      </c>
      <c r="M193">
        <v>1</v>
      </c>
    </row>
    <row r="194" spans="1:13">
      <c r="A194" s="3" t="s">
        <v>146</v>
      </c>
      <c r="B194">
        <v>1</v>
      </c>
      <c r="M194">
        <v>1</v>
      </c>
    </row>
    <row r="195" spans="1:13">
      <c r="A195" s="3" t="s">
        <v>147</v>
      </c>
      <c r="B195">
        <v>1</v>
      </c>
      <c r="M195">
        <v>1</v>
      </c>
    </row>
    <row r="196" spans="1:13">
      <c r="A196" s="3" t="s">
        <v>148</v>
      </c>
      <c r="B196">
        <v>1</v>
      </c>
      <c r="M196">
        <v>1</v>
      </c>
    </row>
    <row r="197" spans="1:13">
      <c r="A197" s="3" t="s">
        <v>149</v>
      </c>
      <c r="B197">
        <v>1</v>
      </c>
      <c r="M197">
        <v>1</v>
      </c>
    </row>
    <row r="198" spans="1:13">
      <c r="A198" s="3" t="s">
        <v>150</v>
      </c>
      <c r="B198">
        <v>1</v>
      </c>
      <c r="M198">
        <v>1</v>
      </c>
    </row>
    <row r="199" spans="1:13">
      <c r="A199" s="3" t="s">
        <v>151</v>
      </c>
      <c r="B199">
        <v>1</v>
      </c>
      <c r="M199">
        <v>1</v>
      </c>
    </row>
    <row r="200" spans="1:13">
      <c r="A200" s="3" t="s">
        <v>152</v>
      </c>
      <c r="B200">
        <v>1</v>
      </c>
      <c r="M200">
        <v>1</v>
      </c>
    </row>
    <row r="201" spans="1:13">
      <c r="A201" s="3" t="s">
        <v>153</v>
      </c>
      <c r="B201">
        <v>1</v>
      </c>
      <c r="M201">
        <v>1</v>
      </c>
    </row>
    <row r="202" spans="1:13">
      <c r="A202" s="3" t="s">
        <v>154</v>
      </c>
      <c r="B202">
        <v>1</v>
      </c>
      <c r="M202">
        <v>1</v>
      </c>
    </row>
    <row r="203" spans="1:13">
      <c r="A203" s="3" t="s">
        <v>155</v>
      </c>
      <c r="B203">
        <v>1</v>
      </c>
      <c r="M203">
        <v>1</v>
      </c>
    </row>
    <row r="204" spans="1:13">
      <c r="A204" s="3" t="s">
        <v>156</v>
      </c>
      <c r="B204">
        <v>1</v>
      </c>
      <c r="M204">
        <v>1</v>
      </c>
    </row>
    <row r="205" spans="1:13">
      <c r="A205" s="3" t="s">
        <v>157</v>
      </c>
      <c r="B205">
        <v>1</v>
      </c>
      <c r="M205">
        <v>1</v>
      </c>
    </row>
    <row r="206" spans="1:13">
      <c r="A206" s="3" t="s">
        <v>158</v>
      </c>
      <c r="B206">
        <v>1</v>
      </c>
      <c r="M206">
        <v>1</v>
      </c>
    </row>
    <row r="207" spans="1:13">
      <c r="A207" s="3" t="s">
        <v>159</v>
      </c>
      <c r="B207">
        <v>1</v>
      </c>
      <c r="M207">
        <v>1</v>
      </c>
    </row>
    <row r="208" spans="1:13">
      <c r="A208" s="3" t="s">
        <v>160</v>
      </c>
      <c r="B208">
        <v>1</v>
      </c>
      <c r="M208">
        <v>1</v>
      </c>
    </row>
    <row r="209" spans="1:13">
      <c r="A209" s="3" t="s">
        <v>161</v>
      </c>
      <c r="B209">
        <v>1</v>
      </c>
      <c r="M209">
        <v>1</v>
      </c>
    </row>
    <row r="210" spans="1:13">
      <c r="A210" s="3" t="s">
        <v>162</v>
      </c>
      <c r="B210">
        <v>1</v>
      </c>
      <c r="M210">
        <v>1</v>
      </c>
    </row>
    <row r="211" spans="1:13">
      <c r="A211" s="3" t="s">
        <v>163</v>
      </c>
      <c r="B211">
        <v>1</v>
      </c>
      <c r="M211">
        <v>1</v>
      </c>
    </row>
    <row r="212" spans="1:13">
      <c r="A212" s="3" t="s">
        <v>164</v>
      </c>
      <c r="B212">
        <v>1</v>
      </c>
      <c r="M212">
        <v>1</v>
      </c>
    </row>
    <row r="213" spans="1:13">
      <c r="A213" s="3" t="s">
        <v>165</v>
      </c>
      <c r="B213">
        <v>1</v>
      </c>
      <c r="M213">
        <v>1</v>
      </c>
    </row>
    <row r="214" spans="1:13">
      <c r="A214" s="3" t="s">
        <v>166</v>
      </c>
      <c r="B214">
        <v>1</v>
      </c>
      <c r="M214">
        <v>1</v>
      </c>
    </row>
    <row r="215" spans="1:13">
      <c r="A215" s="3" t="s">
        <v>167</v>
      </c>
      <c r="B215">
        <v>1</v>
      </c>
      <c r="M215">
        <v>1</v>
      </c>
    </row>
    <row r="216" spans="1:13">
      <c r="A216" s="3" t="s">
        <v>168</v>
      </c>
      <c r="B216">
        <v>1</v>
      </c>
      <c r="M216">
        <v>1</v>
      </c>
    </row>
    <row r="217" spans="1:13">
      <c r="A217" s="3" t="s">
        <v>169</v>
      </c>
      <c r="B217">
        <v>1</v>
      </c>
      <c r="M217">
        <v>1</v>
      </c>
    </row>
    <row r="218" spans="1:13">
      <c r="A218" s="3" t="s">
        <v>170</v>
      </c>
      <c r="B218">
        <v>1</v>
      </c>
      <c r="M218">
        <v>1</v>
      </c>
    </row>
    <row r="219" spans="1:13">
      <c r="A219" s="3" t="s">
        <v>171</v>
      </c>
      <c r="B219">
        <v>1</v>
      </c>
      <c r="M219">
        <v>1</v>
      </c>
    </row>
    <row r="220" spans="1:13">
      <c r="A220" s="3" t="s">
        <v>172</v>
      </c>
      <c r="B220">
        <v>1</v>
      </c>
      <c r="M220">
        <v>1</v>
      </c>
    </row>
    <row r="221" spans="1:13">
      <c r="A221" s="3" t="s">
        <v>173</v>
      </c>
      <c r="B221">
        <v>1</v>
      </c>
      <c r="M221">
        <v>1</v>
      </c>
    </row>
    <row r="222" spans="1:13">
      <c r="A222" s="3" t="s">
        <v>174</v>
      </c>
      <c r="B222">
        <v>1</v>
      </c>
      <c r="M222">
        <v>1</v>
      </c>
    </row>
    <row r="223" spans="1:13">
      <c r="A223" s="3" t="s">
        <v>175</v>
      </c>
      <c r="B223">
        <v>1</v>
      </c>
      <c r="M223">
        <v>1</v>
      </c>
    </row>
    <row r="224" spans="1:13">
      <c r="A224" s="3" t="s">
        <v>176</v>
      </c>
      <c r="B224">
        <v>1</v>
      </c>
      <c r="M224">
        <v>1</v>
      </c>
    </row>
    <row r="225" spans="1:46">
      <c r="A225" s="3" t="s">
        <v>177</v>
      </c>
      <c r="B225">
        <v>1</v>
      </c>
      <c r="M225">
        <v>1</v>
      </c>
    </row>
    <row r="226" spans="1:46">
      <c r="A226" s="3" t="s">
        <v>178</v>
      </c>
      <c r="B226">
        <v>1</v>
      </c>
      <c r="M226">
        <v>1</v>
      </c>
    </row>
    <row r="227" spans="1:46">
      <c r="A227" s="3" t="s">
        <v>179</v>
      </c>
      <c r="B227">
        <v>1</v>
      </c>
      <c r="M227">
        <v>1</v>
      </c>
    </row>
    <row r="228" spans="1:46">
      <c r="A228" s="3" t="s">
        <v>180</v>
      </c>
      <c r="B228">
        <v>1</v>
      </c>
      <c r="M228">
        <v>1</v>
      </c>
    </row>
    <row r="229" spans="1:46">
      <c r="A229" s="3" t="s">
        <v>181</v>
      </c>
      <c r="B229">
        <v>1</v>
      </c>
      <c r="M229">
        <v>1</v>
      </c>
    </row>
    <row r="230" spans="1:46">
      <c r="A230" s="3" t="s">
        <v>182</v>
      </c>
      <c r="B230">
        <v>1</v>
      </c>
      <c r="M230">
        <v>1</v>
      </c>
    </row>
    <row r="231" spans="1:46">
      <c r="A231" s="3" t="s">
        <v>183</v>
      </c>
      <c r="B231">
        <v>1</v>
      </c>
      <c r="M231">
        <v>1</v>
      </c>
    </row>
    <row r="232" spans="1:46">
      <c r="A232" s="3" t="s">
        <v>184</v>
      </c>
      <c r="B232">
        <v>1</v>
      </c>
      <c r="AT232">
        <v>2</v>
      </c>
    </row>
    <row r="233" spans="1:46">
      <c r="A233" s="3" t="s">
        <v>185</v>
      </c>
      <c r="B233">
        <v>1</v>
      </c>
      <c r="AT233">
        <v>2</v>
      </c>
    </row>
    <row r="234" spans="1:46">
      <c r="A234" s="3" t="s">
        <v>186</v>
      </c>
      <c r="B234">
        <v>1</v>
      </c>
      <c r="AT234">
        <v>2</v>
      </c>
    </row>
    <row r="235" spans="1:46">
      <c r="A235" s="3" t="s">
        <v>187</v>
      </c>
      <c r="B235">
        <v>1</v>
      </c>
      <c r="AT235">
        <v>2</v>
      </c>
    </row>
    <row r="236" spans="1:46">
      <c r="A236" s="3" t="s">
        <v>188</v>
      </c>
      <c r="B236">
        <v>1</v>
      </c>
      <c r="AT236">
        <v>2</v>
      </c>
    </row>
    <row r="237" spans="1:46">
      <c r="A237" s="3" t="s">
        <v>189</v>
      </c>
      <c r="B237">
        <v>1</v>
      </c>
      <c r="AT237">
        <v>2</v>
      </c>
    </row>
    <row r="238" spans="1:46">
      <c r="A238" s="3" t="s">
        <v>190</v>
      </c>
      <c r="B238">
        <v>1</v>
      </c>
      <c r="AT238">
        <v>2</v>
      </c>
    </row>
    <row r="239" spans="1:46">
      <c r="A239" s="3" t="s">
        <v>191</v>
      </c>
      <c r="B239">
        <v>1</v>
      </c>
      <c r="AT239">
        <v>2</v>
      </c>
    </row>
    <row r="240" spans="1:46">
      <c r="A240" s="3" t="s">
        <v>192</v>
      </c>
      <c r="B240">
        <v>1</v>
      </c>
      <c r="AT240">
        <v>2</v>
      </c>
    </row>
    <row r="241" spans="1:46">
      <c r="A241" s="3" t="s">
        <v>193</v>
      </c>
      <c r="B241">
        <v>1</v>
      </c>
      <c r="AT241">
        <v>2</v>
      </c>
    </row>
    <row r="242" spans="1:46">
      <c r="A242" s="3" t="s">
        <v>194</v>
      </c>
      <c r="B242">
        <v>1</v>
      </c>
      <c r="AT242">
        <v>2</v>
      </c>
    </row>
    <row r="243" spans="1:46">
      <c r="A243" s="3" t="s">
        <v>195</v>
      </c>
      <c r="B243">
        <v>1</v>
      </c>
      <c r="AT243">
        <v>2</v>
      </c>
    </row>
    <row r="244" spans="1:46">
      <c r="A244" s="3" t="s">
        <v>196</v>
      </c>
      <c r="B244">
        <v>1</v>
      </c>
      <c r="AT244">
        <v>2</v>
      </c>
    </row>
    <row r="245" spans="1:46">
      <c r="A245" s="3" t="s">
        <v>197</v>
      </c>
      <c r="B245">
        <v>1</v>
      </c>
      <c r="AT245">
        <v>2</v>
      </c>
    </row>
    <row r="246" spans="1:46">
      <c r="A246" s="3" t="s">
        <v>198</v>
      </c>
      <c r="B246">
        <v>1</v>
      </c>
      <c r="AT246">
        <v>2</v>
      </c>
    </row>
    <row r="247" spans="1:46">
      <c r="A247" s="3" t="s">
        <v>199</v>
      </c>
      <c r="B247">
        <v>1</v>
      </c>
      <c r="AT247">
        <v>2</v>
      </c>
    </row>
    <row r="248" spans="1:46">
      <c r="A248" s="3" t="s">
        <v>200</v>
      </c>
      <c r="B248">
        <v>1</v>
      </c>
      <c r="AT248">
        <v>2</v>
      </c>
    </row>
    <row r="249" spans="1:46">
      <c r="A249" s="3" t="s">
        <v>201</v>
      </c>
      <c r="B249">
        <v>1</v>
      </c>
      <c r="AT249">
        <v>2</v>
      </c>
    </row>
    <row r="250" spans="1:46">
      <c r="A250" s="3" t="s">
        <v>202</v>
      </c>
      <c r="B250">
        <v>1</v>
      </c>
      <c r="AT250">
        <v>2</v>
      </c>
    </row>
    <row r="251" spans="1:46">
      <c r="A251" s="3" t="s">
        <v>203</v>
      </c>
      <c r="B251">
        <v>1</v>
      </c>
      <c r="AT251">
        <v>2</v>
      </c>
    </row>
    <row r="252" spans="1:46">
      <c r="A252" s="3" t="s">
        <v>204</v>
      </c>
      <c r="B252">
        <v>1</v>
      </c>
      <c r="AT252">
        <v>2</v>
      </c>
    </row>
    <row r="253" spans="1:46">
      <c r="A253" s="3" t="s">
        <v>205</v>
      </c>
      <c r="B253">
        <v>1</v>
      </c>
      <c r="AT253">
        <v>2</v>
      </c>
    </row>
    <row r="254" spans="1:46">
      <c r="A254" s="3" t="s">
        <v>206</v>
      </c>
      <c r="B254">
        <v>1</v>
      </c>
      <c r="AT254">
        <v>2</v>
      </c>
    </row>
    <row r="255" spans="1:46">
      <c r="A255" s="3" t="s">
        <v>207</v>
      </c>
      <c r="B255">
        <v>1</v>
      </c>
      <c r="AT255">
        <v>2</v>
      </c>
    </row>
    <row r="256" spans="1:46">
      <c r="A256" s="3" t="s">
        <v>208</v>
      </c>
      <c r="B256">
        <v>1</v>
      </c>
      <c r="AT256">
        <v>2</v>
      </c>
    </row>
    <row r="257" spans="1:46">
      <c r="A257" s="3" t="s">
        <v>209</v>
      </c>
      <c r="B257">
        <v>1</v>
      </c>
      <c r="AT257">
        <v>2</v>
      </c>
    </row>
    <row r="258" spans="1:46">
      <c r="A258" s="3" t="s">
        <v>210</v>
      </c>
      <c r="B258">
        <v>1</v>
      </c>
      <c r="AT258">
        <v>2</v>
      </c>
    </row>
    <row r="259" spans="1:46">
      <c r="A259" s="3" t="s">
        <v>211</v>
      </c>
      <c r="B259">
        <v>1</v>
      </c>
      <c r="AT259">
        <v>2</v>
      </c>
    </row>
    <row r="260" spans="1:46">
      <c r="A260" s="3" t="s">
        <v>212</v>
      </c>
      <c r="B260">
        <v>1</v>
      </c>
      <c r="AT260">
        <v>2</v>
      </c>
    </row>
    <row r="261" spans="1:46">
      <c r="A261" s="3" t="s">
        <v>213</v>
      </c>
      <c r="B261">
        <v>1</v>
      </c>
      <c r="AT261">
        <v>2</v>
      </c>
    </row>
    <row r="262" spans="1:46">
      <c r="A262" s="3" t="s">
        <v>214</v>
      </c>
      <c r="B262">
        <v>1</v>
      </c>
      <c r="AT262">
        <v>2</v>
      </c>
    </row>
    <row r="263" spans="1:46">
      <c r="A263" s="3" t="s">
        <v>215</v>
      </c>
      <c r="B263">
        <v>1</v>
      </c>
      <c r="AT263">
        <v>2</v>
      </c>
    </row>
    <row r="264" spans="1:46">
      <c r="A264" s="3" t="s">
        <v>216</v>
      </c>
      <c r="B264">
        <v>1</v>
      </c>
      <c r="J264">
        <v>4</v>
      </c>
    </row>
    <row r="265" spans="1:46">
      <c r="A265" s="3" t="s">
        <v>217</v>
      </c>
      <c r="B265">
        <v>1</v>
      </c>
      <c r="J265">
        <v>4</v>
      </c>
    </row>
    <row r="266" spans="1:46">
      <c r="A266" s="3" t="s">
        <v>218</v>
      </c>
      <c r="B266">
        <v>1</v>
      </c>
      <c r="J266">
        <v>4</v>
      </c>
    </row>
    <row r="267" spans="1:46">
      <c r="A267" s="3" t="s">
        <v>219</v>
      </c>
      <c r="B267">
        <v>1</v>
      </c>
      <c r="J267">
        <v>4</v>
      </c>
    </row>
    <row r="268" spans="1:46">
      <c r="A268" s="3" t="s">
        <v>220</v>
      </c>
      <c r="B268">
        <v>1</v>
      </c>
      <c r="E268">
        <v>1</v>
      </c>
      <c r="J268">
        <v>4</v>
      </c>
    </row>
    <row r="269" spans="1:46">
      <c r="A269" s="3" t="s">
        <v>221</v>
      </c>
      <c r="B269">
        <v>1</v>
      </c>
      <c r="E269">
        <v>1</v>
      </c>
      <c r="J269">
        <v>4</v>
      </c>
    </row>
    <row r="270" spans="1:46">
      <c r="A270" s="3" t="s">
        <v>222</v>
      </c>
      <c r="B270">
        <v>1</v>
      </c>
      <c r="E270">
        <v>1</v>
      </c>
      <c r="J270">
        <v>4</v>
      </c>
    </row>
    <row r="271" spans="1:46">
      <c r="A271" s="3" t="s">
        <v>223</v>
      </c>
      <c r="B271">
        <v>1</v>
      </c>
      <c r="E271">
        <v>1</v>
      </c>
      <c r="J271">
        <v>4</v>
      </c>
    </row>
    <row r="272" spans="1:46">
      <c r="A272" s="3" t="s">
        <v>224</v>
      </c>
      <c r="B272">
        <v>1</v>
      </c>
      <c r="E272">
        <v>1</v>
      </c>
      <c r="J272">
        <v>4</v>
      </c>
    </row>
    <row r="273" spans="1:10">
      <c r="A273" s="3" t="s">
        <v>225</v>
      </c>
      <c r="B273">
        <v>1</v>
      </c>
      <c r="E273">
        <v>1</v>
      </c>
      <c r="J273">
        <v>4</v>
      </c>
    </row>
    <row r="274" spans="1:10">
      <c r="A274" s="3" t="s">
        <v>226</v>
      </c>
      <c r="B274">
        <v>1</v>
      </c>
      <c r="E274">
        <v>1</v>
      </c>
      <c r="J274">
        <v>4</v>
      </c>
    </row>
    <row r="275" spans="1:10">
      <c r="A275" s="3" t="s">
        <v>227</v>
      </c>
      <c r="B275">
        <v>1</v>
      </c>
      <c r="E275">
        <v>1</v>
      </c>
      <c r="J275">
        <v>4</v>
      </c>
    </row>
    <row r="276" spans="1:10">
      <c r="A276" s="3" t="s">
        <v>228</v>
      </c>
      <c r="B276">
        <v>1</v>
      </c>
      <c r="E276">
        <v>1</v>
      </c>
      <c r="J276">
        <v>4</v>
      </c>
    </row>
    <row r="277" spans="1:10">
      <c r="A277" s="3" t="s">
        <v>229</v>
      </c>
      <c r="B277">
        <v>1</v>
      </c>
      <c r="E277">
        <v>1</v>
      </c>
      <c r="J277">
        <v>4</v>
      </c>
    </row>
    <row r="278" spans="1:10">
      <c r="A278" s="3" t="s">
        <v>230</v>
      </c>
      <c r="E278">
        <v>1</v>
      </c>
      <c r="J278">
        <v>4</v>
      </c>
    </row>
    <row r="279" spans="1:10">
      <c r="A279" s="3" t="s">
        <v>231</v>
      </c>
      <c r="E279">
        <v>1</v>
      </c>
      <c r="J279">
        <v>4</v>
      </c>
    </row>
    <row r="280" spans="1:10">
      <c r="A280" s="3" t="s">
        <v>232</v>
      </c>
      <c r="E280">
        <v>1</v>
      </c>
      <c r="J280">
        <v>4</v>
      </c>
    </row>
    <row r="281" spans="1:10">
      <c r="A281" s="3" t="s">
        <v>233</v>
      </c>
      <c r="E281">
        <v>1</v>
      </c>
      <c r="J281">
        <v>4</v>
      </c>
    </row>
    <row r="282" spans="1:10">
      <c r="A282" s="3" t="s">
        <v>234</v>
      </c>
      <c r="E282">
        <v>1</v>
      </c>
      <c r="J282">
        <v>4</v>
      </c>
    </row>
    <row r="283" spans="1:10">
      <c r="A283" s="3" t="s">
        <v>235</v>
      </c>
      <c r="E283">
        <v>1</v>
      </c>
      <c r="J283">
        <v>4</v>
      </c>
    </row>
    <row r="284" spans="1:10">
      <c r="A284" s="3" t="s">
        <v>236</v>
      </c>
      <c r="E284">
        <v>1</v>
      </c>
      <c r="J284">
        <v>4</v>
      </c>
    </row>
    <row r="285" spans="1:10">
      <c r="A285" s="3" t="s">
        <v>237</v>
      </c>
      <c r="E285">
        <v>1</v>
      </c>
      <c r="J285">
        <v>4</v>
      </c>
    </row>
    <row r="286" spans="1:10">
      <c r="A286" s="3" t="s">
        <v>238</v>
      </c>
      <c r="E286">
        <v>1</v>
      </c>
      <c r="J286">
        <v>4</v>
      </c>
    </row>
    <row r="287" spans="1:10">
      <c r="A287" s="3" t="s">
        <v>239</v>
      </c>
      <c r="E287">
        <v>1</v>
      </c>
      <c r="J287">
        <v>4</v>
      </c>
    </row>
    <row r="288" spans="1:10">
      <c r="A288" s="3" t="s">
        <v>240</v>
      </c>
      <c r="E288">
        <v>1</v>
      </c>
      <c r="J288">
        <v>4</v>
      </c>
    </row>
    <row r="289" spans="1:10">
      <c r="A289" s="3" t="s">
        <v>241</v>
      </c>
      <c r="E289">
        <v>1</v>
      </c>
      <c r="J289">
        <v>4</v>
      </c>
    </row>
    <row r="290" spans="1:10">
      <c r="A290" s="3" t="s">
        <v>242</v>
      </c>
      <c r="E290">
        <v>1</v>
      </c>
      <c r="J290">
        <v>4</v>
      </c>
    </row>
    <row r="291" spans="1:10">
      <c r="A291" s="3" t="s">
        <v>243</v>
      </c>
      <c r="E291">
        <v>1</v>
      </c>
      <c r="J291">
        <v>4</v>
      </c>
    </row>
    <row r="292" spans="1:10">
      <c r="A292" s="3" t="s">
        <v>244</v>
      </c>
      <c r="E292">
        <v>1</v>
      </c>
      <c r="J292">
        <v>4</v>
      </c>
    </row>
    <row r="293" spans="1:10">
      <c r="A293" s="3" t="s">
        <v>245</v>
      </c>
      <c r="E293">
        <v>1</v>
      </c>
      <c r="J293">
        <v>4</v>
      </c>
    </row>
    <row r="294" spans="1:10">
      <c r="A294" s="3" t="s">
        <v>246</v>
      </c>
      <c r="E294">
        <v>1</v>
      </c>
      <c r="J294">
        <v>4</v>
      </c>
    </row>
    <row r="295" spans="1:10">
      <c r="A295" s="3" t="s">
        <v>247</v>
      </c>
      <c r="E295">
        <v>1</v>
      </c>
      <c r="J295">
        <v>4</v>
      </c>
    </row>
    <row r="296" spans="1:10">
      <c r="A296" s="3" t="s">
        <v>248</v>
      </c>
      <c r="E296">
        <v>1</v>
      </c>
      <c r="J296">
        <v>4</v>
      </c>
    </row>
    <row r="297" spans="1:10">
      <c r="A297" s="3" t="s">
        <v>249</v>
      </c>
      <c r="E297">
        <v>1</v>
      </c>
      <c r="J297">
        <v>4</v>
      </c>
    </row>
    <row r="298" spans="1:10">
      <c r="A298" s="3" t="s">
        <v>250</v>
      </c>
      <c r="E298">
        <v>1</v>
      </c>
      <c r="J298">
        <v>4</v>
      </c>
    </row>
    <row r="299" spans="1:10">
      <c r="A299" s="3" t="s">
        <v>251</v>
      </c>
      <c r="E299">
        <v>1</v>
      </c>
      <c r="J299">
        <v>4</v>
      </c>
    </row>
    <row r="300" spans="1:10">
      <c r="A300" s="3" t="s">
        <v>252</v>
      </c>
      <c r="E300">
        <v>1</v>
      </c>
      <c r="J300">
        <v>4</v>
      </c>
    </row>
    <row r="301" spans="1:10">
      <c r="A301" s="3" t="s">
        <v>253</v>
      </c>
      <c r="E301">
        <v>1</v>
      </c>
      <c r="J301">
        <v>4</v>
      </c>
    </row>
    <row r="302" spans="1:10">
      <c r="A302" s="3" t="s">
        <v>254</v>
      </c>
      <c r="E302">
        <v>1</v>
      </c>
      <c r="J302">
        <v>4</v>
      </c>
    </row>
    <row r="303" spans="1:10">
      <c r="A303" s="3" t="s">
        <v>255</v>
      </c>
      <c r="E303">
        <v>1</v>
      </c>
      <c r="J303">
        <v>4</v>
      </c>
    </row>
    <row r="304" spans="1:10">
      <c r="A304" s="3" t="s">
        <v>256</v>
      </c>
      <c r="E304">
        <v>1</v>
      </c>
      <c r="J304">
        <v>4</v>
      </c>
    </row>
    <row r="305" spans="1:49">
      <c r="A305" s="3" t="s">
        <v>257</v>
      </c>
      <c r="E305">
        <v>1</v>
      </c>
      <c r="J305">
        <v>4</v>
      </c>
    </row>
    <row r="306" spans="1:49">
      <c r="A306" s="3" t="s">
        <v>258</v>
      </c>
      <c r="E306">
        <v>1</v>
      </c>
      <c r="J306">
        <v>4</v>
      </c>
    </row>
    <row r="307" spans="1:49">
      <c r="A307" s="3" t="s">
        <v>259</v>
      </c>
      <c r="E307">
        <v>1</v>
      </c>
      <c r="AW307">
        <v>1</v>
      </c>
    </row>
    <row r="308" spans="1:49">
      <c r="A308" s="3" t="s">
        <v>260</v>
      </c>
      <c r="E308">
        <v>1</v>
      </c>
      <c r="AW308">
        <v>1</v>
      </c>
    </row>
    <row r="309" spans="1:49">
      <c r="A309" s="3" t="s">
        <v>261</v>
      </c>
      <c r="E309">
        <v>1</v>
      </c>
      <c r="AW309">
        <v>1</v>
      </c>
    </row>
    <row r="310" spans="1:49">
      <c r="A310" s="3" t="s">
        <v>262</v>
      </c>
      <c r="E310">
        <v>1</v>
      </c>
      <c r="AW310">
        <v>1</v>
      </c>
    </row>
    <row r="311" spans="1:49">
      <c r="A311" s="3" t="s">
        <v>263</v>
      </c>
      <c r="E311">
        <v>1</v>
      </c>
      <c r="AW311">
        <v>1</v>
      </c>
    </row>
    <row r="312" spans="1:49">
      <c r="A312" s="3" t="s">
        <v>264</v>
      </c>
      <c r="E312">
        <v>1</v>
      </c>
      <c r="AW312">
        <v>1</v>
      </c>
    </row>
    <row r="313" spans="1:49">
      <c r="A313" s="3" t="s">
        <v>265</v>
      </c>
      <c r="E313">
        <v>1</v>
      </c>
      <c r="AW313">
        <v>1</v>
      </c>
    </row>
    <row r="314" spans="1:49">
      <c r="A314" s="3" t="s">
        <v>266</v>
      </c>
      <c r="E314">
        <v>1</v>
      </c>
      <c r="AW314">
        <v>1</v>
      </c>
    </row>
    <row r="315" spans="1:49">
      <c r="A315" s="3" t="s">
        <v>267</v>
      </c>
      <c r="E315">
        <v>1</v>
      </c>
      <c r="AL315">
        <v>1</v>
      </c>
    </row>
    <row r="316" spans="1:49">
      <c r="A316" s="3" t="s">
        <v>268</v>
      </c>
      <c r="E316">
        <v>1</v>
      </c>
      <c r="AL316">
        <v>1</v>
      </c>
    </row>
    <row r="317" spans="1:49">
      <c r="A317" s="3" t="s">
        <v>269</v>
      </c>
      <c r="E317">
        <v>1</v>
      </c>
      <c r="AL317">
        <v>1</v>
      </c>
    </row>
    <row r="318" spans="1:49">
      <c r="A318" s="3" t="s">
        <v>270</v>
      </c>
      <c r="E318">
        <v>1</v>
      </c>
      <c r="AL318">
        <v>1</v>
      </c>
    </row>
    <row r="319" spans="1:49">
      <c r="A319" s="3" t="s">
        <v>271</v>
      </c>
      <c r="E319">
        <v>1</v>
      </c>
      <c r="AL319">
        <v>1</v>
      </c>
    </row>
    <row r="320" spans="1:49">
      <c r="A320" s="3" t="s">
        <v>272</v>
      </c>
      <c r="E320">
        <v>1</v>
      </c>
      <c r="AL320">
        <v>1</v>
      </c>
    </row>
    <row r="321" spans="1:38">
      <c r="A321" s="3" t="s">
        <v>273</v>
      </c>
      <c r="E321">
        <v>1</v>
      </c>
      <c r="AL321">
        <v>1</v>
      </c>
    </row>
    <row r="322" spans="1:38">
      <c r="A322" s="3" t="s">
        <v>274</v>
      </c>
      <c r="E322">
        <v>1</v>
      </c>
      <c r="AL322">
        <v>1</v>
      </c>
    </row>
    <row r="323" spans="1:38">
      <c r="A323" s="3" t="s">
        <v>275</v>
      </c>
      <c r="E323">
        <v>1</v>
      </c>
      <c r="AL323">
        <v>1</v>
      </c>
    </row>
    <row r="324" spans="1:38">
      <c r="A324" s="3" t="s">
        <v>276</v>
      </c>
      <c r="E324">
        <v>1</v>
      </c>
      <c r="AL324">
        <v>1</v>
      </c>
    </row>
    <row r="325" spans="1:38">
      <c r="A325" s="3" t="s">
        <v>277</v>
      </c>
      <c r="E325">
        <v>1</v>
      </c>
      <c r="AL325">
        <v>1</v>
      </c>
    </row>
    <row r="326" spans="1:38">
      <c r="A326" s="3" t="s">
        <v>278</v>
      </c>
      <c r="E326">
        <v>1</v>
      </c>
      <c r="AL326">
        <v>1</v>
      </c>
    </row>
    <row r="327" spans="1:38">
      <c r="A327" s="3" t="s">
        <v>279</v>
      </c>
      <c r="E327">
        <v>1</v>
      </c>
      <c r="AL327">
        <v>1</v>
      </c>
    </row>
    <row r="328" spans="1:38">
      <c r="A328" s="3" t="s">
        <v>280</v>
      </c>
      <c r="E328">
        <v>1</v>
      </c>
      <c r="AL328">
        <v>1</v>
      </c>
    </row>
    <row r="329" spans="1:38">
      <c r="A329" s="3" t="s">
        <v>281</v>
      </c>
      <c r="E329">
        <v>1</v>
      </c>
      <c r="AL329">
        <v>1</v>
      </c>
    </row>
    <row r="330" spans="1:38">
      <c r="A330" s="3" t="s">
        <v>282</v>
      </c>
      <c r="E330">
        <v>1</v>
      </c>
      <c r="AL330">
        <v>1</v>
      </c>
    </row>
    <row r="331" spans="1:38">
      <c r="A331" s="3" t="s">
        <v>283</v>
      </c>
      <c r="E331">
        <v>1</v>
      </c>
      <c r="AL331">
        <v>1</v>
      </c>
    </row>
    <row r="332" spans="1:38">
      <c r="A332" s="3" t="s">
        <v>284</v>
      </c>
      <c r="E332">
        <v>1</v>
      </c>
      <c r="AL332">
        <v>1</v>
      </c>
    </row>
    <row r="333" spans="1:38">
      <c r="A333" s="3" t="s">
        <v>285</v>
      </c>
      <c r="E333">
        <v>1</v>
      </c>
      <c r="AL333">
        <v>1</v>
      </c>
    </row>
    <row r="334" spans="1:38">
      <c r="A334" s="3" t="s">
        <v>286</v>
      </c>
      <c r="E334">
        <v>1</v>
      </c>
      <c r="AL334">
        <v>1</v>
      </c>
    </row>
    <row r="335" spans="1:38">
      <c r="A335" s="3" t="s">
        <v>287</v>
      </c>
      <c r="E335">
        <v>1</v>
      </c>
      <c r="AL335">
        <v>1</v>
      </c>
    </row>
    <row r="336" spans="1:38">
      <c r="A336" s="3" t="s">
        <v>288</v>
      </c>
      <c r="E336">
        <v>1</v>
      </c>
      <c r="AL336">
        <v>1</v>
      </c>
    </row>
    <row r="337" spans="1:38">
      <c r="A337" s="3" t="s">
        <v>289</v>
      </c>
      <c r="E337">
        <v>1</v>
      </c>
      <c r="AL337">
        <v>1</v>
      </c>
    </row>
    <row r="338" spans="1:38">
      <c r="A338" s="3" t="s">
        <v>290</v>
      </c>
      <c r="E338">
        <v>1</v>
      </c>
      <c r="AL338">
        <v>1</v>
      </c>
    </row>
    <row r="339" spans="1:38">
      <c r="A339" s="3" t="s">
        <v>291</v>
      </c>
      <c r="E339">
        <v>1</v>
      </c>
      <c r="AL339">
        <v>1</v>
      </c>
    </row>
    <row r="340" spans="1:38">
      <c r="A340" s="3" t="s">
        <v>292</v>
      </c>
      <c r="E340">
        <v>1</v>
      </c>
      <c r="AL340">
        <v>1</v>
      </c>
    </row>
    <row r="341" spans="1:38">
      <c r="A341" s="3" t="s">
        <v>293</v>
      </c>
      <c r="E341">
        <v>1</v>
      </c>
      <c r="AL341">
        <v>1</v>
      </c>
    </row>
    <row r="342" spans="1:38">
      <c r="A342" s="3" t="s">
        <v>294</v>
      </c>
      <c r="E342">
        <v>1</v>
      </c>
      <c r="AL342">
        <v>1</v>
      </c>
    </row>
    <row r="343" spans="1:38">
      <c r="A343" s="3" t="s">
        <v>295</v>
      </c>
      <c r="E343">
        <v>1</v>
      </c>
      <c r="AL343">
        <v>1</v>
      </c>
    </row>
    <row r="344" spans="1:38">
      <c r="A344" s="3" t="s">
        <v>296</v>
      </c>
      <c r="E344">
        <v>1</v>
      </c>
      <c r="AL344">
        <v>1</v>
      </c>
    </row>
    <row r="345" spans="1:38">
      <c r="A345" s="3" t="s">
        <v>297</v>
      </c>
      <c r="E345">
        <v>1</v>
      </c>
      <c r="AL345">
        <v>1</v>
      </c>
    </row>
    <row r="346" spans="1:38">
      <c r="A346" s="3" t="s">
        <v>298</v>
      </c>
      <c r="E346">
        <v>1</v>
      </c>
      <c r="AL346">
        <v>1</v>
      </c>
    </row>
    <row r="347" spans="1:38">
      <c r="A347" s="3" t="s">
        <v>299</v>
      </c>
      <c r="E347">
        <v>1</v>
      </c>
      <c r="AL347">
        <v>1</v>
      </c>
    </row>
    <row r="348" spans="1:38">
      <c r="A348" s="3" t="s">
        <v>300</v>
      </c>
      <c r="E348">
        <v>1</v>
      </c>
      <c r="AL348">
        <v>1</v>
      </c>
    </row>
    <row r="349" spans="1:38">
      <c r="A349" s="3" t="s">
        <v>301</v>
      </c>
      <c r="E349">
        <v>1</v>
      </c>
      <c r="AL349">
        <v>1</v>
      </c>
    </row>
    <row r="350" spans="1:38">
      <c r="A350" s="3" t="s">
        <v>302</v>
      </c>
      <c r="E350">
        <v>1</v>
      </c>
      <c r="AL350">
        <v>1</v>
      </c>
    </row>
    <row r="351" spans="1:38">
      <c r="A351" s="3" t="s">
        <v>303</v>
      </c>
      <c r="E351">
        <v>1</v>
      </c>
      <c r="AL351">
        <v>1</v>
      </c>
    </row>
    <row r="352" spans="1:38">
      <c r="A352" s="3" t="s">
        <v>304</v>
      </c>
      <c r="E352">
        <v>1</v>
      </c>
      <c r="AL352">
        <v>1</v>
      </c>
    </row>
    <row r="353" spans="1:38">
      <c r="A353" s="3" t="s">
        <v>305</v>
      </c>
      <c r="E353">
        <v>1</v>
      </c>
      <c r="AL353">
        <v>1</v>
      </c>
    </row>
    <row r="354" spans="1:38">
      <c r="A354" s="3" t="s">
        <v>306</v>
      </c>
      <c r="E354">
        <v>1</v>
      </c>
      <c r="AL354">
        <v>1</v>
      </c>
    </row>
    <row r="355" spans="1:38">
      <c r="A355" s="3" t="s">
        <v>307</v>
      </c>
      <c r="E355">
        <v>1</v>
      </c>
      <c r="AL355">
        <v>1</v>
      </c>
    </row>
    <row r="356" spans="1:38">
      <c r="A356" s="3" t="s">
        <v>308</v>
      </c>
      <c r="E356">
        <v>1</v>
      </c>
      <c r="AL356">
        <v>1</v>
      </c>
    </row>
    <row r="357" spans="1:38">
      <c r="A357" s="3" t="s">
        <v>309</v>
      </c>
      <c r="E357">
        <v>1</v>
      </c>
      <c r="AL357">
        <v>1</v>
      </c>
    </row>
    <row r="358" spans="1:38">
      <c r="A358" s="3" t="s">
        <v>310</v>
      </c>
      <c r="E358">
        <v>1</v>
      </c>
      <c r="AL358">
        <v>1</v>
      </c>
    </row>
    <row r="359" spans="1:38">
      <c r="A359" s="3" t="s">
        <v>311</v>
      </c>
      <c r="E359">
        <v>1</v>
      </c>
      <c r="AL359">
        <v>1</v>
      </c>
    </row>
    <row r="360" spans="1:38">
      <c r="A360" s="3" t="s">
        <v>312</v>
      </c>
      <c r="E360">
        <v>1</v>
      </c>
      <c r="AL360">
        <v>1</v>
      </c>
    </row>
    <row r="361" spans="1:38">
      <c r="A361" s="3" t="s">
        <v>313</v>
      </c>
      <c r="E361">
        <v>1</v>
      </c>
      <c r="AL361">
        <v>1</v>
      </c>
    </row>
    <row r="362" spans="1:38">
      <c r="A362" s="3" t="s">
        <v>314</v>
      </c>
      <c r="E362">
        <v>1</v>
      </c>
      <c r="AL362">
        <v>1</v>
      </c>
    </row>
    <row r="363" spans="1:38">
      <c r="A363" s="3" t="s">
        <v>315</v>
      </c>
      <c r="E363">
        <v>1</v>
      </c>
      <c r="AL363">
        <v>1</v>
      </c>
    </row>
    <row r="364" spans="1:38">
      <c r="A364" s="3" t="s">
        <v>316</v>
      </c>
      <c r="E364">
        <v>1</v>
      </c>
      <c r="AL364">
        <v>1</v>
      </c>
    </row>
    <row r="365" spans="1:38">
      <c r="A365" s="3" t="s">
        <v>317</v>
      </c>
      <c r="E365">
        <v>1</v>
      </c>
      <c r="AL365">
        <v>1</v>
      </c>
    </row>
    <row r="366" spans="1:38">
      <c r="A366" s="3" t="s">
        <v>318</v>
      </c>
      <c r="E366">
        <v>1</v>
      </c>
      <c r="AL366">
        <v>1</v>
      </c>
    </row>
    <row r="367" spans="1:38">
      <c r="A367" s="3" t="s">
        <v>319</v>
      </c>
      <c r="E367">
        <v>1</v>
      </c>
      <c r="AL367">
        <v>1</v>
      </c>
    </row>
    <row r="368" spans="1:38">
      <c r="A368" s="3" t="s">
        <v>320</v>
      </c>
      <c r="E368">
        <v>1</v>
      </c>
      <c r="AL368">
        <v>1</v>
      </c>
    </row>
    <row r="369" spans="1:49">
      <c r="A369" s="3" t="s">
        <v>321</v>
      </c>
      <c r="E369">
        <v>1</v>
      </c>
      <c r="AL369">
        <v>1</v>
      </c>
    </row>
    <row r="370" spans="1:49">
      <c r="A370" s="3" t="s">
        <v>322</v>
      </c>
      <c r="E370">
        <v>1</v>
      </c>
      <c r="AW370">
        <v>2</v>
      </c>
    </row>
    <row r="371" spans="1:49">
      <c r="A371" s="3" t="s">
        <v>323</v>
      </c>
      <c r="E371">
        <v>1</v>
      </c>
      <c r="J371">
        <v>5</v>
      </c>
    </row>
    <row r="372" spans="1:49">
      <c r="A372" s="3" t="s">
        <v>324</v>
      </c>
      <c r="E372">
        <v>1</v>
      </c>
      <c r="J372">
        <v>5</v>
      </c>
    </row>
    <row r="373" spans="1:49">
      <c r="A373" s="3" t="s">
        <v>325</v>
      </c>
      <c r="E373">
        <v>1</v>
      </c>
      <c r="J373">
        <v>5</v>
      </c>
    </row>
    <row r="374" spans="1:49">
      <c r="A374" s="3" t="s">
        <v>326</v>
      </c>
      <c r="E374">
        <v>1</v>
      </c>
      <c r="J374">
        <v>5</v>
      </c>
    </row>
    <row r="375" spans="1:49">
      <c r="A375" s="3" t="s">
        <v>327</v>
      </c>
      <c r="E375">
        <v>1</v>
      </c>
      <c r="J375">
        <v>5</v>
      </c>
    </row>
    <row r="376" spans="1:49">
      <c r="A376" s="3" t="s">
        <v>328</v>
      </c>
      <c r="E376">
        <v>1</v>
      </c>
      <c r="J376">
        <v>5</v>
      </c>
    </row>
    <row r="377" spans="1:49">
      <c r="A377" s="3" t="s">
        <v>329</v>
      </c>
      <c r="E377">
        <v>1</v>
      </c>
      <c r="J377">
        <v>5</v>
      </c>
    </row>
    <row r="378" spans="1:49">
      <c r="A378" s="3" t="s">
        <v>330</v>
      </c>
      <c r="E378">
        <v>1</v>
      </c>
      <c r="J378">
        <v>5</v>
      </c>
    </row>
    <row r="379" spans="1:49">
      <c r="A379" s="3" t="s">
        <v>331</v>
      </c>
      <c r="E379">
        <v>1</v>
      </c>
      <c r="J379">
        <v>5</v>
      </c>
    </row>
    <row r="380" spans="1:49">
      <c r="A380" s="3" t="s">
        <v>332</v>
      </c>
      <c r="E380">
        <v>1</v>
      </c>
      <c r="J380">
        <v>5</v>
      </c>
    </row>
    <row r="381" spans="1:49">
      <c r="A381" s="3" t="s">
        <v>333</v>
      </c>
      <c r="E381">
        <v>1</v>
      </c>
      <c r="J381">
        <v>5</v>
      </c>
    </row>
    <row r="382" spans="1:49">
      <c r="A382" s="3" t="s">
        <v>334</v>
      </c>
      <c r="E382">
        <v>1</v>
      </c>
      <c r="J382">
        <v>5</v>
      </c>
    </row>
    <row r="383" spans="1:49">
      <c r="A383" s="3" t="s">
        <v>335</v>
      </c>
      <c r="E383">
        <v>1</v>
      </c>
      <c r="J383">
        <v>5</v>
      </c>
    </row>
    <row r="384" spans="1:49">
      <c r="A384" s="3" t="s">
        <v>336</v>
      </c>
      <c r="E384">
        <v>1</v>
      </c>
      <c r="J384">
        <v>5</v>
      </c>
    </row>
    <row r="385" spans="1:10">
      <c r="A385" s="3" t="s">
        <v>337</v>
      </c>
      <c r="E385">
        <v>1</v>
      </c>
      <c r="J385">
        <v>5</v>
      </c>
    </row>
    <row r="386" spans="1:10">
      <c r="A386" s="3" t="s">
        <v>338</v>
      </c>
      <c r="E386">
        <v>1</v>
      </c>
      <c r="J386">
        <v>5</v>
      </c>
    </row>
    <row r="387" spans="1:10">
      <c r="A387" s="3" t="s">
        <v>339</v>
      </c>
      <c r="E387">
        <v>1</v>
      </c>
      <c r="J387">
        <v>5</v>
      </c>
    </row>
    <row r="388" spans="1:10">
      <c r="A388" s="3" t="s">
        <v>340</v>
      </c>
      <c r="E388">
        <v>1</v>
      </c>
      <c r="J388">
        <v>5</v>
      </c>
    </row>
    <row r="389" spans="1:10">
      <c r="A389" s="3" t="s">
        <v>341</v>
      </c>
      <c r="E389">
        <v>1</v>
      </c>
      <c r="J389">
        <v>5</v>
      </c>
    </row>
    <row r="390" spans="1:10">
      <c r="A390" s="3" t="s">
        <v>342</v>
      </c>
      <c r="E390">
        <v>1</v>
      </c>
      <c r="J390">
        <v>5</v>
      </c>
    </row>
    <row r="391" spans="1:10">
      <c r="A391" s="3" t="s">
        <v>343</v>
      </c>
      <c r="E391">
        <v>1</v>
      </c>
      <c r="J391">
        <v>5</v>
      </c>
    </row>
    <row r="392" spans="1:10">
      <c r="A392" s="3" t="s">
        <v>344</v>
      </c>
      <c r="E392">
        <v>1</v>
      </c>
      <c r="J392">
        <v>5</v>
      </c>
    </row>
    <row r="393" spans="1:10">
      <c r="A393" s="3" t="s">
        <v>345</v>
      </c>
      <c r="E393">
        <v>1</v>
      </c>
      <c r="J393">
        <v>5</v>
      </c>
    </row>
    <row r="394" spans="1:10">
      <c r="A394" s="3" t="s">
        <v>346</v>
      </c>
      <c r="E394">
        <v>1</v>
      </c>
      <c r="J394">
        <v>5</v>
      </c>
    </row>
    <row r="395" spans="1:10">
      <c r="A395" s="3" t="s">
        <v>347</v>
      </c>
      <c r="E395">
        <v>1</v>
      </c>
      <c r="J395">
        <v>5</v>
      </c>
    </row>
    <row r="396" spans="1:10">
      <c r="A396" s="3" t="s">
        <v>348</v>
      </c>
      <c r="E396">
        <v>1</v>
      </c>
      <c r="J396">
        <v>5</v>
      </c>
    </row>
    <row r="397" spans="1:10">
      <c r="A397" s="3" t="s">
        <v>349</v>
      </c>
      <c r="E397">
        <v>1</v>
      </c>
      <c r="J397">
        <v>5</v>
      </c>
    </row>
    <row r="398" spans="1:10">
      <c r="A398" s="3" t="s">
        <v>350</v>
      </c>
      <c r="E398">
        <v>1</v>
      </c>
      <c r="J398">
        <v>5</v>
      </c>
    </row>
    <row r="399" spans="1:10">
      <c r="A399" s="3" t="s">
        <v>351</v>
      </c>
      <c r="E399">
        <v>1</v>
      </c>
      <c r="J399">
        <v>5</v>
      </c>
    </row>
    <row r="400" spans="1:10">
      <c r="A400" s="3" t="s">
        <v>352</v>
      </c>
      <c r="E400">
        <v>1</v>
      </c>
      <c r="J400">
        <v>5</v>
      </c>
    </row>
    <row r="401" spans="1:10">
      <c r="A401" s="3" t="s">
        <v>353</v>
      </c>
      <c r="E401">
        <v>1</v>
      </c>
      <c r="J401">
        <v>5</v>
      </c>
    </row>
    <row r="402" spans="1:10">
      <c r="A402" s="3" t="s">
        <v>354</v>
      </c>
      <c r="E402">
        <v>1</v>
      </c>
      <c r="J402">
        <v>5</v>
      </c>
    </row>
    <row r="403" spans="1:10">
      <c r="A403" s="3" t="s">
        <v>355</v>
      </c>
      <c r="E403">
        <v>1</v>
      </c>
      <c r="J403">
        <v>5</v>
      </c>
    </row>
    <row r="404" spans="1:10">
      <c r="A404" s="3" t="s">
        <v>356</v>
      </c>
      <c r="E404">
        <v>1</v>
      </c>
      <c r="J404">
        <v>5</v>
      </c>
    </row>
    <row r="405" spans="1:10">
      <c r="A405" s="3" t="s">
        <v>357</v>
      </c>
      <c r="E405">
        <v>1</v>
      </c>
      <c r="J405">
        <v>5</v>
      </c>
    </row>
    <row r="406" spans="1:10">
      <c r="A406" s="3" t="s">
        <v>358</v>
      </c>
      <c r="E406">
        <v>1</v>
      </c>
      <c r="J406">
        <v>5</v>
      </c>
    </row>
    <row r="407" spans="1:10">
      <c r="A407" s="3" t="s">
        <v>359</v>
      </c>
      <c r="E407">
        <v>1</v>
      </c>
      <c r="J407">
        <v>5</v>
      </c>
    </row>
    <row r="408" spans="1:10">
      <c r="A408" s="3" t="s">
        <v>360</v>
      </c>
      <c r="E408">
        <v>1</v>
      </c>
      <c r="J408">
        <v>5</v>
      </c>
    </row>
    <row r="409" spans="1:10">
      <c r="A409" s="3" t="s">
        <v>361</v>
      </c>
      <c r="E409">
        <v>1</v>
      </c>
      <c r="J409">
        <v>5</v>
      </c>
    </row>
    <row r="410" spans="1:10">
      <c r="A410" s="3" t="s">
        <v>362</v>
      </c>
      <c r="E410">
        <v>1</v>
      </c>
      <c r="J410">
        <v>5</v>
      </c>
    </row>
    <row r="411" spans="1:10">
      <c r="A411" s="3" t="s">
        <v>363</v>
      </c>
      <c r="E411">
        <v>1</v>
      </c>
      <c r="J411">
        <v>5</v>
      </c>
    </row>
    <row r="412" spans="1:10">
      <c r="A412" s="3" t="s">
        <v>364</v>
      </c>
      <c r="E412">
        <v>1</v>
      </c>
      <c r="J412">
        <v>5</v>
      </c>
    </row>
    <row r="413" spans="1:10">
      <c r="A413" s="3" t="s">
        <v>365</v>
      </c>
      <c r="E413">
        <v>1</v>
      </c>
      <c r="J413">
        <v>5</v>
      </c>
    </row>
    <row r="414" spans="1:10">
      <c r="A414" s="3" t="s">
        <v>366</v>
      </c>
      <c r="E414">
        <v>1</v>
      </c>
      <c r="J414">
        <v>5</v>
      </c>
    </row>
    <row r="415" spans="1:10">
      <c r="A415" s="3" t="s">
        <v>367</v>
      </c>
      <c r="E415">
        <v>1</v>
      </c>
      <c r="J415">
        <v>5</v>
      </c>
    </row>
    <row r="416" spans="1:10">
      <c r="A416" s="3" t="s">
        <v>368</v>
      </c>
      <c r="E416">
        <v>1</v>
      </c>
      <c r="J416">
        <v>5</v>
      </c>
    </row>
    <row r="417" spans="1:10">
      <c r="A417" s="3" t="s">
        <v>369</v>
      </c>
      <c r="E417">
        <v>1</v>
      </c>
      <c r="J417">
        <v>5</v>
      </c>
    </row>
    <row r="418" spans="1:10">
      <c r="A418" s="3" t="s">
        <v>370</v>
      </c>
      <c r="E418">
        <v>1</v>
      </c>
      <c r="J418">
        <v>5</v>
      </c>
    </row>
    <row r="419" spans="1:10">
      <c r="A419" s="3" t="s">
        <v>371</v>
      </c>
      <c r="E419">
        <v>1</v>
      </c>
      <c r="J419">
        <v>5</v>
      </c>
    </row>
    <row r="420" spans="1:10">
      <c r="A420" s="3" t="s">
        <v>372</v>
      </c>
      <c r="E420">
        <v>1</v>
      </c>
      <c r="J420">
        <v>5</v>
      </c>
    </row>
    <row r="421" spans="1:10">
      <c r="A421" s="3" t="s">
        <v>373</v>
      </c>
      <c r="E421">
        <v>1</v>
      </c>
      <c r="J421">
        <v>5</v>
      </c>
    </row>
    <row r="422" spans="1:10">
      <c r="A422" s="3" t="s">
        <v>374</v>
      </c>
      <c r="E422">
        <v>1</v>
      </c>
      <c r="J422">
        <v>5</v>
      </c>
    </row>
    <row r="423" spans="1:10">
      <c r="A423" s="3" t="s">
        <v>375</v>
      </c>
      <c r="E423">
        <v>1</v>
      </c>
      <c r="J423">
        <v>5</v>
      </c>
    </row>
    <row r="424" spans="1:10">
      <c r="A424" s="3" t="s">
        <v>376</v>
      </c>
      <c r="E424">
        <v>1</v>
      </c>
      <c r="J424">
        <v>5</v>
      </c>
    </row>
    <row r="425" spans="1:10">
      <c r="A425" s="3" t="s">
        <v>377</v>
      </c>
      <c r="E425">
        <v>1</v>
      </c>
      <c r="J425">
        <v>5</v>
      </c>
    </row>
    <row r="426" spans="1:10">
      <c r="A426" s="3" t="s">
        <v>378</v>
      </c>
      <c r="E426">
        <v>1</v>
      </c>
      <c r="J426">
        <v>5</v>
      </c>
    </row>
    <row r="427" spans="1:10">
      <c r="A427" s="3" t="s">
        <v>379</v>
      </c>
      <c r="E427">
        <v>1</v>
      </c>
      <c r="J427">
        <v>5</v>
      </c>
    </row>
    <row r="428" spans="1:10">
      <c r="A428" s="3" t="s">
        <v>380</v>
      </c>
      <c r="E428">
        <v>1</v>
      </c>
      <c r="J428">
        <v>5</v>
      </c>
    </row>
    <row r="429" spans="1:10">
      <c r="A429" s="3" t="s">
        <v>381</v>
      </c>
      <c r="E429">
        <v>1</v>
      </c>
      <c r="J429">
        <v>5</v>
      </c>
    </row>
    <row r="430" spans="1:10">
      <c r="A430" s="3" t="s">
        <v>382</v>
      </c>
      <c r="E430">
        <v>1</v>
      </c>
      <c r="J430">
        <v>5</v>
      </c>
    </row>
    <row r="431" spans="1:10">
      <c r="A431" s="3" t="s">
        <v>383</v>
      </c>
      <c r="E431">
        <v>1</v>
      </c>
      <c r="J431">
        <v>5</v>
      </c>
    </row>
    <row r="432" spans="1:10">
      <c r="A432" s="3" t="s">
        <v>384</v>
      </c>
      <c r="E432">
        <v>1</v>
      </c>
      <c r="J432">
        <v>5</v>
      </c>
    </row>
    <row r="433" spans="1:10">
      <c r="A433" s="3" t="s">
        <v>385</v>
      </c>
      <c r="E433">
        <v>1</v>
      </c>
      <c r="J433">
        <v>5</v>
      </c>
    </row>
    <row r="434" spans="1:10">
      <c r="A434" s="3" t="s">
        <v>386</v>
      </c>
      <c r="E434">
        <v>1</v>
      </c>
      <c r="J434">
        <v>5</v>
      </c>
    </row>
    <row r="435" spans="1:10">
      <c r="A435" s="3" t="s">
        <v>387</v>
      </c>
      <c r="E435">
        <v>1</v>
      </c>
      <c r="J435">
        <v>5</v>
      </c>
    </row>
    <row r="436" spans="1:10">
      <c r="A436" s="3" t="s">
        <v>388</v>
      </c>
      <c r="E436">
        <v>1</v>
      </c>
      <c r="J436">
        <v>5</v>
      </c>
    </row>
    <row r="437" spans="1:10">
      <c r="A437" s="3" t="s">
        <v>389</v>
      </c>
      <c r="E437">
        <v>1</v>
      </c>
      <c r="J437">
        <v>5</v>
      </c>
    </row>
    <row r="438" spans="1:10">
      <c r="A438" s="3" t="s">
        <v>390</v>
      </c>
      <c r="E438">
        <v>1</v>
      </c>
      <c r="J438">
        <v>5</v>
      </c>
    </row>
    <row r="439" spans="1:10">
      <c r="A439" s="3" t="s">
        <v>391</v>
      </c>
      <c r="E439">
        <v>1</v>
      </c>
      <c r="J439">
        <v>5</v>
      </c>
    </row>
    <row r="440" spans="1:10">
      <c r="A440" s="3" t="s">
        <v>392</v>
      </c>
      <c r="E440">
        <v>1</v>
      </c>
      <c r="J440">
        <v>5</v>
      </c>
    </row>
    <row r="441" spans="1:10">
      <c r="A441" s="3" t="s">
        <v>393</v>
      </c>
      <c r="E441">
        <v>1</v>
      </c>
      <c r="J441">
        <v>5</v>
      </c>
    </row>
    <row r="442" spans="1:10">
      <c r="A442" s="3" t="s">
        <v>394</v>
      </c>
      <c r="E442">
        <v>1</v>
      </c>
      <c r="J442">
        <v>5</v>
      </c>
    </row>
    <row r="443" spans="1:10">
      <c r="A443" s="3" t="s">
        <v>395</v>
      </c>
      <c r="E443">
        <v>1</v>
      </c>
      <c r="J443">
        <v>5</v>
      </c>
    </row>
    <row r="444" spans="1:10">
      <c r="A444" s="3" t="s">
        <v>396</v>
      </c>
      <c r="E444">
        <v>1</v>
      </c>
      <c r="J444">
        <v>5</v>
      </c>
    </row>
    <row r="445" spans="1:10">
      <c r="A445" s="3" t="s">
        <v>397</v>
      </c>
      <c r="E445">
        <v>1</v>
      </c>
      <c r="J445">
        <v>5</v>
      </c>
    </row>
    <row r="446" spans="1:10">
      <c r="A446" s="3" t="s">
        <v>398</v>
      </c>
      <c r="E446">
        <v>1</v>
      </c>
      <c r="J446">
        <v>5</v>
      </c>
    </row>
    <row r="447" spans="1:10">
      <c r="A447" s="3" t="s">
        <v>399</v>
      </c>
      <c r="E447">
        <v>1</v>
      </c>
      <c r="J447">
        <v>5</v>
      </c>
    </row>
    <row r="448" spans="1:10">
      <c r="A448" s="3" t="s">
        <v>400</v>
      </c>
      <c r="E448">
        <v>1</v>
      </c>
      <c r="J448">
        <v>5</v>
      </c>
    </row>
    <row r="449" spans="1:46">
      <c r="A449" s="3" t="s">
        <v>401</v>
      </c>
      <c r="E449">
        <v>1</v>
      </c>
      <c r="J449">
        <v>5</v>
      </c>
    </row>
    <row r="450" spans="1:46">
      <c r="A450" s="3" t="s">
        <v>402</v>
      </c>
      <c r="E450">
        <v>1</v>
      </c>
      <c r="J450">
        <v>5</v>
      </c>
    </row>
    <row r="451" spans="1:46">
      <c r="A451" s="3" t="s">
        <v>403</v>
      </c>
      <c r="E451">
        <v>1</v>
      </c>
      <c r="J451">
        <v>5</v>
      </c>
    </row>
    <row r="452" spans="1:46">
      <c r="A452" s="3" t="s">
        <v>404</v>
      </c>
      <c r="E452">
        <v>1</v>
      </c>
      <c r="AT452">
        <v>3</v>
      </c>
    </row>
    <row r="453" spans="1:46">
      <c r="A453" s="3" t="s">
        <v>405</v>
      </c>
      <c r="E453">
        <v>1</v>
      </c>
      <c r="AT453">
        <v>3</v>
      </c>
    </row>
    <row r="454" spans="1:46">
      <c r="A454" s="3" t="s">
        <v>406</v>
      </c>
      <c r="E454">
        <v>1</v>
      </c>
      <c r="AT454">
        <v>3</v>
      </c>
    </row>
    <row r="455" spans="1:46">
      <c r="A455" s="3" t="s">
        <v>407</v>
      </c>
      <c r="E455">
        <v>1</v>
      </c>
      <c r="AT455">
        <v>3</v>
      </c>
    </row>
    <row r="456" spans="1:46">
      <c r="A456" s="3" t="s">
        <v>408</v>
      </c>
      <c r="E456">
        <v>1</v>
      </c>
      <c r="AT456">
        <v>3</v>
      </c>
    </row>
    <row r="457" spans="1:46">
      <c r="A457" s="3" t="s">
        <v>409</v>
      </c>
      <c r="E457">
        <v>1</v>
      </c>
      <c r="AT457">
        <v>3</v>
      </c>
    </row>
    <row r="458" spans="1:46">
      <c r="A458" s="3" t="s">
        <v>410</v>
      </c>
      <c r="E458">
        <v>1</v>
      </c>
      <c r="AT458">
        <v>3</v>
      </c>
    </row>
    <row r="459" spans="1:46">
      <c r="A459" s="3" t="s">
        <v>411</v>
      </c>
      <c r="E459">
        <v>1</v>
      </c>
      <c r="AT459">
        <v>3</v>
      </c>
    </row>
    <row r="460" spans="1:46">
      <c r="A460" s="3" t="s">
        <v>412</v>
      </c>
      <c r="E460">
        <v>1</v>
      </c>
      <c r="AT460">
        <v>3</v>
      </c>
    </row>
    <row r="461" spans="1:46">
      <c r="A461" s="3" t="s">
        <v>413</v>
      </c>
      <c r="E461">
        <v>1</v>
      </c>
      <c r="AT461">
        <v>3</v>
      </c>
    </row>
    <row r="462" spans="1:46">
      <c r="A462" s="3" t="s">
        <v>414</v>
      </c>
      <c r="E462">
        <v>1</v>
      </c>
      <c r="AT462">
        <v>3</v>
      </c>
    </row>
    <row r="463" spans="1:46">
      <c r="A463" s="3" t="s">
        <v>415</v>
      </c>
      <c r="E463">
        <v>1</v>
      </c>
      <c r="AT463">
        <v>3</v>
      </c>
    </row>
    <row r="464" spans="1:46">
      <c r="A464" s="3" t="s">
        <v>416</v>
      </c>
      <c r="E464">
        <v>1</v>
      </c>
      <c r="AT464">
        <v>3</v>
      </c>
    </row>
    <row r="465" spans="1:46">
      <c r="A465" s="3" t="s">
        <v>417</v>
      </c>
      <c r="E465">
        <v>1</v>
      </c>
      <c r="AT465">
        <v>3</v>
      </c>
    </row>
    <row r="466" spans="1:46">
      <c r="A466" s="3" t="s">
        <v>418</v>
      </c>
      <c r="E466">
        <v>1</v>
      </c>
      <c r="AT466">
        <v>3</v>
      </c>
    </row>
    <row r="467" spans="1:46">
      <c r="A467" s="3" t="s">
        <v>419</v>
      </c>
      <c r="E467">
        <v>1</v>
      </c>
      <c r="AT467">
        <v>3</v>
      </c>
    </row>
    <row r="468" spans="1:46">
      <c r="A468" s="3" t="s">
        <v>420</v>
      </c>
      <c r="E468">
        <v>1</v>
      </c>
      <c r="AT468">
        <v>3</v>
      </c>
    </row>
    <row r="469" spans="1:46">
      <c r="A469" s="3" t="s">
        <v>421</v>
      </c>
      <c r="E469">
        <v>1</v>
      </c>
      <c r="AT469">
        <v>3</v>
      </c>
    </row>
    <row r="470" spans="1:46">
      <c r="A470" s="3" t="s">
        <v>422</v>
      </c>
      <c r="E470">
        <v>1</v>
      </c>
      <c r="AT470">
        <v>3</v>
      </c>
    </row>
    <row r="471" spans="1:46">
      <c r="A471" s="3" t="s">
        <v>423</v>
      </c>
      <c r="E471">
        <v>1</v>
      </c>
      <c r="AT471">
        <v>3</v>
      </c>
    </row>
    <row r="472" spans="1:46">
      <c r="A472" s="3" t="s">
        <v>424</v>
      </c>
      <c r="E472">
        <v>1</v>
      </c>
      <c r="AT472">
        <v>3</v>
      </c>
    </row>
    <row r="473" spans="1:46">
      <c r="A473" s="3" t="s">
        <v>425</v>
      </c>
      <c r="E473">
        <v>1</v>
      </c>
      <c r="AT473">
        <v>3</v>
      </c>
    </row>
    <row r="474" spans="1:46">
      <c r="A474" s="3" t="s">
        <v>426</v>
      </c>
      <c r="E474">
        <v>1</v>
      </c>
      <c r="AT474">
        <v>3</v>
      </c>
    </row>
    <row r="475" spans="1:46">
      <c r="A475" s="3" t="s">
        <v>427</v>
      </c>
      <c r="E475">
        <v>1</v>
      </c>
      <c r="AT475">
        <v>3</v>
      </c>
    </row>
    <row r="476" spans="1:46">
      <c r="A476" s="3" t="s">
        <v>428</v>
      </c>
      <c r="E476">
        <v>1</v>
      </c>
      <c r="AT476">
        <v>3</v>
      </c>
    </row>
    <row r="477" spans="1:46">
      <c r="A477" s="3" t="s">
        <v>429</v>
      </c>
      <c r="E477">
        <v>1</v>
      </c>
      <c r="AT477">
        <v>3</v>
      </c>
    </row>
    <row r="478" spans="1:46">
      <c r="A478" s="3" t="s">
        <v>430</v>
      </c>
      <c r="E478">
        <v>1</v>
      </c>
      <c r="AT478">
        <v>3</v>
      </c>
    </row>
    <row r="479" spans="1:46">
      <c r="A479" s="3" t="s">
        <v>431</v>
      </c>
      <c r="E479">
        <v>1</v>
      </c>
      <c r="AT479">
        <v>3</v>
      </c>
    </row>
    <row r="480" spans="1:46">
      <c r="A480" s="3" t="s">
        <v>432</v>
      </c>
      <c r="E480">
        <v>1</v>
      </c>
      <c r="AT480">
        <v>3</v>
      </c>
    </row>
    <row r="481" spans="1:46">
      <c r="A481" s="3" t="s">
        <v>433</v>
      </c>
      <c r="E481">
        <v>1</v>
      </c>
      <c r="AT481">
        <v>3</v>
      </c>
    </row>
    <row r="482" spans="1:46">
      <c r="A482" s="3" t="s">
        <v>434</v>
      </c>
      <c r="E482">
        <v>1</v>
      </c>
      <c r="AT482">
        <v>3</v>
      </c>
    </row>
    <row r="483" spans="1:46">
      <c r="A483" s="3" t="s">
        <v>435</v>
      </c>
      <c r="E483">
        <v>1</v>
      </c>
      <c r="AT483">
        <v>3</v>
      </c>
    </row>
    <row r="484" spans="1:46">
      <c r="A484" s="3" t="s">
        <v>436</v>
      </c>
      <c r="E484">
        <v>1</v>
      </c>
      <c r="AT484">
        <v>3</v>
      </c>
    </row>
    <row r="485" spans="1:46">
      <c r="A485" s="3" t="s">
        <v>437</v>
      </c>
      <c r="E485">
        <v>1</v>
      </c>
      <c r="AT485">
        <v>3</v>
      </c>
    </row>
    <row r="486" spans="1:46">
      <c r="A486" s="3" t="s">
        <v>438</v>
      </c>
      <c r="E486">
        <v>1</v>
      </c>
      <c r="AT486">
        <v>3</v>
      </c>
    </row>
    <row r="487" spans="1:46">
      <c r="A487" s="3" t="s">
        <v>439</v>
      </c>
      <c r="E487">
        <v>1</v>
      </c>
      <c r="AJ487">
        <v>1</v>
      </c>
    </row>
    <row r="488" spans="1:46">
      <c r="A488" s="3" t="s">
        <v>440</v>
      </c>
      <c r="E488">
        <v>1</v>
      </c>
      <c r="AJ488">
        <v>1</v>
      </c>
    </row>
    <row r="489" spans="1:46">
      <c r="A489" s="3" t="s">
        <v>441</v>
      </c>
      <c r="E489">
        <v>1</v>
      </c>
      <c r="AJ489">
        <v>1</v>
      </c>
    </row>
    <row r="490" spans="1:46">
      <c r="A490" s="3" t="s">
        <v>442</v>
      </c>
      <c r="E490">
        <v>1</v>
      </c>
      <c r="AJ490">
        <v>1</v>
      </c>
    </row>
    <row r="491" spans="1:46">
      <c r="A491" s="3" t="s">
        <v>443</v>
      </c>
      <c r="E491">
        <v>1</v>
      </c>
      <c r="AJ491">
        <v>1</v>
      </c>
    </row>
    <row r="492" spans="1:46">
      <c r="A492" s="3" t="s">
        <v>444</v>
      </c>
      <c r="E492">
        <v>1</v>
      </c>
      <c r="AJ492">
        <v>1</v>
      </c>
    </row>
    <row r="493" spans="1:46">
      <c r="A493" s="3" t="s">
        <v>445</v>
      </c>
      <c r="E493">
        <v>1</v>
      </c>
      <c r="AJ493">
        <v>1</v>
      </c>
    </row>
    <row r="494" spans="1:46">
      <c r="A494" s="3" t="s">
        <v>446</v>
      </c>
      <c r="E494">
        <v>1</v>
      </c>
      <c r="AJ494">
        <v>1</v>
      </c>
    </row>
    <row r="495" spans="1:46">
      <c r="A495" s="3" t="s">
        <v>447</v>
      </c>
      <c r="E495">
        <v>1</v>
      </c>
      <c r="AJ495">
        <v>1</v>
      </c>
    </row>
    <row r="496" spans="1:46">
      <c r="A496" s="3" t="s">
        <v>448</v>
      </c>
      <c r="E496">
        <v>1</v>
      </c>
      <c r="AJ496">
        <v>1</v>
      </c>
    </row>
    <row r="497" spans="1:36">
      <c r="A497" s="3" t="s">
        <v>449</v>
      </c>
      <c r="E497">
        <v>1</v>
      </c>
      <c r="AJ497">
        <v>1</v>
      </c>
    </row>
    <row r="498" spans="1:36">
      <c r="A498" s="3" t="s">
        <v>450</v>
      </c>
      <c r="E498">
        <v>1</v>
      </c>
      <c r="AJ498">
        <v>1</v>
      </c>
    </row>
    <row r="499" spans="1:36">
      <c r="A499" s="3" t="s">
        <v>451</v>
      </c>
      <c r="E499">
        <v>1</v>
      </c>
      <c r="AJ499">
        <v>1</v>
      </c>
    </row>
    <row r="500" spans="1:36">
      <c r="A500" s="3" t="s">
        <v>452</v>
      </c>
      <c r="E500">
        <v>1</v>
      </c>
      <c r="AJ500">
        <v>1</v>
      </c>
    </row>
    <row r="501" spans="1:36">
      <c r="A501" s="3" t="s">
        <v>453</v>
      </c>
      <c r="E501">
        <v>1</v>
      </c>
      <c r="AJ501">
        <v>1</v>
      </c>
    </row>
    <row r="502" spans="1:36">
      <c r="A502" s="3" t="s">
        <v>454</v>
      </c>
      <c r="E502">
        <v>1</v>
      </c>
      <c r="AJ502">
        <v>1</v>
      </c>
    </row>
    <row r="503" spans="1:36">
      <c r="A503" s="3" t="s">
        <v>455</v>
      </c>
      <c r="E503">
        <v>1</v>
      </c>
      <c r="AJ503">
        <v>1</v>
      </c>
    </row>
    <row r="504" spans="1:36">
      <c r="A504" s="3" t="s">
        <v>456</v>
      </c>
      <c r="E504">
        <v>1</v>
      </c>
      <c r="AJ504">
        <v>1</v>
      </c>
    </row>
    <row r="505" spans="1:36">
      <c r="A505" s="3" t="s">
        <v>457</v>
      </c>
      <c r="E505">
        <v>1</v>
      </c>
      <c r="AJ505">
        <v>1</v>
      </c>
    </row>
    <row r="506" spans="1:36">
      <c r="A506" s="3" t="s">
        <v>458</v>
      </c>
      <c r="E506">
        <v>1</v>
      </c>
      <c r="AJ506">
        <v>1</v>
      </c>
    </row>
    <row r="507" spans="1:36">
      <c r="A507" s="3" t="s">
        <v>459</v>
      </c>
      <c r="E507">
        <v>1</v>
      </c>
      <c r="AJ507">
        <v>1</v>
      </c>
    </row>
    <row r="508" spans="1:36">
      <c r="A508" s="3" t="s">
        <v>460</v>
      </c>
      <c r="E508">
        <v>1</v>
      </c>
      <c r="AJ508">
        <v>1</v>
      </c>
    </row>
    <row r="509" spans="1:36">
      <c r="A509" s="3" t="s">
        <v>461</v>
      </c>
      <c r="E509">
        <v>1</v>
      </c>
      <c r="AJ509">
        <v>1</v>
      </c>
    </row>
    <row r="510" spans="1:36">
      <c r="A510" s="3" t="s">
        <v>462</v>
      </c>
      <c r="E510">
        <v>1</v>
      </c>
      <c r="AJ510">
        <v>1</v>
      </c>
    </row>
    <row r="511" spans="1:36">
      <c r="A511" s="3" t="s">
        <v>463</v>
      </c>
      <c r="E511">
        <v>1</v>
      </c>
      <c r="AJ511">
        <v>1</v>
      </c>
    </row>
    <row r="512" spans="1:36">
      <c r="A512" s="3" t="s">
        <v>464</v>
      </c>
      <c r="E512">
        <v>1</v>
      </c>
      <c r="AJ512">
        <v>1</v>
      </c>
    </row>
    <row r="513" spans="1:36">
      <c r="A513" s="3" t="s">
        <v>465</v>
      </c>
      <c r="E513">
        <v>1</v>
      </c>
      <c r="AJ513">
        <v>1</v>
      </c>
    </row>
    <row r="514" spans="1:36">
      <c r="A514" s="3" t="s">
        <v>466</v>
      </c>
      <c r="E514">
        <v>1</v>
      </c>
      <c r="J514">
        <v>6</v>
      </c>
    </row>
    <row r="515" spans="1:36">
      <c r="A515" s="3" t="s">
        <v>467</v>
      </c>
      <c r="E515">
        <v>1</v>
      </c>
      <c r="J515">
        <v>6</v>
      </c>
    </row>
    <row r="516" spans="1:36">
      <c r="A516" s="3" t="s">
        <v>468</v>
      </c>
      <c r="E516">
        <v>1</v>
      </c>
      <c r="J516">
        <v>6</v>
      </c>
    </row>
    <row r="517" spans="1:36">
      <c r="A517" s="3" t="s">
        <v>469</v>
      </c>
      <c r="E517">
        <v>1</v>
      </c>
      <c r="J517">
        <v>6</v>
      </c>
    </row>
    <row r="518" spans="1:36">
      <c r="A518" s="3" t="s">
        <v>470</v>
      </c>
      <c r="E518">
        <v>1</v>
      </c>
      <c r="J518">
        <v>6</v>
      </c>
    </row>
    <row r="519" spans="1:36">
      <c r="A519" s="3" t="s">
        <v>471</v>
      </c>
      <c r="E519">
        <v>1</v>
      </c>
      <c r="J519">
        <v>6</v>
      </c>
    </row>
    <row r="520" spans="1:36">
      <c r="A520" s="3" t="s">
        <v>472</v>
      </c>
      <c r="E520">
        <v>1</v>
      </c>
      <c r="J520">
        <v>6</v>
      </c>
    </row>
    <row r="521" spans="1:36">
      <c r="A521" s="3" t="s">
        <v>473</v>
      </c>
      <c r="E521">
        <v>1</v>
      </c>
      <c r="J521">
        <v>6</v>
      </c>
    </row>
    <row r="522" spans="1:36">
      <c r="A522" s="3" t="s">
        <v>474</v>
      </c>
      <c r="E522">
        <v>1</v>
      </c>
      <c r="J522">
        <v>6</v>
      </c>
    </row>
    <row r="523" spans="1:36">
      <c r="A523" s="3" t="s">
        <v>475</v>
      </c>
      <c r="E523">
        <v>1</v>
      </c>
      <c r="J523">
        <v>6</v>
      </c>
    </row>
    <row r="524" spans="1:36">
      <c r="A524" s="3" t="s">
        <v>476</v>
      </c>
      <c r="E524">
        <v>1</v>
      </c>
      <c r="J524">
        <v>6</v>
      </c>
    </row>
    <row r="525" spans="1:36">
      <c r="A525" s="3" t="s">
        <v>477</v>
      </c>
      <c r="E525">
        <v>1</v>
      </c>
      <c r="J525">
        <v>6</v>
      </c>
    </row>
    <row r="526" spans="1:36">
      <c r="A526" s="3" t="s">
        <v>478</v>
      </c>
      <c r="E526">
        <v>1</v>
      </c>
      <c r="J526">
        <v>6</v>
      </c>
    </row>
    <row r="527" spans="1:36">
      <c r="A527" s="3" t="s">
        <v>479</v>
      </c>
      <c r="E527">
        <v>1</v>
      </c>
      <c r="J527">
        <v>6</v>
      </c>
    </row>
    <row r="528" spans="1:36">
      <c r="A528" s="3" t="s">
        <v>480</v>
      </c>
      <c r="E528">
        <v>1</v>
      </c>
      <c r="J528">
        <v>6</v>
      </c>
    </row>
    <row r="529" spans="1:13">
      <c r="A529" s="3" t="s">
        <v>481</v>
      </c>
      <c r="E529">
        <v>1</v>
      </c>
      <c r="J529">
        <v>6</v>
      </c>
    </row>
    <row r="530" spans="1:13">
      <c r="A530" s="3" t="s">
        <v>482</v>
      </c>
      <c r="E530">
        <v>1</v>
      </c>
      <c r="J530">
        <v>6</v>
      </c>
    </row>
    <row r="531" spans="1:13">
      <c r="A531" s="3" t="s">
        <v>483</v>
      </c>
      <c r="E531">
        <v>1</v>
      </c>
      <c r="M531">
        <v>2</v>
      </c>
    </row>
    <row r="532" spans="1:13">
      <c r="A532" s="3" t="s">
        <v>484</v>
      </c>
      <c r="E532">
        <v>1</v>
      </c>
      <c r="M532">
        <v>2</v>
      </c>
    </row>
    <row r="533" spans="1:13">
      <c r="A533" s="3" t="s">
        <v>485</v>
      </c>
      <c r="E533">
        <v>1</v>
      </c>
      <c r="M533">
        <v>2</v>
      </c>
    </row>
    <row r="534" spans="1:13">
      <c r="A534" s="3" t="s">
        <v>486</v>
      </c>
      <c r="E534">
        <v>1</v>
      </c>
      <c r="M534">
        <v>2</v>
      </c>
    </row>
    <row r="535" spans="1:13">
      <c r="A535" s="3" t="s">
        <v>487</v>
      </c>
      <c r="E535">
        <v>1</v>
      </c>
      <c r="M535">
        <v>2</v>
      </c>
    </row>
    <row r="536" spans="1:13">
      <c r="A536" s="3" t="s">
        <v>488</v>
      </c>
      <c r="E536">
        <v>1</v>
      </c>
      <c r="M536">
        <v>2</v>
      </c>
    </row>
    <row r="537" spans="1:13">
      <c r="A537" s="3" t="s">
        <v>489</v>
      </c>
      <c r="E537">
        <v>1</v>
      </c>
      <c r="M537">
        <v>2</v>
      </c>
    </row>
    <row r="538" spans="1:13">
      <c r="A538" s="3" t="s">
        <v>490</v>
      </c>
      <c r="E538">
        <v>1</v>
      </c>
      <c r="M538">
        <v>2</v>
      </c>
    </row>
    <row r="539" spans="1:13">
      <c r="A539" s="3" t="s">
        <v>491</v>
      </c>
      <c r="E539">
        <v>1</v>
      </c>
      <c r="M539">
        <v>2</v>
      </c>
    </row>
    <row r="540" spans="1:13">
      <c r="A540" s="3" t="s">
        <v>492</v>
      </c>
      <c r="E540">
        <v>1</v>
      </c>
      <c r="M540">
        <v>2</v>
      </c>
    </row>
    <row r="541" spans="1:13">
      <c r="A541" s="3" t="s">
        <v>493</v>
      </c>
      <c r="E541">
        <v>1</v>
      </c>
      <c r="M541">
        <v>2</v>
      </c>
    </row>
    <row r="542" spans="1:13">
      <c r="A542" s="3" t="s">
        <v>494</v>
      </c>
      <c r="E542">
        <v>1</v>
      </c>
      <c r="M542">
        <v>2</v>
      </c>
    </row>
    <row r="543" spans="1:13">
      <c r="A543" s="3" t="s">
        <v>495</v>
      </c>
      <c r="E543">
        <v>1</v>
      </c>
      <c r="M543">
        <v>2</v>
      </c>
    </row>
    <row r="544" spans="1:13">
      <c r="A544" s="3" t="s">
        <v>496</v>
      </c>
      <c r="E544">
        <v>1</v>
      </c>
      <c r="M544">
        <v>2</v>
      </c>
    </row>
    <row r="545" spans="1:13">
      <c r="A545" s="3" t="s">
        <v>497</v>
      </c>
      <c r="E545">
        <v>1</v>
      </c>
      <c r="M545">
        <v>2</v>
      </c>
    </row>
    <row r="546" spans="1:13">
      <c r="A546" s="3" t="s">
        <v>498</v>
      </c>
      <c r="E546">
        <v>1</v>
      </c>
      <c r="M546">
        <v>2</v>
      </c>
    </row>
    <row r="547" spans="1:13">
      <c r="A547" s="3" t="s">
        <v>499</v>
      </c>
      <c r="E547">
        <v>1</v>
      </c>
      <c r="M547">
        <v>2</v>
      </c>
    </row>
    <row r="548" spans="1:13">
      <c r="A548" s="3" t="s">
        <v>500</v>
      </c>
      <c r="E548">
        <v>1</v>
      </c>
      <c r="M548">
        <v>2</v>
      </c>
    </row>
    <row r="549" spans="1:13">
      <c r="A549" s="3" t="s">
        <v>501</v>
      </c>
      <c r="E549">
        <v>1</v>
      </c>
      <c r="M549">
        <v>2</v>
      </c>
    </row>
    <row r="550" spans="1:13">
      <c r="A550" s="3" t="s">
        <v>502</v>
      </c>
      <c r="E550">
        <v>1</v>
      </c>
      <c r="M550">
        <v>2</v>
      </c>
    </row>
    <row r="551" spans="1:13">
      <c r="A551" s="3" t="s">
        <v>503</v>
      </c>
      <c r="E551">
        <v>1</v>
      </c>
      <c r="M551">
        <v>2</v>
      </c>
    </row>
    <row r="552" spans="1:13">
      <c r="A552" s="3" t="s">
        <v>504</v>
      </c>
      <c r="E552">
        <v>1</v>
      </c>
      <c r="M552">
        <v>2</v>
      </c>
    </row>
    <row r="553" spans="1:13">
      <c r="A553" s="3" t="s">
        <v>505</v>
      </c>
      <c r="E553">
        <v>1</v>
      </c>
      <c r="M553">
        <v>2</v>
      </c>
    </row>
    <row r="554" spans="1:13">
      <c r="A554" s="3" t="s">
        <v>506</v>
      </c>
      <c r="E554">
        <v>1</v>
      </c>
      <c r="M554">
        <v>2</v>
      </c>
    </row>
    <row r="555" spans="1:13">
      <c r="A555" s="3" t="s">
        <v>507</v>
      </c>
      <c r="E555">
        <v>1</v>
      </c>
      <c r="M555">
        <v>2</v>
      </c>
    </row>
    <row r="556" spans="1:13">
      <c r="A556" s="3" t="s">
        <v>508</v>
      </c>
      <c r="E556">
        <v>1</v>
      </c>
      <c r="M556">
        <v>2</v>
      </c>
    </row>
    <row r="557" spans="1:13">
      <c r="A557" s="3" t="s">
        <v>509</v>
      </c>
      <c r="E557">
        <v>1</v>
      </c>
      <c r="M557">
        <v>2</v>
      </c>
    </row>
    <row r="558" spans="1:13">
      <c r="A558" s="3" t="s">
        <v>510</v>
      </c>
      <c r="E558">
        <v>1</v>
      </c>
      <c r="M558">
        <v>2</v>
      </c>
    </row>
    <row r="559" spans="1:13">
      <c r="A559" s="3" t="s">
        <v>511</v>
      </c>
      <c r="E559">
        <v>1</v>
      </c>
      <c r="M559">
        <v>2</v>
      </c>
    </row>
    <row r="560" spans="1:13">
      <c r="A560" s="3" t="s">
        <v>512</v>
      </c>
      <c r="E560">
        <v>1</v>
      </c>
      <c r="M560">
        <v>2</v>
      </c>
    </row>
    <row r="561" spans="1:13">
      <c r="A561" s="3" t="s">
        <v>513</v>
      </c>
      <c r="E561">
        <v>1</v>
      </c>
      <c r="M561">
        <v>2</v>
      </c>
    </row>
    <row r="562" spans="1:13">
      <c r="A562" s="3" t="s">
        <v>514</v>
      </c>
      <c r="E562">
        <v>1</v>
      </c>
      <c r="M562">
        <v>2</v>
      </c>
    </row>
    <row r="563" spans="1:13">
      <c r="A563" s="3" t="s">
        <v>515</v>
      </c>
      <c r="E563">
        <v>1</v>
      </c>
      <c r="M563">
        <v>2</v>
      </c>
    </row>
    <row r="564" spans="1:13">
      <c r="A564" s="3" t="s">
        <v>516</v>
      </c>
      <c r="E564">
        <v>1</v>
      </c>
      <c r="M564">
        <v>2</v>
      </c>
    </row>
    <row r="565" spans="1:13">
      <c r="A565" s="3" t="s">
        <v>517</v>
      </c>
      <c r="E565">
        <v>1</v>
      </c>
      <c r="M565">
        <v>2</v>
      </c>
    </row>
    <row r="566" spans="1:13">
      <c r="A566" s="3" t="s">
        <v>518</v>
      </c>
      <c r="E566">
        <v>1</v>
      </c>
      <c r="M566">
        <v>2</v>
      </c>
    </row>
    <row r="567" spans="1:13">
      <c r="A567" s="3" t="s">
        <v>519</v>
      </c>
      <c r="E567">
        <v>1</v>
      </c>
      <c r="M567">
        <v>2</v>
      </c>
    </row>
    <row r="568" spans="1:13">
      <c r="A568" s="3" t="s">
        <v>520</v>
      </c>
      <c r="E568">
        <v>1</v>
      </c>
      <c r="M568">
        <v>2</v>
      </c>
    </row>
    <row r="569" spans="1:13">
      <c r="A569" s="3" t="s">
        <v>521</v>
      </c>
      <c r="E569">
        <v>1</v>
      </c>
      <c r="M569">
        <v>2</v>
      </c>
    </row>
    <row r="570" spans="1:13">
      <c r="A570" s="3" t="s">
        <v>522</v>
      </c>
      <c r="E570">
        <v>1</v>
      </c>
      <c r="M570">
        <v>2</v>
      </c>
    </row>
    <row r="571" spans="1:13">
      <c r="A571" s="3" t="s">
        <v>523</v>
      </c>
      <c r="E571">
        <v>1</v>
      </c>
      <c r="M571">
        <v>2</v>
      </c>
    </row>
    <row r="572" spans="1:13">
      <c r="A572" s="3" t="s">
        <v>524</v>
      </c>
      <c r="E572">
        <v>1</v>
      </c>
      <c r="M572">
        <v>2</v>
      </c>
    </row>
    <row r="573" spans="1:13">
      <c r="A573" s="3" t="s">
        <v>525</v>
      </c>
      <c r="E573">
        <v>1</v>
      </c>
      <c r="M573">
        <v>2</v>
      </c>
    </row>
    <row r="574" spans="1:13">
      <c r="A574" s="3" t="s">
        <v>526</v>
      </c>
      <c r="E574">
        <v>1</v>
      </c>
      <c r="M574">
        <v>2</v>
      </c>
    </row>
    <row r="575" spans="1:13">
      <c r="A575" s="3" t="s">
        <v>527</v>
      </c>
      <c r="E575">
        <v>1</v>
      </c>
      <c r="M575">
        <v>2</v>
      </c>
    </row>
    <row r="576" spans="1:13">
      <c r="A576" s="3" t="s">
        <v>528</v>
      </c>
      <c r="E576">
        <v>1</v>
      </c>
      <c r="M576">
        <v>2</v>
      </c>
    </row>
    <row r="577" spans="1:46">
      <c r="A577" s="3" t="s">
        <v>529</v>
      </c>
      <c r="E577">
        <v>1</v>
      </c>
      <c r="M577">
        <v>2</v>
      </c>
    </row>
    <row r="578" spans="1:46">
      <c r="A578" s="3" t="s">
        <v>530</v>
      </c>
      <c r="E578">
        <v>1</v>
      </c>
      <c r="M578">
        <v>2</v>
      </c>
    </row>
    <row r="579" spans="1:46">
      <c r="A579" s="3" t="s">
        <v>531</v>
      </c>
      <c r="E579">
        <v>1</v>
      </c>
      <c r="M579">
        <v>2</v>
      </c>
    </row>
    <row r="580" spans="1:46">
      <c r="A580" s="3" t="s">
        <v>532</v>
      </c>
      <c r="E580">
        <v>1</v>
      </c>
      <c r="M580">
        <v>2</v>
      </c>
    </row>
    <row r="581" spans="1:46">
      <c r="A581" s="3" t="s">
        <v>533</v>
      </c>
      <c r="E581">
        <v>1</v>
      </c>
      <c r="AT581">
        <v>4</v>
      </c>
    </row>
    <row r="582" spans="1:46">
      <c r="A582" s="3" t="s">
        <v>534</v>
      </c>
      <c r="E582">
        <v>1</v>
      </c>
      <c r="AT582">
        <v>4</v>
      </c>
    </row>
    <row r="583" spans="1:46">
      <c r="A583" s="3" t="s">
        <v>535</v>
      </c>
      <c r="E583">
        <v>1</v>
      </c>
      <c r="AT583">
        <v>4</v>
      </c>
    </row>
    <row r="584" spans="1:46">
      <c r="A584" s="3" t="s">
        <v>536</v>
      </c>
      <c r="E584">
        <v>1</v>
      </c>
      <c r="AT584">
        <v>4</v>
      </c>
    </row>
    <row r="585" spans="1:46">
      <c r="A585" s="3" t="s">
        <v>537</v>
      </c>
      <c r="E585">
        <v>1</v>
      </c>
      <c r="AT585">
        <v>4</v>
      </c>
    </row>
    <row r="586" spans="1:46">
      <c r="A586" s="3" t="s">
        <v>538</v>
      </c>
      <c r="E586">
        <v>1</v>
      </c>
      <c r="AT586">
        <v>4</v>
      </c>
    </row>
    <row r="587" spans="1:46">
      <c r="A587" s="3" t="s">
        <v>539</v>
      </c>
      <c r="E587">
        <v>1</v>
      </c>
      <c r="AT587">
        <v>4</v>
      </c>
    </row>
    <row r="588" spans="1:46">
      <c r="A588" s="3" t="s">
        <v>540</v>
      </c>
      <c r="E588">
        <v>1</v>
      </c>
      <c r="AT588">
        <v>4</v>
      </c>
    </row>
    <row r="589" spans="1:46">
      <c r="A589" s="3" t="s">
        <v>541</v>
      </c>
      <c r="E589">
        <v>1</v>
      </c>
      <c r="AT589">
        <v>4</v>
      </c>
    </row>
    <row r="590" spans="1:46">
      <c r="A590" s="3" t="s">
        <v>542</v>
      </c>
      <c r="E590">
        <v>1</v>
      </c>
      <c r="J590">
        <v>7</v>
      </c>
    </row>
    <row r="591" spans="1:46">
      <c r="A591" s="3" t="s">
        <v>543</v>
      </c>
      <c r="E591">
        <v>1</v>
      </c>
      <c r="J591">
        <v>7</v>
      </c>
    </row>
    <row r="592" spans="1:46">
      <c r="A592" s="3" t="s">
        <v>544</v>
      </c>
      <c r="E592">
        <v>1</v>
      </c>
      <c r="J592">
        <v>7</v>
      </c>
    </row>
    <row r="593" spans="1:46">
      <c r="A593" s="3" t="s">
        <v>545</v>
      </c>
      <c r="E593">
        <v>1</v>
      </c>
      <c r="J593">
        <v>7</v>
      </c>
    </row>
    <row r="594" spans="1:46">
      <c r="A594" s="3" t="s">
        <v>546</v>
      </c>
      <c r="E594">
        <v>1</v>
      </c>
      <c r="J594">
        <v>7</v>
      </c>
    </row>
    <row r="595" spans="1:46">
      <c r="A595" s="3" t="s">
        <v>547</v>
      </c>
      <c r="E595">
        <v>1</v>
      </c>
      <c r="J595">
        <v>7</v>
      </c>
    </row>
    <row r="596" spans="1:46">
      <c r="A596" s="3" t="s">
        <v>548</v>
      </c>
      <c r="E596">
        <v>1</v>
      </c>
      <c r="J596">
        <v>7</v>
      </c>
    </row>
    <row r="597" spans="1:46">
      <c r="A597" s="3" t="s">
        <v>549</v>
      </c>
      <c r="E597">
        <v>1</v>
      </c>
      <c r="AT597">
        <v>5</v>
      </c>
    </row>
    <row r="598" spans="1:46">
      <c r="A598" s="3" t="s">
        <v>550</v>
      </c>
      <c r="E598">
        <v>1</v>
      </c>
      <c r="AT598">
        <v>5</v>
      </c>
    </row>
    <row r="599" spans="1:46">
      <c r="A599" s="3" t="s">
        <v>551</v>
      </c>
      <c r="E599">
        <v>1</v>
      </c>
      <c r="AT599">
        <v>5</v>
      </c>
    </row>
    <row r="600" spans="1:46">
      <c r="A600" s="3" t="s">
        <v>552</v>
      </c>
      <c r="E600">
        <v>1</v>
      </c>
      <c r="AT600">
        <v>5</v>
      </c>
    </row>
    <row r="601" spans="1:46">
      <c r="A601" s="3" t="s">
        <v>553</v>
      </c>
      <c r="E601">
        <v>1</v>
      </c>
      <c r="AT601">
        <v>5</v>
      </c>
    </row>
    <row r="602" spans="1:46">
      <c r="A602" s="3" t="s">
        <v>554</v>
      </c>
      <c r="E602">
        <v>1</v>
      </c>
      <c r="AT602">
        <v>5</v>
      </c>
    </row>
    <row r="603" spans="1:46">
      <c r="A603" s="3" t="s">
        <v>555</v>
      </c>
      <c r="E603">
        <v>1</v>
      </c>
      <c r="AT603">
        <v>5</v>
      </c>
    </row>
    <row r="604" spans="1:46">
      <c r="A604" s="3" t="s">
        <v>556</v>
      </c>
      <c r="E604">
        <v>1</v>
      </c>
      <c r="AT604">
        <v>5</v>
      </c>
    </row>
    <row r="605" spans="1:46">
      <c r="A605" s="3" t="s">
        <v>557</v>
      </c>
      <c r="E605">
        <v>1</v>
      </c>
      <c r="AT605">
        <v>5</v>
      </c>
    </row>
    <row r="606" spans="1:46">
      <c r="A606" s="3" t="s">
        <v>558</v>
      </c>
      <c r="E606">
        <v>1</v>
      </c>
      <c r="AT606">
        <v>5</v>
      </c>
    </row>
    <row r="607" spans="1:46">
      <c r="A607" s="3" t="s">
        <v>559</v>
      </c>
      <c r="E607">
        <v>1</v>
      </c>
      <c r="AT607">
        <v>5</v>
      </c>
    </row>
    <row r="608" spans="1:46">
      <c r="A608" s="3" t="s">
        <v>560</v>
      </c>
      <c r="E608">
        <v>1</v>
      </c>
      <c r="AT608">
        <v>5</v>
      </c>
    </row>
    <row r="609" spans="1:46">
      <c r="A609" s="3" t="s">
        <v>561</v>
      </c>
      <c r="E609">
        <v>1</v>
      </c>
      <c r="AT609">
        <v>5</v>
      </c>
    </row>
    <row r="610" spans="1:46">
      <c r="A610" s="3" t="s">
        <v>562</v>
      </c>
      <c r="E610">
        <v>1</v>
      </c>
      <c r="AT610">
        <v>5</v>
      </c>
    </row>
    <row r="611" spans="1:46">
      <c r="A611" s="3" t="s">
        <v>563</v>
      </c>
      <c r="E611">
        <v>1</v>
      </c>
      <c r="AT611">
        <v>5</v>
      </c>
    </row>
    <row r="612" spans="1:46">
      <c r="A612" s="3" t="s">
        <v>564</v>
      </c>
      <c r="E612">
        <v>1</v>
      </c>
      <c r="AT612">
        <v>5</v>
      </c>
    </row>
    <row r="613" spans="1:46">
      <c r="A613" s="3" t="s">
        <v>565</v>
      </c>
      <c r="E613">
        <v>1</v>
      </c>
      <c r="AT613">
        <v>5</v>
      </c>
    </row>
    <row r="614" spans="1:46">
      <c r="A614" s="3" t="s">
        <v>566</v>
      </c>
      <c r="E614">
        <v>1</v>
      </c>
      <c r="AT614">
        <v>5</v>
      </c>
    </row>
    <row r="615" spans="1:46">
      <c r="A615" s="3" t="s">
        <v>567</v>
      </c>
      <c r="E615">
        <v>1</v>
      </c>
      <c r="AT615">
        <v>5</v>
      </c>
    </row>
    <row r="616" spans="1:46">
      <c r="A616" s="3" t="s">
        <v>568</v>
      </c>
      <c r="E616">
        <v>1</v>
      </c>
      <c r="AT616">
        <v>5</v>
      </c>
    </row>
    <row r="617" spans="1:46">
      <c r="A617" s="3" t="s">
        <v>569</v>
      </c>
      <c r="E617">
        <v>1</v>
      </c>
      <c r="AT617">
        <v>5</v>
      </c>
    </row>
    <row r="618" spans="1:46">
      <c r="A618" s="3" t="s">
        <v>570</v>
      </c>
      <c r="E618">
        <v>1</v>
      </c>
      <c r="AT618">
        <v>5</v>
      </c>
    </row>
    <row r="619" spans="1:46">
      <c r="A619" s="3" t="s">
        <v>571</v>
      </c>
      <c r="E619">
        <v>1</v>
      </c>
      <c r="AT619">
        <v>5</v>
      </c>
    </row>
    <row r="620" spans="1:46">
      <c r="A620" s="3" t="s">
        <v>572</v>
      </c>
      <c r="E620">
        <v>1</v>
      </c>
      <c r="AT620">
        <v>5</v>
      </c>
    </row>
    <row r="621" spans="1:46">
      <c r="A621" s="3" t="s">
        <v>573</v>
      </c>
      <c r="E621">
        <v>1</v>
      </c>
      <c r="AT621">
        <v>5</v>
      </c>
    </row>
    <row r="622" spans="1:46">
      <c r="A622" s="3" t="s">
        <v>574</v>
      </c>
      <c r="E622">
        <v>1</v>
      </c>
      <c r="AT622">
        <v>5</v>
      </c>
    </row>
    <row r="623" spans="1:46">
      <c r="A623" s="3" t="s">
        <v>575</v>
      </c>
      <c r="E623">
        <v>1</v>
      </c>
      <c r="AT623">
        <v>5</v>
      </c>
    </row>
    <row r="624" spans="1:46">
      <c r="A624" s="3" t="s">
        <v>576</v>
      </c>
      <c r="E624">
        <v>1</v>
      </c>
      <c r="AT624">
        <v>5</v>
      </c>
    </row>
    <row r="625" spans="1:46">
      <c r="A625" s="3" t="s">
        <v>577</v>
      </c>
      <c r="E625">
        <v>1</v>
      </c>
      <c r="AT625">
        <v>5</v>
      </c>
    </row>
    <row r="626" spans="1:46">
      <c r="A626" s="3" t="s">
        <v>578</v>
      </c>
      <c r="E626">
        <v>1</v>
      </c>
      <c r="AT626">
        <v>5</v>
      </c>
    </row>
    <row r="627" spans="1:46">
      <c r="A627" s="3" t="s">
        <v>579</v>
      </c>
      <c r="E627">
        <v>1</v>
      </c>
      <c r="AT627">
        <v>5</v>
      </c>
    </row>
    <row r="628" spans="1:46">
      <c r="A628" s="3" t="s">
        <v>580</v>
      </c>
      <c r="E628">
        <v>1</v>
      </c>
      <c r="AT628">
        <v>5</v>
      </c>
    </row>
    <row r="629" spans="1:46">
      <c r="A629" s="3" t="s">
        <v>581</v>
      </c>
      <c r="E629">
        <v>1</v>
      </c>
      <c r="AT629">
        <v>5</v>
      </c>
    </row>
    <row r="630" spans="1:46">
      <c r="A630" s="3" t="s">
        <v>582</v>
      </c>
      <c r="E630">
        <v>1</v>
      </c>
      <c r="AT630">
        <v>5</v>
      </c>
    </row>
    <row r="631" spans="1:46">
      <c r="A631" s="3" t="s">
        <v>583</v>
      </c>
      <c r="E631">
        <v>1</v>
      </c>
      <c r="AT631">
        <v>5</v>
      </c>
    </row>
    <row r="632" spans="1:46">
      <c r="A632" s="3" t="s">
        <v>584</v>
      </c>
      <c r="E632">
        <v>1</v>
      </c>
      <c r="AT632">
        <v>5</v>
      </c>
    </row>
    <row r="633" spans="1:46">
      <c r="A633" s="3" t="s">
        <v>585</v>
      </c>
      <c r="E633">
        <v>1</v>
      </c>
      <c r="AT633">
        <v>5</v>
      </c>
    </row>
    <row r="634" spans="1:46">
      <c r="A634" s="3" t="s">
        <v>586</v>
      </c>
      <c r="E634">
        <v>1</v>
      </c>
      <c r="AT634">
        <v>5</v>
      </c>
    </row>
    <row r="635" spans="1:46">
      <c r="A635" s="3" t="s">
        <v>587</v>
      </c>
      <c r="E635">
        <v>1</v>
      </c>
      <c r="AT635">
        <v>5</v>
      </c>
    </row>
    <row r="636" spans="1:46">
      <c r="A636" s="3" t="s">
        <v>588</v>
      </c>
      <c r="E636">
        <v>1</v>
      </c>
      <c r="AT636">
        <v>5</v>
      </c>
    </row>
    <row r="637" spans="1:46">
      <c r="A637" s="3" t="s">
        <v>589</v>
      </c>
      <c r="E637">
        <v>1</v>
      </c>
      <c r="AT637">
        <v>5</v>
      </c>
    </row>
    <row r="638" spans="1:46">
      <c r="A638" s="3" t="s">
        <v>590</v>
      </c>
      <c r="E638">
        <v>1</v>
      </c>
      <c r="AT638">
        <v>5</v>
      </c>
    </row>
    <row r="639" spans="1:46">
      <c r="A639" s="3" t="s">
        <v>591</v>
      </c>
      <c r="E639">
        <v>1</v>
      </c>
      <c r="AT639">
        <v>5</v>
      </c>
    </row>
    <row r="640" spans="1:46">
      <c r="A640" s="3" t="s">
        <v>592</v>
      </c>
      <c r="E640">
        <v>1</v>
      </c>
      <c r="AT640">
        <v>5</v>
      </c>
    </row>
    <row r="641" spans="1:46">
      <c r="A641" s="3" t="s">
        <v>593</v>
      </c>
      <c r="E641">
        <v>1</v>
      </c>
      <c r="AT641">
        <v>5</v>
      </c>
    </row>
    <row r="642" spans="1:46">
      <c r="A642" s="3" t="s">
        <v>594</v>
      </c>
      <c r="E642">
        <v>1</v>
      </c>
      <c r="AT642">
        <v>5</v>
      </c>
    </row>
    <row r="643" spans="1:46">
      <c r="A643" s="3" t="s">
        <v>595</v>
      </c>
      <c r="E643">
        <v>1</v>
      </c>
      <c r="AT643">
        <v>5</v>
      </c>
    </row>
    <row r="644" spans="1:46">
      <c r="A644" s="3" t="s">
        <v>596</v>
      </c>
      <c r="E644">
        <v>1</v>
      </c>
      <c r="AT644">
        <v>5</v>
      </c>
    </row>
    <row r="645" spans="1:46">
      <c r="A645" s="3" t="s">
        <v>597</v>
      </c>
      <c r="E645">
        <v>1</v>
      </c>
      <c r="AT645">
        <v>5</v>
      </c>
    </row>
    <row r="646" spans="1:46">
      <c r="A646" s="3" t="s">
        <v>598</v>
      </c>
      <c r="E646">
        <v>1</v>
      </c>
      <c r="J646">
        <v>8</v>
      </c>
    </row>
    <row r="647" spans="1:46">
      <c r="A647" s="3" t="s">
        <v>599</v>
      </c>
      <c r="E647">
        <v>1</v>
      </c>
      <c r="J647">
        <v>8</v>
      </c>
    </row>
    <row r="648" spans="1:46">
      <c r="A648" s="3" t="s">
        <v>600</v>
      </c>
      <c r="E648">
        <v>1</v>
      </c>
      <c r="J648">
        <v>8</v>
      </c>
    </row>
    <row r="649" spans="1:46">
      <c r="A649" s="3" t="s">
        <v>601</v>
      </c>
      <c r="E649">
        <v>1</v>
      </c>
      <c r="J649">
        <v>8</v>
      </c>
    </row>
    <row r="650" spans="1:46">
      <c r="A650" s="3" t="s">
        <v>602</v>
      </c>
      <c r="E650">
        <v>1</v>
      </c>
      <c r="J650">
        <v>8</v>
      </c>
    </row>
    <row r="651" spans="1:46">
      <c r="A651" s="3" t="s">
        <v>603</v>
      </c>
      <c r="E651">
        <v>1</v>
      </c>
      <c r="J651">
        <v>8</v>
      </c>
    </row>
    <row r="652" spans="1:46">
      <c r="A652" s="3" t="s">
        <v>604</v>
      </c>
      <c r="E652">
        <v>1</v>
      </c>
      <c r="J652">
        <v>8</v>
      </c>
    </row>
    <row r="653" spans="1:46">
      <c r="A653" s="3" t="s">
        <v>605</v>
      </c>
      <c r="E653">
        <v>1</v>
      </c>
      <c r="J653">
        <v>8</v>
      </c>
    </row>
    <row r="654" spans="1:46">
      <c r="A654" s="3" t="s">
        <v>606</v>
      </c>
      <c r="E654">
        <v>1</v>
      </c>
      <c r="J654">
        <v>8</v>
      </c>
    </row>
    <row r="655" spans="1:46">
      <c r="A655" s="3" t="s">
        <v>607</v>
      </c>
      <c r="E655">
        <v>1</v>
      </c>
      <c r="J655">
        <v>8</v>
      </c>
    </row>
    <row r="656" spans="1:46">
      <c r="A656" s="3" t="s">
        <v>608</v>
      </c>
      <c r="E656">
        <v>1</v>
      </c>
      <c r="J656">
        <v>8</v>
      </c>
    </row>
    <row r="657" spans="1:46">
      <c r="A657" s="3" t="s">
        <v>609</v>
      </c>
      <c r="E657">
        <v>1</v>
      </c>
      <c r="J657">
        <v>8</v>
      </c>
    </row>
    <row r="658" spans="1:46">
      <c r="A658" s="3" t="s">
        <v>610</v>
      </c>
      <c r="E658">
        <v>1</v>
      </c>
      <c r="J658">
        <v>8</v>
      </c>
    </row>
    <row r="659" spans="1:46">
      <c r="A659" s="3" t="s">
        <v>611</v>
      </c>
      <c r="D659">
        <v>1</v>
      </c>
      <c r="E659">
        <v>1</v>
      </c>
      <c r="J659">
        <v>8</v>
      </c>
    </row>
    <row r="660" spans="1:46">
      <c r="A660" s="3" t="s">
        <v>612</v>
      </c>
      <c r="D660">
        <v>1</v>
      </c>
      <c r="E660">
        <v>1</v>
      </c>
      <c r="AT660">
        <v>6</v>
      </c>
    </row>
    <row r="661" spans="1:46">
      <c r="A661" s="3" t="s">
        <v>613</v>
      </c>
      <c r="D661">
        <v>1</v>
      </c>
      <c r="E661">
        <v>1</v>
      </c>
      <c r="AT661">
        <v>6</v>
      </c>
    </row>
    <row r="662" spans="1:46">
      <c r="A662" s="3" t="s">
        <v>614</v>
      </c>
      <c r="D662">
        <v>1</v>
      </c>
      <c r="E662">
        <v>1</v>
      </c>
      <c r="AT662">
        <v>6</v>
      </c>
    </row>
    <row r="663" spans="1:46">
      <c r="A663" s="3" t="s">
        <v>615</v>
      </c>
      <c r="D663">
        <v>1</v>
      </c>
      <c r="E663">
        <v>1</v>
      </c>
      <c r="AT663">
        <v>6</v>
      </c>
    </row>
    <row r="664" spans="1:46">
      <c r="A664" s="3" t="s">
        <v>616</v>
      </c>
      <c r="D664">
        <v>1</v>
      </c>
      <c r="E664">
        <v>1</v>
      </c>
      <c r="AT664">
        <v>6</v>
      </c>
    </row>
    <row r="665" spans="1:46">
      <c r="A665" s="3" t="s">
        <v>617</v>
      </c>
      <c r="D665">
        <v>1</v>
      </c>
      <c r="E665">
        <v>1</v>
      </c>
      <c r="AT665">
        <v>6</v>
      </c>
    </row>
    <row r="666" spans="1:46">
      <c r="A666" s="3" t="s">
        <v>618</v>
      </c>
      <c r="D666">
        <v>1</v>
      </c>
      <c r="E666">
        <v>1</v>
      </c>
      <c r="AT666">
        <v>6</v>
      </c>
    </row>
    <row r="667" spans="1:46">
      <c r="A667" s="3" t="s">
        <v>619</v>
      </c>
      <c r="D667">
        <v>1</v>
      </c>
      <c r="E667">
        <v>1</v>
      </c>
      <c r="AT667">
        <v>6</v>
      </c>
    </row>
    <row r="668" spans="1:46">
      <c r="A668" s="3" t="s">
        <v>620</v>
      </c>
      <c r="D668">
        <v>1</v>
      </c>
      <c r="E668">
        <v>1</v>
      </c>
      <c r="AT668">
        <v>6</v>
      </c>
    </row>
    <row r="669" spans="1:46">
      <c r="A669" s="3" t="s">
        <v>621</v>
      </c>
      <c r="D669">
        <v>1</v>
      </c>
      <c r="E669">
        <v>1</v>
      </c>
      <c r="AT669">
        <v>6</v>
      </c>
    </row>
    <row r="670" spans="1:46">
      <c r="A670" s="3" t="s">
        <v>622</v>
      </c>
      <c r="D670">
        <v>1</v>
      </c>
      <c r="E670">
        <v>1</v>
      </c>
      <c r="AT670">
        <v>6</v>
      </c>
    </row>
    <row r="671" spans="1:46">
      <c r="A671" s="3" t="s">
        <v>623</v>
      </c>
      <c r="D671">
        <v>1</v>
      </c>
      <c r="E671">
        <v>1</v>
      </c>
      <c r="AT671">
        <v>6</v>
      </c>
    </row>
    <row r="672" spans="1:46">
      <c r="A672" s="3" t="s">
        <v>624</v>
      </c>
      <c r="D672">
        <v>1</v>
      </c>
      <c r="E672">
        <v>1</v>
      </c>
      <c r="AT672">
        <v>6</v>
      </c>
    </row>
    <row r="673" spans="1:46">
      <c r="A673" s="3" t="s">
        <v>625</v>
      </c>
      <c r="D673">
        <v>1</v>
      </c>
      <c r="E673">
        <v>1</v>
      </c>
      <c r="AT673">
        <v>6</v>
      </c>
    </row>
    <row r="674" spans="1:46">
      <c r="A674" s="3" t="s">
        <v>626</v>
      </c>
      <c r="D674">
        <v>1</v>
      </c>
      <c r="E674">
        <v>1</v>
      </c>
      <c r="AT674">
        <v>6</v>
      </c>
    </row>
    <row r="675" spans="1:46">
      <c r="A675" s="3" t="s">
        <v>627</v>
      </c>
      <c r="D675">
        <v>1</v>
      </c>
      <c r="E675">
        <v>1</v>
      </c>
      <c r="AT675">
        <v>6</v>
      </c>
    </row>
    <row r="676" spans="1:46">
      <c r="A676" s="3" t="s">
        <v>628</v>
      </c>
      <c r="D676">
        <v>1</v>
      </c>
      <c r="E676">
        <v>1</v>
      </c>
      <c r="AT676">
        <v>6</v>
      </c>
    </row>
    <row r="677" spans="1:46">
      <c r="A677" s="3" t="s">
        <v>629</v>
      </c>
      <c r="D677">
        <v>1</v>
      </c>
      <c r="E677">
        <v>1</v>
      </c>
      <c r="AT677">
        <v>6</v>
      </c>
    </row>
    <row r="678" spans="1:46">
      <c r="A678" s="3" t="s">
        <v>630</v>
      </c>
      <c r="D678">
        <v>1</v>
      </c>
      <c r="E678">
        <v>1</v>
      </c>
      <c r="AT678">
        <v>6</v>
      </c>
    </row>
    <row r="679" spans="1:46">
      <c r="A679" s="3" t="s">
        <v>631</v>
      </c>
      <c r="D679">
        <v>1</v>
      </c>
      <c r="E679">
        <v>1</v>
      </c>
      <c r="AT679">
        <v>6</v>
      </c>
    </row>
    <row r="680" spans="1:46">
      <c r="A680" s="3" t="s">
        <v>632</v>
      </c>
      <c r="D680">
        <v>1</v>
      </c>
      <c r="E680">
        <v>1</v>
      </c>
      <c r="AT680">
        <v>6</v>
      </c>
    </row>
    <row r="681" spans="1:46">
      <c r="A681" s="3" t="s">
        <v>633</v>
      </c>
      <c r="D681">
        <v>1</v>
      </c>
      <c r="E681">
        <v>1</v>
      </c>
      <c r="AT681">
        <v>6</v>
      </c>
    </row>
    <row r="682" spans="1:46">
      <c r="A682" s="3" t="s">
        <v>634</v>
      </c>
      <c r="D682">
        <v>1</v>
      </c>
      <c r="E682">
        <v>1</v>
      </c>
      <c r="AT682">
        <v>6</v>
      </c>
    </row>
    <row r="683" spans="1:46">
      <c r="A683" s="3" t="s">
        <v>635</v>
      </c>
      <c r="D683">
        <v>1</v>
      </c>
      <c r="E683">
        <v>1</v>
      </c>
      <c r="AT683">
        <v>6</v>
      </c>
    </row>
    <row r="684" spans="1:46">
      <c r="A684" s="3" t="s">
        <v>636</v>
      </c>
      <c r="D684">
        <v>1</v>
      </c>
      <c r="E684">
        <v>1</v>
      </c>
      <c r="AT684">
        <v>6</v>
      </c>
    </row>
    <row r="685" spans="1:46">
      <c r="A685" s="3" t="s">
        <v>637</v>
      </c>
      <c r="D685">
        <v>1</v>
      </c>
      <c r="E685">
        <v>1</v>
      </c>
      <c r="AT685">
        <v>6</v>
      </c>
    </row>
    <row r="686" spans="1:46">
      <c r="A686" s="3" t="s">
        <v>638</v>
      </c>
      <c r="D686">
        <v>1</v>
      </c>
      <c r="E686">
        <v>1</v>
      </c>
      <c r="AT686">
        <v>6</v>
      </c>
    </row>
    <row r="687" spans="1:46">
      <c r="A687" s="3" t="s">
        <v>639</v>
      </c>
      <c r="D687">
        <v>1</v>
      </c>
      <c r="E687">
        <v>1</v>
      </c>
      <c r="AT687">
        <v>6</v>
      </c>
    </row>
    <row r="688" spans="1:46">
      <c r="A688" s="3" t="s">
        <v>640</v>
      </c>
      <c r="D688">
        <v>1</v>
      </c>
      <c r="E688">
        <v>1</v>
      </c>
      <c r="AT688">
        <v>6</v>
      </c>
    </row>
    <row r="689" spans="1:46">
      <c r="A689" s="3" t="s">
        <v>641</v>
      </c>
      <c r="D689">
        <v>1</v>
      </c>
      <c r="E689">
        <v>1</v>
      </c>
      <c r="J689">
        <v>9</v>
      </c>
    </row>
    <row r="690" spans="1:46">
      <c r="A690" s="3" t="s">
        <v>642</v>
      </c>
      <c r="D690">
        <v>1</v>
      </c>
      <c r="E690">
        <v>1</v>
      </c>
      <c r="J690">
        <v>9</v>
      </c>
    </row>
    <row r="691" spans="1:46">
      <c r="A691" s="3" t="s">
        <v>643</v>
      </c>
      <c r="D691">
        <v>1</v>
      </c>
      <c r="E691">
        <v>1</v>
      </c>
      <c r="J691">
        <v>9</v>
      </c>
    </row>
    <row r="692" spans="1:46">
      <c r="A692" s="3" t="s">
        <v>644</v>
      </c>
      <c r="D692">
        <v>1</v>
      </c>
      <c r="E692">
        <v>1</v>
      </c>
      <c r="J692">
        <v>9</v>
      </c>
    </row>
    <row r="693" spans="1:46">
      <c r="A693" s="3" t="s">
        <v>645</v>
      </c>
      <c r="D693">
        <v>1</v>
      </c>
      <c r="J693">
        <v>9</v>
      </c>
    </row>
    <row r="694" spans="1:46">
      <c r="A694" s="3" t="s">
        <v>646</v>
      </c>
      <c r="D694">
        <v>1</v>
      </c>
      <c r="J694">
        <v>9</v>
      </c>
    </row>
    <row r="695" spans="1:46">
      <c r="A695" s="3" t="s">
        <v>647</v>
      </c>
      <c r="D695">
        <v>1</v>
      </c>
      <c r="J695">
        <v>9</v>
      </c>
    </row>
    <row r="696" spans="1:46">
      <c r="A696" s="3" t="s">
        <v>648</v>
      </c>
      <c r="D696">
        <v>1</v>
      </c>
      <c r="J696">
        <v>9</v>
      </c>
    </row>
    <row r="697" spans="1:46">
      <c r="A697" s="3" t="s">
        <v>649</v>
      </c>
      <c r="D697">
        <v>1</v>
      </c>
      <c r="J697">
        <v>9</v>
      </c>
    </row>
    <row r="698" spans="1:46">
      <c r="A698" s="3" t="s">
        <v>650</v>
      </c>
      <c r="D698">
        <v>1</v>
      </c>
      <c r="J698">
        <v>9</v>
      </c>
    </row>
    <row r="699" spans="1:46">
      <c r="A699" s="3" t="s">
        <v>651</v>
      </c>
      <c r="D699">
        <v>1</v>
      </c>
      <c r="J699">
        <v>9</v>
      </c>
    </row>
    <row r="700" spans="1:46">
      <c r="A700" s="3" t="s">
        <v>652</v>
      </c>
      <c r="D700">
        <v>1</v>
      </c>
      <c r="J700">
        <v>9</v>
      </c>
    </row>
    <row r="701" spans="1:46">
      <c r="A701" s="3" t="s">
        <v>653</v>
      </c>
      <c r="D701">
        <v>1</v>
      </c>
      <c r="J701">
        <v>9</v>
      </c>
    </row>
    <row r="702" spans="1:46">
      <c r="A702" s="3" t="s">
        <v>654</v>
      </c>
      <c r="D702">
        <v>1</v>
      </c>
      <c r="J702">
        <v>9</v>
      </c>
    </row>
    <row r="703" spans="1:46">
      <c r="A703" s="3" t="s">
        <v>655</v>
      </c>
      <c r="D703">
        <v>1</v>
      </c>
      <c r="AT703">
        <v>7</v>
      </c>
    </row>
    <row r="704" spans="1:46">
      <c r="A704" s="3" t="s">
        <v>656</v>
      </c>
      <c r="D704">
        <v>1</v>
      </c>
      <c r="AT704">
        <v>7</v>
      </c>
    </row>
    <row r="705" spans="1:46">
      <c r="A705" s="3" t="s">
        <v>657</v>
      </c>
      <c r="D705">
        <v>1</v>
      </c>
      <c r="AT705">
        <v>7</v>
      </c>
    </row>
    <row r="706" spans="1:46">
      <c r="A706" s="3" t="s">
        <v>658</v>
      </c>
      <c r="D706">
        <v>1</v>
      </c>
      <c r="AT706">
        <v>7</v>
      </c>
    </row>
    <row r="707" spans="1:46">
      <c r="A707" s="3" t="s">
        <v>659</v>
      </c>
      <c r="D707">
        <v>1</v>
      </c>
      <c r="AT707">
        <v>7</v>
      </c>
    </row>
    <row r="708" spans="1:46">
      <c r="A708" s="3" t="s">
        <v>660</v>
      </c>
      <c r="D708">
        <v>1</v>
      </c>
      <c r="AT708">
        <v>7</v>
      </c>
    </row>
    <row r="709" spans="1:46">
      <c r="A709" s="3" t="s">
        <v>661</v>
      </c>
      <c r="D709">
        <v>1</v>
      </c>
      <c r="AT709">
        <v>7</v>
      </c>
    </row>
    <row r="710" spans="1:46">
      <c r="A710" s="3" t="s">
        <v>662</v>
      </c>
      <c r="D710">
        <v>1</v>
      </c>
      <c r="AT710">
        <v>7</v>
      </c>
    </row>
    <row r="711" spans="1:46">
      <c r="A711" s="3" t="s">
        <v>663</v>
      </c>
      <c r="D711">
        <v>1</v>
      </c>
      <c r="AT711">
        <v>7</v>
      </c>
    </row>
    <row r="712" spans="1:46">
      <c r="A712" s="3" t="s">
        <v>664</v>
      </c>
      <c r="D712">
        <v>1</v>
      </c>
      <c r="AT712">
        <v>7</v>
      </c>
    </row>
    <row r="713" spans="1:46">
      <c r="A713" s="3" t="s">
        <v>665</v>
      </c>
      <c r="D713">
        <v>1</v>
      </c>
      <c r="AT713">
        <v>7</v>
      </c>
    </row>
    <row r="714" spans="1:46">
      <c r="A714" s="3" t="s">
        <v>666</v>
      </c>
      <c r="D714">
        <v>1</v>
      </c>
      <c r="AT714">
        <v>7</v>
      </c>
    </row>
    <row r="715" spans="1:46">
      <c r="A715" s="3" t="s">
        <v>667</v>
      </c>
      <c r="D715">
        <v>1</v>
      </c>
      <c r="J715">
        <v>10</v>
      </c>
    </row>
    <row r="716" spans="1:46">
      <c r="A716" s="3" t="s">
        <v>668</v>
      </c>
      <c r="D716">
        <v>1</v>
      </c>
      <c r="J716">
        <v>10</v>
      </c>
    </row>
    <row r="717" spans="1:46">
      <c r="A717" s="3" t="s">
        <v>669</v>
      </c>
      <c r="D717">
        <v>1</v>
      </c>
      <c r="J717">
        <v>10</v>
      </c>
    </row>
    <row r="718" spans="1:46">
      <c r="A718" s="3" t="s">
        <v>670</v>
      </c>
      <c r="D718">
        <v>1</v>
      </c>
      <c r="J718">
        <v>10</v>
      </c>
    </row>
    <row r="719" spans="1:46">
      <c r="A719" s="3" t="s">
        <v>671</v>
      </c>
      <c r="D719">
        <v>1</v>
      </c>
      <c r="J719">
        <v>10</v>
      </c>
    </row>
    <row r="720" spans="1:46">
      <c r="A720" s="3" t="s">
        <v>672</v>
      </c>
      <c r="D720">
        <v>1</v>
      </c>
      <c r="J720">
        <v>10</v>
      </c>
    </row>
    <row r="721" spans="1:46">
      <c r="A721" s="3" t="s">
        <v>673</v>
      </c>
      <c r="D721">
        <v>1</v>
      </c>
      <c r="J721">
        <v>10</v>
      </c>
    </row>
    <row r="722" spans="1:46">
      <c r="A722" s="3" t="s">
        <v>674</v>
      </c>
      <c r="D722">
        <v>1</v>
      </c>
      <c r="J722">
        <v>10</v>
      </c>
    </row>
    <row r="723" spans="1:46">
      <c r="A723" s="3" t="s">
        <v>675</v>
      </c>
      <c r="D723">
        <v>1</v>
      </c>
      <c r="J723">
        <v>10</v>
      </c>
    </row>
    <row r="724" spans="1:46">
      <c r="A724" s="3" t="s">
        <v>676</v>
      </c>
      <c r="D724">
        <v>1</v>
      </c>
      <c r="J724">
        <v>10</v>
      </c>
    </row>
    <row r="725" spans="1:46">
      <c r="A725" s="3" t="s">
        <v>677</v>
      </c>
      <c r="D725">
        <v>1</v>
      </c>
      <c r="J725">
        <v>10</v>
      </c>
    </row>
    <row r="726" spans="1:46">
      <c r="A726" s="3" t="s">
        <v>678</v>
      </c>
      <c r="D726">
        <v>1</v>
      </c>
      <c r="J726">
        <v>10</v>
      </c>
    </row>
    <row r="727" spans="1:46">
      <c r="A727" s="3" t="s">
        <v>679</v>
      </c>
      <c r="D727">
        <v>1</v>
      </c>
      <c r="J727">
        <v>10</v>
      </c>
    </row>
    <row r="728" spans="1:46">
      <c r="A728" s="3" t="s">
        <v>680</v>
      </c>
      <c r="D728">
        <v>1</v>
      </c>
      <c r="J728">
        <v>10</v>
      </c>
    </row>
    <row r="729" spans="1:46">
      <c r="A729" s="3" t="s">
        <v>681</v>
      </c>
      <c r="D729">
        <v>1</v>
      </c>
      <c r="J729">
        <v>10</v>
      </c>
    </row>
    <row r="730" spans="1:46">
      <c r="A730" s="3" t="s">
        <v>682</v>
      </c>
      <c r="D730">
        <v>1</v>
      </c>
      <c r="J730">
        <v>10</v>
      </c>
    </row>
    <row r="731" spans="1:46">
      <c r="A731" s="3" t="s">
        <v>683</v>
      </c>
      <c r="D731">
        <v>1</v>
      </c>
      <c r="J731">
        <v>10</v>
      </c>
    </row>
    <row r="732" spans="1:46">
      <c r="A732" s="3" t="s">
        <v>684</v>
      </c>
      <c r="D732">
        <v>1</v>
      </c>
      <c r="AT732">
        <v>8</v>
      </c>
    </row>
    <row r="733" spans="1:46">
      <c r="A733" s="3" t="s">
        <v>685</v>
      </c>
      <c r="D733">
        <v>1</v>
      </c>
      <c r="AT733">
        <v>8</v>
      </c>
    </row>
    <row r="734" spans="1:46">
      <c r="A734" s="3" t="s">
        <v>686</v>
      </c>
      <c r="D734">
        <v>1</v>
      </c>
      <c r="AT734">
        <v>8</v>
      </c>
    </row>
    <row r="735" spans="1:46">
      <c r="A735" s="3" t="s">
        <v>687</v>
      </c>
      <c r="D735">
        <v>1</v>
      </c>
      <c r="AT735">
        <v>8</v>
      </c>
    </row>
    <row r="736" spans="1:46">
      <c r="A736" s="3" t="s">
        <v>688</v>
      </c>
      <c r="D736">
        <v>1</v>
      </c>
      <c r="AT736">
        <v>8</v>
      </c>
    </row>
    <row r="737" spans="1:46">
      <c r="A737" s="3" t="s">
        <v>689</v>
      </c>
      <c r="D737">
        <v>1</v>
      </c>
      <c r="AT737">
        <v>8</v>
      </c>
    </row>
    <row r="738" spans="1:46">
      <c r="A738" s="3" t="s">
        <v>690</v>
      </c>
      <c r="D738">
        <v>1</v>
      </c>
      <c r="AT738">
        <v>8</v>
      </c>
    </row>
    <row r="739" spans="1:46">
      <c r="A739" s="3" t="s">
        <v>691</v>
      </c>
      <c r="D739">
        <v>1</v>
      </c>
      <c r="AT739">
        <v>8</v>
      </c>
    </row>
    <row r="740" spans="1:46">
      <c r="A740" s="3" t="s">
        <v>692</v>
      </c>
      <c r="D740">
        <v>1</v>
      </c>
      <c r="AT740">
        <v>8</v>
      </c>
    </row>
    <row r="741" spans="1:46">
      <c r="A741" s="3" t="s">
        <v>693</v>
      </c>
      <c r="D741">
        <v>1</v>
      </c>
      <c r="AT741">
        <v>8</v>
      </c>
    </row>
    <row r="742" spans="1:46">
      <c r="A742" s="3" t="s">
        <v>694</v>
      </c>
      <c r="D742">
        <v>1</v>
      </c>
      <c r="AT742">
        <v>8</v>
      </c>
    </row>
    <row r="743" spans="1:46">
      <c r="A743" s="3" t="s">
        <v>695</v>
      </c>
      <c r="D743">
        <v>1</v>
      </c>
      <c r="AT743">
        <v>8</v>
      </c>
    </row>
    <row r="744" spans="1:46">
      <c r="A744" s="3" t="s">
        <v>696</v>
      </c>
      <c r="D744">
        <v>1</v>
      </c>
      <c r="AT744">
        <v>8</v>
      </c>
    </row>
    <row r="745" spans="1:46">
      <c r="A745" s="3" t="s">
        <v>697</v>
      </c>
      <c r="D745">
        <v>1</v>
      </c>
      <c r="AT745">
        <v>8</v>
      </c>
    </row>
    <row r="746" spans="1:46">
      <c r="A746" s="3" t="s">
        <v>698</v>
      </c>
      <c r="D746">
        <v>1</v>
      </c>
      <c r="AT746">
        <v>8</v>
      </c>
    </row>
    <row r="747" spans="1:46">
      <c r="A747" s="3" t="s">
        <v>699</v>
      </c>
      <c r="D747">
        <v>1</v>
      </c>
      <c r="AT747">
        <v>8</v>
      </c>
    </row>
    <row r="748" spans="1:46">
      <c r="A748" s="3" t="s">
        <v>700</v>
      </c>
      <c r="D748">
        <v>1</v>
      </c>
      <c r="AT748">
        <v>8</v>
      </c>
    </row>
    <row r="749" spans="1:46">
      <c r="A749" s="3" t="s">
        <v>701</v>
      </c>
      <c r="D749">
        <v>1</v>
      </c>
      <c r="AT749">
        <v>8</v>
      </c>
    </row>
    <row r="750" spans="1:46">
      <c r="A750" s="3" t="s">
        <v>702</v>
      </c>
      <c r="D750">
        <v>1</v>
      </c>
      <c r="AT750">
        <v>8</v>
      </c>
    </row>
    <row r="751" spans="1:46">
      <c r="A751" s="3" t="s">
        <v>703</v>
      </c>
      <c r="D751">
        <v>1</v>
      </c>
      <c r="AT751">
        <v>8</v>
      </c>
    </row>
    <row r="752" spans="1:46">
      <c r="A752" s="3" t="s">
        <v>704</v>
      </c>
      <c r="D752">
        <v>1</v>
      </c>
      <c r="AT752">
        <v>8</v>
      </c>
    </row>
    <row r="753" spans="1:46">
      <c r="A753" s="3" t="s">
        <v>705</v>
      </c>
      <c r="D753">
        <v>1</v>
      </c>
      <c r="AT753">
        <v>8</v>
      </c>
    </row>
    <row r="754" spans="1:46">
      <c r="A754" s="3" t="s">
        <v>706</v>
      </c>
      <c r="D754">
        <v>1</v>
      </c>
      <c r="AT754">
        <v>8</v>
      </c>
    </row>
    <row r="755" spans="1:46">
      <c r="A755" s="3" t="s">
        <v>707</v>
      </c>
      <c r="D755">
        <v>1</v>
      </c>
      <c r="AT755">
        <v>8</v>
      </c>
    </row>
    <row r="756" spans="1:46">
      <c r="A756" s="3" t="s">
        <v>708</v>
      </c>
      <c r="D756">
        <v>1</v>
      </c>
      <c r="AT756">
        <v>8</v>
      </c>
    </row>
    <row r="757" spans="1:46">
      <c r="A757" s="3" t="s">
        <v>709</v>
      </c>
      <c r="D757">
        <v>1</v>
      </c>
      <c r="AT757">
        <v>8</v>
      </c>
    </row>
    <row r="758" spans="1:46">
      <c r="A758" s="3" t="s">
        <v>710</v>
      </c>
      <c r="D758">
        <v>1</v>
      </c>
      <c r="AT758">
        <v>8</v>
      </c>
    </row>
    <row r="759" spans="1:46">
      <c r="A759" s="3" t="s">
        <v>711</v>
      </c>
      <c r="D759">
        <v>1</v>
      </c>
      <c r="AT759">
        <v>8</v>
      </c>
    </row>
    <row r="760" spans="1:46">
      <c r="A760" s="3" t="s">
        <v>712</v>
      </c>
      <c r="D760">
        <v>1</v>
      </c>
      <c r="AT760">
        <v>8</v>
      </c>
    </row>
    <row r="761" spans="1:46">
      <c r="A761" s="3" t="s">
        <v>713</v>
      </c>
      <c r="D761">
        <v>1</v>
      </c>
      <c r="AT761">
        <v>8</v>
      </c>
    </row>
    <row r="762" spans="1:46">
      <c r="A762" s="3" t="s">
        <v>714</v>
      </c>
      <c r="D762">
        <v>1</v>
      </c>
      <c r="AT762">
        <v>8</v>
      </c>
    </row>
    <row r="763" spans="1:46">
      <c r="A763" s="3" t="s">
        <v>715</v>
      </c>
      <c r="D763">
        <v>1</v>
      </c>
      <c r="AT763">
        <v>8</v>
      </c>
    </row>
    <row r="764" spans="1:46">
      <c r="A764" s="3" t="s">
        <v>716</v>
      </c>
      <c r="D764">
        <v>1</v>
      </c>
      <c r="AT764">
        <v>8</v>
      </c>
    </row>
    <row r="765" spans="1:46">
      <c r="A765" s="3" t="s">
        <v>717</v>
      </c>
      <c r="D765">
        <v>1</v>
      </c>
      <c r="AT765">
        <v>8</v>
      </c>
    </row>
    <row r="766" spans="1:46">
      <c r="A766" s="3" t="s">
        <v>718</v>
      </c>
      <c r="D766">
        <v>1</v>
      </c>
      <c r="AT766">
        <v>8</v>
      </c>
    </row>
    <row r="767" spans="1:46">
      <c r="A767" s="3" t="s">
        <v>719</v>
      </c>
      <c r="D767">
        <v>1</v>
      </c>
      <c r="AT767">
        <v>8</v>
      </c>
    </row>
    <row r="768" spans="1:46">
      <c r="A768" s="3" t="s">
        <v>720</v>
      </c>
      <c r="D768">
        <v>1</v>
      </c>
      <c r="AT768">
        <v>8</v>
      </c>
    </row>
    <row r="769" spans="1:46">
      <c r="A769" s="3" t="s">
        <v>721</v>
      </c>
      <c r="D769">
        <v>1</v>
      </c>
      <c r="AT769">
        <v>8</v>
      </c>
    </row>
    <row r="770" spans="1:46">
      <c r="A770" s="3" t="s">
        <v>722</v>
      </c>
      <c r="D770">
        <v>1</v>
      </c>
      <c r="AT770">
        <v>8</v>
      </c>
    </row>
    <row r="771" spans="1:46">
      <c r="A771" s="3" t="s">
        <v>723</v>
      </c>
      <c r="D771">
        <v>1</v>
      </c>
      <c r="AT771">
        <v>8</v>
      </c>
    </row>
    <row r="772" spans="1:46">
      <c r="A772" s="3" t="s">
        <v>724</v>
      </c>
      <c r="D772">
        <v>1</v>
      </c>
      <c r="AT772">
        <v>8</v>
      </c>
    </row>
    <row r="773" spans="1:46">
      <c r="A773" s="3" t="s">
        <v>725</v>
      </c>
      <c r="D773">
        <v>1</v>
      </c>
      <c r="AT773">
        <v>8</v>
      </c>
    </row>
    <row r="774" spans="1:46">
      <c r="A774" s="3" t="s">
        <v>726</v>
      </c>
      <c r="D774">
        <v>1</v>
      </c>
      <c r="AT774">
        <v>8</v>
      </c>
    </row>
    <row r="775" spans="1:46">
      <c r="A775" s="3" t="s">
        <v>727</v>
      </c>
      <c r="D775">
        <v>1</v>
      </c>
      <c r="AT775">
        <v>8</v>
      </c>
    </row>
    <row r="776" spans="1:46">
      <c r="A776" s="3" t="s">
        <v>728</v>
      </c>
      <c r="D776">
        <v>1</v>
      </c>
      <c r="AT776">
        <v>8</v>
      </c>
    </row>
    <row r="777" spans="1:46">
      <c r="A777" s="3" t="s">
        <v>729</v>
      </c>
      <c r="D777">
        <v>1</v>
      </c>
      <c r="AT777">
        <v>8</v>
      </c>
    </row>
    <row r="778" spans="1:46">
      <c r="A778" s="3" t="s">
        <v>730</v>
      </c>
      <c r="D778">
        <v>1</v>
      </c>
      <c r="AT778">
        <v>8</v>
      </c>
    </row>
    <row r="779" spans="1:46">
      <c r="A779" s="3" t="s">
        <v>731</v>
      </c>
      <c r="D779">
        <v>1</v>
      </c>
      <c r="AT779">
        <v>8</v>
      </c>
    </row>
    <row r="780" spans="1:46">
      <c r="A780" s="3" t="s">
        <v>732</v>
      </c>
      <c r="D780">
        <v>1</v>
      </c>
      <c r="AT780">
        <v>8</v>
      </c>
    </row>
    <row r="781" spans="1:46">
      <c r="A781" s="3" t="s">
        <v>733</v>
      </c>
      <c r="D781">
        <v>1</v>
      </c>
      <c r="AT781">
        <v>8</v>
      </c>
    </row>
    <row r="782" spans="1:46">
      <c r="A782" s="3" t="s">
        <v>734</v>
      </c>
      <c r="D782">
        <v>1</v>
      </c>
      <c r="AT782">
        <v>8</v>
      </c>
    </row>
    <row r="783" spans="1:46">
      <c r="A783" s="3" t="s">
        <v>735</v>
      </c>
      <c r="D783">
        <v>1</v>
      </c>
      <c r="AT783">
        <v>8</v>
      </c>
    </row>
    <row r="784" spans="1:46">
      <c r="A784" s="3" t="s">
        <v>736</v>
      </c>
      <c r="D784">
        <v>1</v>
      </c>
      <c r="AT784">
        <v>8</v>
      </c>
    </row>
    <row r="785" spans="1:46">
      <c r="A785" s="3" t="s">
        <v>737</v>
      </c>
      <c r="D785">
        <v>1</v>
      </c>
      <c r="AT785">
        <v>8</v>
      </c>
    </row>
    <row r="786" spans="1:46">
      <c r="A786" s="3" t="s">
        <v>738</v>
      </c>
      <c r="D786">
        <v>1</v>
      </c>
      <c r="AT786">
        <v>8</v>
      </c>
    </row>
    <row r="787" spans="1:46">
      <c r="A787" s="3" t="s">
        <v>739</v>
      </c>
      <c r="D787">
        <v>1</v>
      </c>
      <c r="AT787">
        <v>8</v>
      </c>
    </row>
    <row r="788" spans="1:46">
      <c r="A788" s="3" t="s">
        <v>740</v>
      </c>
      <c r="D788">
        <v>1</v>
      </c>
      <c r="AT788">
        <v>8</v>
      </c>
    </row>
    <row r="789" spans="1:46">
      <c r="A789" s="3" t="s">
        <v>741</v>
      </c>
      <c r="D789">
        <v>1</v>
      </c>
      <c r="AT789">
        <v>8</v>
      </c>
    </row>
    <row r="790" spans="1:46">
      <c r="A790" s="3" t="s">
        <v>742</v>
      </c>
      <c r="D790">
        <v>1</v>
      </c>
      <c r="J790">
        <v>11</v>
      </c>
    </row>
    <row r="791" spans="1:46">
      <c r="A791" s="3" t="s">
        <v>743</v>
      </c>
      <c r="D791">
        <v>1</v>
      </c>
      <c r="J791">
        <v>11</v>
      </c>
    </row>
    <row r="792" spans="1:46">
      <c r="A792" s="3" t="s">
        <v>744</v>
      </c>
      <c r="D792">
        <v>1</v>
      </c>
      <c r="J792">
        <v>11</v>
      </c>
    </row>
    <row r="793" spans="1:46">
      <c r="A793" s="3" t="s">
        <v>745</v>
      </c>
      <c r="D793">
        <v>1</v>
      </c>
      <c r="J793">
        <v>11</v>
      </c>
    </row>
    <row r="794" spans="1:46">
      <c r="A794" s="3" t="s">
        <v>746</v>
      </c>
      <c r="D794">
        <v>1</v>
      </c>
      <c r="J794">
        <v>11</v>
      </c>
    </row>
    <row r="795" spans="1:46">
      <c r="A795" s="3" t="s">
        <v>747</v>
      </c>
      <c r="D795">
        <v>1</v>
      </c>
      <c r="J795">
        <v>11</v>
      </c>
    </row>
    <row r="796" spans="1:46">
      <c r="A796" s="3" t="s">
        <v>748</v>
      </c>
      <c r="D796">
        <v>1</v>
      </c>
      <c r="J796">
        <v>11</v>
      </c>
    </row>
    <row r="797" spans="1:46">
      <c r="A797" s="3" t="s">
        <v>749</v>
      </c>
      <c r="D797">
        <v>1</v>
      </c>
      <c r="J797">
        <v>11</v>
      </c>
    </row>
    <row r="798" spans="1:46">
      <c r="A798" s="3" t="s">
        <v>750</v>
      </c>
      <c r="D798">
        <v>1</v>
      </c>
      <c r="J798">
        <v>11</v>
      </c>
    </row>
    <row r="799" spans="1:46">
      <c r="A799" s="3" t="s">
        <v>751</v>
      </c>
      <c r="D799">
        <v>1</v>
      </c>
      <c r="J799">
        <v>11</v>
      </c>
    </row>
    <row r="800" spans="1:46">
      <c r="A800" s="3" t="s">
        <v>752</v>
      </c>
      <c r="D800">
        <v>1</v>
      </c>
      <c r="J800">
        <v>11</v>
      </c>
    </row>
    <row r="801" spans="1:10">
      <c r="A801" s="3" t="s">
        <v>753</v>
      </c>
      <c r="D801">
        <v>1</v>
      </c>
      <c r="J801">
        <v>11</v>
      </c>
    </row>
    <row r="802" spans="1:10">
      <c r="A802" s="3" t="s">
        <v>754</v>
      </c>
      <c r="D802">
        <v>1</v>
      </c>
      <c r="J802">
        <v>11</v>
      </c>
    </row>
    <row r="803" spans="1:10">
      <c r="A803" s="3" t="s">
        <v>755</v>
      </c>
      <c r="D803">
        <v>1</v>
      </c>
      <c r="J803">
        <v>11</v>
      </c>
    </row>
    <row r="804" spans="1:10">
      <c r="A804" s="3" t="s">
        <v>756</v>
      </c>
      <c r="D804">
        <v>1</v>
      </c>
      <c r="J804">
        <v>11</v>
      </c>
    </row>
    <row r="805" spans="1:10">
      <c r="A805" s="3" t="s">
        <v>757</v>
      </c>
      <c r="D805">
        <v>1</v>
      </c>
      <c r="J805">
        <v>11</v>
      </c>
    </row>
    <row r="806" spans="1:10">
      <c r="A806" s="3" t="s">
        <v>758</v>
      </c>
      <c r="D806">
        <v>1</v>
      </c>
      <c r="J806">
        <v>11</v>
      </c>
    </row>
    <row r="807" spans="1:10">
      <c r="A807" s="3" t="s">
        <v>759</v>
      </c>
      <c r="D807">
        <v>1</v>
      </c>
      <c r="J807">
        <v>11</v>
      </c>
    </row>
    <row r="808" spans="1:10">
      <c r="A808" s="3" t="s">
        <v>760</v>
      </c>
      <c r="D808">
        <v>1</v>
      </c>
      <c r="J808">
        <v>11</v>
      </c>
    </row>
    <row r="809" spans="1:10">
      <c r="A809" s="3" t="s">
        <v>761</v>
      </c>
      <c r="D809">
        <v>1</v>
      </c>
      <c r="J809">
        <v>11</v>
      </c>
    </row>
    <row r="810" spans="1:10">
      <c r="A810" s="3" t="s">
        <v>762</v>
      </c>
      <c r="D810">
        <v>1</v>
      </c>
      <c r="J810">
        <v>11</v>
      </c>
    </row>
    <row r="811" spans="1:10">
      <c r="A811" s="3" t="s">
        <v>763</v>
      </c>
      <c r="D811">
        <v>1</v>
      </c>
      <c r="J811">
        <v>11</v>
      </c>
    </row>
    <row r="812" spans="1:10">
      <c r="A812" s="3" t="s">
        <v>764</v>
      </c>
      <c r="D812">
        <v>1</v>
      </c>
      <c r="J812">
        <v>11</v>
      </c>
    </row>
    <row r="813" spans="1:10">
      <c r="A813" s="3" t="s">
        <v>765</v>
      </c>
      <c r="D813">
        <v>1</v>
      </c>
      <c r="J813">
        <v>11</v>
      </c>
    </row>
    <row r="814" spans="1:10">
      <c r="A814" s="3" t="s">
        <v>766</v>
      </c>
      <c r="D814">
        <v>1</v>
      </c>
      <c r="J814">
        <v>11</v>
      </c>
    </row>
    <row r="815" spans="1:10">
      <c r="A815" s="3" t="s">
        <v>767</v>
      </c>
      <c r="D815">
        <v>1</v>
      </c>
      <c r="J815">
        <v>11</v>
      </c>
    </row>
    <row r="816" spans="1:10">
      <c r="A816" s="3" t="s">
        <v>768</v>
      </c>
      <c r="D816">
        <v>1</v>
      </c>
      <c r="J816">
        <v>11</v>
      </c>
    </row>
    <row r="817" spans="1:10">
      <c r="A817" s="3" t="s">
        <v>769</v>
      </c>
      <c r="D817">
        <v>1</v>
      </c>
      <c r="J817">
        <v>11</v>
      </c>
    </row>
    <row r="818" spans="1:10">
      <c r="A818" s="3" t="s">
        <v>770</v>
      </c>
      <c r="D818">
        <v>1</v>
      </c>
      <c r="J818">
        <v>11</v>
      </c>
    </row>
    <row r="819" spans="1:10">
      <c r="A819" s="3" t="s">
        <v>771</v>
      </c>
      <c r="D819">
        <v>1</v>
      </c>
      <c r="J819">
        <v>11</v>
      </c>
    </row>
    <row r="820" spans="1:10">
      <c r="A820" s="3" t="s">
        <v>772</v>
      </c>
      <c r="D820">
        <v>1</v>
      </c>
      <c r="J820">
        <v>11</v>
      </c>
    </row>
    <row r="821" spans="1:10">
      <c r="A821" s="3" t="s">
        <v>773</v>
      </c>
      <c r="D821">
        <v>1</v>
      </c>
      <c r="J821">
        <v>11</v>
      </c>
    </row>
    <row r="822" spans="1:10">
      <c r="A822" s="3" t="s">
        <v>774</v>
      </c>
      <c r="D822">
        <v>1</v>
      </c>
      <c r="J822">
        <v>11</v>
      </c>
    </row>
    <row r="823" spans="1:10">
      <c r="A823" s="3" t="s">
        <v>775</v>
      </c>
      <c r="D823">
        <v>1</v>
      </c>
      <c r="J823">
        <v>11</v>
      </c>
    </row>
    <row r="824" spans="1:10">
      <c r="A824" s="3" t="s">
        <v>776</v>
      </c>
      <c r="D824">
        <v>1</v>
      </c>
      <c r="J824">
        <v>11</v>
      </c>
    </row>
    <row r="825" spans="1:10">
      <c r="A825" s="3" t="s">
        <v>777</v>
      </c>
      <c r="D825">
        <v>1</v>
      </c>
      <c r="J825">
        <v>11</v>
      </c>
    </row>
    <row r="826" spans="1:10">
      <c r="A826" s="3" t="s">
        <v>778</v>
      </c>
      <c r="D826">
        <v>1</v>
      </c>
      <c r="J826">
        <v>11</v>
      </c>
    </row>
    <row r="827" spans="1:10">
      <c r="A827" s="3" t="s">
        <v>779</v>
      </c>
      <c r="D827">
        <v>1</v>
      </c>
      <c r="J827">
        <v>11</v>
      </c>
    </row>
    <row r="828" spans="1:10">
      <c r="A828" s="3" t="s">
        <v>780</v>
      </c>
      <c r="D828">
        <v>1</v>
      </c>
      <c r="J828">
        <v>11</v>
      </c>
    </row>
    <row r="829" spans="1:10">
      <c r="A829" s="3" t="s">
        <v>781</v>
      </c>
      <c r="D829">
        <v>1</v>
      </c>
      <c r="J829">
        <v>11</v>
      </c>
    </row>
    <row r="830" spans="1:10">
      <c r="A830" s="3" t="s">
        <v>782</v>
      </c>
      <c r="D830">
        <v>1</v>
      </c>
      <c r="J830">
        <v>11</v>
      </c>
    </row>
    <row r="831" spans="1:10">
      <c r="A831" s="3" t="s">
        <v>783</v>
      </c>
      <c r="D831">
        <v>1</v>
      </c>
      <c r="J831">
        <v>11</v>
      </c>
    </row>
    <row r="832" spans="1:10">
      <c r="A832" s="3" t="s">
        <v>784</v>
      </c>
      <c r="D832">
        <v>1</v>
      </c>
      <c r="J832">
        <v>11</v>
      </c>
    </row>
    <row r="833" spans="1:49">
      <c r="A833" s="3" t="s">
        <v>785</v>
      </c>
      <c r="D833">
        <v>1</v>
      </c>
      <c r="J833">
        <v>11</v>
      </c>
    </row>
    <row r="834" spans="1:49">
      <c r="A834" s="3" t="s">
        <v>786</v>
      </c>
      <c r="D834">
        <v>1</v>
      </c>
      <c r="J834">
        <v>11</v>
      </c>
    </row>
    <row r="835" spans="1:49">
      <c r="A835" s="3" t="s">
        <v>787</v>
      </c>
      <c r="D835">
        <v>1</v>
      </c>
      <c r="J835">
        <v>11</v>
      </c>
    </row>
    <row r="836" spans="1:49">
      <c r="A836" s="3" t="s">
        <v>788</v>
      </c>
      <c r="D836">
        <v>1</v>
      </c>
      <c r="J836">
        <v>11</v>
      </c>
    </row>
    <row r="837" spans="1:49">
      <c r="A837" s="3" t="s">
        <v>789</v>
      </c>
      <c r="D837">
        <v>1</v>
      </c>
      <c r="J837">
        <v>11</v>
      </c>
    </row>
    <row r="838" spans="1:49">
      <c r="A838" s="3" t="s">
        <v>790</v>
      </c>
      <c r="D838">
        <v>1</v>
      </c>
      <c r="J838">
        <v>11</v>
      </c>
    </row>
    <row r="839" spans="1:49">
      <c r="A839" s="3" t="s">
        <v>791</v>
      </c>
      <c r="D839">
        <v>1</v>
      </c>
      <c r="J839">
        <v>11</v>
      </c>
    </row>
    <row r="840" spans="1:49">
      <c r="A840" s="3" t="s">
        <v>792</v>
      </c>
      <c r="D840">
        <v>1</v>
      </c>
      <c r="J840">
        <v>11</v>
      </c>
    </row>
    <row r="841" spans="1:49">
      <c r="A841" s="3" t="s">
        <v>793</v>
      </c>
      <c r="D841">
        <v>1</v>
      </c>
      <c r="J841">
        <v>11</v>
      </c>
    </row>
    <row r="842" spans="1:49">
      <c r="A842" s="3" t="s">
        <v>794</v>
      </c>
      <c r="D842">
        <v>1</v>
      </c>
      <c r="J842">
        <v>11</v>
      </c>
    </row>
    <row r="843" spans="1:49">
      <c r="A843" s="3" t="s">
        <v>795</v>
      </c>
      <c r="D843">
        <v>1</v>
      </c>
      <c r="J843">
        <v>11</v>
      </c>
    </row>
    <row r="844" spans="1:49">
      <c r="A844" s="3" t="s">
        <v>796</v>
      </c>
      <c r="D844">
        <v>1</v>
      </c>
      <c r="AW844">
        <v>3</v>
      </c>
    </row>
    <row r="845" spans="1:49">
      <c r="A845" s="3" t="s">
        <v>797</v>
      </c>
      <c r="D845">
        <v>1</v>
      </c>
      <c r="AW845">
        <v>3</v>
      </c>
    </row>
    <row r="846" spans="1:49">
      <c r="A846" s="3" t="s">
        <v>798</v>
      </c>
      <c r="D846">
        <v>1</v>
      </c>
      <c r="AW846">
        <v>3</v>
      </c>
    </row>
    <row r="847" spans="1:49">
      <c r="A847" s="3" t="s">
        <v>799</v>
      </c>
      <c r="D847">
        <v>1</v>
      </c>
      <c r="AW847">
        <v>3</v>
      </c>
    </row>
    <row r="848" spans="1:49">
      <c r="A848" s="3" t="s">
        <v>800</v>
      </c>
      <c r="D848">
        <v>1</v>
      </c>
      <c r="AW848">
        <v>3</v>
      </c>
    </row>
    <row r="849" spans="1:49">
      <c r="A849" s="3" t="s">
        <v>801</v>
      </c>
      <c r="D849">
        <v>1</v>
      </c>
      <c r="AW849">
        <v>3</v>
      </c>
    </row>
    <row r="850" spans="1:49">
      <c r="A850" s="3" t="s">
        <v>802</v>
      </c>
      <c r="D850">
        <v>1</v>
      </c>
      <c r="AW850">
        <v>3</v>
      </c>
    </row>
    <row r="851" spans="1:49">
      <c r="A851" s="3" t="s">
        <v>803</v>
      </c>
      <c r="D851">
        <v>1</v>
      </c>
      <c r="AW851">
        <v>3</v>
      </c>
    </row>
    <row r="852" spans="1:49">
      <c r="A852" s="3" t="s">
        <v>804</v>
      </c>
      <c r="D852">
        <v>1</v>
      </c>
      <c r="AW852">
        <v>3</v>
      </c>
    </row>
    <row r="853" spans="1:49">
      <c r="A853" s="3" t="s">
        <v>805</v>
      </c>
      <c r="D853">
        <v>1</v>
      </c>
      <c r="AW853">
        <v>3</v>
      </c>
    </row>
    <row r="854" spans="1:49">
      <c r="A854" s="3" t="s">
        <v>806</v>
      </c>
      <c r="D854">
        <v>1</v>
      </c>
      <c r="AW854">
        <v>3</v>
      </c>
    </row>
    <row r="855" spans="1:49">
      <c r="A855" s="3" t="s">
        <v>807</v>
      </c>
      <c r="D855">
        <v>1</v>
      </c>
      <c r="J855">
        <v>12</v>
      </c>
    </row>
    <row r="856" spans="1:49">
      <c r="A856" s="3" t="s">
        <v>808</v>
      </c>
      <c r="D856">
        <v>1</v>
      </c>
      <c r="J856">
        <v>12</v>
      </c>
    </row>
    <row r="857" spans="1:49">
      <c r="A857" s="3" t="s">
        <v>809</v>
      </c>
      <c r="D857">
        <v>1</v>
      </c>
      <c r="J857">
        <v>12</v>
      </c>
    </row>
    <row r="858" spans="1:49">
      <c r="A858" s="3" t="s">
        <v>810</v>
      </c>
      <c r="D858">
        <v>1</v>
      </c>
      <c r="J858">
        <v>12</v>
      </c>
    </row>
    <row r="859" spans="1:49">
      <c r="A859" s="3" t="s">
        <v>811</v>
      </c>
      <c r="D859">
        <v>1</v>
      </c>
      <c r="J859">
        <v>12</v>
      </c>
    </row>
    <row r="860" spans="1:49">
      <c r="A860" s="3" t="s">
        <v>812</v>
      </c>
      <c r="D860">
        <v>1</v>
      </c>
      <c r="J860">
        <v>12</v>
      </c>
    </row>
    <row r="861" spans="1:49">
      <c r="A861" s="3" t="s">
        <v>813</v>
      </c>
      <c r="D861">
        <v>1</v>
      </c>
      <c r="J861">
        <v>12</v>
      </c>
    </row>
    <row r="862" spans="1:49">
      <c r="A862" s="3" t="s">
        <v>814</v>
      </c>
      <c r="D862">
        <v>1</v>
      </c>
      <c r="J862">
        <v>12</v>
      </c>
    </row>
    <row r="863" spans="1:49">
      <c r="A863" s="3" t="s">
        <v>815</v>
      </c>
      <c r="D863">
        <v>1</v>
      </c>
      <c r="J863">
        <v>12</v>
      </c>
    </row>
    <row r="864" spans="1:49">
      <c r="A864" s="3" t="s">
        <v>816</v>
      </c>
      <c r="D864">
        <v>1</v>
      </c>
      <c r="J864">
        <v>12</v>
      </c>
    </row>
    <row r="865" spans="1:10">
      <c r="A865" s="3" t="s">
        <v>817</v>
      </c>
      <c r="D865">
        <v>1</v>
      </c>
      <c r="J865">
        <v>12</v>
      </c>
    </row>
    <row r="866" spans="1:10">
      <c r="A866" s="3" t="s">
        <v>818</v>
      </c>
      <c r="D866">
        <v>1</v>
      </c>
      <c r="J866">
        <v>12</v>
      </c>
    </row>
    <row r="867" spans="1:10">
      <c r="A867" s="3" t="s">
        <v>819</v>
      </c>
      <c r="D867">
        <v>1</v>
      </c>
      <c r="J867">
        <v>12</v>
      </c>
    </row>
    <row r="868" spans="1:10">
      <c r="A868" s="3" t="s">
        <v>820</v>
      </c>
      <c r="D868">
        <v>1</v>
      </c>
      <c r="J868">
        <v>12</v>
      </c>
    </row>
    <row r="869" spans="1:10">
      <c r="A869" s="3" t="s">
        <v>821</v>
      </c>
      <c r="D869">
        <v>1</v>
      </c>
      <c r="J869">
        <v>12</v>
      </c>
    </row>
    <row r="870" spans="1:10">
      <c r="A870" s="3" t="s">
        <v>822</v>
      </c>
      <c r="D870">
        <v>1</v>
      </c>
      <c r="J870">
        <v>12</v>
      </c>
    </row>
    <row r="871" spans="1:10">
      <c r="A871" s="3" t="s">
        <v>823</v>
      </c>
      <c r="D871">
        <v>1</v>
      </c>
      <c r="J871">
        <v>12</v>
      </c>
    </row>
    <row r="872" spans="1:10">
      <c r="A872" s="3" t="s">
        <v>824</v>
      </c>
      <c r="D872">
        <v>1</v>
      </c>
      <c r="J872">
        <v>12</v>
      </c>
    </row>
    <row r="873" spans="1:10">
      <c r="A873" s="3" t="s">
        <v>825</v>
      </c>
      <c r="D873">
        <v>1</v>
      </c>
      <c r="J873">
        <v>12</v>
      </c>
    </row>
    <row r="874" spans="1:10">
      <c r="A874" s="3" t="s">
        <v>826</v>
      </c>
      <c r="D874">
        <v>1</v>
      </c>
      <c r="J874">
        <v>12</v>
      </c>
    </row>
    <row r="875" spans="1:10">
      <c r="A875" s="3" t="s">
        <v>827</v>
      </c>
      <c r="D875">
        <v>1</v>
      </c>
      <c r="J875">
        <v>12</v>
      </c>
    </row>
    <row r="876" spans="1:10">
      <c r="A876" s="3" t="s">
        <v>828</v>
      </c>
      <c r="D876">
        <v>1</v>
      </c>
      <c r="J876">
        <v>12</v>
      </c>
    </row>
    <row r="877" spans="1:10">
      <c r="A877" s="3" t="s">
        <v>829</v>
      </c>
      <c r="D877">
        <v>1</v>
      </c>
      <c r="J877">
        <v>12</v>
      </c>
    </row>
    <row r="878" spans="1:10">
      <c r="A878" s="3" t="s">
        <v>830</v>
      </c>
      <c r="D878">
        <v>1</v>
      </c>
      <c r="J878">
        <v>12</v>
      </c>
    </row>
    <row r="879" spans="1:10">
      <c r="A879" s="3" t="s">
        <v>831</v>
      </c>
      <c r="D879">
        <v>1</v>
      </c>
      <c r="J879">
        <v>12</v>
      </c>
    </row>
    <row r="880" spans="1:10">
      <c r="A880" s="3" t="s">
        <v>832</v>
      </c>
      <c r="D880">
        <v>1</v>
      </c>
      <c r="J880">
        <v>12</v>
      </c>
    </row>
    <row r="881" spans="1:49">
      <c r="A881" s="3" t="s">
        <v>833</v>
      </c>
      <c r="D881">
        <v>1</v>
      </c>
      <c r="J881">
        <v>12</v>
      </c>
    </row>
    <row r="882" spans="1:49">
      <c r="A882" s="3" t="s">
        <v>834</v>
      </c>
      <c r="D882">
        <v>1</v>
      </c>
      <c r="J882">
        <v>12</v>
      </c>
    </row>
    <row r="883" spans="1:49">
      <c r="A883" s="3" t="s">
        <v>835</v>
      </c>
      <c r="D883">
        <v>1</v>
      </c>
      <c r="J883">
        <v>12</v>
      </c>
    </row>
    <row r="884" spans="1:49">
      <c r="A884" s="3" t="s">
        <v>836</v>
      </c>
      <c r="D884">
        <v>1</v>
      </c>
      <c r="J884">
        <v>12</v>
      </c>
    </row>
    <row r="885" spans="1:49">
      <c r="A885" s="3" t="s">
        <v>837</v>
      </c>
      <c r="D885">
        <v>1</v>
      </c>
      <c r="AW885">
        <v>4</v>
      </c>
    </row>
    <row r="886" spans="1:49">
      <c r="A886" s="3" t="s">
        <v>838</v>
      </c>
      <c r="D886">
        <v>1</v>
      </c>
      <c r="AW886">
        <v>4</v>
      </c>
    </row>
    <row r="887" spans="1:49">
      <c r="A887" s="3" t="s">
        <v>839</v>
      </c>
      <c r="D887">
        <v>1</v>
      </c>
      <c r="AW887">
        <v>4</v>
      </c>
    </row>
    <row r="888" spans="1:49">
      <c r="A888" s="3" t="s">
        <v>840</v>
      </c>
      <c r="D888">
        <v>1</v>
      </c>
      <c r="AW888">
        <v>4</v>
      </c>
    </row>
    <row r="889" spans="1:49">
      <c r="A889" s="3" t="s">
        <v>841</v>
      </c>
      <c r="D889">
        <v>1</v>
      </c>
      <c r="AW889">
        <v>4</v>
      </c>
    </row>
    <row r="890" spans="1:49">
      <c r="A890" s="3" t="s">
        <v>842</v>
      </c>
      <c r="D890">
        <v>1</v>
      </c>
      <c r="AW890">
        <v>4</v>
      </c>
    </row>
    <row r="891" spans="1:49">
      <c r="A891" s="3" t="s">
        <v>843</v>
      </c>
      <c r="D891">
        <v>1</v>
      </c>
      <c r="AW891">
        <v>4</v>
      </c>
    </row>
    <row r="892" spans="1:49">
      <c r="A892" s="3" t="s">
        <v>844</v>
      </c>
      <c r="D892">
        <v>1</v>
      </c>
      <c r="AW892">
        <v>4</v>
      </c>
    </row>
    <row r="893" spans="1:49">
      <c r="A893" s="3" t="s">
        <v>845</v>
      </c>
      <c r="D893">
        <v>1</v>
      </c>
      <c r="AW893">
        <v>4</v>
      </c>
    </row>
    <row r="894" spans="1:49">
      <c r="A894" s="3" t="s">
        <v>846</v>
      </c>
      <c r="D894">
        <v>1</v>
      </c>
      <c r="AW894">
        <v>4</v>
      </c>
    </row>
    <row r="895" spans="1:49">
      <c r="A895" s="3" t="s">
        <v>847</v>
      </c>
      <c r="D895">
        <v>1</v>
      </c>
      <c r="AW895">
        <v>4</v>
      </c>
    </row>
    <row r="896" spans="1:49">
      <c r="A896" s="3" t="s">
        <v>848</v>
      </c>
      <c r="D896">
        <v>1</v>
      </c>
      <c r="AW896">
        <v>4</v>
      </c>
    </row>
    <row r="897" spans="1:49">
      <c r="A897" s="3" t="s">
        <v>849</v>
      </c>
      <c r="D897">
        <v>1</v>
      </c>
      <c r="AW897">
        <v>4</v>
      </c>
    </row>
    <row r="898" spans="1:49">
      <c r="A898" s="3" t="s">
        <v>850</v>
      </c>
      <c r="D898">
        <v>1</v>
      </c>
      <c r="AW898">
        <v>4</v>
      </c>
    </row>
    <row r="899" spans="1:49">
      <c r="A899" s="3" t="s">
        <v>851</v>
      </c>
      <c r="C899">
        <v>1</v>
      </c>
      <c r="D899">
        <v>1</v>
      </c>
      <c r="J899">
        <v>13</v>
      </c>
    </row>
    <row r="900" spans="1:49">
      <c r="A900" s="3" t="s">
        <v>852</v>
      </c>
      <c r="C900">
        <v>1</v>
      </c>
      <c r="D900">
        <v>1</v>
      </c>
      <c r="J900">
        <v>13</v>
      </c>
    </row>
    <row r="901" spans="1:49">
      <c r="A901" s="3" t="s">
        <v>853</v>
      </c>
      <c r="C901">
        <v>1</v>
      </c>
      <c r="D901">
        <v>1</v>
      </c>
      <c r="J901">
        <v>13</v>
      </c>
    </row>
    <row r="902" spans="1:49">
      <c r="A902" s="3" t="s">
        <v>854</v>
      </c>
      <c r="C902">
        <v>1</v>
      </c>
      <c r="D902">
        <v>1</v>
      </c>
      <c r="J902">
        <v>13</v>
      </c>
    </row>
    <row r="903" spans="1:49">
      <c r="A903" s="3" t="s">
        <v>855</v>
      </c>
      <c r="C903">
        <v>1</v>
      </c>
      <c r="D903">
        <v>1</v>
      </c>
      <c r="J903">
        <v>13</v>
      </c>
    </row>
    <row r="904" spans="1:49">
      <c r="A904" s="3" t="s">
        <v>856</v>
      </c>
      <c r="C904">
        <v>1</v>
      </c>
      <c r="D904">
        <v>1</v>
      </c>
      <c r="J904">
        <v>13</v>
      </c>
    </row>
    <row r="905" spans="1:49">
      <c r="A905" s="3" t="s">
        <v>857</v>
      </c>
      <c r="C905">
        <v>1</v>
      </c>
      <c r="D905">
        <v>1</v>
      </c>
      <c r="J905">
        <v>13</v>
      </c>
    </row>
    <row r="906" spans="1:49">
      <c r="A906" s="3" t="s">
        <v>858</v>
      </c>
      <c r="C906">
        <v>1</v>
      </c>
      <c r="D906">
        <v>1</v>
      </c>
      <c r="J906">
        <v>13</v>
      </c>
    </row>
    <row r="907" spans="1:49">
      <c r="A907" s="3" t="s">
        <v>859</v>
      </c>
      <c r="C907">
        <v>1</v>
      </c>
      <c r="D907">
        <v>1</v>
      </c>
      <c r="J907">
        <v>13</v>
      </c>
    </row>
    <row r="908" spans="1:49">
      <c r="A908" s="3" t="s">
        <v>860</v>
      </c>
      <c r="C908">
        <v>1</v>
      </c>
      <c r="D908">
        <v>1</v>
      </c>
      <c r="J908">
        <v>13</v>
      </c>
    </row>
    <row r="909" spans="1:49">
      <c r="A909" s="3" t="s">
        <v>861</v>
      </c>
      <c r="C909">
        <v>1</v>
      </c>
      <c r="D909">
        <v>1</v>
      </c>
      <c r="J909">
        <v>13</v>
      </c>
    </row>
    <row r="910" spans="1:49">
      <c r="A910" s="3" t="s">
        <v>862</v>
      </c>
      <c r="C910">
        <v>1</v>
      </c>
      <c r="D910">
        <v>1</v>
      </c>
      <c r="J910">
        <v>13</v>
      </c>
    </row>
    <row r="911" spans="1:49">
      <c r="A911" s="3" t="s">
        <v>863</v>
      </c>
      <c r="C911">
        <v>1</v>
      </c>
      <c r="D911">
        <v>1</v>
      </c>
      <c r="J911">
        <v>13</v>
      </c>
    </row>
    <row r="912" spans="1:49">
      <c r="A912" s="3" t="s">
        <v>864</v>
      </c>
      <c r="C912">
        <v>1</v>
      </c>
      <c r="D912">
        <v>1</v>
      </c>
      <c r="J912">
        <v>13</v>
      </c>
    </row>
    <row r="913" spans="1:10">
      <c r="A913" s="3" t="s">
        <v>865</v>
      </c>
      <c r="C913">
        <v>1</v>
      </c>
      <c r="D913">
        <v>1</v>
      </c>
      <c r="J913">
        <v>13</v>
      </c>
    </row>
    <row r="914" spans="1:10">
      <c r="A914" s="3" t="s">
        <v>866</v>
      </c>
      <c r="C914">
        <v>1</v>
      </c>
      <c r="D914">
        <v>1</v>
      </c>
      <c r="J914">
        <v>13</v>
      </c>
    </row>
    <row r="915" spans="1:10">
      <c r="A915" s="3" t="s">
        <v>867</v>
      </c>
      <c r="C915">
        <v>1</v>
      </c>
      <c r="J915">
        <v>13</v>
      </c>
    </row>
    <row r="916" spans="1:10">
      <c r="A916" s="3" t="s">
        <v>868</v>
      </c>
      <c r="C916">
        <v>1</v>
      </c>
      <c r="J916">
        <v>13</v>
      </c>
    </row>
    <row r="917" spans="1:10">
      <c r="A917" s="3" t="s">
        <v>869</v>
      </c>
      <c r="C917">
        <v>1</v>
      </c>
      <c r="J917">
        <v>13</v>
      </c>
    </row>
    <row r="918" spans="1:10">
      <c r="A918" s="3" t="s">
        <v>870</v>
      </c>
      <c r="C918">
        <v>1</v>
      </c>
      <c r="J918">
        <v>13</v>
      </c>
    </row>
    <row r="919" spans="1:10">
      <c r="A919" s="3" t="s">
        <v>871</v>
      </c>
      <c r="C919">
        <v>1</v>
      </c>
      <c r="J919">
        <v>13</v>
      </c>
    </row>
    <row r="920" spans="1:10">
      <c r="A920" s="3" t="s">
        <v>872</v>
      </c>
      <c r="C920">
        <v>1</v>
      </c>
      <c r="J920">
        <v>13</v>
      </c>
    </row>
    <row r="921" spans="1:10">
      <c r="A921" s="3" t="s">
        <v>873</v>
      </c>
      <c r="C921">
        <v>1</v>
      </c>
      <c r="J921">
        <v>13</v>
      </c>
    </row>
    <row r="922" spans="1:10">
      <c r="A922" s="3" t="s">
        <v>874</v>
      </c>
      <c r="C922">
        <v>1</v>
      </c>
      <c r="J922">
        <v>13</v>
      </c>
    </row>
    <row r="923" spans="1:10">
      <c r="A923" s="3" t="s">
        <v>875</v>
      </c>
      <c r="C923">
        <v>1</v>
      </c>
      <c r="J923">
        <v>13</v>
      </c>
    </row>
    <row r="924" spans="1:10">
      <c r="A924" s="3" t="s">
        <v>876</v>
      </c>
      <c r="C924">
        <v>1</v>
      </c>
      <c r="J924">
        <v>13</v>
      </c>
    </row>
    <row r="925" spans="1:10">
      <c r="A925" s="3" t="s">
        <v>877</v>
      </c>
      <c r="C925">
        <v>1</v>
      </c>
      <c r="J925">
        <v>13</v>
      </c>
    </row>
    <row r="926" spans="1:10">
      <c r="A926" s="3" t="s">
        <v>878</v>
      </c>
      <c r="C926">
        <v>1</v>
      </c>
      <c r="J926">
        <v>13</v>
      </c>
    </row>
    <row r="927" spans="1:10">
      <c r="A927" s="3" t="s">
        <v>879</v>
      </c>
      <c r="C927">
        <v>1</v>
      </c>
      <c r="J927">
        <v>13</v>
      </c>
    </row>
    <row r="928" spans="1:10">
      <c r="A928" s="3" t="s">
        <v>880</v>
      </c>
      <c r="C928">
        <v>1</v>
      </c>
      <c r="J928">
        <v>13</v>
      </c>
    </row>
    <row r="929" spans="1:10">
      <c r="A929" s="3" t="s">
        <v>881</v>
      </c>
      <c r="C929">
        <v>1</v>
      </c>
      <c r="J929">
        <v>13</v>
      </c>
    </row>
    <row r="930" spans="1:10">
      <c r="A930" s="3" t="s">
        <v>882</v>
      </c>
      <c r="C930">
        <v>1</v>
      </c>
      <c r="J930">
        <v>13</v>
      </c>
    </row>
    <row r="931" spans="1:10">
      <c r="A931" s="3" t="s">
        <v>883</v>
      </c>
      <c r="C931">
        <v>1</v>
      </c>
      <c r="J931">
        <v>13</v>
      </c>
    </row>
    <row r="932" spans="1:10">
      <c r="A932" s="3" t="s">
        <v>884</v>
      </c>
      <c r="C932">
        <v>1</v>
      </c>
      <c r="J932">
        <v>13</v>
      </c>
    </row>
    <row r="933" spans="1:10">
      <c r="A933" s="3" t="s">
        <v>885</v>
      </c>
      <c r="C933">
        <v>1</v>
      </c>
      <c r="J933">
        <v>13</v>
      </c>
    </row>
    <row r="934" spans="1:10">
      <c r="A934" s="3" t="s">
        <v>886</v>
      </c>
      <c r="C934">
        <v>1</v>
      </c>
      <c r="J934">
        <v>13</v>
      </c>
    </row>
    <row r="935" spans="1:10">
      <c r="A935" s="3" t="s">
        <v>887</v>
      </c>
      <c r="C935">
        <v>1</v>
      </c>
      <c r="J935">
        <v>13</v>
      </c>
    </row>
    <row r="936" spans="1:10">
      <c r="A936" s="3" t="s">
        <v>888</v>
      </c>
      <c r="C936">
        <v>1</v>
      </c>
      <c r="J936">
        <v>13</v>
      </c>
    </row>
    <row r="937" spans="1:10">
      <c r="A937" s="3" t="s">
        <v>889</v>
      </c>
      <c r="C937">
        <v>1</v>
      </c>
      <c r="J937">
        <v>13</v>
      </c>
    </row>
    <row r="938" spans="1:10">
      <c r="A938" s="3" t="s">
        <v>890</v>
      </c>
      <c r="C938">
        <v>1</v>
      </c>
      <c r="J938">
        <v>13</v>
      </c>
    </row>
    <row r="939" spans="1:10">
      <c r="A939" s="3" t="s">
        <v>891</v>
      </c>
      <c r="C939">
        <v>1</v>
      </c>
      <c r="J939">
        <v>13</v>
      </c>
    </row>
    <row r="940" spans="1:10">
      <c r="A940" s="3" t="s">
        <v>892</v>
      </c>
      <c r="C940">
        <v>1</v>
      </c>
      <c r="J940">
        <v>13</v>
      </c>
    </row>
    <row r="941" spans="1:10">
      <c r="A941" s="3" t="s">
        <v>893</v>
      </c>
      <c r="C941">
        <v>1</v>
      </c>
      <c r="J941">
        <v>13</v>
      </c>
    </row>
    <row r="942" spans="1:10">
      <c r="A942" s="3" t="s">
        <v>894</v>
      </c>
      <c r="C942">
        <v>1</v>
      </c>
      <c r="J942">
        <v>13</v>
      </c>
    </row>
    <row r="943" spans="1:10">
      <c r="A943" s="3" t="s">
        <v>895</v>
      </c>
      <c r="C943">
        <v>1</v>
      </c>
      <c r="J943">
        <v>13</v>
      </c>
    </row>
    <row r="944" spans="1:10">
      <c r="A944" s="3" t="s">
        <v>896</v>
      </c>
      <c r="C944">
        <v>1</v>
      </c>
      <c r="J944">
        <v>13</v>
      </c>
    </row>
    <row r="945" spans="1:10">
      <c r="A945" s="3" t="s">
        <v>897</v>
      </c>
      <c r="C945">
        <v>1</v>
      </c>
      <c r="J945">
        <v>13</v>
      </c>
    </row>
    <row r="946" spans="1:10">
      <c r="A946" s="3" t="s">
        <v>898</v>
      </c>
      <c r="C946">
        <v>1</v>
      </c>
      <c r="J946">
        <v>13</v>
      </c>
    </row>
    <row r="947" spans="1:10">
      <c r="A947" s="3" t="s">
        <v>899</v>
      </c>
      <c r="C947">
        <v>1</v>
      </c>
      <c r="J947">
        <v>13</v>
      </c>
    </row>
    <row r="948" spans="1:10">
      <c r="A948" s="3" t="s">
        <v>900</v>
      </c>
      <c r="C948">
        <v>1</v>
      </c>
      <c r="J948">
        <v>13</v>
      </c>
    </row>
    <row r="949" spans="1:10">
      <c r="A949" s="3" t="s">
        <v>901</v>
      </c>
      <c r="C949">
        <v>1</v>
      </c>
      <c r="J949">
        <v>13</v>
      </c>
    </row>
    <row r="950" spans="1:10">
      <c r="A950" s="3" t="s">
        <v>902</v>
      </c>
      <c r="C950">
        <v>1</v>
      </c>
      <c r="J950">
        <v>13</v>
      </c>
    </row>
    <row r="951" spans="1:10">
      <c r="A951" s="3" t="s">
        <v>903</v>
      </c>
      <c r="C951">
        <v>1</v>
      </c>
      <c r="J951">
        <v>13</v>
      </c>
    </row>
    <row r="952" spans="1:10">
      <c r="A952" s="3" t="s">
        <v>904</v>
      </c>
      <c r="C952">
        <v>1</v>
      </c>
      <c r="J952">
        <v>13</v>
      </c>
    </row>
    <row r="953" spans="1:10">
      <c r="A953" s="3" t="s">
        <v>905</v>
      </c>
      <c r="C953">
        <v>1</v>
      </c>
      <c r="J953">
        <v>13</v>
      </c>
    </row>
    <row r="954" spans="1:10">
      <c r="A954" s="3" t="s">
        <v>906</v>
      </c>
      <c r="C954">
        <v>1</v>
      </c>
      <c r="J954">
        <v>13</v>
      </c>
    </row>
    <row r="955" spans="1:10">
      <c r="A955" s="3" t="s">
        <v>907</v>
      </c>
      <c r="C955">
        <v>1</v>
      </c>
      <c r="J955">
        <v>13</v>
      </c>
    </row>
    <row r="956" spans="1:10">
      <c r="A956" s="3" t="s">
        <v>908</v>
      </c>
      <c r="C956">
        <v>1</v>
      </c>
      <c r="J956">
        <v>13</v>
      </c>
    </row>
    <row r="957" spans="1:10">
      <c r="A957" s="3" t="s">
        <v>909</v>
      </c>
      <c r="C957">
        <v>1</v>
      </c>
      <c r="J957">
        <v>13</v>
      </c>
    </row>
    <row r="958" spans="1:10">
      <c r="A958" s="3" t="s">
        <v>910</v>
      </c>
      <c r="C958">
        <v>1</v>
      </c>
      <c r="J958">
        <v>13</v>
      </c>
    </row>
    <row r="959" spans="1:10">
      <c r="A959" s="3" t="s">
        <v>911</v>
      </c>
      <c r="C959">
        <v>1</v>
      </c>
      <c r="J959">
        <v>13</v>
      </c>
    </row>
    <row r="960" spans="1:10">
      <c r="A960" s="3" t="s">
        <v>912</v>
      </c>
      <c r="C960">
        <v>1</v>
      </c>
      <c r="J960">
        <v>13</v>
      </c>
    </row>
    <row r="961" spans="1:49">
      <c r="A961" s="3" t="s">
        <v>913</v>
      </c>
      <c r="C961">
        <v>1</v>
      </c>
      <c r="J961">
        <v>13</v>
      </c>
    </row>
    <row r="962" spans="1:49">
      <c r="A962" s="3" t="s">
        <v>914</v>
      </c>
      <c r="C962">
        <v>1</v>
      </c>
      <c r="J962">
        <v>13</v>
      </c>
    </row>
    <row r="963" spans="1:49">
      <c r="A963" s="3" t="s">
        <v>915</v>
      </c>
      <c r="C963">
        <v>1</v>
      </c>
      <c r="J963">
        <v>13</v>
      </c>
    </row>
    <row r="964" spans="1:49">
      <c r="A964" s="3" t="s">
        <v>916</v>
      </c>
      <c r="C964">
        <v>1</v>
      </c>
      <c r="J964">
        <v>13</v>
      </c>
    </row>
    <row r="965" spans="1:49">
      <c r="A965" s="3" t="s">
        <v>917</v>
      </c>
      <c r="C965">
        <v>1</v>
      </c>
      <c r="AW965">
        <v>5</v>
      </c>
    </row>
    <row r="966" spans="1:49">
      <c r="A966" s="3" t="s">
        <v>918</v>
      </c>
      <c r="C966">
        <v>1</v>
      </c>
      <c r="AW966">
        <v>5</v>
      </c>
    </row>
    <row r="967" spans="1:49">
      <c r="A967" s="3" t="s">
        <v>919</v>
      </c>
      <c r="C967">
        <v>1</v>
      </c>
      <c r="AW967">
        <v>5</v>
      </c>
    </row>
    <row r="968" spans="1:49">
      <c r="A968" s="3" t="s">
        <v>920</v>
      </c>
      <c r="C968">
        <v>1</v>
      </c>
      <c r="AW968">
        <v>5</v>
      </c>
    </row>
    <row r="969" spans="1:49">
      <c r="A969" s="3" t="s">
        <v>921</v>
      </c>
      <c r="C969">
        <v>1</v>
      </c>
      <c r="AW969">
        <v>5</v>
      </c>
    </row>
    <row r="970" spans="1:49">
      <c r="A970" s="3" t="s">
        <v>922</v>
      </c>
      <c r="C970">
        <v>1</v>
      </c>
      <c r="AW970">
        <v>5</v>
      </c>
    </row>
    <row r="971" spans="1:49">
      <c r="A971" s="3" t="s">
        <v>923</v>
      </c>
      <c r="C971">
        <v>1</v>
      </c>
      <c r="AW971">
        <v>5</v>
      </c>
    </row>
    <row r="972" spans="1:49">
      <c r="A972" s="3" t="s">
        <v>924</v>
      </c>
      <c r="C972">
        <v>1</v>
      </c>
      <c r="AW972">
        <v>5</v>
      </c>
    </row>
    <row r="973" spans="1:49">
      <c r="A973" s="3" t="s">
        <v>925</v>
      </c>
      <c r="C973">
        <v>1</v>
      </c>
      <c r="AW973">
        <v>5</v>
      </c>
    </row>
    <row r="974" spans="1:49">
      <c r="A974" s="3" t="s">
        <v>926</v>
      </c>
      <c r="C974">
        <v>1</v>
      </c>
      <c r="AW974">
        <v>5</v>
      </c>
    </row>
    <row r="975" spans="1:49">
      <c r="A975" s="3" t="s">
        <v>927</v>
      </c>
      <c r="C975">
        <v>1</v>
      </c>
      <c r="AW975">
        <v>5</v>
      </c>
    </row>
    <row r="976" spans="1:49">
      <c r="A976" s="3" t="s">
        <v>928</v>
      </c>
      <c r="C976">
        <v>1</v>
      </c>
      <c r="AW976">
        <v>5</v>
      </c>
    </row>
    <row r="977" spans="1:49">
      <c r="A977" s="3" t="s">
        <v>929</v>
      </c>
      <c r="C977">
        <v>1</v>
      </c>
      <c r="AW977">
        <v>5</v>
      </c>
    </row>
    <row r="978" spans="1:49">
      <c r="A978" s="3" t="s">
        <v>930</v>
      </c>
      <c r="C978">
        <v>1</v>
      </c>
      <c r="AW978">
        <v>5</v>
      </c>
    </row>
    <row r="979" spans="1:49">
      <c r="A979" s="3" t="s">
        <v>931</v>
      </c>
      <c r="C979">
        <v>1</v>
      </c>
      <c r="AW979">
        <v>5</v>
      </c>
    </row>
    <row r="980" spans="1:49">
      <c r="A980" s="3" t="s">
        <v>932</v>
      </c>
      <c r="C980">
        <v>1</v>
      </c>
      <c r="J980">
        <v>14</v>
      </c>
    </row>
    <row r="981" spans="1:49">
      <c r="A981" s="3" t="s">
        <v>933</v>
      </c>
      <c r="C981">
        <v>1</v>
      </c>
      <c r="J981">
        <v>14</v>
      </c>
    </row>
    <row r="982" spans="1:49">
      <c r="A982" s="3" t="s">
        <v>934</v>
      </c>
      <c r="C982">
        <v>1</v>
      </c>
      <c r="J982">
        <v>14</v>
      </c>
    </row>
    <row r="983" spans="1:49">
      <c r="A983" s="3" t="s">
        <v>935</v>
      </c>
      <c r="C983">
        <v>1</v>
      </c>
      <c r="J983">
        <v>14</v>
      </c>
    </row>
    <row r="984" spans="1:49">
      <c r="A984" s="3" t="s">
        <v>936</v>
      </c>
      <c r="C984">
        <v>1</v>
      </c>
      <c r="J984">
        <v>14</v>
      </c>
    </row>
    <row r="985" spans="1:49">
      <c r="A985" s="3" t="s">
        <v>937</v>
      </c>
      <c r="C985">
        <v>1</v>
      </c>
      <c r="J985">
        <v>14</v>
      </c>
    </row>
    <row r="986" spans="1:49">
      <c r="A986" s="3" t="s">
        <v>938</v>
      </c>
      <c r="C986">
        <v>1</v>
      </c>
      <c r="J986">
        <v>14</v>
      </c>
    </row>
    <row r="987" spans="1:49">
      <c r="A987" s="3" t="s">
        <v>939</v>
      </c>
      <c r="C987">
        <v>1</v>
      </c>
      <c r="J987">
        <v>14</v>
      </c>
    </row>
    <row r="988" spans="1:49">
      <c r="A988" s="3" t="s">
        <v>940</v>
      </c>
      <c r="C988">
        <v>1</v>
      </c>
      <c r="J988">
        <v>14</v>
      </c>
    </row>
    <row r="989" spans="1:49">
      <c r="A989" s="3" t="s">
        <v>941</v>
      </c>
      <c r="C989">
        <v>1</v>
      </c>
      <c r="J989">
        <v>14</v>
      </c>
    </row>
    <row r="990" spans="1:49">
      <c r="A990" s="3" t="s">
        <v>942</v>
      </c>
      <c r="C990">
        <v>1</v>
      </c>
      <c r="J990">
        <v>14</v>
      </c>
    </row>
    <row r="991" spans="1:49">
      <c r="A991" s="3" t="s">
        <v>943</v>
      </c>
      <c r="C991">
        <v>1</v>
      </c>
      <c r="J991">
        <v>14</v>
      </c>
    </row>
    <row r="992" spans="1:49">
      <c r="A992" s="3" t="s">
        <v>944</v>
      </c>
      <c r="C992">
        <v>1</v>
      </c>
      <c r="J992">
        <v>14</v>
      </c>
    </row>
    <row r="993" spans="1:49">
      <c r="A993" s="3" t="s">
        <v>945</v>
      </c>
      <c r="C993">
        <v>1</v>
      </c>
      <c r="J993">
        <v>14</v>
      </c>
    </row>
    <row r="994" spans="1:49">
      <c r="A994" s="3" t="s">
        <v>946</v>
      </c>
      <c r="C994">
        <v>1</v>
      </c>
      <c r="J994">
        <v>14</v>
      </c>
    </row>
    <row r="995" spans="1:49">
      <c r="A995" s="3" t="s">
        <v>947</v>
      </c>
      <c r="C995">
        <v>1</v>
      </c>
      <c r="J995">
        <v>14</v>
      </c>
    </row>
    <row r="996" spans="1:49">
      <c r="A996" s="3" t="s">
        <v>948</v>
      </c>
      <c r="C996">
        <v>1</v>
      </c>
      <c r="J996">
        <v>14</v>
      </c>
    </row>
    <row r="997" spans="1:49">
      <c r="A997" s="3" t="s">
        <v>949</v>
      </c>
      <c r="C997">
        <v>1</v>
      </c>
      <c r="J997">
        <v>14</v>
      </c>
    </row>
    <row r="998" spans="1:49">
      <c r="A998" s="3" t="s">
        <v>950</v>
      </c>
      <c r="C998">
        <v>1</v>
      </c>
      <c r="J998">
        <v>14</v>
      </c>
    </row>
    <row r="999" spans="1:49">
      <c r="A999" s="3" t="s">
        <v>951</v>
      </c>
      <c r="C999">
        <v>1</v>
      </c>
      <c r="J999">
        <v>14</v>
      </c>
    </row>
    <row r="1000" spans="1:49">
      <c r="A1000" s="3" t="s">
        <v>952</v>
      </c>
      <c r="C1000">
        <v>1</v>
      </c>
      <c r="J1000">
        <v>14</v>
      </c>
    </row>
    <row r="1001" spans="1:49">
      <c r="A1001" s="3" t="s">
        <v>953</v>
      </c>
      <c r="C1001">
        <v>1</v>
      </c>
      <c r="J1001">
        <v>14</v>
      </c>
    </row>
    <row r="1002" spans="1:49">
      <c r="A1002" s="3" t="s">
        <v>954</v>
      </c>
      <c r="C1002">
        <v>1</v>
      </c>
      <c r="J1002">
        <v>14</v>
      </c>
    </row>
    <row r="1003" spans="1:49">
      <c r="A1003" s="3" t="s">
        <v>955</v>
      </c>
      <c r="C1003">
        <v>1</v>
      </c>
      <c r="J1003">
        <v>14</v>
      </c>
    </row>
    <row r="1004" spans="1:49">
      <c r="A1004" s="3" t="s">
        <v>956</v>
      </c>
      <c r="C1004">
        <v>1</v>
      </c>
      <c r="J1004">
        <v>14</v>
      </c>
    </row>
    <row r="1005" spans="1:49">
      <c r="A1005" s="3" t="s">
        <v>957</v>
      </c>
      <c r="C1005">
        <v>1</v>
      </c>
      <c r="J1005">
        <v>14</v>
      </c>
    </row>
    <row r="1006" spans="1:49">
      <c r="A1006" s="3" t="s">
        <v>958</v>
      </c>
      <c r="C1006">
        <v>1</v>
      </c>
      <c r="AW1006">
        <v>6</v>
      </c>
    </row>
    <row r="1007" spans="1:49">
      <c r="A1007" s="3" t="s">
        <v>959</v>
      </c>
      <c r="C1007">
        <v>1</v>
      </c>
      <c r="AW1007">
        <v>6</v>
      </c>
    </row>
    <row r="1008" spans="1:49">
      <c r="A1008" s="3" t="s">
        <v>960</v>
      </c>
      <c r="C1008">
        <v>1</v>
      </c>
      <c r="AW1008">
        <v>6</v>
      </c>
    </row>
    <row r="1009" spans="1:49">
      <c r="A1009" s="3" t="s">
        <v>961</v>
      </c>
      <c r="C1009">
        <v>1</v>
      </c>
      <c r="AW1009">
        <v>6</v>
      </c>
    </row>
    <row r="1010" spans="1:49">
      <c r="A1010" s="3" t="s">
        <v>962</v>
      </c>
      <c r="C1010">
        <v>1</v>
      </c>
      <c r="AW1010">
        <v>6</v>
      </c>
    </row>
    <row r="1011" spans="1:49">
      <c r="A1011" s="3" t="s">
        <v>963</v>
      </c>
      <c r="C1011">
        <v>1</v>
      </c>
      <c r="AW1011">
        <v>6</v>
      </c>
    </row>
    <row r="1012" spans="1:49">
      <c r="A1012" s="3" t="s">
        <v>964</v>
      </c>
      <c r="C1012">
        <v>1</v>
      </c>
      <c r="AW1012">
        <v>6</v>
      </c>
    </row>
    <row r="1013" spans="1:49">
      <c r="A1013" s="3" t="s">
        <v>965</v>
      </c>
      <c r="C1013">
        <v>1</v>
      </c>
      <c r="AW1013">
        <v>6</v>
      </c>
    </row>
    <row r="1014" spans="1:49">
      <c r="A1014" s="3" t="s">
        <v>966</v>
      </c>
      <c r="C1014">
        <v>1</v>
      </c>
      <c r="AW1014">
        <v>6</v>
      </c>
    </row>
    <row r="1015" spans="1:49">
      <c r="A1015" s="3" t="s">
        <v>967</v>
      </c>
      <c r="C1015">
        <v>1</v>
      </c>
      <c r="AW1015">
        <v>6</v>
      </c>
    </row>
    <row r="1016" spans="1:49">
      <c r="A1016" s="3" t="s">
        <v>968</v>
      </c>
      <c r="C1016">
        <v>1</v>
      </c>
      <c r="AW1016">
        <v>6</v>
      </c>
    </row>
    <row r="1017" spans="1:49">
      <c r="A1017" s="3" t="s">
        <v>969</v>
      </c>
      <c r="C1017">
        <v>1</v>
      </c>
      <c r="AW1017">
        <v>6</v>
      </c>
    </row>
    <row r="1018" spans="1:49">
      <c r="A1018" s="3" t="s">
        <v>970</v>
      </c>
      <c r="C1018">
        <v>1</v>
      </c>
      <c r="AW1018">
        <v>6</v>
      </c>
    </row>
    <row r="1019" spans="1:49">
      <c r="A1019" s="3" t="s">
        <v>971</v>
      </c>
      <c r="C1019">
        <v>1</v>
      </c>
      <c r="AW1019">
        <v>6</v>
      </c>
    </row>
    <row r="1020" spans="1:49">
      <c r="A1020" s="3" t="s">
        <v>972</v>
      </c>
      <c r="C1020">
        <v>1</v>
      </c>
      <c r="J1020">
        <v>15</v>
      </c>
    </row>
    <row r="1021" spans="1:49">
      <c r="A1021" s="3" t="s">
        <v>973</v>
      </c>
      <c r="C1021">
        <v>1</v>
      </c>
      <c r="J1021">
        <v>15</v>
      </c>
    </row>
    <row r="1022" spans="1:49">
      <c r="A1022" s="3" t="s">
        <v>974</v>
      </c>
      <c r="C1022">
        <v>1</v>
      </c>
      <c r="J1022">
        <v>15</v>
      </c>
    </row>
    <row r="1023" spans="1:49">
      <c r="A1023" s="3" t="s">
        <v>975</v>
      </c>
      <c r="C1023">
        <v>1</v>
      </c>
      <c r="J1023">
        <v>15</v>
      </c>
    </row>
    <row r="1024" spans="1:49">
      <c r="A1024" s="3" t="s">
        <v>976</v>
      </c>
      <c r="C1024">
        <v>1</v>
      </c>
      <c r="J1024">
        <v>15</v>
      </c>
    </row>
    <row r="1025" spans="1:10">
      <c r="A1025" s="3" t="s">
        <v>977</v>
      </c>
      <c r="C1025">
        <v>1</v>
      </c>
      <c r="J1025">
        <v>15</v>
      </c>
    </row>
    <row r="1026" spans="1:10">
      <c r="A1026" s="3" t="s">
        <v>978</v>
      </c>
      <c r="C1026">
        <v>1</v>
      </c>
      <c r="J1026">
        <v>15</v>
      </c>
    </row>
    <row r="1027" spans="1:10">
      <c r="A1027" s="3" t="s">
        <v>979</v>
      </c>
      <c r="C1027">
        <v>1</v>
      </c>
      <c r="J1027">
        <v>15</v>
      </c>
    </row>
    <row r="1028" spans="1:10">
      <c r="A1028" s="3" t="s">
        <v>980</v>
      </c>
      <c r="C1028">
        <v>1</v>
      </c>
      <c r="J1028">
        <v>15</v>
      </c>
    </row>
    <row r="1029" spans="1:10">
      <c r="A1029" s="3" t="s">
        <v>981</v>
      </c>
      <c r="C1029">
        <v>1</v>
      </c>
      <c r="J1029">
        <v>15</v>
      </c>
    </row>
    <row r="1030" spans="1:10">
      <c r="A1030" s="3" t="s">
        <v>982</v>
      </c>
      <c r="C1030">
        <v>1</v>
      </c>
      <c r="J1030">
        <v>15</v>
      </c>
    </row>
    <row r="1031" spans="1:10">
      <c r="A1031" s="3" t="s">
        <v>983</v>
      </c>
      <c r="C1031">
        <v>1</v>
      </c>
      <c r="J1031">
        <v>15</v>
      </c>
    </row>
    <row r="1032" spans="1:10">
      <c r="A1032" s="3" t="s">
        <v>984</v>
      </c>
      <c r="C1032">
        <v>1</v>
      </c>
      <c r="J1032">
        <v>15</v>
      </c>
    </row>
    <row r="1033" spans="1:10">
      <c r="A1033" s="3" t="s">
        <v>985</v>
      </c>
      <c r="C1033">
        <v>1</v>
      </c>
      <c r="J1033">
        <v>15</v>
      </c>
    </row>
    <row r="1034" spans="1:10">
      <c r="A1034" s="3" t="s">
        <v>986</v>
      </c>
      <c r="C1034">
        <v>1</v>
      </c>
      <c r="J1034">
        <v>15</v>
      </c>
    </row>
    <row r="1035" spans="1:10">
      <c r="A1035" s="3" t="s">
        <v>987</v>
      </c>
      <c r="C1035">
        <v>1</v>
      </c>
      <c r="J1035">
        <v>15</v>
      </c>
    </row>
    <row r="1036" spans="1:10">
      <c r="A1036" s="3" t="s">
        <v>988</v>
      </c>
      <c r="C1036">
        <v>1</v>
      </c>
      <c r="J1036">
        <v>15</v>
      </c>
    </row>
    <row r="1037" spans="1:10">
      <c r="A1037" s="3" t="s">
        <v>989</v>
      </c>
      <c r="C1037">
        <v>1</v>
      </c>
      <c r="J1037">
        <v>15</v>
      </c>
    </row>
    <row r="1038" spans="1:10">
      <c r="A1038" s="3" t="s">
        <v>990</v>
      </c>
      <c r="C1038">
        <v>1</v>
      </c>
      <c r="J1038">
        <v>15</v>
      </c>
    </row>
    <row r="1039" spans="1:10">
      <c r="A1039" s="3" t="s">
        <v>991</v>
      </c>
      <c r="C1039">
        <v>1</v>
      </c>
      <c r="J1039">
        <v>15</v>
      </c>
    </row>
    <row r="1040" spans="1:10">
      <c r="A1040" s="3" t="s">
        <v>992</v>
      </c>
      <c r="C1040">
        <v>1</v>
      </c>
      <c r="J1040">
        <v>15</v>
      </c>
    </row>
    <row r="1041" spans="1:13">
      <c r="A1041" s="3" t="s">
        <v>993</v>
      </c>
      <c r="C1041">
        <v>1</v>
      </c>
      <c r="J1041">
        <v>15</v>
      </c>
    </row>
    <row r="1042" spans="1:13">
      <c r="A1042" s="3" t="s">
        <v>994</v>
      </c>
      <c r="C1042">
        <v>1</v>
      </c>
      <c r="J1042">
        <v>15</v>
      </c>
    </row>
    <row r="1043" spans="1:13">
      <c r="A1043" s="3" t="s">
        <v>995</v>
      </c>
      <c r="C1043">
        <v>1</v>
      </c>
      <c r="J1043">
        <v>15</v>
      </c>
    </row>
    <row r="1044" spans="1:13">
      <c r="A1044" s="3" t="s">
        <v>996</v>
      </c>
      <c r="C1044">
        <v>1</v>
      </c>
      <c r="J1044">
        <v>15</v>
      </c>
    </row>
    <row r="1045" spans="1:13">
      <c r="A1045" s="3" t="s">
        <v>997</v>
      </c>
      <c r="C1045">
        <v>1</v>
      </c>
      <c r="J1045">
        <v>15</v>
      </c>
    </row>
    <row r="1046" spans="1:13">
      <c r="A1046" s="3" t="s">
        <v>998</v>
      </c>
      <c r="C1046">
        <v>1</v>
      </c>
      <c r="J1046">
        <v>15</v>
      </c>
    </row>
    <row r="1047" spans="1:13">
      <c r="A1047" s="3" t="s">
        <v>999</v>
      </c>
      <c r="C1047">
        <v>1</v>
      </c>
      <c r="J1047">
        <v>15</v>
      </c>
    </row>
    <row r="1048" spans="1:13">
      <c r="A1048" s="3" t="s">
        <v>1000</v>
      </c>
      <c r="C1048">
        <v>1</v>
      </c>
      <c r="J1048">
        <v>15</v>
      </c>
    </row>
    <row r="1049" spans="1:13">
      <c r="A1049" s="3" t="s">
        <v>1001</v>
      </c>
      <c r="C1049">
        <v>1</v>
      </c>
      <c r="J1049">
        <v>15</v>
      </c>
    </row>
    <row r="1050" spans="1:13">
      <c r="A1050" s="3" t="s">
        <v>1002</v>
      </c>
      <c r="C1050">
        <v>1</v>
      </c>
      <c r="J1050">
        <v>15</v>
      </c>
    </row>
    <row r="1051" spans="1:13">
      <c r="A1051" s="3" t="s">
        <v>1003</v>
      </c>
      <c r="C1051">
        <v>1</v>
      </c>
      <c r="J1051">
        <v>15</v>
      </c>
    </row>
    <row r="1052" spans="1:13">
      <c r="A1052" s="3" t="s">
        <v>1004</v>
      </c>
      <c r="C1052">
        <v>1</v>
      </c>
      <c r="J1052">
        <v>15</v>
      </c>
    </row>
    <row r="1053" spans="1:13">
      <c r="A1053" s="3" t="s">
        <v>1005</v>
      </c>
      <c r="C1053">
        <v>1</v>
      </c>
      <c r="J1053">
        <v>15</v>
      </c>
    </row>
    <row r="1054" spans="1:13">
      <c r="A1054" s="3" t="s">
        <v>1006</v>
      </c>
      <c r="C1054">
        <v>1</v>
      </c>
      <c r="M1054">
        <v>3</v>
      </c>
    </row>
    <row r="1055" spans="1:13">
      <c r="A1055" s="3" t="s">
        <v>1007</v>
      </c>
      <c r="C1055">
        <v>1</v>
      </c>
      <c r="M1055">
        <v>3</v>
      </c>
    </row>
    <row r="1056" spans="1:13">
      <c r="A1056" s="3" t="s">
        <v>1008</v>
      </c>
      <c r="C1056">
        <v>1</v>
      </c>
      <c r="M1056">
        <v>3</v>
      </c>
    </row>
    <row r="1057" spans="1:13">
      <c r="A1057" s="3" t="s">
        <v>1009</v>
      </c>
      <c r="C1057">
        <v>1</v>
      </c>
      <c r="M1057">
        <v>3</v>
      </c>
    </row>
    <row r="1058" spans="1:13">
      <c r="A1058" s="3" t="s">
        <v>1010</v>
      </c>
      <c r="C1058">
        <v>1</v>
      </c>
      <c r="M1058">
        <v>3</v>
      </c>
    </row>
    <row r="1059" spans="1:13">
      <c r="A1059" s="3" t="s">
        <v>1011</v>
      </c>
      <c r="C1059">
        <v>1</v>
      </c>
      <c r="M1059">
        <v>3</v>
      </c>
    </row>
    <row r="1060" spans="1:13">
      <c r="A1060" s="3" t="s">
        <v>1012</v>
      </c>
      <c r="C1060">
        <v>1</v>
      </c>
      <c r="M1060">
        <v>3</v>
      </c>
    </row>
    <row r="1061" spans="1:13">
      <c r="A1061" s="3" t="s">
        <v>1013</v>
      </c>
      <c r="C1061">
        <v>1</v>
      </c>
      <c r="M1061">
        <v>3</v>
      </c>
    </row>
    <row r="1062" spans="1:13">
      <c r="A1062" s="3" t="s">
        <v>1014</v>
      </c>
      <c r="C1062">
        <v>1</v>
      </c>
      <c r="M1062">
        <v>3</v>
      </c>
    </row>
    <row r="1063" spans="1:13">
      <c r="A1063" s="3" t="s">
        <v>1015</v>
      </c>
      <c r="C1063">
        <v>1</v>
      </c>
      <c r="M1063">
        <v>3</v>
      </c>
    </row>
    <row r="1064" spans="1:13">
      <c r="A1064" s="3" t="s">
        <v>1016</v>
      </c>
      <c r="C1064">
        <v>1</v>
      </c>
      <c r="M1064">
        <v>3</v>
      </c>
    </row>
    <row r="1065" spans="1:13">
      <c r="A1065" s="3" t="s">
        <v>1017</v>
      </c>
      <c r="C1065">
        <v>1</v>
      </c>
      <c r="M1065">
        <v>3</v>
      </c>
    </row>
    <row r="1066" spans="1:13">
      <c r="A1066" s="3" t="s">
        <v>1018</v>
      </c>
      <c r="C1066">
        <v>1</v>
      </c>
      <c r="M1066">
        <v>3</v>
      </c>
    </row>
    <row r="1067" spans="1:13">
      <c r="A1067" s="3" t="s">
        <v>1019</v>
      </c>
      <c r="C1067">
        <v>1</v>
      </c>
      <c r="M1067">
        <v>3</v>
      </c>
    </row>
    <row r="1068" spans="1:13">
      <c r="A1068" s="3" t="s">
        <v>1020</v>
      </c>
      <c r="C1068">
        <v>1</v>
      </c>
      <c r="M1068">
        <v>3</v>
      </c>
    </row>
    <row r="1069" spans="1:13">
      <c r="A1069" s="3" t="s">
        <v>1021</v>
      </c>
      <c r="C1069">
        <v>1</v>
      </c>
      <c r="M1069">
        <v>3</v>
      </c>
    </row>
    <row r="1070" spans="1:13">
      <c r="A1070" s="3" t="s">
        <v>1022</v>
      </c>
      <c r="C1070">
        <v>1</v>
      </c>
      <c r="M1070">
        <v>3</v>
      </c>
    </row>
    <row r="1071" spans="1:13">
      <c r="A1071" s="3" t="s">
        <v>1023</v>
      </c>
      <c r="C1071">
        <v>1</v>
      </c>
      <c r="M1071">
        <v>3</v>
      </c>
    </row>
    <row r="1072" spans="1:13">
      <c r="A1072" s="3" t="s">
        <v>1024</v>
      </c>
      <c r="C1072">
        <v>1</v>
      </c>
      <c r="M1072">
        <v>3</v>
      </c>
    </row>
    <row r="1073" spans="1:49">
      <c r="A1073" s="3" t="s">
        <v>1025</v>
      </c>
      <c r="C1073">
        <v>1</v>
      </c>
      <c r="M1073">
        <v>3</v>
      </c>
    </row>
    <row r="1074" spans="1:49">
      <c r="A1074" s="3" t="s">
        <v>1026</v>
      </c>
      <c r="C1074">
        <v>1</v>
      </c>
      <c r="M1074">
        <v>3</v>
      </c>
    </row>
    <row r="1075" spans="1:49">
      <c r="A1075" s="3" t="s">
        <v>1027</v>
      </c>
      <c r="C1075">
        <v>1</v>
      </c>
      <c r="M1075">
        <v>3</v>
      </c>
    </row>
    <row r="1076" spans="1:49">
      <c r="A1076" s="3" t="s">
        <v>1028</v>
      </c>
      <c r="C1076">
        <v>1</v>
      </c>
      <c r="M1076">
        <v>3</v>
      </c>
    </row>
    <row r="1077" spans="1:49">
      <c r="A1077" s="3" t="s">
        <v>1029</v>
      </c>
      <c r="C1077">
        <v>1</v>
      </c>
      <c r="M1077">
        <v>3</v>
      </c>
    </row>
    <row r="1078" spans="1:49">
      <c r="A1078" s="3" t="s">
        <v>1030</v>
      </c>
      <c r="C1078">
        <v>1</v>
      </c>
      <c r="M1078">
        <v>3</v>
      </c>
    </row>
    <row r="1079" spans="1:49">
      <c r="A1079" s="3" t="s">
        <v>1031</v>
      </c>
      <c r="C1079">
        <v>1</v>
      </c>
      <c r="M1079">
        <v>3</v>
      </c>
    </row>
    <row r="1080" spans="1:49">
      <c r="A1080" s="3" t="s">
        <v>1032</v>
      </c>
      <c r="C1080">
        <v>1</v>
      </c>
      <c r="M1080">
        <v>3</v>
      </c>
    </row>
    <row r="1081" spans="1:49">
      <c r="A1081" s="3" t="s">
        <v>1033</v>
      </c>
      <c r="C1081">
        <v>1</v>
      </c>
      <c r="M1081">
        <v>3</v>
      </c>
    </row>
    <row r="1082" spans="1:49">
      <c r="A1082" s="3" t="s">
        <v>1034</v>
      </c>
      <c r="C1082">
        <v>1</v>
      </c>
      <c r="M1082">
        <v>3</v>
      </c>
    </row>
    <row r="1083" spans="1:49">
      <c r="A1083" s="3" t="s">
        <v>1035</v>
      </c>
      <c r="C1083">
        <v>1</v>
      </c>
      <c r="M1083">
        <v>3</v>
      </c>
    </row>
    <row r="1084" spans="1:49">
      <c r="A1084" s="3" t="s">
        <v>1036</v>
      </c>
      <c r="C1084">
        <v>1</v>
      </c>
      <c r="M1084">
        <v>3</v>
      </c>
    </row>
    <row r="1085" spans="1:49">
      <c r="A1085" s="3" t="s">
        <v>1037</v>
      </c>
      <c r="C1085">
        <v>1</v>
      </c>
      <c r="M1085">
        <v>3</v>
      </c>
    </row>
    <row r="1086" spans="1:49">
      <c r="A1086" s="3" t="s">
        <v>1038</v>
      </c>
      <c r="C1086">
        <v>1</v>
      </c>
      <c r="AW1086">
        <v>7</v>
      </c>
    </row>
    <row r="1087" spans="1:49">
      <c r="A1087" s="3" t="s">
        <v>1039</v>
      </c>
      <c r="C1087">
        <v>1</v>
      </c>
      <c r="AW1087">
        <v>7</v>
      </c>
    </row>
    <row r="1088" spans="1:49">
      <c r="A1088" s="3" t="s">
        <v>1040</v>
      </c>
      <c r="C1088">
        <v>1</v>
      </c>
      <c r="AW1088">
        <v>7</v>
      </c>
    </row>
    <row r="1089" spans="1:49">
      <c r="A1089" s="3" t="s">
        <v>1041</v>
      </c>
      <c r="C1089">
        <v>1</v>
      </c>
      <c r="AW1089">
        <v>7</v>
      </c>
    </row>
    <row r="1090" spans="1:49">
      <c r="A1090" s="3" t="s">
        <v>1042</v>
      </c>
      <c r="C1090">
        <v>1</v>
      </c>
      <c r="AW1090">
        <v>7</v>
      </c>
    </row>
    <row r="1091" spans="1:49">
      <c r="A1091" s="3" t="s">
        <v>1043</v>
      </c>
      <c r="C1091">
        <v>1</v>
      </c>
      <c r="AW1091">
        <v>7</v>
      </c>
    </row>
    <row r="1092" spans="1:49">
      <c r="A1092" s="3" t="s">
        <v>1044</v>
      </c>
      <c r="C1092">
        <v>1</v>
      </c>
      <c r="AW1092">
        <v>7</v>
      </c>
    </row>
    <row r="1093" spans="1:49">
      <c r="A1093" s="3" t="s">
        <v>1045</v>
      </c>
      <c r="C1093">
        <v>1</v>
      </c>
      <c r="AW1093">
        <v>7</v>
      </c>
    </row>
    <row r="1094" spans="1:49">
      <c r="A1094" s="3" t="s">
        <v>1046</v>
      </c>
      <c r="C1094">
        <v>1</v>
      </c>
      <c r="AW1094">
        <v>7</v>
      </c>
    </row>
    <row r="1095" spans="1:49">
      <c r="A1095" s="3" t="s">
        <v>1047</v>
      </c>
      <c r="C1095">
        <v>1</v>
      </c>
      <c r="AW1095">
        <v>7</v>
      </c>
    </row>
    <row r="1096" spans="1:49">
      <c r="A1096" s="3" t="s">
        <v>1048</v>
      </c>
      <c r="C1096">
        <v>1</v>
      </c>
      <c r="AW1096">
        <v>7</v>
      </c>
    </row>
    <row r="1097" spans="1:49">
      <c r="A1097" s="3" t="s">
        <v>1049</v>
      </c>
      <c r="C1097">
        <v>1</v>
      </c>
      <c r="AW1097">
        <v>7</v>
      </c>
    </row>
    <row r="1098" spans="1:49">
      <c r="A1098" s="3" t="s">
        <v>1050</v>
      </c>
      <c r="B1098">
        <v>2</v>
      </c>
      <c r="C1098">
        <v>1</v>
      </c>
      <c r="J1098">
        <v>16</v>
      </c>
    </row>
    <row r="1099" spans="1:49">
      <c r="A1099" s="3" t="s">
        <v>1051</v>
      </c>
      <c r="B1099">
        <v>2</v>
      </c>
      <c r="C1099">
        <v>1</v>
      </c>
      <c r="J1099">
        <v>16</v>
      </c>
    </row>
    <row r="1100" spans="1:49">
      <c r="A1100" s="3" t="s">
        <v>1052</v>
      </c>
      <c r="B1100">
        <v>2</v>
      </c>
      <c r="C1100">
        <v>1</v>
      </c>
      <c r="J1100">
        <v>16</v>
      </c>
    </row>
    <row r="1101" spans="1:49">
      <c r="A1101" s="3" t="s">
        <v>1053</v>
      </c>
      <c r="B1101">
        <v>2</v>
      </c>
      <c r="C1101">
        <v>1</v>
      </c>
      <c r="J1101">
        <v>16</v>
      </c>
    </row>
    <row r="1102" spans="1:49">
      <c r="A1102" s="3" t="s">
        <v>1054</v>
      </c>
      <c r="B1102">
        <v>2</v>
      </c>
      <c r="C1102">
        <v>1</v>
      </c>
      <c r="J1102">
        <v>16</v>
      </c>
    </row>
    <row r="1103" spans="1:49">
      <c r="A1103" s="3" t="s">
        <v>1055</v>
      </c>
      <c r="B1103">
        <v>2</v>
      </c>
      <c r="C1103">
        <v>1</v>
      </c>
      <c r="J1103">
        <v>16</v>
      </c>
    </row>
    <row r="1104" spans="1:49">
      <c r="A1104" s="3" t="s">
        <v>1056</v>
      </c>
      <c r="B1104">
        <v>2</v>
      </c>
      <c r="C1104">
        <v>1</v>
      </c>
      <c r="J1104">
        <v>16</v>
      </c>
    </row>
    <row r="1105" spans="1:10">
      <c r="A1105" s="3" t="s">
        <v>1057</v>
      </c>
      <c r="B1105">
        <v>2</v>
      </c>
      <c r="C1105">
        <v>1</v>
      </c>
      <c r="J1105">
        <v>16</v>
      </c>
    </row>
    <row r="1106" spans="1:10">
      <c r="A1106" s="3" t="s">
        <v>1058</v>
      </c>
      <c r="B1106">
        <v>2</v>
      </c>
      <c r="C1106">
        <v>1</v>
      </c>
      <c r="J1106">
        <v>16</v>
      </c>
    </row>
    <row r="1107" spans="1:10">
      <c r="A1107" s="3" t="s">
        <v>1059</v>
      </c>
      <c r="B1107">
        <v>2</v>
      </c>
      <c r="C1107">
        <v>1</v>
      </c>
      <c r="J1107">
        <v>16</v>
      </c>
    </row>
    <row r="1108" spans="1:10">
      <c r="A1108" s="3" t="s">
        <v>1060</v>
      </c>
      <c r="B1108">
        <v>2</v>
      </c>
      <c r="J1108">
        <v>16</v>
      </c>
    </row>
    <row r="1109" spans="1:10">
      <c r="A1109" s="3" t="s">
        <v>1061</v>
      </c>
      <c r="B1109">
        <v>2</v>
      </c>
      <c r="J1109">
        <v>16</v>
      </c>
    </row>
    <row r="1110" spans="1:10">
      <c r="A1110" s="3" t="s">
        <v>1062</v>
      </c>
      <c r="B1110">
        <v>2</v>
      </c>
      <c r="J1110">
        <v>16</v>
      </c>
    </row>
    <row r="1111" spans="1:10">
      <c r="A1111" s="3" t="s">
        <v>1063</v>
      </c>
      <c r="B1111">
        <v>2</v>
      </c>
      <c r="J1111">
        <v>16</v>
      </c>
    </row>
    <row r="1112" spans="1:10">
      <c r="A1112" s="3" t="s">
        <v>1064</v>
      </c>
      <c r="B1112">
        <v>2</v>
      </c>
      <c r="J1112">
        <v>16</v>
      </c>
    </row>
    <row r="1113" spans="1:10">
      <c r="A1113" s="3" t="s">
        <v>1065</v>
      </c>
      <c r="B1113">
        <v>2</v>
      </c>
      <c r="J1113">
        <v>16</v>
      </c>
    </row>
    <row r="1114" spans="1:10">
      <c r="A1114" s="3" t="s">
        <v>1066</v>
      </c>
      <c r="B1114">
        <v>2</v>
      </c>
      <c r="J1114">
        <v>16</v>
      </c>
    </row>
    <row r="1115" spans="1:10">
      <c r="A1115" s="3" t="s">
        <v>1067</v>
      </c>
      <c r="B1115">
        <v>2</v>
      </c>
      <c r="J1115">
        <v>16</v>
      </c>
    </row>
    <row r="1116" spans="1:10">
      <c r="A1116" s="3" t="s">
        <v>1068</v>
      </c>
      <c r="B1116">
        <v>2</v>
      </c>
      <c r="J1116">
        <v>16</v>
      </c>
    </row>
    <row r="1117" spans="1:10">
      <c r="A1117" s="3" t="s">
        <v>1069</v>
      </c>
      <c r="B1117">
        <v>2</v>
      </c>
      <c r="J1117">
        <v>16</v>
      </c>
    </row>
    <row r="1118" spans="1:10">
      <c r="A1118" s="3" t="s">
        <v>1070</v>
      </c>
      <c r="B1118">
        <v>2</v>
      </c>
      <c r="J1118">
        <v>16</v>
      </c>
    </row>
    <row r="1119" spans="1:10">
      <c r="A1119" s="3" t="s">
        <v>1071</v>
      </c>
      <c r="B1119">
        <v>2</v>
      </c>
      <c r="J1119">
        <v>16</v>
      </c>
    </row>
    <row r="1120" spans="1:10">
      <c r="A1120" s="3" t="s">
        <v>1072</v>
      </c>
      <c r="B1120">
        <v>2</v>
      </c>
      <c r="J1120">
        <v>16</v>
      </c>
    </row>
    <row r="1121" spans="1:10">
      <c r="A1121" s="3" t="s">
        <v>1073</v>
      </c>
      <c r="B1121">
        <v>2</v>
      </c>
      <c r="J1121">
        <v>16</v>
      </c>
    </row>
    <row r="1122" spans="1:10">
      <c r="A1122" s="3" t="s">
        <v>1074</v>
      </c>
      <c r="B1122">
        <v>2</v>
      </c>
      <c r="J1122">
        <v>16</v>
      </c>
    </row>
    <row r="1123" spans="1:10">
      <c r="A1123" s="3" t="s">
        <v>1075</v>
      </c>
      <c r="B1123">
        <v>2</v>
      </c>
      <c r="J1123">
        <v>16</v>
      </c>
    </row>
    <row r="1124" spans="1:10">
      <c r="A1124" s="3" t="s">
        <v>1076</v>
      </c>
      <c r="B1124">
        <v>2</v>
      </c>
      <c r="J1124">
        <v>16</v>
      </c>
    </row>
    <row r="1125" spans="1:10">
      <c r="A1125" s="3" t="s">
        <v>1077</v>
      </c>
      <c r="B1125">
        <v>2</v>
      </c>
      <c r="J1125">
        <v>16</v>
      </c>
    </row>
    <row r="1126" spans="1:10">
      <c r="A1126" s="3" t="s">
        <v>1078</v>
      </c>
      <c r="B1126">
        <v>2</v>
      </c>
      <c r="J1126">
        <v>16</v>
      </c>
    </row>
    <row r="1127" spans="1:10">
      <c r="A1127" s="3" t="s">
        <v>1079</v>
      </c>
      <c r="B1127">
        <v>2</v>
      </c>
      <c r="J1127">
        <v>16</v>
      </c>
    </row>
    <row r="1128" spans="1:10">
      <c r="A1128" s="3" t="s">
        <v>1080</v>
      </c>
      <c r="B1128">
        <v>2</v>
      </c>
      <c r="J1128">
        <v>16</v>
      </c>
    </row>
    <row r="1129" spans="1:10">
      <c r="A1129" s="3" t="s">
        <v>1081</v>
      </c>
      <c r="B1129">
        <v>2</v>
      </c>
      <c r="J1129">
        <v>16</v>
      </c>
    </row>
    <row r="1130" spans="1:10">
      <c r="A1130" s="3" t="s">
        <v>1082</v>
      </c>
      <c r="B1130">
        <v>2</v>
      </c>
      <c r="J1130">
        <v>16</v>
      </c>
    </row>
    <row r="1131" spans="1:10">
      <c r="A1131" s="3" t="s">
        <v>1083</v>
      </c>
      <c r="B1131">
        <v>2</v>
      </c>
      <c r="J1131">
        <v>16</v>
      </c>
    </row>
    <row r="1132" spans="1:10">
      <c r="A1132" s="3" t="s">
        <v>1084</v>
      </c>
      <c r="B1132">
        <v>2</v>
      </c>
      <c r="J1132">
        <v>16</v>
      </c>
    </row>
    <row r="1133" spans="1:10">
      <c r="A1133" s="3" t="s">
        <v>1085</v>
      </c>
      <c r="B1133">
        <v>2</v>
      </c>
      <c r="J1133">
        <v>16</v>
      </c>
    </row>
    <row r="1134" spans="1:10">
      <c r="A1134" s="3" t="s">
        <v>1086</v>
      </c>
      <c r="B1134">
        <v>2</v>
      </c>
      <c r="J1134">
        <v>16</v>
      </c>
    </row>
    <row r="1135" spans="1:10">
      <c r="A1135" s="3" t="s">
        <v>1087</v>
      </c>
      <c r="B1135">
        <v>2</v>
      </c>
      <c r="J1135">
        <v>16</v>
      </c>
    </row>
    <row r="1136" spans="1:10">
      <c r="A1136" s="3" t="s">
        <v>1088</v>
      </c>
      <c r="B1136">
        <v>2</v>
      </c>
      <c r="J1136">
        <v>16</v>
      </c>
    </row>
    <row r="1137" spans="1:10">
      <c r="A1137" s="3" t="s">
        <v>1089</v>
      </c>
      <c r="B1137">
        <v>2</v>
      </c>
      <c r="J1137">
        <v>16</v>
      </c>
    </row>
    <row r="1138" spans="1:10">
      <c r="A1138" s="3" t="s">
        <v>1090</v>
      </c>
      <c r="B1138">
        <v>2</v>
      </c>
      <c r="J1138">
        <v>16</v>
      </c>
    </row>
    <row r="1139" spans="1:10">
      <c r="A1139" s="3" t="s">
        <v>1091</v>
      </c>
      <c r="B1139">
        <v>2</v>
      </c>
      <c r="J1139">
        <v>16</v>
      </c>
    </row>
    <row r="1140" spans="1:10">
      <c r="A1140" s="3" t="s">
        <v>1092</v>
      </c>
      <c r="B1140">
        <v>2</v>
      </c>
      <c r="J1140">
        <v>16</v>
      </c>
    </row>
    <row r="1141" spans="1:10">
      <c r="A1141" s="3" t="s">
        <v>1093</v>
      </c>
      <c r="B1141">
        <v>2</v>
      </c>
      <c r="J1141">
        <v>16</v>
      </c>
    </row>
    <row r="1142" spans="1:10">
      <c r="A1142" s="3" t="s">
        <v>1094</v>
      </c>
      <c r="B1142">
        <v>2</v>
      </c>
      <c r="J1142">
        <v>16</v>
      </c>
    </row>
    <row r="1143" spans="1:10">
      <c r="A1143" s="3" t="s">
        <v>1095</v>
      </c>
      <c r="B1143">
        <v>2</v>
      </c>
      <c r="J1143">
        <v>16</v>
      </c>
    </row>
    <row r="1144" spans="1:10">
      <c r="A1144" s="3" t="s">
        <v>1096</v>
      </c>
      <c r="B1144">
        <v>2</v>
      </c>
      <c r="J1144">
        <v>16</v>
      </c>
    </row>
    <row r="1145" spans="1:10">
      <c r="A1145" s="3" t="s">
        <v>1097</v>
      </c>
      <c r="B1145">
        <v>2</v>
      </c>
      <c r="J1145">
        <v>16</v>
      </c>
    </row>
    <row r="1146" spans="1:10">
      <c r="A1146" s="3" t="s">
        <v>1098</v>
      </c>
      <c r="B1146">
        <v>2</v>
      </c>
      <c r="J1146">
        <v>16</v>
      </c>
    </row>
    <row r="1147" spans="1:10">
      <c r="A1147" s="3" t="s">
        <v>1099</v>
      </c>
      <c r="B1147">
        <v>2</v>
      </c>
      <c r="J1147">
        <v>16</v>
      </c>
    </row>
    <row r="1148" spans="1:10">
      <c r="A1148" s="3" t="s">
        <v>1100</v>
      </c>
      <c r="B1148">
        <v>2</v>
      </c>
      <c r="J1148">
        <v>16</v>
      </c>
    </row>
    <row r="1149" spans="1:10">
      <c r="A1149" s="3" t="s">
        <v>1101</v>
      </c>
      <c r="B1149">
        <v>2</v>
      </c>
      <c r="J1149">
        <v>16</v>
      </c>
    </row>
    <row r="1150" spans="1:10">
      <c r="A1150" s="3" t="s">
        <v>1102</v>
      </c>
      <c r="B1150">
        <v>2</v>
      </c>
      <c r="J1150">
        <v>16</v>
      </c>
    </row>
    <row r="1151" spans="1:10">
      <c r="A1151" s="3" t="s">
        <v>1103</v>
      </c>
      <c r="B1151">
        <v>2</v>
      </c>
      <c r="J1151">
        <v>16</v>
      </c>
    </row>
    <row r="1152" spans="1:10">
      <c r="A1152" s="3" t="s">
        <v>1104</v>
      </c>
      <c r="B1152">
        <v>2</v>
      </c>
      <c r="J1152">
        <v>16</v>
      </c>
    </row>
    <row r="1153" spans="1:10">
      <c r="A1153" s="3" t="s">
        <v>1105</v>
      </c>
      <c r="B1153">
        <v>2</v>
      </c>
      <c r="J1153">
        <v>16</v>
      </c>
    </row>
    <row r="1154" spans="1:10">
      <c r="A1154" s="3" t="s">
        <v>1106</v>
      </c>
      <c r="B1154">
        <v>2</v>
      </c>
      <c r="J1154">
        <v>16</v>
      </c>
    </row>
    <row r="1155" spans="1:10">
      <c r="A1155" s="3" t="s">
        <v>1107</v>
      </c>
      <c r="B1155">
        <v>2</v>
      </c>
      <c r="J1155">
        <v>16</v>
      </c>
    </row>
    <row r="1156" spans="1:10">
      <c r="A1156" s="3" t="s">
        <v>1108</v>
      </c>
      <c r="B1156">
        <v>2</v>
      </c>
      <c r="J1156">
        <v>16</v>
      </c>
    </row>
    <row r="1157" spans="1:10">
      <c r="A1157" s="3" t="s">
        <v>1109</v>
      </c>
      <c r="B1157">
        <v>2</v>
      </c>
      <c r="J1157">
        <v>16</v>
      </c>
    </row>
    <row r="1158" spans="1:10">
      <c r="A1158" s="3" t="s">
        <v>1110</v>
      </c>
      <c r="B1158">
        <v>2</v>
      </c>
      <c r="J1158">
        <v>16</v>
      </c>
    </row>
    <row r="1159" spans="1:10">
      <c r="A1159" s="3" t="s">
        <v>1111</v>
      </c>
      <c r="B1159">
        <v>2</v>
      </c>
      <c r="J1159">
        <v>16</v>
      </c>
    </row>
    <row r="1160" spans="1:10">
      <c r="A1160" s="3" t="s">
        <v>1112</v>
      </c>
      <c r="B1160">
        <v>2</v>
      </c>
      <c r="J1160">
        <v>16</v>
      </c>
    </row>
    <row r="1161" spans="1:10">
      <c r="A1161" s="3" t="s">
        <v>1113</v>
      </c>
      <c r="B1161">
        <v>2</v>
      </c>
      <c r="J1161">
        <v>16</v>
      </c>
    </row>
    <row r="1162" spans="1:10">
      <c r="A1162" s="3" t="s">
        <v>1114</v>
      </c>
      <c r="B1162">
        <v>2</v>
      </c>
      <c r="J1162">
        <v>16</v>
      </c>
    </row>
    <row r="1163" spans="1:10">
      <c r="A1163" s="3" t="s">
        <v>1115</v>
      </c>
      <c r="B1163">
        <v>2</v>
      </c>
      <c r="J1163">
        <v>16</v>
      </c>
    </row>
    <row r="1164" spans="1:10">
      <c r="A1164" s="3" t="s">
        <v>1116</v>
      </c>
      <c r="B1164">
        <v>2</v>
      </c>
      <c r="J1164">
        <v>16</v>
      </c>
    </row>
    <row r="1165" spans="1:10">
      <c r="A1165" s="3" t="s">
        <v>1117</v>
      </c>
      <c r="B1165">
        <v>2</v>
      </c>
      <c r="J1165">
        <v>16</v>
      </c>
    </row>
    <row r="1166" spans="1:10">
      <c r="A1166" s="3" t="s">
        <v>1118</v>
      </c>
      <c r="B1166">
        <v>2</v>
      </c>
      <c r="J1166">
        <v>16</v>
      </c>
    </row>
    <row r="1167" spans="1:10">
      <c r="A1167" s="3" t="s">
        <v>1119</v>
      </c>
      <c r="B1167">
        <v>2</v>
      </c>
      <c r="J1167">
        <v>16</v>
      </c>
    </row>
    <row r="1168" spans="1:10">
      <c r="A1168" s="3" t="s">
        <v>1120</v>
      </c>
      <c r="B1168">
        <v>2</v>
      </c>
      <c r="J1168">
        <v>16</v>
      </c>
    </row>
    <row r="1169" spans="1:46">
      <c r="A1169" s="3" t="s">
        <v>1121</v>
      </c>
      <c r="B1169">
        <v>2</v>
      </c>
      <c r="AT1169">
        <v>9</v>
      </c>
    </row>
    <row r="1170" spans="1:46">
      <c r="A1170" s="3" t="s">
        <v>1122</v>
      </c>
      <c r="B1170">
        <v>2</v>
      </c>
      <c r="AT1170">
        <v>9</v>
      </c>
    </row>
    <row r="1171" spans="1:46">
      <c r="A1171" s="3" t="s">
        <v>1123</v>
      </c>
      <c r="B1171">
        <v>2</v>
      </c>
      <c r="AT1171">
        <v>9</v>
      </c>
    </row>
    <row r="1172" spans="1:46">
      <c r="A1172" s="3" t="s">
        <v>1124</v>
      </c>
      <c r="B1172">
        <v>2</v>
      </c>
      <c r="AT1172">
        <v>9</v>
      </c>
    </row>
    <row r="1173" spans="1:46">
      <c r="A1173" s="3" t="s">
        <v>1125</v>
      </c>
      <c r="B1173">
        <v>2</v>
      </c>
      <c r="AT1173">
        <v>9</v>
      </c>
    </row>
    <row r="1174" spans="1:46">
      <c r="A1174" s="3" t="s">
        <v>1126</v>
      </c>
      <c r="B1174">
        <v>2</v>
      </c>
      <c r="AT1174">
        <v>9</v>
      </c>
    </row>
    <row r="1175" spans="1:46">
      <c r="A1175" s="3" t="s">
        <v>1127</v>
      </c>
      <c r="B1175">
        <v>2</v>
      </c>
      <c r="AT1175">
        <v>9</v>
      </c>
    </row>
    <row r="1176" spans="1:46">
      <c r="A1176" s="3" t="s">
        <v>1128</v>
      </c>
      <c r="B1176">
        <v>2</v>
      </c>
      <c r="AT1176">
        <v>9</v>
      </c>
    </row>
    <row r="1177" spans="1:46">
      <c r="A1177" s="3" t="s">
        <v>1129</v>
      </c>
      <c r="B1177">
        <v>2</v>
      </c>
      <c r="AP1177">
        <v>1</v>
      </c>
    </row>
    <row r="1178" spans="1:46">
      <c r="A1178" s="3" t="s">
        <v>1130</v>
      </c>
      <c r="B1178">
        <v>2</v>
      </c>
      <c r="AP1178">
        <v>1</v>
      </c>
    </row>
    <row r="1179" spans="1:46">
      <c r="A1179" s="3" t="s">
        <v>1131</v>
      </c>
      <c r="B1179">
        <v>2</v>
      </c>
      <c r="AP1179">
        <v>1</v>
      </c>
    </row>
    <row r="1180" spans="1:46">
      <c r="A1180" s="3" t="s">
        <v>1132</v>
      </c>
      <c r="B1180">
        <v>2</v>
      </c>
      <c r="AP1180">
        <v>1</v>
      </c>
    </row>
    <row r="1181" spans="1:46">
      <c r="A1181" s="3" t="s">
        <v>1133</v>
      </c>
      <c r="B1181">
        <v>2</v>
      </c>
      <c r="AP1181">
        <v>1</v>
      </c>
    </row>
    <row r="1182" spans="1:46">
      <c r="A1182" s="3" t="s">
        <v>1134</v>
      </c>
      <c r="B1182">
        <v>2</v>
      </c>
      <c r="AP1182">
        <v>1</v>
      </c>
    </row>
    <row r="1183" spans="1:46">
      <c r="A1183" s="3" t="s">
        <v>1135</v>
      </c>
      <c r="B1183">
        <v>2</v>
      </c>
      <c r="AP1183">
        <v>1</v>
      </c>
    </row>
    <row r="1184" spans="1:46">
      <c r="A1184" s="3" t="s">
        <v>1136</v>
      </c>
      <c r="B1184">
        <v>2</v>
      </c>
      <c r="AP1184">
        <v>1</v>
      </c>
    </row>
    <row r="1185" spans="1:42">
      <c r="A1185" s="3" t="s">
        <v>1137</v>
      </c>
      <c r="B1185">
        <v>2</v>
      </c>
      <c r="AP1185">
        <v>1</v>
      </c>
    </row>
    <row r="1186" spans="1:42">
      <c r="A1186" s="3" t="s">
        <v>1138</v>
      </c>
      <c r="B1186">
        <v>2</v>
      </c>
      <c r="AP1186">
        <v>1</v>
      </c>
    </row>
    <row r="1187" spans="1:42">
      <c r="A1187" s="3" t="s">
        <v>1139</v>
      </c>
      <c r="B1187">
        <v>2</v>
      </c>
      <c r="AP1187">
        <v>1</v>
      </c>
    </row>
    <row r="1188" spans="1:42">
      <c r="A1188" s="3" t="s">
        <v>1140</v>
      </c>
      <c r="B1188">
        <v>2</v>
      </c>
      <c r="AP1188">
        <v>1</v>
      </c>
    </row>
    <row r="1189" spans="1:42">
      <c r="A1189" s="3" t="s">
        <v>1141</v>
      </c>
      <c r="B1189">
        <v>2</v>
      </c>
      <c r="AP1189">
        <v>1</v>
      </c>
    </row>
    <row r="1190" spans="1:42">
      <c r="A1190" s="3" t="s">
        <v>1142</v>
      </c>
      <c r="B1190">
        <v>2</v>
      </c>
      <c r="AP1190">
        <v>1</v>
      </c>
    </row>
    <row r="1191" spans="1:42">
      <c r="A1191" s="3" t="s">
        <v>1143</v>
      </c>
      <c r="B1191">
        <v>2</v>
      </c>
      <c r="AP1191">
        <v>1</v>
      </c>
    </row>
    <row r="1192" spans="1:42">
      <c r="A1192" s="3" t="s">
        <v>1144</v>
      </c>
      <c r="B1192">
        <v>2</v>
      </c>
      <c r="AP1192">
        <v>1</v>
      </c>
    </row>
    <row r="1193" spans="1:42">
      <c r="A1193" s="3" t="s">
        <v>1145</v>
      </c>
      <c r="B1193">
        <v>2</v>
      </c>
      <c r="J1193">
        <v>17</v>
      </c>
    </row>
    <row r="1194" spans="1:42">
      <c r="A1194" s="3" t="s">
        <v>1146</v>
      </c>
      <c r="B1194">
        <v>2</v>
      </c>
      <c r="J1194">
        <v>17</v>
      </c>
    </row>
    <row r="1195" spans="1:42">
      <c r="A1195" s="3" t="s">
        <v>1147</v>
      </c>
      <c r="B1195">
        <v>2</v>
      </c>
      <c r="J1195">
        <v>17</v>
      </c>
    </row>
    <row r="1196" spans="1:42">
      <c r="A1196" s="3" t="s">
        <v>1148</v>
      </c>
      <c r="B1196">
        <v>2</v>
      </c>
      <c r="J1196">
        <v>17</v>
      </c>
    </row>
    <row r="1197" spans="1:42">
      <c r="A1197" s="3" t="s">
        <v>1149</v>
      </c>
      <c r="B1197">
        <v>2</v>
      </c>
      <c r="J1197">
        <v>17</v>
      </c>
    </row>
    <row r="1198" spans="1:42">
      <c r="A1198" s="3" t="s">
        <v>1150</v>
      </c>
      <c r="B1198">
        <v>2</v>
      </c>
      <c r="J1198">
        <v>17</v>
      </c>
    </row>
    <row r="1199" spans="1:42">
      <c r="A1199" s="3" t="s">
        <v>1151</v>
      </c>
      <c r="B1199">
        <v>2</v>
      </c>
      <c r="J1199">
        <v>17</v>
      </c>
    </row>
    <row r="1200" spans="1:42">
      <c r="A1200" s="3" t="s">
        <v>1152</v>
      </c>
      <c r="B1200">
        <v>2</v>
      </c>
      <c r="J1200">
        <v>17</v>
      </c>
    </row>
    <row r="1201" spans="1:49">
      <c r="A1201" s="3" t="s">
        <v>1153</v>
      </c>
      <c r="B1201">
        <v>2</v>
      </c>
      <c r="J1201">
        <v>17</v>
      </c>
    </row>
    <row r="1202" spans="1:49">
      <c r="A1202" s="3" t="s">
        <v>1154</v>
      </c>
      <c r="B1202">
        <v>2</v>
      </c>
      <c r="AW1202">
        <v>8</v>
      </c>
    </row>
    <row r="1203" spans="1:49">
      <c r="A1203" s="3" t="s">
        <v>1155</v>
      </c>
      <c r="B1203">
        <v>2</v>
      </c>
      <c r="AW1203">
        <v>8</v>
      </c>
    </row>
    <row r="1204" spans="1:49">
      <c r="A1204" s="3" t="s">
        <v>1156</v>
      </c>
      <c r="B1204">
        <v>2</v>
      </c>
      <c r="AW1204">
        <v>8</v>
      </c>
    </row>
    <row r="1205" spans="1:49">
      <c r="A1205" s="3" t="s">
        <v>1157</v>
      </c>
      <c r="B1205">
        <v>2</v>
      </c>
      <c r="AW1205">
        <v>8</v>
      </c>
    </row>
    <row r="1206" spans="1:49">
      <c r="A1206" s="3" t="s">
        <v>1158</v>
      </c>
      <c r="B1206">
        <v>2</v>
      </c>
      <c r="AW1206">
        <v>8</v>
      </c>
    </row>
    <row r="1207" spans="1:49">
      <c r="A1207" s="3" t="s">
        <v>1159</v>
      </c>
      <c r="B1207">
        <v>2</v>
      </c>
      <c r="AW1207">
        <v>8</v>
      </c>
    </row>
    <row r="1208" spans="1:49">
      <c r="A1208" s="3" t="s">
        <v>1160</v>
      </c>
      <c r="B1208">
        <v>2</v>
      </c>
      <c r="AW1208">
        <v>8</v>
      </c>
    </row>
    <row r="1209" spans="1:49">
      <c r="A1209" s="3" t="s">
        <v>1161</v>
      </c>
      <c r="B1209">
        <v>2</v>
      </c>
      <c r="AW1209">
        <v>8</v>
      </c>
    </row>
    <row r="1210" spans="1:49">
      <c r="A1210" s="3" t="s">
        <v>1162</v>
      </c>
      <c r="B1210">
        <v>2</v>
      </c>
      <c r="AW1210">
        <v>8</v>
      </c>
    </row>
    <row r="1211" spans="1:49">
      <c r="A1211" s="3" t="s">
        <v>1163</v>
      </c>
      <c r="B1211">
        <v>2</v>
      </c>
      <c r="AW1211">
        <v>8</v>
      </c>
    </row>
    <row r="1212" spans="1:49">
      <c r="A1212" s="3" t="s">
        <v>1164</v>
      </c>
      <c r="B1212">
        <v>2</v>
      </c>
      <c r="AW1212">
        <v>8</v>
      </c>
    </row>
    <row r="1213" spans="1:49">
      <c r="A1213" s="3" t="s">
        <v>1165</v>
      </c>
      <c r="B1213">
        <v>2</v>
      </c>
      <c r="J1213">
        <v>18</v>
      </c>
    </row>
    <row r="1214" spans="1:49">
      <c r="A1214" s="3" t="s">
        <v>1166</v>
      </c>
      <c r="B1214">
        <v>2</v>
      </c>
      <c r="J1214">
        <v>18</v>
      </c>
    </row>
    <row r="1215" spans="1:49">
      <c r="A1215" s="3" t="s">
        <v>1167</v>
      </c>
      <c r="B1215">
        <v>2</v>
      </c>
      <c r="J1215">
        <v>18</v>
      </c>
    </row>
    <row r="1216" spans="1:49">
      <c r="A1216" s="3" t="s">
        <v>1168</v>
      </c>
      <c r="B1216">
        <v>2</v>
      </c>
      <c r="J1216">
        <v>18</v>
      </c>
    </row>
    <row r="1217" spans="1:46">
      <c r="A1217" s="3" t="s">
        <v>1169</v>
      </c>
      <c r="B1217">
        <v>2</v>
      </c>
      <c r="J1217">
        <v>18</v>
      </c>
    </row>
    <row r="1218" spans="1:46">
      <c r="A1218" s="3" t="s">
        <v>1170</v>
      </c>
      <c r="B1218">
        <v>2</v>
      </c>
      <c r="J1218">
        <v>18</v>
      </c>
    </row>
    <row r="1219" spans="1:46">
      <c r="A1219" s="3" t="s">
        <v>1171</v>
      </c>
      <c r="B1219">
        <v>2</v>
      </c>
      <c r="J1219">
        <v>18</v>
      </c>
    </row>
    <row r="1220" spans="1:46">
      <c r="A1220" s="3" t="s">
        <v>1172</v>
      </c>
      <c r="B1220">
        <v>2</v>
      </c>
      <c r="J1220">
        <v>18</v>
      </c>
    </row>
    <row r="1221" spans="1:46">
      <c r="A1221" s="3" t="s">
        <v>1173</v>
      </c>
      <c r="B1221">
        <v>2</v>
      </c>
      <c r="J1221">
        <v>18</v>
      </c>
    </row>
    <row r="1222" spans="1:46">
      <c r="A1222" s="3" t="s">
        <v>1174</v>
      </c>
      <c r="B1222">
        <v>2</v>
      </c>
      <c r="J1222">
        <v>18</v>
      </c>
    </row>
    <row r="1223" spans="1:46">
      <c r="A1223" s="3" t="s">
        <v>1175</v>
      </c>
      <c r="B1223">
        <v>2</v>
      </c>
      <c r="J1223">
        <v>18</v>
      </c>
    </row>
    <row r="1224" spans="1:46">
      <c r="A1224" s="3" t="s">
        <v>1176</v>
      </c>
      <c r="B1224">
        <v>2</v>
      </c>
      <c r="J1224">
        <v>18</v>
      </c>
    </row>
    <row r="1225" spans="1:46">
      <c r="A1225" s="3" t="s">
        <v>1177</v>
      </c>
      <c r="B1225">
        <v>2</v>
      </c>
      <c r="J1225">
        <v>18</v>
      </c>
    </row>
    <row r="1226" spans="1:46">
      <c r="A1226" s="3" t="s">
        <v>1178</v>
      </c>
      <c r="B1226">
        <v>2</v>
      </c>
      <c r="J1226">
        <v>18</v>
      </c>
    </row>
    <row r="1227" spans="1:46">
      <c r="A1227" s="3" t="s">
        <v>1179</v>
      </c>
      <c r="B1227">
        <v>2</v>
      </c>
      <c r="J1227">
        <v>18</v>
      </c>
    </row>
    <row r="1228" spans="1:46">
      <c r="A1228" s="3" t="s">
        <v>1180</v>
      </c>
      <c r="B1228">
        <v>2</v>
      </c>
      <c r="AT1228">
        <v>10</v>
      </c>
    </row>
    <row r="1229" spans="1:46">
      <c r="A1229" s="3" t="s">
        <v>1181</v>
      </c>
      <c r="B1229">
        <v>2</v>
      </c>
      <c r="AT1229">
        <v>10</v>
      </c>
    </row>
    <row r="1230" spans="1:46">
      <c r="A1230" s="3" t="s">
        <v>1182</v>
      </c>
      <c r="B1230">
        <v>2</v>
      </c>
      <c r="AT1230">
        <v>10</v>
      </c>
    </row>
    <row r="1231" spans="1:46">
      <c r="A1231" s="3" t="s">
        <v>1183</v>
      </c>
      <c r="B1231">
        <v>2</v>
      </c>
      <c r="AT1231">
        <v>10</v>
      </c>
    </row>
    <row r="1232" spans="1:46">
      <c r="A1232" s="3" t="s">
        <v>1184</v>
      </c>
      <c r="B1232">
        <v>2</v>
      </c>
      <c r="AT1232">
        <v>10</v>
      </c>
    </row>
    <row r="1233" spans="1:46">
      <c r="A1233" s="3" t="s">
        <v>1185</v>
      </c>
      <c r="B1233">
        <v>2</v>
      </c>
      <c r="AT1233">
        <v>10</v>
      </c>
    </row>
    <row r="1234" spans="1:46">
      <c r="A1234" s="3" t="s">
        <v>1186</v>
      </c>
      <c r="B1234">
        <v>2</v>
      </c>
      <c r="AT1234">
        <v>10</v>
      </c>
    </row>
    <row r="1235" spans="1:46">
      <c r="A1235" s="3" t="s">
        <v>1187</v>
      </c>
      <c r="B1235">
        <v>2</v>
      </c>
      <c r="AT1235">
        <v>10</v>
      </c>
    </row>
    <row r="1236" spans="1:46">
      <c r="A1236" s="3" t="s">
        <v>1188</v>
      </c>
      <c r="B1236">
        <v>2</v>
      </c>
      <c r="AT1236">
        <v>10</v>
      </c>
    </row>
    <row r="1237" spans="1:46">
      <c r="A1237" s="3" t="s">
        <v>1189</v>
      </c>
      <c r="B1237">
        <v>2</v>
      </c>
      <c r="AT1237">
        <v>10</v>
      </c>
    </row>
    <row r="1238" spans="1:46">
      <c r="A1238" s="3" t="s">
        <v>1190</v>
      </c>
      <c r="B1238">
        <v>2</v>
      </c>
      <c r="AT1238">
        <v>10</v>
      </c>
    </row>
    <row r="1239" spans="1:46">
      <c r="A1239" s="3" t="s">
        <v>1191</v>
      </c>
      <c r="B1239">
        <v>2</v>
      </c>
      <c r="AT1239">
        <v>10</v>
      </c>
    </row>
    <row r="1240" spans="1:46">
      <c r="A1240" s="3" t="s">
        <v>1192</v>
      </c>
      <c r="B1240">
        <v>2</v>
      </c>
      <c r="AT1240">
        <v>10</v>
      </c>
    </row>
    <row r="1241" spans="1:46">
      <c r="A1241" s="3" t="s">
        <v>1193</v>
      </c>
      <c r="B1241">
        <v>2</v>
      </c>
      <c r="AT1241">
        <v>10</v>
      </c>
    </row>
    <row r="1242" spans="1:46">
      <c r="A1242" s="3" t="s">
        <v>1194</v>
      </c>
      <c r="B1242">
        <v>2</v>
      </c>
      <c r="AT1242">
        <v>10</v>
      </c>
    </row>
    <row r="1243" spans="1:46">
      <c r="A1243" s="3" t="s">
        <v>1195</v>
      </c>
      <c r="B1243">
        <v>2</v>
      </c>
      <c r="AT1243">
        <v>10</v>
      </c>
    </row>
    <row r="1244" spans="1:46">
      <c r="A1244" s="3" t="s">
        <v>1196</v>
      </c>
      <c r="B1244">
        <v>2</v>
      </c>
      <c r="AT1244">
        <v>10</v>
      </c>
    </row>
    <row r="1245" spans="1:46">
      <c r="A1245" s="3" t="s">
        <v>1197</v>
      </c>
      <c r="B1245">
        <v>2</v>
      </c>
      <c r="AT1245">
        <v>10</v>
      </c>
    </row>
    <row r="1246" spans="1:46">
      <c r="A1246" s="3" t="s">
        <v>1198</v>
      </c>
      <c r="B1246">
        <v>2</v>
      </c>
      <c r="AT1246">
        <v>10</v>
      </c>
    </row>
    <row r="1247" spans="1:46">
      <c r="A1247" s="3" t="s">
        <v>1199</v>
      </c>
      <c r="B1247">
        <v>2</v>
      </c>
      <c r="AT1247">
        <v>10</v>
      </c>
    </row>
    <row r="1248" spans="1:46">
      <c r="A1248" s="3" t="s">
        <v>1200</v>
      </c>
      <c r="B1248">
        <v>2</v>
      </c>
      <c r="AT1248">
        <v>10</v>
      </c>
    </row>
    <row r="1249" spans="1:48">
      <c r="A1249" s="3" t="s">
        <v>1201</v>
      </c>
      <c r="B1249">
        <v>2</v>
      </c>
      <c r="AT1249">
        <v>10</v>
      </c>
    </row>
    <row r="1250" spans="1:48">
      <c r="A1250" s="3" t="s">
        <v>1202</v>
      </c>
      <c r="B1250">
        <v>2</v>
      </c>
      <c r="AT1250">
        <v>10</v>
      </c>
    </row>
    <row r="1251" spans="1:48">
      <c r="A1251" s="3" t="s">
        <v>1203</v>
      </c>
      <c r="B1251">
        <v>2</v>
      </c>
      <c r="AT1251">
        <v>10</v>
      </c>
    </row>
    <row r="1252" spans="1:48">
      <c r="A1252" s="3" t="s">
        <v>1204</v>
      </c>
      <c r="B1252">
        <v>2</v>
      </c>
      <c r="AT1252">
        <v>10</v>
      </c>
    </row>
    <row r="1253" spans="1:48">
      <c r="A1253" s="3" t="s">
        <v>1205</v>
      </c>
      <c r="B1253">
        <v>2</v>
      </c>
      <c r="AT1253">
        <v>10</v>
      </c>
    </row>
    <row r="1254" spans="1:48">
      <c r="A1254" s="3" t="s">
        <v>1206</v>
      </c>
      <c r="B1254">
        <v>2</v>
      </c>
      <c r="AT1254">
        <v>10</v>
      </c>
    </row>
    <row r="1255" spans="1:48">
      <c r="A1255" s="3" t="s">
        <v>1207</v>
      </c>
      <c r="B1255">
        <v>2</v>
      </c>
      <c r="AT1255">
        <v>10</v>
      </c>
    </row>
    <row r="1256" spans="1:48">
      <c r="A1256" s="3" t="s">
        <v>1208</v>
      </c>
      <c r="B1256">
        <v>2</v>
      </c>
      <c r="AT1256">
        <v>10</v>
      </c>
    </row>
    <row r="1257" spans="1:48">
      <c r="A1257" s="3" t="s">
        <v>1209</v>
      </c>
      <c r="B1257">
        <v>2</v>
      </c>
      <c r="AT1257">
        <v>10</v>
      </c>
    </row>
    <row r="1258" spans="1:48">
      <c r="A1258" s="3" t="s">
        <v>1210</v>
      </c>
      <c r="B1258">
        <v>2</v>
      </c>
      <c r="AT1258">
        <v>10</v>
      </c>
    </row>
    <row r="1259" spans="1:48">
      <c r="A1259" s="3" t="s">
        <v>1211</v>
      </c>
      <c r="B1259">
        <v>2</v>
      </c>
      <c r="AT1259">
        <v>10</v>
      </c>
    </row>
    <row r="1260" spans="1:48">
      <c r="A1260" s="3" t="s">
        <v>1212</v>
      </c>
      <c r="B1260">
        <v>2</v>
      </c>
      <c r="AT1260">
        <v>10</v>
      </c>
    </row>
    <row r="1261" spans="1:48">
      <c r="A1261" s="3" t="s">
        <v>1213</v>
      </c>
      <c r="B1261">
        <v>2</v>
      </c>
      <c r="AT1261">
        <v>10</v>
      </c>
    </row>
    <row r="1262" spans="1:48">
      <c r="A1262" s="3" t="s">
        <v>1214</v>
      </c>
      <c r="B1262">
        <v>2</v>
      </c>
      <c r="AV1262">
        <v>1</v>
      </c>
    </row>
    <row r="1263" spans="1:48">
      <c r="A1263" s="3" t="s">
        <v>1215</v>
      </c>
      <c r="B1263">
        <v>2</v>
      </c>
      <c r="AV1263">
        <v>1</v>
      </c>
    </row>
    <row r="1264" spans="1:48">
      <c r="A1264" s="3" t="s">
        <v>1216</v>
      </c>
      <c r="B1264">
        <v>2</v>
      </c>
      <c r="AV1264">
        <v>1</v>
      </c>
    </row>
    <row r="1265" spans="1:48">
      <c r="A1265" s="3" t="s">
        <v>1217</v>
      </c>
      <c r="B1265">
        <v>2</v>
      </c>
      <c r="AV1265">
        <v>1</v>
      </c>
    </row>
    <row r="1266" spans="1:48">
      <c r="A1266" s="3" t="s">
        <v>1218</v>
      </c>
      <c r="B1266">
        <v>2</v>
      </c>
      <c r="AV1266">
        <v>1</v>
      </c>
    </row>
    <row r="1267" spans="1:48">
      <c r="A1267" s="3" t="s">
        <v>1219</v>
      </c>
      <c r="B1267">
        <v>2</v>
      </c>
      <c r="AV1267">
        <v>1</v>
      </c>
    </row>
    <row r="1268" spans="1:48">
      <c r="A1268" s="3" t="s">
        <v>1220</v>
      </c>
      <c r="B1268">
        <v>2</v>
      </c>
      <c r="AV1268">
        <v>1</v>
      </c>
    </row>
    <row r="1269" spans="1:48">
      <c r="A1269" s="3" t="s">
        <v>1221</v>
      </c>
      <c r="B1269">
        <v>2</v>
      </c>
      <c r="AV1269">
        <v>1</v>
      </c>
    </row>
    <row r="1270" spans="1:48">
      <c r="A1270" s="3" t="s">
        <v>1222</v>
      </c>
      <c r="B1270">
        <v>2</v>
      </c>
      <c r="AV1270">
        <v>1</v>
      </c>
    </row>
    <row r="1271" spans="1:48">
      <c r="A1271" s="3" t="s">
        <v>1223</v>
      </c>
      <c r="B1271">
        <v>2</v>
      </c>
      <c r="AV1271">
        <v>1</v>
      </c>
    </row>
    <row r="1272" spans="1:48">
      <c r="A1272" s="3" t="s">
        <v>1224</v>
      </c>
      <c r="B1272">
        <v>2</v>
      </c>
      <c r="AV1272">
        <v>1</v>
      </c>
    </row>
    <row r="1273" spans="1:48">
      <c r="A1273" s="3" t="s">
        <v>1225</v>
      </c>
      <c r="B1273">
        <v>2</v>
      </c>
      <c r="AV1273">
        <v>1</v>
      </c>
    </row>
    <row r="1274" spans="1:48">
      <c r="A1274" s="3" t="s">
        <v>1226</v>
      </c>
      <c r="B1274">
        <v>2</v>
      </c>
      <c r="AV1274">
        <v>1</v>
      </c>
    </row>
    <row r="1275" spans="1:48">
      <c r="A1275" s="3" t="s">
        <v>1227</v>
      </c>
      <c r="B1275">
        <v>2</v>
      </c>
      <c r="AV1275">
        <v>1</v>
      </c>
    </row>
    <row r="1276" spans="1:48">
      <c r="A1276" s="3" t="s">
        <v>1228</v>
      </c>
      <c r="B1276">
        <v>2</v>
      </c>
      <c r="AV1276">
        <v>1</v>
      </c>
    </row>
    <row r="1277" spans="1:48">
      <c r="A1277" s="3" t="s">
        <v>1229</v>
      </c>
      <c r="B1277">
        <v>2</v>
      </c>
      <c r="AV1277">
        <v>1</v>
      </c>
    </row>
    <row r="1278" spans="1:48">
      <c r="A1278" s="3" t="s">
        <v>1230</v>
      </c>
      <c r="B1278">
        <v>2</v>
      </c>
      <c r="AV1278">
        <v>1</v>
      </c>
    </row>
    <row r="1279" spans="1:48">
      <c r="A1279" s="3" t="s">
        <v>1231</v>
      </c>
      <c r="B1279">
        <v>2</v>
      </c>
      <c r="AV1279">
        <v>1</v>
      </c>
    </row>
    <row r="1280" spans="1:48">
      <c r="A1280" s="3" t="s">
        <v>1232</v>
      </c>
      <c r="B1280">
        <v>2</v>
      </c>
      <c r="AV1280">
        <v>1</v>
      </c>
    </row>
    <row r="1281" spans="1:48">
      <c r="A1281" s="3" t="s">
        <v>1233</v>
      </c>
      <c r="B1281">
        <v>2</v>
      </c>
      <c r="AV1281">
        <v>1</v>
      </c>
    </row>
    <row r="1282" spans="1:48">
      <c r="A1282" s="3" t="s">
        <v>1234</v>
      </c>
      <c r="B1282">
        <v>2</v>
      </c>
      <c r="AV1282">
        <v>1</v>
      </c>
    </row>
    <row r="1283" spans="1:48">
      <c r="A1283" s="3" t="s">
        <v>1235</v>
      </c>
      <c r="B1283">
        <v>2</v>
      </c>
      <c r="AV1283">
        <v>1</v>
      </c>
    </row>
    <row r="1284" spans="1:48">
      <c r="A1284" s="3" t="s">
        <v>1236</v>
      </c>
      <c r="B1284">
        <v>2</v>
      </c>
      <c r="AV1284">
        <v>1</v>
      </c>
    </row>
    <row r="1285" spans="1:48">
      <c r="A1285" s="3" t="s">
        <v>1237</v>
      </c>
      <c r="B1285">
        <v>2</v>
      </c>
      <c r="AV1285">
        <v>1</v>
      </c>
    </row>
    <row r="1286" spans="1:48">
      <c r="A1286" s="3" t="s">
        <v>1238</v>
      </c>
      <c r="B1286">
        <v>2</v>
      </c>
      <c r="AV1286">
        <v>1</v>
      </c>
    </row>
    <row r="1287" spans="1:48">
      <c r="A1287" s="3" t="s">
        <v>1239</v>
      </c>
      <c r="B1287">
        <v>2</v>
      </c>
      <c r="AV1287">
        <v>1</v>
      </c>
    </row>
    <row r="1288" spans="1:48">
      <c r="A1288" s="3" t="s">
        <v>1240</v>
      </c>
      <c r="B1288">
        <v>2</v>
      </c>
      <c r="AV1288">
        <v>1</v>
      </c>
    </row>
    <row r="1289" spans="1:48">
      <c r="A1289" s="3" t="s">
        <v>1241</v>
      </c>
      <c r="B1289">
        <v>2</v>
      </c>
      <c r="AV1289">
        <v>1</v>
      </c>
    </row>
    <row r="1290" spans="1:48">
      <c r="A1290" s="3" t="s">
        <v>1242</v>
      </c>
      <c r="B1290">
        <v>2</v>
      </c>
      <c r="AV1290">
        <v>1</v>
      </c>
    </row>
    <row r="1291" spans="1:48">
      <c r="A1291" s="3" t="s">
        <v>1243</v>
      </c>
      <c r="B1291">
        <v>2</v>
      </c>
      <c r="AV1291">
        <v>1</v>
      </c>
    </row>
    <row r="1292" spans="1:48">
      <c r="A1292" s="3" t="s">
        <v>1244</v>
      </c>
      <c r="B1292">
        <v>2</v>
      </c>
      <c r="AV1292">
        <v>1</v>
      </c>
    </row>
    <row r="1293" spans="1:48">
      <c r="A1293" s="3" t="s">
        <v>1245</v>
      </c>
      <c r="B1293">
        <v>2</v>
      </c>
      <c r="AV1293">
        <v>1</v>
      </c>
    </row>
    <row r="1294" spans="1:48">
      <c r="A1294" s="3" t="s">
        <v>1246</v>
      </c>
      <c r="B1294">
        <v>2</v>
      </c>
      <c r="AV1294">
        <v>1</v>
      </c>
    </row>
    <row r="1295" spans="1:48">
      <c r="A1295" s="3" t="s">
        <v>1247</v>
      </c>
      <c r="B1295">
        <v>2</v>
      </c>
      <c r="AV1295">
        <v>1</v>
      </c>
    </row>
    <row r="1296" spans="1:48">
      <c r="A1296" s="3" t="s">
        <v>1248</v>
      </c>
      <c r="B1296">
        <v>2</v>
      </c>
      <c r="AV1296">
        <v>1</v>
      </c>
    </row>
    <row r="1297" spans="1:48">
      <c r="A1297" s="3" t="s">
        <v>1249</v>
      </c>
      <c r="B1297">
        <v>2</v>
      </c>
      <c r="AV1297">
        <v>1</v>
      </c>
    </row>
    <row r="1298" spans="1:48">
      <c r="A1298" s="3" t="s">
        <v>1250</v>
      </c>
      <c r="B1298">
        <v>2</v>
      </c>
      <c r="AV1298">
        <v>1</v>
      </c>
    </row>
    <row r="1299" spans="1:48">
      <c r="A1299" s="3" t="s">
        <v>1251</v>
      </c>
      <c r="B1299">
        <v>2</v>
      </c>
      <c r="AV1299">
        <v>1</v>
      </c>
    </row>
    <row r="1300" spans="1:48">
      <c r="A1300" s="3" t="s">
        <v>1252</v>
      </c>
      <c r="B1300">
        <v>2</v>
      </c>
      <c r="AV1300">
        <v>1</v>
      </c>
    </row>
    <row r="1301" spans="1:48">
      <c r="A1301" s="3" t="s">
        <v>1253</v>
      </c>
      <c r="B1301">
        <v>2</v>
      </c>
      <c r="AV1301">
        <v>1</v>
      </c>
    </row>
    <row r="1302" spans="1:48">
      <c r="A1302" s="3" t="s">
        <v>1254</v>
      </c>
      <c r="B1302">
        <v>2</v>
      </c>
      <c r="AV1302">
        <v>1</v>
      </c>
    </row>
    <row r="1303" spans="1:48">
      <c r="A1303" s="3" t="s">
        <v>1255</v>
      </c>
      <c r="B1303">
        <v>2</v>
      </c>
      <c r="AV1303">
        <v>1</v>
      </c>
    </row>
    <row r="1304" spans="1:48">
      <c r="A1304" s="3" t="s">
        <v>1256</v>
      </c>
      <c r="B1304">
        <v>2</v>
      </c>
      <c r="AV1304">
        <v>1</v>
      </c>
    </row>
    <row r="1305" spans="1:48">
      <c r="A1305" s="3" t="s">
        <v>1257</v>
      </c>
      <c r="B1305">
        <v>2</v>
      </c>
      <c r="AV1305">
        <v>1</v>
      </c>
    </row>
    <row r="1306" spans="1:48">
      <c r="A1306" s="3" t="s">
        <v>1258</v>
      </c>
      <c r="B1306">
        <v>2</v>
      </c>
      <c r="AV1306">
        <v>1</v>
      </c>
    </row>
    <row r="1307" spans="1:48">
      <c r="A1307" s="3" t="s">
        <v>1259</v>
      </c>
      <c r="B1307">
        <v>2</v>
      </c>
      <c r="M1307">
        <v>4</v>
      </c>
    </row>
    <row r="1308" spans="1:48">
      <c r="A1308" s="3" t="s">
        <v>1260</v>
      </c>
      <c r="B1308">
        <v>2</v>
      </c>
      <c r="M1308">
        <v>4</v>
      </c>
    </row>
    <row r="1309" spans="1:48">
      <c r="A1309" s="3" t="s">
        <v>1261</v>
      </c>
      <c r="B1309">
        <v>2</v>
      </c>
      <c r="M1309">
        <v>4</v>
      </c>
    </row>
    <row r="1310" spans="1:48">
      <c r="A1310" s="3" t="s">
        <v>1262</v>
      </c>
      <c r="B1310">
        <v>2</v>
      </c>
      <c r="M1310">
        <v>4</v>
      </c>
    </row>
    <row r="1311" spans="1:48">
      <c r="A1311" s="3" t="s">
        <v>1263</v>
      </c>
      <c r="B1311">
        <v>2</v>
      </c>
      <c r="M1311">
        <v>4</v>
      </c>
    </row>
    <row r="1312" spans="1:48">
      <c r="A1312" s="3" t="s">
        <v>1264</v>
      </c>
      <c r="B1312">
        <v>2</v>
      </c>
      <c r="M1312">
        <v>4</v>
      </c>
    </row>
    <row r="1313" spans="1:13">
      <c r="A1313" s="3" t="s">
        <v>1265</v>
      </c>
      <c r="B1313">
        <v>2</v>
      </c>
      <c r="M1313">
        <v>4</v>
      </c>
    </row>
    <row r="1314" spans="1:13">
      <c r="A1314" s="3" t="s">
        <v>1266</v>
      </c>
      <c r="B1314">
        <v>2</v>
      </c>
      <c r="M1314">
        <v>4</v>
      </c>
    </row>
    <row r="1315" spans="1:13">
      <c r="A1315" s="3" t="s">
        <v>1267</v>
      </c>
      <c r="B1315">
        <v>2</v>
      </c>
      <c r="M1315">
        <v>4</v>
      </c>
    </row>
    <row r="1316" spans="1:13">
      <c r="A1316" s="3" t="s">
        <v>1268</v>
      </c>
      <c r="B1316">
        <v>2</v>
      </c>
      <c r="M1316">
        <v>4</v>
      </c>
    </row>
    <row r="1317" spans="1:13">
      <c r="A1317" s="3" t="s">
        <v>1269</v>
      </c>
      <c r="B1317">
        <v>2</v>
      </c>
      <c r="M1317">
        <v>4</v>
      </c>
    </row>
    <row r="1318" spans="1:13">
      <c r="A1318" s="3" t="s">
        <v>1270</v>
      </c>
      <c r="B1318">
        <v>2</v>
      </c>
      <c r="M1318">
        <v>4</v>
      </c>
    </row>
    <row r="1319" spans="1:13">
      <c r="A1319" s="3" t="s">
        <v>1271</v>
      </c>
      <c r="B1319">
        <v>2</v>
      </c>
      <c r="M1319">
        <v>4</v>
      </c>
    </row>
    <row r="1320" spans="1:13">
      <c r="A1320" s="3" t="s">
        <v>1272</v>
      </c>
      <c r="B1320">
        <v>2</v>
      </c>
      <c r="M1320">
        <v>4</v>
      </c>
    </row>
    <row r="1321" spans="1:13">
      <c r="A1321" s="3" t="s">
        <v>1273</v>
      </c>
      <c r="B1321">
        <v>2</v>
      </c>
      <c r="M1321">
        <v>4</v>
      </c>
    </row>
    <row r="1322" spans="1:13">
      <c r="A1322" s="3" t="s">
        <v>1274</v>
      </c>
      <c r="B1322">
        <v>2</v>
      </c>
      <c r="M1322">
        <v>4</v>
      </c>
    </row>
    <row r="1323" spans="1:13">
      <c r="A1323" s="3" t="s">
        <v>1275</v>
      </c>
      <c r="B1323">
        <v>2</v>
      </c>
      <c r="M1323">
        <v>4</v>
      </c>
    </row>
    <row r="1324" spans="1:13">
      <c r="A1324" s="3" t="s">
        <v>1276</v>
      </c>
      <c r="B1324">
        <v>2</v>
      </c>
      <c r="M1324">
        <v>4</v>
      </c>
    </row>
    <row r="1325" spans="1:13">
      <c r="A1325" s="3" t="s">
        <v>1277</v>
      </c>
      <c r="B1325">
        <v>2</v>
      </c>
      <c r="M1325">
        <v>4</v>
      </c>
    </row>
    <row r="1326" spans="1:13">
      <c r="A1326" s="3" t="s">
        <v>1278</v>
      </c>
      <c r="B1326">
        <v>2</v>
      </c>
      <c r="M1326">
        <v>4</v>
      </c>
    </row>
    <row r="1327" spans="1:13">
      <c r="A1327" s="3" t="s">
        <v>1279</v>
      </c>
      <c r="B1327">
        <v>2</v>
      </c>
      <c r="M1327">
        <v>4</v>
      </c>
    </row>
    <row r="1328" spans="1:13">
      <c r="A1328" s="3" t="s">
        <v>1280</v>
      </c>
      <c r="B1328">
        <v>2</v>
      </c>
      <c r="M1328">
        <v>4</v>
      </c>
    </row>
    <row r="1329" spans="1:13">
      <c r="A1329" s="3" t="s">
        <v>1281</v>
      </c>
      <c r="B1329">
        <v>2</v>
      </c>
      <c r="M1329">
        <v>4</v>
      </c>
    </row>
    <row r="1330" spans="1:13">
      <c r="A1330" s="3" t="s">
        <v>1282</v>
      </c>
      <c r="B1330">
        <v>2</v>
      </c>
      <c r="M1330">
        <v>4</v>
      </c>
    </row>
    <row r="1331" spans="1:13">
      <c r="A1331" s="3" t="s">
        <v>1283</v>
      </c>
      <c r="B1331">
        <v>2</v>
      </c>
      <c r="M1331">
        <v>4</v>
      </c>
    </row>
    <row r="1332" spans="1:13">
      <c r="A1332" s="3" t="s">
        <v>1284</v>
      </c>
      <c r="B1332">
        <v>2</v>
      </c>
      <c r="M1332">
        <v>4</v>
      </c>
    </row>
    <row r="1333" spans="1:13">
      <c r="A1333" s="3" t="s">
        <v>1285</v>
      </c>
      <c r="B1333">
        <v>2</v>
      </c>
      <c r="M1333">
        <v>4</v>
      </c>
    </row>
    <row r="1334" spans="1:13">
      <c r="A1334" s="3" t="s">
        <v>1286</v>
      </c>
      <c r="B1334">
        <v>2</v>
      </c>
      <c r="M1334">
        <v>4</v>
      </c>
    </row>
    <row r="1335" spans="1:13">
      <c r="A1335" s="3" t="s">
        <v>1287</v>
      </c>
      <c r="B1335">
        <v>2</v>
      </c>
      <c r="M1335">
        <v>4</v>
      </c>
    </row>
    <row r="1336" spans="1:13">
      <c r="A1336" s="3" t="s">
        <v>1288</v>
      </c>
      <c r="B1336">
        <v>2</v>
      </c>
      <c r="M1336">
        <v>4</v>
      </c>
    </row>
    <row r="1337" spans="1:13">
      <c r="A1337" s="3" t="s">
        <v>1289</v>
      </c>
      <c r="B1337">
        <v>2</v>
      </c>
      <c r="M1337">
        <v>4</v>
      </c>
    </row>
    <row r="1338" spans="1:13">
      <c r="A1338" s="3" t="s">
        <v>1290</v>
      </c>
      <c r="B1338">
        <v>2</v>
      </c>
      <c r="M1338">
        <v>4</v>
      </c>
    </row>
    <row r="1339" spans="1:13">
      <c r="A1339" s="3" t="s">
        <v>1291</v>
      </c>
      <c r="B1339">
        <v>2</v>
      </c>
      <c r="M1339">
        <v>4</v>
      </c>
    </row>
    <row r="1340" spans="1:13">
      <c r="A1340" s="3" t="s">
        <v>1292</v>
      </c>
      <c r="B1340">
        <v>2</v>
      </c>
      <c r="M1340">
        <v>4</v>
      </c>
    </row>
    <row r="1341" spans="1:13">
      <c r="A1341" s="3" t="s">
        <v>1293</v>
      </c>
      <c r="B1341">
        <v>2</v>
      </c>
      <c r="M1341">
        <v>4</v>
      </c>
    </row>
    <row r="1342" spans="1:13">
      <c r="A1342" s="3" t="s">
        <v>1294</v>
      </c>
      <c r="B1342">
        <v>2</v>
      </c>
      <c r="M1342">
        <v>4</v>
      </c>
    </row>
    <row r="1343" spans="1:13">
      <c r="A1343" s="3" t="s">
        <v>1295</v>
      </c>
      <c r="B1343">
        <v>2</v>
      </c>
      <c r="M1343">
        <v>4</v>
      </c>
    </row>
    <row r="1344" spans="1:13">
      <c r="A1344" s="3" t="s">
        <v>1296</v>
      </c>
      <c r="B1344">
        <v>2</v>
      </c>
      <c r="M1344">
        <v>4</v>
      </c>
    </row>
    <row r="1345" spans="1:49">
      <c r="A1345" s="3" t="s">
        <v>1297</v>
      </c>
      <c r="B1345">
        <v>2</v>
      </c>
      <c r="M1345">
        <v>4</v>
      </c>
    </row>
    <row r="1346" spans="1:49">
      <c r="A1346" s="3" t="s">
        <v>1298</v>
      </c>
      <c r="B1346">
        <v>2</v>
      </c>
      <c r="M1346">
        <v>4</v>
      </c>
    </row>
    <row r="1347" spans="1:49">
      <c r="A1347" s="3" t="s">
        <v>1299</v>
      </c>
      <c r="B1347">
        <v>2</v>
      </c>
      <c r="M1347">
        <v>4</v>
      </c>
    </row>
    <row r="1348" spans="1:49">
      <c r="A1348" s="3" t="s">
        <v>1300</v>
      </c>
      <c r="B1348">
        <v>2</v>
      </c>
      <c r="M1348">
        <v>4</v>
      </c>
    </row>
    <row r="1349" spans="1:49">
      <c r="A1349" s="3" t="s">
        <v>1301</v>
      </c>
      <c r="B1349">
        <v>2</v>
      </c>
      <c r="AW1349">
        <v>9</v>
      </c>
    </row>
    <row r="1350" spans="1:49">
      <c r="A1350" s="3" t="s">
        <v>1302</v>
      </c>
      <c r="B1350">
        <v>2</v>
      </c>
      <c r="AW1350">
        <v>9</v>
      </c>
    </row>
    <row r="1351" spans="1:49">
      <c r="A1351" s="3" t="s">
        <v>1303</v>
      </c>
      <c r="B1351">
        <v>2</v>
      </c>
      <c r="AW1351">
        <v>9</v>
      </c>
    </row>
    <row r="1352" spans="1:49">
      <c r="A1352" s="3" t="s">
        <v>1304</v>
      </c>
      <c r="B1352">
        <v>2</v>
      </c>
      <c r="AW1352">
        <v>9</v>
      </c>
    </row>
    <row r="1353" spans="1:49">
      <c r="A1353" s="3" t="s">
        <v>1305</v>
      </c>
      <c r="B1353">
        <v>2</v>
      </c>
      <c r="AW1353">
        <v>9</v>
      </c>
    </row>
    <row r="1354" spans="1:49">
      <c r="A1354" s="3" t="s">
        <v>1306</v>
      </c>
      <c r="B1354">
        <v>2</v>
      </c>
      <c r="AW1354">
        <v>9</v>
      </c>
    </row>
    <row r="1355" spans="1:49">
      <c r="A1355" s="3" t="s">
        <v>1307</v>
      </c>
      <c r="B1355">
        <v>2</v>
      </c>
      <c r="AW1355">
        <v>9</v>
      </c>
    </row>
    <row r="1356" spans="1:49">
      <c r="A1356" s="3" t="s">
        <v>1308</v>
      </c>
      <c r="B1356">
        <v>2</v>
      </c>
      <c r="AW1356">
        <v>9</v>
      </c>
    </row>
    <row r="1357" spans="1:49">
      <c r="A1357" s="3" t="s">
        <v>1309</v>
      </c>
      <c r="B1357">
        <v>2</v>
      </c>
      <c r="AW1357">
        <v>9</v>
      </c>
    </row>
    <row r="1358" spans="1:49">
      <c r="A1358" s="3" t="s">
        <v>1310</v>
      </c>
      <c r="B1358">
        <v>2</v>
      </c>
      <c r="E1358">
        <v>2</v>
      </c>
      <c r="J1358">
        <v>19</v>
      </c>
    </row>
    <row r="1359" spans="1:49">
      <c r="A1359" s="3" t="s">
        <v>1311</v>
      </c>
      <c r="B1359">
        <v>2</v>
      </c>
      <c r="E1359">
        <v>2</v>
      </c>
      <c r="J1359">
        <v>19</v>
      </c>
    </row>
    <row r="1360" spans="1:49">
      <c r="A1360" s="3" t="s">
        <v>1312</v>
      </c>
      <c r="B1360">
        <v>2</v>
      </c>
      <c r="E1360">
        <v>2</v>
      </c>
      <c r="J1360">
        <v>19</v>
      </c>
    </row>
    <row r="1361" spans="1:10">
      <c r="A1361" s="3" t="s">
        <v>1313</v>
      </c>
      <c r="B1361">
        <v>2</v>
      </c>
      <c r="E1361">
        <v>2</v>
      </c>
      <c r="J1361">
        <v>19</v>
      </c>
    </row>
    <row r="1362" spans="1:10">
      <c r="A1362" s="3" t="s">
        <v>1314</v>
      </c>
      <c r="B1362">
        <v>2</v>
      </c>
      <c r="E1362">
        <v>2</v>
      </c>
      <c r="J1362">
        <v>19</v>
      </c>
    </row>
    <row r="1363" spans="1:10">
      <c r="A1363" s="3" t="s">
        <v>1315</v>
      </c>
      <c r="B1363">
        <v>2</v>
      </c>
      <c r="E1363">
        <v>2</v>
      </c>
      <c r="J1363">
        <v>19</v>
      </c>
    </row>
    <row r="1364" spans="1:10">
      <c r="A1364" s="3" t="s">
        <v>1316</v>
      </c>
      <c r="B1364">
        <v>2</v>
      </c>
      <c r="E1364">
        <v>2</v>
      </c>
      <c r="J1364">
        <v>19</v>
      </c>
    </row>
    <row r="1365" spans="1:10">
      <c r="A1365" s="3" t="s">
        <v>1317</v>
      </c>
      <c r="B1365">
        <v>2</v>
      </c>
      <c r="E1365">
        <v>2</v>
      </c>
      <c r="J1365">
        <v>19</v>
      </c>
    </row>
    <row r="1366" spans="1:10">
      <c r="A1366" s="3" t="s">
        <v>1318</v>
      </c>
      <c r="B1366">
        <v>2</v>
      </c>
      <c r="E1366">
        <v>2</v>
      </c>
      <c r="J1366">
        <v>19</v>
      </c>
    </row>
    <row r="1367" spans="1:10">
      <c r="A1367" s="3" t="s">
        <v>1319</v>
      </c>
      <c r="B1367">
        <v>2</v>
      </c>
      <c r="E1367">
        <v>2</v>
      </c>
      <c r="J1367">
        <v>19</v>
      </c>
    </row>
    <row r="1368" spans="1:10">
      <c r="A1368" s="3" t="s">
        <v>1320</v>
      </c>
      <c r="B1368">
        <v>2</v>
      </c>
      <c r="E1368">
        <v>2</v>
      </c>
      <c r="J1368">
        <v>19</v>
      </c>
    </row>
    <row r="1369" spans="1:10">
      <c r="A1369" s="3" t="s">
        <v>1321</v>
      </c>
      <c r="B1369">
        <v>2</v>
      </c>
      <c r="E1369">
        <v>2</v>
      </c>
      <c r="J1369">
        <v>19</v>
      </c>
    </row>
    <row r="1370" spans="1:10">
      <c r="A1370" s="3" t="s">
        <v>1322</v>
      </c>
      <c r="B1370">
        <v>2</v>
      </c>
      <c r="E1370">
        <v>2</v>
      </c>
      <c r="J1370">
        <v>19</v>
      </c>
    </row>
    <row r="1371" spans="1:10">
      <c r="A1371" s="3" t="s">
        <v>1323</v>
      </c>
      <c r="B1371">
        <v>2</v>
      </c>
      <c r="E1371">
        <v>2</v>
      </c>
      <c r="J1371">
        <v>19</v>
      </c>
    </row>
    <row r="1372" spans="1:10">
      <c r="A1372" s="3" t="s">
        <v>1324</v>
      </c>
      <c r="B1372">
        <v>2</v>
      </c>
      <c r="E1372">
        <v>2</v>
      </c>
      <c r="J1372">
        <v>19</v>
      </c>
    </row>
    <row r="1373" spans="1:10">
      <c r="A1373" s="3" t="s">
        <v>1325</v>
      </c>
      <c r="B1373">
        <v>2</v>
      </c>
      <c r="E1373">
        <v>2</v>
      </c>
      <c r="J1373">
        <v>19</v>
      </c>
    </row>
    <row r="1374" spans="1:10">
      <c r="A1374" s="3" t="s">
        <v>1326</v>
      </c>
      <c r="B1374">
        <v>2</v>
      </c>
      <c r="E1374">
        <v>2</v>
      </c>
      <c r="J1374">
        <v>19</v>
      </c>
    </row>
    <row r="1375" spans="1:10">
      <c r="A1375" s="3" t="s">
        <v>1327</v>
      </c>
      <c r="B1375">
        <v>2</v>
      </c>
      <c r="E1375">
        <v>2</v>
      </c>
      <c r="J1375">
        <v>19</v>
      </c>
    </row>
    <row r="1376" spans="1:10">
      <c r="A1376" s="3" t="s">
        <v>1328</v>
      </c>
      <c r="B1376">
        <v>2</v>
      </c>
      <c r="E1376">
        <v>2</v>
      </c>
      <c r="J1376">
        <v>19</v>
      </c>
    </row>
    <row r="1377" spans="1:10">
      <c r="A1377" s="3" t="s">
        <v>1329</v>
      </c>
      <c r="E1377">
        <v>2</v>
      </c>
      <c r="J1377">
        <v>19</v>
      </c>
    </row>
    <row r="1378" spans="1:10">
      <c r="A1378" s="3" t="s">
        <v>1330</v>
      </c>
      <c r="E1378">
        <v>2</v>
      </c>
      <c r="J1378">
        <v>19</v>
      </c>
    </row>
    <row r="1379" spans="1:10">
      <c r="A1379" s="3" t="s">
        <v>1331</v>
      </c>
      <c r="E1379">
        <v>2</v>
      </c>
      <c r="J1379">
        <v>19</v>
      </c>
    </row>
    <row r="1380" spans="1:10">
      <c r="A1380" s="3" t="s">
        <v>1332</v>
      </c>
      <c r="E1380">
        <v>2</v>
      </c>
      <c r="J1380">
        <v>19</v>
      </c>
    </row>
    <row r="1381" spans="1:10">
      <c r="A1381" s="3" t="s">
        <v>1333</v>
      </c>
      <c r="E1381">
        <v>2</v>
      </c>
      <c r="J1381">
        <v>19</v>
      </c>
    </row>
    <row r="1382" spans="1:10">
      <c r="A1382" s="3" t="s">
        <v>1334</v>
      </c>
      <c r="E1382">
        <v>2</v>
      </c>
      <c r="J1382">
        <v>19</v>
      </c>
    </row>
    <row r="1383" spans="1:10">
      <c r="A1383" s="3" t="s">
        <v>1335</v>
      </c>
      <c r="E1383">
        <v>2</v>
      </c>
      <c r="J1383">
        <v>19</v>
      </c>
    </row>
    <row r="1384" spans="1:10">
      <c r="A1384" s="3" t="s">
        <v>1336</v>
      </c>
      <c r="E1384">
        <v>2</v>
      </c>
      <c r="J1384">
        <v>19</v>
      </c>
    </row>
    <row r="1385" spans="1:10">
      <c r="A1385" s="3" t="s">
        <v>1337</v>
      </c>
      <c r="E1385">
        <v>2</v>
      </c>
      <c r="J1385">
        <v>19</v>
      </c>
    </row>
    <row r="1386" spans="1:10">
      <c r="A1386" s="3" t="s">
        <v>1338</v>
      </c>
      <c r="E1386">
        <v>2</v>
      </c>
      <c r="J1386">
        <v>19</v>
      </c>
    </row>
    <row r="1387" spans="1:10">
      <c r="A1387" s="3" t="s">
        <v>1339</v>
      </c>
      <c r="E1387">
        <v>2</v>
      </c>
      <c r="J1387">
        <v>19</v>
      </c>
    </row>
    <row r="1388" spans="1:10">
      <c r="A1388" s="3" t="s">
        <v>1340</v>
      </c>
      <c r="E1388">
        <v>2</v>
      </c>
      <c r="J1388">
        <v>19</v>
      </c>
    </row>
    <row r="1389" spans="1:10">
      <c r="A1389" s="3" t="s">
        <v>1341</v>
      </c>
      <c r="E1389">
        <v>2</v>
      </c>
      <c r="J1389">
        <v>19</v>
      </c>
    </row>
    <row r="1390" spans="1:10">
      <c r="A1390" s="3" t="s">
        <v>1342</v>
      </c>
      <c r="E1390">
        <v>2</v>
      </c>
      <c r="J1390">
        <v>19</v>
      </c>
    </row>
    <row r="1391" spans="1:10">
      <c r="A1391" s="3" t="s">
        <v>1343</v>
      </c>
      <c r="E1391">
        <v>2</v>
      </c>
      <c r="J1391">
        <v>19</v>
      </c>
    </row>
    <row r="1392" spans="1:10">
      <c r="A1392" s="3" t="s">
        <v>1344</v>
      </c>
      <c r="E1392">
        <v>2</v>
      </c>
      <c r="J1392">
        <v>19</v>
      </c>
    </row>
    <row r="1393" spans="1:49">
      <c r="A1393" s="3" t="s">
        <v>1345</v>
      </c>
      <c r="E1393">
        <v>2</v>
      </c>
      <c r="J1393">
        <v>19</v>
      </c>
    </row>
    <row r="1394" spans="1:49">
      <c r="A1394" s="3" t="s">
        <v>1346</v>
      </c>
      <c r="E1394">
        <v>2</v>
      </c>
      <c r="J1394">
        <v>19</v>
      </c>
    </row>
    <row r="1395" spans="1:49">
      <c r="A1395" s="3" t="s">
        <v>1347</v>
      </c>
      <c r="E1395">
        <v>2</v>
      </c>
      <c r="J1395">
        <v>19</v>
      </c>
    </row>
    <row r="1396" spans="1:49">
      <c r="A1396" s="3" t="s">
        <v>1348</v>
      </c>
      <c r="E1396">
        <v>2</v>
      </c>
      <c r="J1396">
        <v>19</v>
      </c>
    </row>
    <row r="1397" spans="1:49">
      <c r="A1397" s="3" t="s">
        <v>1349</v>
      </c>
      <c r="E1397">
        <v>2</v>
      </c>
      <c r="AW1397">
        <v>10</v>
      </c>
    </row>
    <row r="1398" spans="1:49">
      <c r="A1398" s="3" t="s">
        <v>1350</v>
      </c>
      <c r="E1398">
        <v>2</v>
      </c>
      <c r="AW1398">
        <v>10</v>
      </c>
    </row>
    <row r="1399" spans="1:49">
      <c r="A1399" s="3" t="s">
        <v>1351</v>
      </c>
      <c r="E1399">
        <v>2</v>
      </c>
      <c r="AW1399">
        <v>10</v>
      </c>
    </row>
    <row r="1400" spans="1:49">
      <c r="A1400" s="3" t="s">
        <v>1352</v>
      </c>
      <c r="E1400">
        <v>2</v>
      </c>
      <c r="AW1400">
        <v>10</v>
      </c>
    </row>
    <row r="1401" spans="1:49">
      <c r="A1401" s="3" t="s">
        <v>1353</v>
      </c>
      <c r="E1401">
        <v>2</v>
      </c>
      <c r="AW1401">
        <v>10</v>
      </c>
    </row>
    <row r="1402" spans="1:49">
      <c r="A1402" s="3" t="s">
        <v>1354</v>
      </c>
      <c r="E1402">
        <v>2</v>
      </c>
      <c r="AW1402">
        <v>10</v>
      </c>
    </row>
    <row r="1403" spans="1:49">
      <c r="A1403" s="3" t="s">
        <v>1355</v>
      </c>
      <c r="E1403">
        <v>2</v>
      </c>
      <c r="AW1403">
        <v>10</v>
      </c>
    </row>
    <row r="1404" spans="1:49">
      <c r="A1404" s="3" t="s">
        <v>1356</v>
      </c>
      <c r="E1404">
        <v>2</v>
      </c>
      <c r="AW1404">
        <v>10</v>
      </c>
    </row>
    <row r="1405" spans="1:49">
      <c r="A1405" s="3" t="s">
        <v>1357</v>
      </c>
      <c r="E1405">
        <v>2</v>
      </c>
      <c r="AW1405">
        <v>10</v>
      </c>
    </row>
    <row r="1406" spans="1:49">
      <c r="A1406" s="3" t="s">
        <v>1358</v>
      </c>
      <c r="E1406">
        <v>2</v>
      </c>
      <c r="AW1406">
        <v>10</v>
      </c>
    </row>
    <row r="1407" spans="1:49">
      <c r="A1407" s="3" t="s">
        <v>1359</v>
      </c>
      <c r="E1407">
        <v>2</v>
      </c>
      <c r="AW1407">
        <v>10</v>
      </c>
    </row>
    <row r="1408" spans="1:49">
      <c r="A1408" s="3" t="s">
        <v>1360</v>
      </c>
      <c r="E1408">
        <v>2</v>
      </c>
      <c r="AL1408">
        <v>2</v>
      </c>
    </row>
    <row r="1409" spans="1:49">
      <c r="A1409" s="3" t="s">
        <v>1361</v>
      </c>
      <c r="E1409">
        <v>2</v>
      </c>
      <c r="AL1409">
        <v>2</v>
      </c>
    </row>
    <row r="1410" spans="1:49">
      <c r="A1410" s="3" t="s">
        <v>1362</v>
      </c>
      <c r="E1410">
        <v>2</v>
      </c>
      <c r="AL1410">
        <v>2</v>
      </c>
    </row>
    <row r="1411" spans="1:49">
      <c r="A1411" s="3" t="s">
        <v>1363</v>
      </c>
      <c r="E1411">
        <v>2</v>
      </c>
      <c r="AL1411">
        <v>2</v>
      </c>
    </row>
    <row r="1412" spans="1:49">
      <c r="A1412" s="3" t="s">
        <v>1364</v>
      </c>
      <c r="E1412">
        <v>2</v>
      </c>
      <c r="AL1412">
        <v>2</v>
      </c>
    </row>
    <row r="1413" spans="1:49">
      <c r="A1413" s="3" t="s">
        <v>1365</v>
      </c>
      <c r="E1413">
        <v>2</v>
      </c>
      <c r="AL1413">
        <v>2</v>
      </c>
    </row>
    <row r="1414" spans="1:49">
      <c r="A1414" s="3" t="s">
        <v>1366</v>
      </c>
      <c r="E1414">
        <v>2</v>
      </c>
      <c r="AL1414">
        <v>2</v>
      </c>
    </row>
    <row r="1415" spans="1:49">
      <c r="A1415" s="3" t="s">
        <v>1367</v>
      </c>
      <c r="E1415">
        <v>2</v>
      </c>
      <c r="AL1415">
        <v>2</v>
      </c>
    </row>
    <row r="1416" spans="1:49">
      <c r="A1416" s="3" t="s">
        <v>1368</v>
      </c>
      <c r="E1416">
        <v>2</v>
      </c>
      <c r="AL1416">
        <v>2</v>
      </c>
    </row>
    <row r="1417" spans="1:49">
      <c r="A1417" s="3" t="s">
        <v>1369</v>
      </c>
      <c r="E1417">
        <v>2</v>
      </c>
      <c r="AW1417">
        <v>11</v>
      </c>
    </row>
    <row r="1418" spans="1:49">
      <c r="A1418" s="3" t="s">
        <v>1370</v>
      </c>
      <c r="E1418">
        <v>2</v>
      </c>
      <c r="AW1418">
        <v>11</v>
      </c>
    </row>
    <row r="1419" spans="1:49">
      <c r="A1419" s="3" t="s">
        <v>1371</v>
      </c>
      <c r="E1419">
        <v>2</v>
      </c>
      <c r="J1419">
        <v>20</v>
      </c>
    </row>
    <row r="1420" spans="1:49">
      <c r="A1420" s="3" t="s">
        <v>1372</v>
      </c>
      <c r="E1420">
        <v>2</v>
      </c>
      <c r="J1420">
        <v>20</v>
      </c>
    </row>
    <row r="1421" spans="1:49">
      <c r="A1421" s="3" t="s">
        <v>1373</v>
      </c>
      <c r="E1421">
        <v>2</v>
      </c>
      <c r="J1421">
        <v>20</v>
      </c>
    </row>
    <row r="1422" spans="1:49">
      <c r="A1422" s="3" t="s">
        <v>1374</v>
      </c>
      <c r="E1422">
        <v>2</v>
      </c>
      <c r="J1422">
        <v>20</v>
      </c>
    </row>
    <row r="1423" spans="1:49">
      <c r="A1423" s="3" t="s">
        <v>1375</v>
      </c>
      <c r="E1423">
        <v>2</v>
      </c>
      <c r="J1423">
        <v>20</v>
      </c>
    </row>
    <row r="1424" spans="1:49">
      <c r="A1424" s="3" t="s">
        <v>1376</v>
      </c>
      <c r="E1424">
        <v>2</v>
      </c>
      <c r="J1424">
        <v>20</v>
      </c>
    </row>
    <row r="1425" spans="1:48">
      <c r="A1425" s="3" t="s">
        <v>1377</v>
      </c>
      <c r="E1425">
        <v>2</v>
      </c>
      <c r="J1425">
        <v>20</v>
      </c>
    </row>
    <row r="1426" spans="1:48">
      <c r="A1426" s="3" t="s">
        <v>1378</v>
      </c>
      <c r="E1426">
        <v>2</v>
      </c>
      <c r="J1426">
        <v>20</v>
      </c>
    </row>
    <row r="1427" spans="1:48">
      <c r="A1427" s="3" t="s">
        <v>1379</v>
      </c>
      <c r="E1427">
        <v>2</v>
      </c>
      <c r="J1427">
        <v>20</v>
      </c>
    </row>
    <row r="1428" spans="1:48">
      <c r="A1428" s="3" t="s">
        <v>1380</v>
      </c>
      <c r="E1428">
        <v>2</v>
      </c>
      <c r="J1428">
        <v>20</v>
      </c>
    </row>
    <row r="1429" spans="1:48">
      <c r="A1429" s="3" t="s">
        <v>1381</v>
      </c>
      <c r="E1429">
        <v>2</v>
      </c>
      <c r="J1429">
        <v>20</v>
      </c>
    </row>
    <row r="1430" spans="1:48">
      <c r="A1430" s="3" t="s">
        <v>1382</v>
      </c>
      <c r="E1430">
        <v>2</v>
      </c>
      <c r="J1430">
        <v>20</v>
      </c>
    </row>
    <row r="1431" spans="1:48">
      <c r="A1431" s="3" t="s">
        <v>1383</v>
      </c>
      <c r="E1431">
        <v>2</v>
      </c>
      <c r="J1431">
        <v>20</v>
      </c>
    </row>
    <row r="1432" spans="1:48">
      <c r="A1432" s="3" t="s">
        <v>1384</v>
      </c>
      <c r="E1432">
        <v>2</v>
      </c>
      <c r="J1432">
        <v>20</v>
      </c>
    </row>
    <row r="1433" spans="1:48">
      <c r="A1433" s="3" t="s">
        <v>1385</v>
      </c>
      <c r="E1433">
        <v>2</v>
      </c>
      <c r="J1433">
        <v>20</v>
      </c>
    </row>
    <row r="1434" spans="1:48">
      <c r="A1434" s="3" t="s">
        <v>1386</v>
      </c>
      <c r="E1434">
        <v>2</v>
      </c>
      <c r="J1434">
        <v>20</v>
      </c>
    </row>
    <row r="1435" spans="1:48">
      <c r="A1435" s="3" t="s">
        <v>1387</v>
      </c>
      <c r="E1435">
        <v>2</v>
      </c>
      <c r="J1435">
        <v>20</v>
      </c>
    </row>
    <row r="1436" spans="1:48">
      <c r="A1436" s="3" t="s">
        <v>1388</v>
      </c>
      <c r="E1436">
        <v>2</v>
      </c>
      <c r="J1436">
        <v>20</v>
      </c>
    </row>
    <row r="1437" spans="1:48">
      <c r="A1437" s="3" t="s">
        <v>1389</v>
      </c>
      <c r="E1437">
        <v>2</v>
      </c>
      <c r="J1437">
        <v>20</v>
      </c>
    </row>
    <row r="1438" spans="1:48">
      <c r="A1438" s="3" t="s">
        <v>1390</v>
      </c>
      <c r="E1438">
        <v>2</v>
      </c>
      <c r="J1438">
        <v>20</v>
      </c>
    </row>
    <row r="1439" spans="1:48">
      <c r="A1439" s="3" t="s">
        <v>1391</v>
      </c>
      <c r="E1439">
        <v>2</v>
      </c>
      <c r="AV1439">
        <v>2</v>
      </c>
    </row>
    <row r="1440" spans="1:48">
      <c r="A1440" s="3" t="s">
        <v>1392</v>
      </c>
      <c r="E1440">
        <v>2</v>
      </c>
      <c r="AV1440">
        <v>2</v>
      </c>
    </row>
    <row r="1441" spans="1:48">
      <c r="A1441" s="3" t="s">
        <v>1393</v>
      </c>
      <c r="E1441">
        <v>2</v>
      </c>
      <c r="AV1441">
        <v>2</v>
      </c>
    </row>
    <row r="1442" spans="1:48">
      <c r="A1442" s="3" t="s">
        <v>1394</v>
      </c>
      <c r="E1442">
        <v>2</v>
      </c>
      <c r="AV1442">
        <v>2</v>
      </c>
    </row>
    <row r="1443" spans="1:48">
      <c r="A1443" s="3" t="s">
        <v>1395</v>
      </c>
      <c r="E1443">
        <v>2</v>
      </c>
      <c r="AV1443">
        <v>2</v>
      </c>
    </row>
    <row r="1444" spans="1:48">
      <c r="A1444" s="3" t="s">
        <v>1396</v>
      </c>
      <c r="E1444">
        <v>2</v>
      </c>
      <c r="AV1444">
        <v>2</v>
      </c>
    </row>
    <row r="1445" spans="1:48">
      <c r="A1445" s="3" t="s">
        <v>1397</v>
      </c>
      <c r="E1445">
        <v>2</v>
      </c>
      <c r="J1445">
        <v>21</v>
      </c>
    </row>
    <row r="1446" spans="1:48">
      <c r="A1446" s="3" t="s">
        <v>1398</v>
      </c>
      <c r="E1446">
        <v>2</v>
      </c>
      <c r="J1446">
        <v>21</v>
      </c>
    </row>
    <row r="1447" spans="1:48">
      <c r="A1447" s="3" t="s">
        <v>1399</v>
      </c>
      <c r="E1447">
        <v>2</v>
      </c>
      <c r="J1447">
        <v>21</v>
      </c>
    </row>
    <row r="1448" spans="1:48">
      <c r="A1448" s="3" t="s">
        <v>1400</v>
      </c>
      <c r="E1448">
        <v>2</v>
      </c>
      <c r="J1448">
        <v>21</v>
      </c>
    </row>
    <row r="1449" spans="1:48">
      <c r="A1449" s="3" t="s">
        <v>1401</v>
      </c>
      <c r="E1449">
        <v>2</v>
      </c>
      <c r="J1449">
        <v>21</v>
      </c>
    </row>
    <row r="1450" spans="1:48">
      <c r="A1450" s="3" t="s">
        <v>1402</v>
      </c>
      <c r="E1450">
        <v>2</v>
      </c>
      <c r="J1450">
        <v>21</v>
      </c>
    </row>
    <row r="1451" spans="1:48">
      <c r="A1451" s="3" t="s">
        <v>1403</v>
      </c>
      <c r="E1451">
        <v>2</v>
      </c>
      <c r="J1451">
        <v>21</v>
      </c>
    </row>
    <row r="1452" spans="1:48">
      <c r="A1452" s="3" t="s">
        <v>1404</v>
      </c>
      <c r="E1452">
        <v>2</v>
      </c>
      <c r="J1452">
        <v>21</v>
      </c>
    </row>
    <row r="1453" spans="1:48">
      <c r="A1453" s="3" t="s">
        <v>1405</v>
      </c>
      <c r="E1453">
        <v>2</v>
      </c>
      <c r="J1453">
        <v>21</v>
      </c>
    </row>
    <row r="1454" spans="1:48">
      <c r="A1454" s="3" t="s">
        <v>1406</v>
      </c>
      <c r="E1454">
        <v>2</v>
      </c>
      <c r="J1454">
        <v>21</v>
      </c>
    </row>
    <row r="1455" spans="1:48">
      <c r="A1455" s="3" t="s">
        <v>1407</v>
      </c>
      <c r="E1455">
        <v>2</v>
      </c>
      <c r="J1455">
        <v>21</v>
      </c>
    </row>
    <row r="1456" spans="1:48">
      <c r="A1456" s="3" t="s">
        <v>1408</v>
      </c>
      <c r="E1456">
        <v>2</v>
      </c>
      <c r="J1456">
        <v>21</v>
      </c>
    </row>
    <row r="1457" spans="1:10">
      <c r="A1457" s="3" t="s">
        <v>1409</v>
      </c>
      <c r="E1457">
        <v>2</v>
      </c>
      <c r="J1457">
        <v>21</v>
      </c>
    </row>
    <row r="1458" spans="1:10">
      <c r="A1458" s="3" t="s">
        <v>1410</v>
      </c>
      <c r="E1458">
        <v>2</v>
      </c>
      <c r="J1458">
        <v>21</v>
      </c>
    </row>
    <row r="1459" spans="1:10">
      <c r="A1459" s="3" t="s">
        <v>1411</v>
      </c>
      <c r="E1459">
        <v>2</v>
      </c>
      <c r="J1459">
        <v>21</v>
      </c>
    </row>
    <row r="1460" spans="1:10">
      <c r="A1460" s="3" t="s">
        <v>1412</v>
      </c>
      <c r="E1460">
        <v>2</v>
      </c>
      <c r="J1460">
        <v>21</v>
      </c>
    </row>
    <row r="1461" spans="1:10">
      <c r="A1461" s="3" t="s">
        <v>1413</v>
      </c>
      <c r="E1461">
        <v>2</v>
      </c>
      <c r="J1461">
        <v>21</v>
      </c>
    </row>
    <row r="1462" spans="1:10">
      <c r="A1462" s="3" t="s">
        <v>1414</v>
      </c>
      <c r="E1462">
        <v>2</v>
      </c>
      <c r="J1462">
        <v>21</v>
      </c>
    </row>
    <row r="1463" spans="1:10">
      <c r="A1463" s="3" t="s">
        <v>1415</v>
      </c>
      <c r="E1463">
        <v>2</v>
      </c>
      <c r="J1463">
        <v>21</v>
      </c>
    </row>
    <row r="1464" spans="1:10">
      <c r="A1464" s="3" t="s">
        <v>1416</v>
      </c>
      <c r="E1464">
        <v>2</v>
      </c>
      <c r="J1464">
        <v>21</v>
      </c>
    </row>
    <row r="1465" spans="1:10">
      <c r="A1465" s="3" t="s">
        <v>1417</v>
      </c>
      <c r="E1465">
        <v>2</v>
      </c>
      <c r="J1465">
        <v>21</v>
      </c>
    </row>
    <row r="1466" spans="1:10">
      <c r="A1466" s="3" t="s">
        <v>1418</v>
      </c>
      <c r="E1466">
        <v>2</v>
      </c>
      <c r="J1466">
        <v>21</v>
      </c>
    </row>
    <row r="1467" spans="1:10">
      <c r="A1467" s="3" t="s">
        <v>1419</v>
      </c>
      <c r="E1467">
        <v>2</v>
      </c>
      <c r="J1467">
        <v>21</v>
      </c>
    </row>
    <row r="1468" spans="1:10">
      <c r="A1468" s="3" t="s">
        <v>1420</v>
      </c>
      <c r="E1468">
        <v>2</v>
      </c>
      <c r="J1468">
        <v>21</v>
      </c>
    </row>
    <row r="1469" spans="1:10">
      <c r="A1469" s="3" t="s">
        <v>1421</v>
      </c>
      <c r="E1469">
        <v>2</v>
      </c>
      <c r="J1469">
        <v>21</v>
      </c>
    </row>
    <row r="1470" spans="1:10">
      <c r="A1470" s="3" t="s">
        <v>1422</v>
      </c>
      <c r="E1470">
        <v>2</v>
      </c>
      <c r="J1470">
        <v>21</v>
      </c>
    </row>
    <row r="1471" spans="1:10">
      <c r="A1471" s="3" t="s">
        <v>1423</v>
      </c>
      <c r="E1471">
        <v>2</v>
      </c>
      <c r="J1471">
        <v>21</v>
      </c>
    </row>
    <row r="1472" spans="1:10">
      <c r="A1472" s="3" t="s">
        <v>1424</v>
      </c>
      <c r="E1472">
        <v>2</v>
      </c>
      <c r="J1472">
        <v>21</v>
      </c>
    </row>
    <row r="1473" spans="1:12">
      <c r="A1473" s="3" t="s">
        <v>1425</v>
      </c>
      <c r="E1473">
        <v>2</v>
      </c>
      <c r="J1473">
        <v>21</v>
      </c>
    </row>
    <row r="1474" spans="1:12">
      <c r="A1474" s="3" t="s">
        <v>1426</v>
      </c>
      <c r="E1474">
        <v>2</v>
      </c>
      <c r="L1474">
        <v>1</v>
      </c>
    </row>
    <row r="1475" spans="1:12">
      <c r="A1475" s="3" t="s">
        <v>1427</v>
      </c>
      <c r="E1475">
        <v>2</v>
      </c>
      <c r="L1475">
        <v>1</v>
      </c>
    </row>
    <row r="1476" spans="1:12">
      <c r="A1476" s="3" t="s">
        <v>1428</v>
      </c>
      <c r="E1476">
        <v>2</v>
      </c>
      <c r="L1476">
        <v>1</v>
      </c>
    </row>
    <row r="1477" spans="1:12">
      <c r="A1477" s="3" t="s">
        <v>1429</v>
      </c>
      <c r="E1477">
        <v>2</v>
      </c>
      <c r="L1477">
        <v>1</v>
      </c>
    </row>
    <row r="1478" spans="1:12">
      <c r="A1478" s="3" t="s">
        <v>1430</v>
      </c>
      <c r="E1478">
        <v>2</v>
      </c>
      <c r="L1478">
        <v>1</v>
      </c>
    </row>
    <row r="1479" spans="1:12">
      <c r="A1479" s="3" t="s">
        <v>1431</v>
      </c>
      <c r="E1479">
        <v>2</v>
      </c>
      <c r="L1479">
        <v>1</v>
      </c>
    </row>
    <row r="1480" spans="1:12">
      <c r="A1480" s="3" t="s">
        <v>1432</v>
      </c>
      <c r="E1480">
        <v>2</v>
      </c>
      <c r="L1480">
        <v>1</v>
      </c>
    </row>
    <row r="1481" spans="1:12">
      <c r="A1481" s="3" t="s">
        <v>1433</v>
      </c>
      <c r="E1481">
        <v>2</v>
      </c>
      <c r="L1481">
        <v>1</v>
      </c>
    </row>
    <row r="1482" spans="1:12">
      <c r="A1482" s="3" t="s">
        <v>1434</v>
      </c>
      <c r="E1482">
        <v>2</v>
      </c>
      <c r="L1482">
        <v>1</v>
      </c>
    </row>
    <row r="1483" spans="1:12">
      <c r="A1483" s="3" t="s">
        <v>1435</v>
      </c>
      <c r="E1483">
        <v>2</v>
      </c>
      <c r="L1483">
        <v>1</v>
      </c>
    </row>
    <row r="1484" spans="1:12">
      <c r="A1484" s="3" t="s">
        <v>1436</v>
      </c>
      <c r="E1484">
        <v>2</v>
      </c>
      <c r="L1484">
        <v>1</v>
      </c>
    </row>
    <row r="1485" spans="1:12">
      <c r="A1485" s="3" t="s">
        <v>1437</v>
      </c>
      <c r="E1485">
        <v>2</v>
      </c>
      <c r="L1485">
        <v>1</v>
      </c>
    </row>
    <row r="1486" spans="1:12">
      <c r="A1486" s="3" t="s">
        <v>1438</v>
      </c>
      <c r="E1486">
        <v>2</v>
      </c>
      <c r="L1486">
        <v>1</v>
      </c>
    </row>
    <row r="1487" spans="1:12">
      <c r="A1487" s="3" t="s">
        <v>1439</v>
      </c>
      <c r="E1487">
        <v>2</v>
      </c>
      <c r="L1487">
        <v>1</v>
      </c>
    </row>
    <row r="1488" spans="1:12">
      <c r="A1488" s="3" t="s">
        <v>1440</v>
      </c>
      <c r="E1488">
        <v>2</v>
      </c>
      <c r="L1488">
        <v>1</v>
      </c>
    </row>
    <row r="1489" spans="1:12">
      <c r="A1489" s="3" t="s">
        <v>1441</v>
      </c>
      <c r="E1489">
        <v>2</v>
      </c>
      <c r="L1489">
        <v>1</v>
      </c>
    </row>
    <row r="1490" spans="1:12">
      <c r="A1490" s="3" t="s">
        <v>1442</v>
      </c>
      <c r="E1490">
        <v>2</v>
      </c>
      <c r="L1490">
        <v>1</v>
      </c>
    </row>
    <row r="1491" spans="1:12">
      <c r="A1491" s="3" t="s">
        <v>1443</v>
      </c>
      <c r="E1491">
        <v>2</v>
      </c>
      <c r="L1491">
        <v>1</v>
      </c>
    </row>
    <row r="1492" spans="1:12">
      <c r="A1492" s="3" t="s">
        <v>1444</v>
      </c>
      <c r="E1492">
        <v>2</v>
      </c>
      <c r="L1492">
        <v>1</v>
      </c>
    </row>
    <row r="1493" spans="1:12">
      <c r="A1493" s="3" t="s">
        <v>1445</v>
      </c>
      <c r="E1493">
        <v>2</v>
      </c>
      <c r="L1493">
        <v>1</v>
      </c>
    </row>
    <row r="1494" spans="1:12">
      <c r="A1494" s="3" t="s">
        <v>1446</v>
      </c>
      <c r="E1494">
        <v>2</v>
      </c>
      <c r="L1494">
        <v>1</v>
      </c>
    </row>
    <row r="1495" spans="1:12">
      <c r="A1495" s="3" t="s">
        <v>1447</v>
      </c>
      <c r="E1495">
        <v>2</v>
      </c>
      <c r="L1495">
        <v>1</v>
      </c>
    </row>
    <row r="1496" spans="1:12">
      <c r="A1496" s="3" t="s">
        <v>1448</v>
      </c>
      <c r="E1496">
        <v>2</v>
      </c>
      <c r="L1496">
        <v>1</v>
      </c>
    </row>
    <row r="1497" spans="1:12">
      <c r="A1497" s="3" t="s">
        <v>1449</v>
      </c>
      <c r="E1497">
        <v>2</v>
      </c>
      <c r="L1497">
        <v>1</v>
      </c>
    </row>
    <row r="1498" spans="1:12">
      <c r="A1498" s="3" t="s">
        <v>1450</v>
      </c>
      <c r="E1498">
        <v>2</v>
      </c>
      <c r="L1498">
        <v>1</v>
      </c>
    </row>
    <row r="1499" spans="1:12">
      <c r="A1499" s="3" t="s">
        <v>1451</v>
      </c>
      <c r="E1499">
        <v>2</v>
      </c>
      <c r="L1499">
        <v>1</v>
      </c>
    </row>
    <row r="1500" spans="1:12">
      <c r="A1500" s="3" t="s">
        <v>1452</v>
      </c>
      <c r="E1500">
        <v>2</v>
      </c>
      <c r="L1500">
        <v>1</v>
      </c>
    </row>
    <row r="1501" spans="1:12">
      <c r="A1501" s="3" t="s">
        <v>1453</v>
      </c>
      <c r="E1501">
        <v>2</v>
      </c>
      <c r="L1501">
        <v>1</v>
      </c>
    </row>
    <row r="1502" spans="1:12">
      <c r="A1502" s="3" t="s">
        <v>1454</v>
      </c>
      <c r="E1502">
        <v>2</v>
      </c>
      <c r="L1502">
        <v>1</v>
      </c>
    </row>
    <row r="1503" spans="1:12">
      <c r="A1503" s="3" t="s">
        <v>1455</v>
      </c>
      <c r="E1503">
        <v>2</v>
      </c>
      <c r="L1503">
        <v>1</v>
      </c>
    </row>
    <row r="1504" spans="1:12">
      <c r="A1504" s="3" t="s">
        <v>1456</v>
      </c>
      <c r="E1504">
        <v>2</v>
      </c>
      <c r="L1504">
        <v>1</v>
      </c>
    </row>
    <row r="1505" spans="1:12">
      <c r="A1505" s="3" t="s">
        <v>1457</v>
      </c>
      <c r="E1505">
        <v>2</v>
      </c>
      <c r="L1505">
        <v>1</v>
      </c>
    </row>
    <row r="1506" spans="1:12">
      <c r="A1506" s="3" t="s">
        <v>1458</v>
      </c>
      <c r="E1506">
        <v>2</v>
      </c>
      <c r="L1506">
        <v>1</v>
      </c>
    </row>
    <row r="1507" spans="1:12">
      <c r="A1507" s="3" t="s">
        <v>1459</v>
      </c>
      <c r="E1507">
        <v>2</v>
      </c>
      <c r="L1507">
        <v>1</v>
      </c>
    </row>
    <row r="1508" spans="1:12">
      <c r="A1508" s="3" t="s">
        <v>1460</v>
      </c>
      <c r="E1508">
        <v>2</v>
      </c>
      <c r="L1508">
        <v>1</v>
      </c>
    </row>
    <row r="1509" spans="1:12">
      <c r="A1509" s="3" t="s">
        <v>1461</v>
      </c>
      <c r="E1509">
        <v>2</v>
      </c>
      <c r="L1509">
        <v>1</v>
      </c>
    </row>
    <row r="1510" spans="1:12">
      <c r="A1510" s="3" t="s">
        <v>1462</v>
      </c>
      <c r="E1510">
        <v>2</v>
      </c>
      <c r="L1510">
        <v>1</v>
      </c>
    </row>
    <row r="1511" spans="1:12">
      <c r="A1511" s="3" t="s">
        <v>1463</v>
      </c>
      <c r="E1511">
        <v>2</v>
      </c>
      <c r="L1511">
        <v>1</v>
      </c>
    </row>
    <row r="1512" spans="1:12">
      <c r="A1512" s="3" t="s">
        <v>1464</v>
      </c>
      <c r="E1512">
        <v>2</v>
      </c>
      <c r="L1512">
        <v>1</v>
      </c>
    </row>
    <row r="1513" spans="1:12">
      <c r="A1513" s="3" t="s">
        <v>1465</v>
      </c>
      <c r="E1513">
        <v>2</v>
      </c>
      <c r="L1513">
        <v>1</v>
      </c>
    </row>
    <row r="1514" spans="1:12">
      <c r="A1514" s="3" t="s">
        <v>1466</v>
      </c>
      <c r="E1514">
        <v>2</v>
      </c>
      <c r="L1514">
        <v>1</v>
      </c>
    </row>
    <row r="1515" spans="1:12">
      <c r="A1515" s="3" t="s">
        <v>1467</v>
      </c>
      <c r="E1515">
        <v>2</v>
      </c>
      <c r="L1515">
        <v>1</v>
      </c>
    </row>
    <row r="1516" spans="1:12">
      <c r="A1516" s="3" t="s">
        <v>1468</v>
      </c>
      <c r="E1516">
        <v>2</v>
      </c>
      <c r="L1516">
        <v>1</v>
      </c>
    </row>
    <row r="1517" spans="1:12">
      <c r="A1517" s="3" t="s">
        <v>1469</v>
      </c>
      <c r="E1517">
        <v>2</v>
      </c>
      <c r="L1517">
        <v>1</v>
      </c>
    </row>
    <row r="1518" spans="1:12">
      <c r="A1518" s="3" t="s">
        <v>1470</v>
      </c>
      <c r="E1518">
        <v>2</v>
      </c>
      <c r="L1518">
        <v>1</v>
      </c>
    </row>
    <row r="1519" spans="1:12">
      <c r="A1519" s="3" t="s">
        <v>1471</v>
      </c>
      <c r="E1519">
        <v>2</v>
      </c>
      <c r="L1519">
        <v>1</v>
      </c>
    </row>
    <row r="1520" spans="1:12">
      <c r="A1520" s="3" t="s">
        <v>1472</v>
      </c>
      <c r="E1520">
        <v>2</v>
      </c>
      <c r="L1520">
        <v>1</v>
      </c>
    </row>
    <row r="1521" spans="1:12">
      <c r="A1521" s="3" t="s">
        <v>1473</v>
      </c>
      <c r="E1521">
        <v>2</v>
      </c>
      <c r="L1521">
        <v>1</v>
      </c>
    </row>
    <row r="1522" spans="1:12">
      <c r="A1522" s="3" t="s">
        <v>1474</v>
      </c>
      <c r="E1522">
        <v>2</v>
      </c>
      <c r="L1522">
        <v>1</v>
      </c>
    </row>
    <row r="1523" spans="1:12">
      <c r="A1523" s="3" t="s">
        <v>1475</v>
      </c>
      <c r="E1523">
        <v>2</v>
      </c>
      <c r="L1523">
        <v>1</v>
      </c>
    </row>
    <row r="1524" spans="1:12">
      <c r="A1524" s="3" t="s">
        <v>1476</v>
      </c>
      <c r="E1524">
        <v>2</v>
      </c>
      <c r="L1524">
        <v>1</v>
      </c>
    </row>
    <row r="1525" spans="1:12">
      <c r="A1525" s="3" t="s">
        <v>1477</v>
      </c>
      <c r="E1525">
        <v>2</v>
      </c>
      <c r="L1525">
        <v>1</v>
      </c>
    </row>
    <row r="1526" spans="1:12">
      <c r="A1526" s="3" t="s">
        <v>1478</v>
      </c>
      <c r="E1526">
        <v>2</v>
      </c>
      <c r="L1526">
        <v>1</v>
      </c>
    </row>
    <row r="1527" spans="1:12">
      <c r="A1527" s="3" t="s">
        <v>1479</v>
      </c>
      <c r="E1527">
        <v>2</v>
      </c>
      <c r="L1527">
        <v>1</v>
      </c>
    </row>
    <row r="1528" spans="1:12">
      <c r="A1528" s="3" t="s">
        <v>1480</v>
      </c>
      <c r="E1528">
        <v>2</v>
      </c>
      <c r="L1528">
        <v>1</v>
      </c>
    </row>
    <row r="1529" spans="1:12">
      <c r="A1529" s="3" t="s">
        <v>1481</v>
      </c>
      <c r="E1529">
        <v>2</v>
      </c>
      <c r="L1529">
        <v>1</v>
      </c>
    </row>
    <row r="1530" spans="1:12">
      <c r="A1530" s="3" t="s">
        <v>1482</v>
      </c>
      <c r="E1530">
        <v>2</v>
      </c>
      <c r="L1530">
        <v>1</v>
      </c>
    </row>
    <row r="1531" spans="1:12">
      <c r="A1531" s="3" t="s">
        <v>1483</v>
      </c>
      <c r="E1531">
        <v>2</v>
      </c>
      <c r="L1531">
        <v>1</v>
      </c>
    </row>
    <row r="1532" spans="1:12">
      <c r="A1532" s="3" t="s">
        <v>1484</v>
      </c>
      <c r="E1532">
        <v>2</v>
      </c>
      <c r="J1532">
        <v>22</v>
      </c>
    </row>
    <row r="1533" spans="1:12">
      <c r="A1533" s="3" t="s">
        <v>1485</v>
      </c>
      <c r="E1533">
        <v>2</v>
      </c>
      <c r="J1533">
        <v>22</v>
      </c>
    </row>
    <row r="1534" spans="1:12">
      <c r="A1534" s="3" t="s">
        <v>1486</v>
      </c>
      <c r="E1534">
        <v>2</v>
      </c>
      <c r="J1534">
        <v>22</v>
      </c>
    </row>
    <row r="1535" spans="1:12">
      <c r="A1535" s="3" t="s">
        <v>1487</v>
      </c>
      <c r="E1535">
        <v>2</v>
      </c>
      <c r="J1535">
        <v>22</v>
      </c>
    </row>
    <row r="1536" spans="1:12">
      <c r="A1536" s="3" t="s">
        <v>1488</v>
      </c>
      <c r="E1536">
        <v>2</v>
      </c>
      <c r="J1536">
        <v>22</v>
      </c>
    </row>
    <row r="1537" spans="1:10">
      <c r="A1537" s="3" t="s">
        <v>1489</v>
      </c>
      <c r="E1537">
        <v>2</v>
      </c>
      <c r="J1537">
        <v>22</v>
      </c>
    </row>
    <row r="1538" spans="1:10">
      <c r="A1538" s="3" t="s">
        <v>1490</v>
      </c>
      <c r="E1538">
        <v>2</v>
      </c>
      <c r="J1538">
        <v>22</v>
      </c>
    </row>
    <row r="1539" spans="1:10">
      <c r="A1539" s="3" t="s">
        <v>1491</v>
      </c>
      <c r="E1539">
        <v>2</v>
      </c>
      <c r="J1539">
        <v>22</v>
      </c>
    </row>
    <row r="1540" spans="1:10">
      <c r="A1540" s="3" t="s">
        <v>1492</v>
      </c>
      <c r="E1540">
        <v>2</v>
      </c>
      <c r="J1540">
        <v>22</v>
      </c>
    </row>
    <row r="1541" spans="1:10">
      <c r="A1541" s="3" t="s">
        <v>1493</v>
      </c>
      <c r="E1541">
        <v>2</v>
      </c>
      <c r="J1541">
        <v>22</v>
      </c>
    </row>
    <row r="1542" spans="1:10">
      <c r="A1542" s="3" t="s">
        <v>1494</v>
      </c>
      <c r="E1542">
        <v>2</v>
      </c>
      <c r="J1542">
        <v>22</v>
      </c>
    </row>
    <row r="1543" spans="1:10">
      <c r="A1543" s="3" t="s">
        <v>1495</v>
      </c>
      <c r="E1543">
        <v>2</v>
      </c>
      <c r="J1543">
        <v>22</v>
      </c>
    </row>
    <row r="1544" spans="1:10">
      <c r="A1544" s="3" t="s">
        <v>1496</v>
      </c>
      <c r="E1544">
        <v>2</v>
      </c>
      <c r="J1544">
        <v>22</v>
      </c>
    </row>
    <row r="1545" spans="1:10">
      <c r="A1545" s="3" t="s">
        <v>1497</v>
      </c>
      <c r="E1545">
        <v>2</v>
      </c>
      <c r="J1545">
        <v>22</v>
      </c>
    </row>
    <row r="1546" spans="1:10">
      <c r="A1546" s="3" t="s">
        <v>1498</v>
      </c>
      <c r="E1546">
        <v>2</v>
      </c>
      <c r="J1546">
        <v>22</v>
      </c>
    </row>
    <row r="1547" spans="1:10">
      <c r="A1547" s="3" t="s">
        <v>1499</v>
      </c>
      <c r="E1547">
        <v>2</v>
      </c>
      <c r="J1547">
        <v>22</v>
      </c>
    </row>
    <row r="1548" spans="1:10">
      <c r="A1548" s="3" t="s">
        <v>1500</v>
      </c>
      <c r="E1548">
        <v>2</v>
      </c>
      <c r="J1548">
        <v>22</v>
      </c>
    </row>
    <row r="1549" spans="1:10">
      <c r="A1549" s="3" t="s">
        <v>1501</v>
      </c>
      <c r="E1549">
        <v>2</v>
      </c>
      <c r="J1549">
        <v>22</v>
      </c>
    </row>
    <row r="1550" spans="1:10">
      <c r="A1550" s="3" t="s">
        <v>1502</v>
      </c>
      <c r="E1550">
        <v>2</v>
      </c>
      <c r="J1550">
        <v>22</v>
      </c>
    </row>
    <row r="1551" spans="1:10">
      <c r="A1551" s="3" t="s">
        <v>1503</v>
      </c>
      <c r="E1551">
        <v>2</v>
      </c>
      <c r="J1551">
        <v>22</v>
      </c>
    </row>
    <row r="1552" spans="1:10">
      <c r="A1552" s="3" t="s">
        <v>1504</v>
      </c>
      <c r="E1552">
        <v>2</v>
      </c>
      <c r="J1552">
        <v>22</v>
      </c>
    </row>
    <row r="1553" spans="1:10">
      <c r="A1553" s="3" t="s">
        <v>1505</v>
      </c>
      <c r="E1553">
        <v>2</v>
      </c>
      <c r="J1553">
        <v>22</v>
      </c>
    </row>
    <row r="1554" spans="1:10">
      <c r="A1554" s="3" t="s">
        <v>1506</v>
      </c>
      <c r="E1554">
        <v>2</v>
      </c>
      <c r="J1554">
        <v>22</v>
      </c>
    </row>
    <row r="1555" spans="1:10">
      <c r="A1555" s="3" t="s">
        <v>1507</v>
      </c>
      <c r="E1555">
        <v>2</v>
      </c>
      <c r="J1555">
        <v>22</v>
      </c>
    </row>
    <row r="1556" spans="1:10">
      <c r="A1556" s="3" t="s">
        <v>1508</v>
      </c>
      <c r="E1556">
        <v>2</v>
      </c>
      <c r="J1556">
        <v>22</v>
      </c>
    </row>
    <row r="1557" spans="1:10">
      <c r="A1557" s="3" t="s">
        <v>1509</v>
      </c>
      <c r="E1557">
        <v>2</v>
      </c>
      <c r="J1557">
        <v>22</v>
      </c>
    </row>
    <row r="1558" spans="1:10">
      <c r="A1558" s="3" t="s">
        <v>1510</v>
      </c>
      <c r="E1558">
        <v>2</v>
      </c>
      <c r="J1558">
        <v>22</v>
      </c>
    </row>
    <row r="1559" spans="1:10">
      <c r="A1559" s="3" t="s">
        <v>1511</v>
      </c>
      <c r="E1559">
        <v>2</v>
      </c>
      <c r="J1559">
        <v>22</v>
      </c>
    </row>
    <row r="1560" spans="1:10">
      <c r="A1560" s="3" t="s">
        <v>1512</v>
      </c>
      <c r="E1560">
        <v>2</v>
      </c>
      <c r="J1560">
        <v>22</v>
      </c>
    </row>
    <row r="1561" spans="1:10">
      <c r="A1561" s="3" t="s">
        <v>1513</v>
      </c>
      <c r="E1561">
        <v>2</v>
      </c>
      <c r="J1561">
        <v>22</v>
      </c>
    </row>
    <row r="1562" spans="1:10">
      <c r="A1562" s="3" t="s">
        <v>1514</v>
      </c>
      <c r="E1562">
        <v>2</v>
      </c>
      <c r="J1562">
        <v>22</v>
      </c>
    </row>
    <row r="1563" spans="1:10">
      <c r="A1563" s="3" t="s">
        <v>1515</v>
      </c>
      <c r="E1563">
        <v>2</v>
      </c>
      <c r="J1563">
        <v>22</v>
      </c>
    </row>
    <row r="1564" spans="1:10">
      <c r="A1564" s="3" t="s">
        <v>1516</v>
      </c>
      <c r="E1564">
        <v>2</v>
      </c>
      <c r="J1564">
        <v>22</v>
      </c>
    </row>
    <row r="1565" spans="1:10">
      <c r="A1565" s="3" t="s">
        <v>1517</v>
      </c>
      <c r="E1565">
        <v>2</v>
      </c>
      <c r="J1565">
        <v>22</v>
      </c>
    </row>
    <row r="1566" spans="1:10">
      <c r="A1566" s="3" t="s">
        <v>1518</v>
      </c>
      <c r="E1566">
        <v>2</v>
      </c>
      <c r="J1566">
        <v>22</v>
      </c>
    </row>
    <row r="1567" spans="1:10">
      <c r="A1567" s="3" t="s">
        <v>1519</v>
      </c>
      <c r="E1567">
        <v>2</v>
      </c>
      <c r="J1567">
        <v>22</v>
      </c>
    </row>
    <row r="1568" spans="1:10">
      <c r="A1568" s="3" t="s">
        <v>1520</v>
      </c>
      <c r="E1568">
        <v>2</v>
      </c>
      <c r="J1568">
        <v>22</v>
      </c>
    </row>
    <row r="1569" spans="1:10">
      <c r="A1569" s="3" t="s">
        <v>1521</v>
      </c>
      <c r="E1569">
        <v>2</v>
      </c>
      <c r="J1569">
        <v>22</v>
      </c>
    </row>
    <row r="1570" spans="1:10">
      <c r="A1570" s="3" t="s">
        <v>1522</v>
      </c>
      <c r="E1570">
        <v>2</v>
      </c>
      <c r="J1570">
        <v>22</v>
      </c>
    </row>
    <row r="1571" spans="1:10">
      <c r="A1571" s="3" t="s">
        <v>1523</v>
      </c>
      <c r="E1571">
        <v>2</v>
      </c>
      <c r="J1571">
        <v>22</v>
      </c>
    </row>
    <row r="1572" spans="1:10">
      <c r="A1572" s="3" t="s">
        <v>1524</v>
      </c>
      <c r="E1572">
        <v>2</v>
      </c>
      <c r="J1572">
        <v>22</v>
      </c>
    </row>
    <row r="1573" spans="1:10">
      <c r="A1573" s="3" t="s">
        <v>1525</v>
      </c>
      <c r="E1573">
        <v>2</v>
      </c>
      <c r="J1573">
        <v>22</v>
      </c>
    </row>
    <row r="1574" spans="1:10">
      <c r="A1574" s="3" t="s">
        <v>1526</v>
      </c>
      <c r="E1574">
        <v>2</v>
      </c>
      <c r="J1574">
        <v>22</v>
      </c>
    </row>
    <row r="1575" spans="1:10">
      <c r="A1575" s="3" t="s">
        <v>1527</v>
      </c>
      <c r="E1575">
        <v>2</v>
      </c>
      <c r="J1575">
        <v>22</v>
      </c>
    </row>
    <row r="1576" spans="1:10">
      <c r="A1576" s="3" t="s">
        <v>1528</v>
      </c>
      <c r="E1576">
        <v>2</v>
      </c>
      <c r="J1576">
        <v>22</v>
      </c>
    </row>
    <row r="1577" spans="1:10">
      <c r="A1577" s="3" t="s">
        <v>1529</v>
      </c>
      <c r="E1577">
        <v>2</v>
      </c>
      <c r="J1577">
        <v>22</v>
      </c>
    </row>
    <row r="1578" spans="1:10">
      <c r="A1578" s="3" t="s">
        <v>1530</v>
      </c>
      <c r="E1578">
        <v>2</v>
      </c>
      <c r="J1578">
        <v>22</v>
      </c>
    </row>
    <row r="1579" spans="1:10">
      <c r="A1579" s="3" t="s">
        <v>1531</v>
      </c>
      <c r="E1579">
        <v>2</v>
      </c>
      <c r="J1579">
        <v>22</v>
      </c>
    </row>
    <row r="1580" spans="1:10">
      <c r="A1580" s="3" t="s">
        <v>1532</v>
      </c>
      <c r="E1580">
        <v>2</v>
      </c>
      <c r="J1580">
        <v>22</v>
      </c>
    </row>
    <row r="1581" spans="1:10">
      <c r="A1581" s="3" t="s">
        <v>1533</v>
      </c>
      <c r="E1581">
        <v>2</v>
      </c>
      <c r="J1581">
        <v>22</v>
      </c>
    </row>
    <row r="1582" spans="1:10">
      <c r="A1582" s="3" t="s">
        <v>1534</v>
      </c>
      <c r="E1582">
        <v>2</v>
      </c>
      <c r="J1582">
        <v>22</v>
      </c>
    </row>
    <row r="1583" spans="1:10">
      <c r="A1583" s="3" t="s">
        <v>1535</v>
      </c>
      <c r="E1583">
        <v>2</v>
      </c>
      <c r="J1583">
        <v>22</v>
      </c>
    </row>
    <row r="1584" spans="1:10">
      <c r="A1584" s="3" t="s">
        <v>1536</v>
      </c>
      <c r="D1584">
        <v>2</v>
      </c>
      <c r="E1584">
        <v>2</v>
      </c>
      <c r="J1584">
        <v>22</v>
      </c>
    </row>
    <row r="1585" spans="1:10">
      <c r="A1585" s="3" t="s">
        <v>1537</v>
      </c>
      <c r="D1585">
        <v>2</v>
      </c>
      <c r="E1585">
        <v>2</v>
      </c>
      <c r="J1585">
        <v>22</v>
      </c>
    </row>
    <row r="1586" spans="1:10">
      <c r="A1586" s="3" t="s">
        <v>1538</v>
      </c>
      <c r="D1586">
        <v>2</v>
      </c>
      <c r="E1586">
        <v>2</v>
      </c>
      <c r="J1586">
        <v>22</v>
      </c>
    </row>
    <row r="1587" spans="1:10">
      <c r="A1587" s="3" t="s">
        <v>1539</v>
      </c>
      <c r="D1587">
        <v>2</v>
      </c>
      <c r="E1587">
        <v>2</v>
      </c>
      <c r="J1587">
        <v>22</v>
      </c>
    </row>
    <row r="1588" spans="1:10">
      <c r="A1588" s="3" t="s">
        <v>1540</v>
      </c>
      <c r="D1588">
        <v>2</v>
      </c>
      <c r="E1588">
        <v>2</v>
      </c>
      <c r="J1588">
        <v>22</v>
      </c>
    </row>
    <row r="1589" spans="1:10">
      <c r="A1589" s="3" t="s">
        <v>1541</v>
      </c>
      <c r="D1589">
        <v>2</v>
      </c>
      <c r="E1589">
        <v>2</v>
      </c>
      <c r="J1589">
        <v>22</v>
      </c>
    </row>
    <row r="1590" spans="1:10">
      <c r="A1590" s="3" t="s">
        <v>1542</v>
      </c>
      <c r="D1590">
        <v>2</v>
      </c>
      <c r="E1590">
        <v>2</v>
      </c>
      <c r="J1590">
        <v>22</v>
      </c>
    </row>
    <row r="1591" spans="1:10">
      <c r="A1591" s="3" t="s">
        <v>1543</v>
      </c>
      <c r="D1591">
        <v>2</v>
      </c>
      <c r="E1591">
        <v>2</v>
      </c>
      <c r="J1591">
        <v>22</v>
      </c>
    </row>
    <row r="1592" spans="1:10">
      <c r="A1592" s="3" t="s">
        <v>1544</v>
      </c>
      <c r="D1592">
        <v>2</v>
      </c>
      <c r="E1592">
        <v>2</v>
      </c>
      <c r="J1592">
        <v>22</v>
      </c>
    </row>
    <row r="1593" spans="1:10">
      <c r="A1593" s="3" t="s">
        <v>1545</v>
      </c>
      <c r="D1593">
        <v>2</v>
      </c>
      <c r="E1593">
        <v>2</v>
      </c>
      <c r="J1593">
        <v>22</v>
      </c>
    </row>
    <row r="1594" spans="1:10">
      <c r="A1594" s="3" t="s">
        <v>1546</v>
      </c>
      <c r="D1594">
        <v>2</v>
      </c>
      <c r="E1594">
        <v>2</v>
      </c>
      <c r="J1594">
        <v>22</v>
      </c>
    </row>
    <row r="1595" spans="1:10">
      <c r="A1595" s="3" t="s">
        <v>1547</v>
      </c>
      <c r="D1595">
        <v>2</v>
      </c>
      <c r="E1595">
        <v>2</v>
      </c>
      <c r="J1595">
        <v>22</v>
      </c>
    </row>
    <row r="1596" spans="1:10">
      <c r="A1596" s="3" t="s">
        <v>1548</v>
      </c>
      <c r="D1596">
        <v>2</v>
      </c>
      <c r="E1596">
        <v>2</v>
      </c>
      <c r="J1596">
        <v>22</v>
      </c>
    </row>
    <row r="1597" spans="1:10">
      <c r="A1597" s="3" t="s">
        <v>1549</v>
      </c>
      <c r="D1597">
        <v>2</v>
      </c>
      <c r="J1597">
        <v>22</v>
      </c>
    </row>
    <row r="1598" spans="1:10">
      <c r="A1598" s="3" t="s">
        <v>1550</v>
      </c>
      <c r="D1598">
        <v>2</v>
      </c>
      <c r="J1598">
        <v>22</v>
      </c>
    </row>
    <row r="1599" spans="1:10">
      <c r="A1599" s="3" t="s">
        <v>1551</v>
      </c>
      <c r="D1599">
        <v>2</v>
      </c>
      <c r="J1599">
        <v>22</v>
      </c>
    </row>
    <row r="1600" spans="1:10">
      <c r="A1600" s="3" t="s">
        <v>1552</v>
      </c>
      <c r="D1600">
        <v>2</v>
      </c>
      <c r="J1600">
        <v>22</v>
      </c>
    </row>
    <row r="1601" spans="1:10">
      <c r="A1601" s="3" t="s">
        <v>1553</v>
      </c>
      <c r="D1601">
        <v>2</v>
      </c>
      <c r="J1601">
        <v>22</v>
      </c>
    </row>
    <row r="1602" spans="1:10">
      <c r="A1602" s="3" t="s">
        <v>1554</v>
      </c>
      <c r="D1602">
        <v>2</v>
      </c>
      <c r="J1602">
        <v>22</v>
      </c>
    </row>
    <row r="1603" spans="1:10">
      <c r="A1603" s="3" t="s">
        <v>1555</v>
      </c>
      <c r="D1603">
        <v>2</v>
      </c>
      <c r="J1603">
        <v>22</v>
      </c>
    </row>
    <row r="1604" spans="1:10">
      <c r="A1604" s="3" t="s">
        <v>1556</v>
      </c>
      <c r="D1604">
        <v>2</v>
      </c>
      <c r="J1604">
        <v>22</v>
      </c>
    </row>
    <row r="1605" spans="1:10">
      <c r="A1605" s="3" t="s">
        <v>1557</v>
      </c>
      <c r="D1605">
        <v>2</v>
      </c>
      <c r="J1605">
        <v>22</v>
      </c>
    </row>
    <row r="1606" spans="1:10">
      <c r="A1606" s="3" t="s">
        <v>1558</v>
      </c>
      <c r="D1606">
        <v>2</v>
      </c>
      <c r="J1606">
        <v>22</v>
      </c>
    </row>
    <row r="1607" spans="1:10">
      <c r="A1607" s="3" t="s">
        <v>1559</v>
      </c>
      <c r="D1607">
        <v>2</v>
      </c>
      <c r="J1607">
        <v>22</v>
      </c>
    </row>
    <row r="1608" spans="1:10">
      <c r="A1608" s="3" t="s">
        <v>1560</v>
      </c>
      <c r="D1608">
        <v>2</v>
      </c>
      <c r="J1608">
        <v>22</v>
      </c>
    </row>
    <row r="1609" spans="1:10">
      <c r="A1609" s="3" t="s">
        <v>1561</v>
      </c>
      <c r="D1609">
        <v>2</v>
      </c>
      <c r="J1609">
        <v>22</v>
      </c>
    </row>
    <row r="1610" spans="1:10">
      <c r="A1610" s="3" t="s">
        <v>1562</v>
      </c>
      <c r="D1610">
        <v>2</v>
      </c>
      <c r="J1610">
        <v>22</v>
      </c>
    </row>
    <row r="1611" spans="1:10">
      <c r="A1611" s="3" t="s">
        <v>1563</v>
      </c>
      <c r="D1611">
        <v>2</v>
      </c>
      <c r="J1611">
        <v>22</v>
      </c>
    </row>
    <row r="1612" spans="1:10">
      <c r="A1612" s="3" t="s">
        <v>1564</v>
      </c>
      <c r="D1612">
        <v>2</v>
      </c>
      <c r="J1612">
        <v>22</v>
      </c>
    </row>
    <row r="1613" spans="1:10">
      <c r="A1613" s="3" t="s">
        <v>1565</v>
      </c>
      <c r="D1613">
        <v>2</v>
      </c>
      <c r="J1613">
        <v>22</v>
      </c>
    </row>
    <row r="1614" spans="1:10">
      <c r="A1614" s="3" t="s">
        <v>1566</v>
      </c>
      <c r="D1614">
        <v>2</v>
      </c>
      <c r="J1614">
        <v>22</v>
      </c>
    </row>
    <row r="1615" spans="1:10">
      <c r="A1615" s="3" t="s">
        <v>1567</v>
      </c>
      <c r="D1615">
        <v>2</v>
      </c>
      <c r="J1615">
        <v>22</v>
      </c>
    </row>
    <row r="1616" spans="1:10">
      <c r="A1616" s="3" t="s">
        <v>1568</v>
      </c>
      <c r="D1616">
        <v>2</v>
      </c>
      <c r="J1616">
        <v>22</v>
      </c>
    </row>
    <row r="1617" spans="1:10">
      <c r="A1617" s="3" t="s">
        <v>1569</v>
      </c>
      <c r="D1617">
        <v>2</v>
      </c>
      <c r="J1617">
        <v>22</v>
      </c>
    </row>
    <row r="1618" spans="1:10">
      <c r="A1618" s="3" t="s">
        <v>1570</v>
      </c>
      <c r="D1618">
        <v>2</v>
      </c>
      <c r="J1618">
        <v>22</v>
      </c>
    </row>
    <row r="1619" spans="1:10">
      <c r="A1619" s="3" t="s">
        <v>1571</v>
      </c>
      <c r="D1619">
        <v>2</v>
      </c>
      <c r="J1619">
        <v>22</v>
      </c>
    </row>
    <row r="1620" spans="1:10">
      <c r="A1620" s="3" t="s">
        <v>1572</v>
      </c>
      <c r="D1620">
        <v>2</v>
      </c>
      <c r="J1620">
        <v>22</v>
      </c>
    </row>
    <row r="1621" spans="1:10">
      <c r="A1621" s="3" t="s">
        <v>1573</v>
      </c>
      <c r="D1621">
        <v>2</v>
      </c>
      <c r="J1621">
        <v>22</v>
      </c>
    </row>
    <row r="1622" spans="1:10">
      <c r="A1622" s="3" t="s">
        <v>1574</v>
      </c>
      <c r="D1622">
        <v>2</v>
      </c>
      <c r="J1622">
        <v>22</v>
      </c>
    </row>
    <row r="1623" spans="1:10">
      <c r="A1623" s="3" t="s">
        <v>1575</v>
      </c>
      <c r="D1623">
        <v>2</v>
      </c>
      <c r="J1623">
        <v>22</v>
      </c>
    </row>
    <row r="1624" spans="1:10">
      <c r="A1624" s="3" t="s">
        <v>1576</v>
      </c>
      <c r="D1624">
        <v>2</v>
      </c>
      <c r="J1624">
        <v>22</v>
      </c>
    </row>
    <row r="1625" spans="1:10">
      <c r="A1625" s="3" t="s">
        <v>1577</v>
      </c>
      <c r="D1625">
        <v>2</v>
      </c>
      <c r="J1625">
        <v>22</v>
      </c>
    </row>
    <row r="1626" spans="1:10">
      <c r="A1626" s="3" t="s">
        <v>1578</v>
      </c>
      <c r="D1626">
        <v>2</v>
      </c>
      <c r="J1626">
        <v>22</v>
      </c>
    </row>
    <row r="1627" spans="1:10">
      <c r="A1627" s="3" t="s">
        <v>1579</v>
      </c>
      <c r="D1627">
        <v>2</v>
      </c>
      <c r="J1627">
        <v>22</v>
      </c>
    </row>
    <row r="1628" spans="1:10">
      <c r="A1628" s="3" t="s">
        <v>1580</v>
      </c>
      <c r="D1628">
        <v>2</v>
      </c>
      <c r="J1628">
        <v>22</v>
      </c>
    </row>
    <row r="1629" spans="1:10">
      <c r="A1629" s="3" t="s">
        <v>1581</v>
      </c>
      <c r="D1629">
        <v>2</v>
      </c>
      <c r="J1629">
        <v>22</v>
      </c>
    </row>
    <row r="1630" spans="1:10">
      <c r="A1630" s="3" t="s">
        <v>1582</v>
      </c>
      <c r="D1630">
        <v>2</v>
      </c>
      <c r="J1630">
        <v>22</v>
      </c>
    </row>
    <row r="1631" spans="1:10">
      <c r="A1631" s="3" t="s">
        <v>1583</v>
      </c>
      <c r="D1631">
        <v>2</v>
      </c>
      <c r="J1631">
        <v>22</v>
      </c>
    </row>
    <row r="1632" spans="1:10">
      <c r="A1632" s="3" t="s">
        <v>1584</v>
      </c>
      <c r="D1632">
        <v>2</v>
      </c>
      <c r="J1632">
        <v>22</v>
      </c>
    </row>
    <row r="1633" spans="1:48">
      <c r="A1633" s="3" t="s">
        <v>1585</v>
      </c>
      <c r="D1633">
        <v>2</v>
      </c>
      <c r="J1633">
        <v>22</v>
      </c>
    </row>
    <row r="1634" spans="1:48">
      <c r="A1634" s="3" t="s">
        <v>1586</v>
      </c>
      <c r="D1634">
        <v>2</v>
      </c>
      <c r="AV1634">
        <v>3</v>
      </c>
    </row>
    <row r="1635" spans="1:48">
      <c r="A1635" s="3" t="s">
        <v>1587</v>
      </c>
      <c r="D1635">
        <v>2</v>
      </c>
      <c r="AV1635">
        <v>3</v>
      </c>
    </row>
    <row r="1636" spans="1:48">
      <c r="A1636" s="3" t="s">
        <v>1588</v>
      </c>
      <c r="D1636">
        <v>2</v>
      </c>
      <c r="AV1636">
        <v>3</v>
      </c>
    </row>
    <row r="1637" spans="1:48">
      <c r="A1637" s="3" t="s">
        <v>1589</v>
      </c>
      <c r="D1637">
        <v>2</v>
      </c>
      <c r="AV1637">
        <v>3</v>
      </c>
    </row>
    <row r="1638" spans="1:48">
      <c r="A1638" s="3" t="s">
        <v>1590</v>
      </c>
      <c r="D1638">
        <v>2</v>
      </c>
      <c r="AV1638">
        <v>3</v>
      </c>
    </row>
    <row r="1639" spans="1:48">
      <c r="A1639" s="3" t="s">
        <v>1591</v>
      </c>
      <c r="D1639">
        <v>2</v>
      </c>
      <c r="AV1639">
        <v>3</v>
      </c>
    </row>
    <row r="1640" spans="1:48">
      <c r="A1640" s="3" t="s">
        <v>1592</v>
      </c>
      <c r="D1640">
        <v>2</v>
      </c>
      <c r="AV1640">
        <v>3</v>
      </c>
    </row>
    <row r="1641" spans="1:48">
      <c r="A1641" s="3" t="s">
        <v>1593</v>
      </c>
      <c r="D1641">
        <v>2</v>
      </c>
      <c r="AV1641">
        <v>3</v>
      </c>
    </row>
    <row r="1642" spans="1:48">
      <c r="A1642" s="3" t="s">
        <v>1594</v>
      </c>
      <c r="D1642">
        <v>2</v>
      </c>
      <c r="AV1642">
        <v>3</v>
      </c>
    </row>
    <row r="1643" spans="1:48">
      <c r="A1643" s="3" t="s">
        <v>1595</v>
      </c>
      <c r="D1643">
        <v>2</v>
      </c>
      <c r="AV1643">
        <v>3</v>
      </c>
    </row>
    <row r="1644" spans="1:48">
      <c r="A1644" s="3" t="s">
        <v>1596</v>
      </c>
      <c r="D1644">
        <v>2</v>
      </c>
      <c r="AV1644">
        <v>3</v>
      </c>
    </row>
    <row r="1645" spans="1:48">
      <c r="A1645" s="3" t="s">
        <v>1597</v>
      </c>
      <c r="D1645">
        <v>2</v>
      </c>
      <c r="AV1645">
        <v>3</v>
      </c>
    </row>
    <row r="1646" spans="1:48">
      <c r="A1646" s="3" t="s">
        <v>1598</v>
      </c>
      <c r="D1646">
        <v>2</v>
      </c>
      <c r="AV1646">
        <v>3</v>
      </c>
    </row>
    <row r="1647" spans="1:48">
      <c r="A1647" s="3" t="s">
        <v>1599</v>
      </c>
      <c r="D1647">
        <v>2</v>
      </c>
      <c r="AV1647">
        <v>3</v>
      </c>
    </row>
    <row r="1648" spans="1:48">
      <c r="A1648" s="3" t="s">
        <v>1600</v>
      </c>
      <c r="D1648">
        <v>2</v>
      </c>
      <c r="AV1648">
        <v>3</v>
      </c>
    </row>
    <row r="1649" spans="1:48">
      <c r="A1649" s="3" t="s">
        <v>1601</v>
      </c>
      <c r="D1649">
        <v>2</v>
      </c>
      <c r="AV1649">
        <v>3</v>
      </c>
    </row>
    <row r="1650" spans="1:48">
      <c r="A1650" s="3" t="s">
        <v>1602</v>
      </c>
      <c r="D1650">
        <v>2</v>
      </c>
      <c r="AV1650">
        <v>3</v>
      </c>
    </row>
    <row r="1651" spans="1:48">
      <c r="A1651" s="3" t="s">
        <v>1603</v>
      </c>
      <c r="D1651">
        <v>2</v>
      </c>
      <c r="AV1651">
        <v>3</v>
      </c>
    </row>
    <row r="1652" spans="1:48">
      <c r="A1652" s="3" t="s">
        <v>1604</v>
      </c>
      <c r="D1652">
        <v>2</v>
      </c>
      <c r="AV1652">
        <v>3</v>
      </c>
    </row>
    <row r="1653" spans="1:48">
      <c r="A1653" s="3" t="s">
        <v>1605</v>
      </c>
      <c r="D1653">
        <v>2</v>
      </c>
      <c r="AV1653">
        <v>3</v>
      </c>
    </row>
    <row r="1654" spans="1:48">
      <c r="A1654" s="3" t="s">
        <v>1606</v>
      </c>
      <c r="D1654">
        <v>2</v>
      </c>
      <c r="AV1654">
        <v>3</v>
      </c>
    </row>
    <row r="1655" spans="1:48">
      <c r="A1655" s="3" t="s">
        <v>1607</v>
      </c>
      <c r="D1655">
        <v>2</v>
      </c>
      <c r="AV1655">
        <v>3</v>
      </c>
    </row>
    <row r="1656" spans="1:48">
      <c r="A1656" s="3" t="s">
        <v>1608</v>
      </c>
      <c r="D1656">
        <v>2</v>
      </c>
      <c r="AV1656">
        <v>3</v>
      </c>
    </row>
    <row r="1657" spans="1:48">
      <c r="A1657" s="3" t="s">
        <v>1609</v>
      </c>
      <c r="D1657">
        <v>2</v>
      </c>
      <c r="AV1657">
        <v>3</v>
      </c>
    </row>
    <row r="1658" spans="1:48">
      <c r="A1658" s="3" t="s">
        <v>1610</v>
      </c>
      <c r="D1658">
        <v>2</v>
      </c>
      <c r="AV1658">
        <v>3</v>
      </c>
    </row>
    <row r="1659" spans="1:48">
      <c r="A1659" s="3" t="s">
        <v>1611</v>
      </c>
      <c r="D1659">
        <v>2</v>
      </c>
      <c r="AV1659">
        <v>3</v>
      </c>
    </row>
    <row r="1660" spans="1:48">
      <c r="A1660" s="3" t="s">
        <v>1612</v>
      </c>
      <c r="D1660">
        <v>2</v>
      </c>
      <c r="AV1660">
        <v>3</v>
      </c>
    </row>
    <row r="1661" spans="1:48">
      <c r="A1661" s="3" t="s">
        <v>1613</v>
      </c>
      <c r="D1661">
        <v>2</v>
      </c>
      <c r="AV1661">
        <v>3</v>
      </c>
    </row>
    <row r="1662" spans="1:48">
      <c r="A1662" s="3" t="s">
        <v>1614</v>
      </c>
      <c r="D1662">
        <v>2</v>
      </c>
      <c r="AV1662">
        <v>3</v>
      </c>
    </row>
    <row r="1663" spans="1:48">
      <c r="A1663" s="3" t="s">
        <v>1615</v>
      </c>
      <c r="D1663">
        <v>2</v>
      </c>
      <c r="AV1663">
        <v>3</v>
      </c>
    </row>
    <row r="1664" spans="1:48">
      <c r="A1664" s="3" t="s">
        <v>1616</v>
      </c>
      <c r="D1664">
        <v>2</v>
      </c>
      <c r="AV1664">
        <v>3</v>
      </c>
    </row>
    <row r="1665" spans="1:48">
      <c r="A1665" s="3" t="s">
        <v>1617</v>
      </c>
      <c r="D1665">
        <v>2</v>
      </c>
      <c r="AV1665">
        <v>3</v>
      </c>
    </row>
    <row r="1666" spans="1:48">
      <c r="A1666" s="3" t="s">
        <v>1618</v>
      </c>
      <c r="D1666">
        <v>2</v>
      </c>
      <c r="AV1666">
        <v>3</v>
      </c>
    </row>
    <row r="1667" spans="1:48">
      <c r="A1667" s="3" t="s">
        <v>1619</v>
      </c>
      <c r="D1667">
        <v>2</v>
      </c>
      <c r="AV1667">
        <v>3</v>
      </c>
    </row>
    <row r="1668" spans="1:48">
      <c r="A1668" s="3" t="s">
        <v>1620</v>
      </c>
      <c r="D1668">
        <v>2</v>
      </c>
      <c r="AV1668">
        <v>3</v>
      </c>
    </row>
    <row r="1669" spans="1:48">
      <c r="A1669" s="3" t="s">
        <v>1621</v>
      </c>
      <c r="D1669">
        <v>2</v>
      </c>
      <c r="AV1669">
        <v>3</v>
      </c>
    </row>
    <row r="1670" spans="1:48">
      <c r="A1670" s="3" t="s">
        <v>1622</v>
      </c>
      <c r="D1670">
        <v>2</v>
      </c>
      <c r="AV1670">
        <v>3</v>
      </c>
    </row>
    <row r="1671" spans="1:48">
      <c r="A1671" s="3" t="s">
        <v>1623</v>
      </c>
      <c r="D1671">
        <v>2</v>
      </c>
      <c r="AV1671">
        <v>3</v>
      </c>
    </row>
    <row r="1672" spans="1:48">
      <c r="A1672" s="3" t="s">
        <v>1624</v>
      </c>
      <c r="D1672">
        <v>2</v>
      </c>
      <c r="AV1672">
        <v>3</v>
      </c>
    </row>
    <row r="1673" spans="1:48">
      <c r="A1673" s="3" t="s">
        <v>1625</v>
      </c>
      <c r="D1673">
        <v>2</v>
      </c>
      <c r="AV1673">
        <v>3</v>
      </c>
    </row>
    <row r="1674" spans="1:48">
      <c r="A1674" s="3" t="s">
        <v>1626</v>
      </c>
      <c r="D1674">
        <v>2</v>
      </c>
      <c r="AV1674">
        <v>3</v>
      </c>
    </row>
    <row r="1675" spans="1:48">
      <c r="A1675" s="3" t="s">
        <v>1627</v>
      </c>
      <c r="D1675">
        <v>2</v>
      </c>
      <c r="AV1675">
        <v>3</v>
      </c>
    </row>
    <row r="1676" spans="1:48">
      <c r="A1676" s="3" t="s">
        <v>1628</v>
      </c>
      <c r="D1676">
        <v>2</v>
      </c>
      <c r="AV1676">
        <v>3</v>
      </c>
    </row>
    <row r="1677" spans="1:48">
      <c r="A1677" s="3" t="s">
        <v>1629</v>
      </c>
      <c r="D1677">
        <v>2</v>
      </c>
      <c r="AV1677">
        <v>3</v>
      </c>
    </row>
    <row r="1678" spans="1:48">
      <c r="A1678" s="3" t="s">
        <v>1630</v>
      </c>
      <c r="D1678">
        <v>2</v>
      </c>
      <c r="AV1678">
        <v>3</v>
      </c>
    </row>
    <row r="1679" spans="1:48">
      <c r="A1679" s="3" t="s">
        <v>1631</v>
      </c>
      <c r="D1679">
        <v>2</v>
      </c>
      <c r="AV1679">
        <v>3</v>
      </c>
    </row>
    <row r="1680" spans="1:48">
      <c r="A1680" s="3" t="s">
        <v>1632</v>
      </c>
      <c r="D1680">
        <v>2</v>
      </c>
      <c r="AV1680">
        <v>3</v>
      </c>
    </row>
    <row r="1681" spans="1:48">
      <c r="A1681" s="3" t="s">
        <v>1633</v>
      </c>
      <c r="D1681">
        <v>2</v>
      </c>
      <c r="AV1681">
        <v>3</v>
      </c>
    </row>
    <row r="1682" spans="1:48">
      <c r="A1682" s="3" t="s">
        <v>1634</v>
      </c>
      <c r="D1682">
        <v>2</v>
      </c>
      <c r="AV1682">
        <v>3</v>
      </c>
    </row>
    <row r="1683" spans="1:48">
      <c r="A1683" s="3" t="s">
        <v>1635</v>
      </c>
      <c r="D1683">
        <v>2</v>
      </c>
      <c r="AV1683">
        <v>3</v>
      </c>
    </row>
    <row r="1684" spans="1:48">
      <c r="A1684" s="3" t="s">
        <v>1636</v>
      </c>
      <c r="D1684">
        <v>2</v>
      </c>
      <c r="AV1684">
        <v>3</v>
      </c>
    </row>
    <row r="1685" spans="1:48">
      <c r="A1685" s="3" t="s">
        <v>1637</v>
      </c>
      <c r="D1685">
        <v>2</v>
      </c>
      <c r="AV1685">
        <v>3</v>
      </c>
    </row>
    <row r="1686" spans="1:48">
      <c r="A1686" s="3" t="s">
        <v>1638</v>
      </c>
      <c r="D1686">
        <v>2</v>
      </c>
      <c r="AV1686">
        <v>3</v>
      </c>
    </row>
    <row r="1687" spans="1:48">
      <c r="A1687" s="3" t="s">
        <v>1639</v>
      </c>
      <c r="D1687">
        <v>2</v>
      </c>
      <c r="AV1687">
        <v>3</v>
      </c>
    </row>
    <row r="1688" spans="1:48">
      <c r="A1688" s="3" t="s">
        <v>1640</v>
      </c>
      <c r="D1688">
        <v>2</v>
      </c>
      <c r="AV1688">
        <v>3</v>
      </c>
    </row>
    <row r="1689" spans="1:48">
      <c r="A1689" s="3" t="s">
        <v>1641</v>
      </c>
      <c r="D1689">
        <v>2</v>
      </c>
      <c r="AV1689">
        <v>3</v>
      </c>
    </row>
    <row r="1690" spans="1:48">
      <c r="A1690" s="3" t="s">
        <v>1642</v>
      </c>
      <c r="D1690">
        <v>2</v>
      </c>
      <c r="AV1690">
        <v>3</v>
      </c>
    </row>
    <row r="1691" spans="1:48">
      <c r="A1691" s="3" t="s">
        <v>1643</v>
      </c>
      <c r="D1691">
        <v>2</v>
      </c>
      <c r="AV1691">
        <v>3</v>
      </c>
    </row>
    <row r="1692" spans="1:48">
      <c r="A1692" s="3" t="s">
        <v>1644</v>
      </c>
      <c r="D1692">
        <v>2</v>
      </c>
      <c r="AV1692">
        <v>3</v>
      </c>
    </row>
    <row r="1693" spans="1:48">
      <c r="A1693" s="3" t="s">
        <v>1645</v>
      </c>
      <c r="D1693">
        <v>2</v>
      </c>
      <c r="AV1693">
        <v>3</v>
      </c>
    </row>
    <row r="1694" spans="1:48">
      <c r="A1694" s="3" t="s">
        <v>1646</v>
      </c>
      <c r="D1694">
        <v>2</v>
      </c>
      <c r="AV1694">
        <v>3</v>
      </c>
    </row>
    <row r="1695" spans="1:48">
      <c r="A1695" s="3" t="s">
        <v>1647</v>
      </c>
      <c r="D1695">
        <v>2</v>
      </c>
      <c r="AV1695">
        <v>3</v>
      </c>
    </row>
    <row r="1696" spans="1:48">
      <c r="A1696" s="3" t="s">
        <v>1648</v>
      </c>
      <c r="D1696">
        <v>2</v>
      </c>
      <c r="AV1696">
        <v>3</v>
      </c>
    </row>
    <row r="1697" spans="1:48">
      <c r="A1697" s="3" t="s">
        <v>1649</v>
      </c>
      <c r="D1697">
        <v>2</v>
      </c>
      <c r="AV1697">
        <v>3</v>
      </c>
    </row>
    <row r="1698" spans="1:48">
      <c r="A1698" s="3" t="s">
        <v>1650</v>
      </c>
      <c r="D1698">
        <v>2</v>
      </c>
      <c r="AV1698">
        <v>3</v>
      </c>
    </row>
    <row r="1699" spans="1:48">
      <c r="A1699" s="3" t="s">
        <v>1651</v>
      </c>
      <c r="D1699">
        <v>2</v>
      </c>
      <c r="AV1699">
        <v>3</v>
      </c>
    </row>
    <row r="1700" spans="1:48">
      <c r="A1700" s="3" t="s">
        <v>1652</v>
      </c>
      <c r="D1700">
        <v>2</v>
      </c>
      <c r="AV1700">
        <v>3</v>
      </c>
    </row>
    <row r="1701" spans="1:48">
      <c r="A1701" s="3" t="s">
        <v>1653</v>
      </c>
      <c r="D1701">
        <v>2</v>
      </c>
      <c r="J1701">
        <v>23</v>
      </c>
    </row>
    <row r="1702" spans="1:48">
      <c r="A1702" s="3" t="s">
        <v>1654</v>
      </c>
      <c r="D1702">
        <v>2</v>
      </c>
      <c r="J1702">
        <v>23</v>
      </c>
    </row>
    <row r="1703" spans="1:48">
      <c r="A1703" s="3" t="s">
        <v>1655</v>
      </c>
      <c r="D1703">
        <v>2</v>
      </c>
      <c r="J1703">
        <v>23</v>
      </c>
    </row>
    <row r="1704" spans="1:48">
      <c r="A1704" s="3" t="s">
        <v>1656</v>
      </c>
      <c r="D1704">
        <v>2</v>
      </c>
      <c r="J1704">
        <v>23</v>
      </c>
    </row>
    <row r="1705" spans="1:48">
      <c r="A1705" s="3" t="s">
        <v>1657</v>
      </c>
      <c r="D1705">
        <v>2</v>
      </c>
      <c r="J1705">
        <v>23</v>
      </c>
    </row>
    <row r="1706" spans="1:48">
      <c r="A1706" s="3" t="s">
        <v>1658</v>
      </c>
      <c r="D1706">
        <v>2</v>
      </c>
      <c r="J1706">
        <v>23</v>
      </c>
    </row>
    <row r="1707" spans="1:48">
      <c r="A1707" s="3" t="s">
        <v>1659</v>
      </c>
      <c r="D1707">
        <v>2</v>
      </c>
      <c r="J1707">
        <v>23</v>
      </c>
    </row>
    <row r="1708" spans="1:48">
      <c r="A1708" s="3" t="s">
        <v>1660</v>
      </c>
      <c r="D1708">
        <v>2</v>
      </c>
      <c r="J1708">
        <v>23</v>
      </c>
    </row>
    <row r="1709" spans="1:48">
      <c r="A1709" s="3" t="s">
        <v>1661</v>
      </c>
      <c r="D1709">
        <v>2</v>
      </c>
      <c r="J1709">
        <v>23</v>
      </c>
    </row>
    <row r="1710" spans="1:48">
      <c r="A1710" s="3" t="s">
        <v>1662</v>
      </c>
      <c r="D1710">
        <v>2</v>
      </c>
      <c r="J1710">
        <v>23</v>
      </c>
    </row>
    <row r="1711" spans="1:48">
      <c r="A1711" s="3" t="s">
        <v>1663</v>
      </c>
      <c r="D1711">
        <v>2</v>
      </c>
      <c r="J1711">
        <v>23</v>
      </c>
    </row>
    <row r="1712" spans="1:48">
      <c r="A1712" s="3" t="s">
        <v>1664</v>
      </c>
      <c r="D1712">
        <v>2</v>
      </c>
      <c r="J1712">
        <v>23</v>
      </c>
    </row>
    <row r="1713" spans="1:10">
      <c r="A1713" s="3" t="s">
        <v>1665</v>
      </c>
      <c r="D1713">
        <v>2</v>
      </c>
      <c r="J1713">
        <v>23</v>
      </c>
    </row>
    <row r="1714" spans="1:10">
      <c r="A1714" s="3" t="s">
        <v>1666</v>
      </c>
      <c r="D1714">
        <v>2</v>
      </c>
      <c r="J1714">
        <v>23</v>
      </c>
    </row>
    <row r="1715" spans="1:10">
      <c r="A1715" s="3" t="s">
        <v>1667</v>
      </c>
      <c r="D1715">
        <v>2</v>
      </c>
      <c r="J1715">
        <v>23</v>
      </c>
    </row>
    <row r="1716" spans="1:10">
      <c r="A1716" s="3" t="s">
        <v>1668</v>
      </c>
      <c r="D1716">
        <v>2</v>
      </c>
      <c r="J1716">
        <v>23</v>
      </c>
    </row>
    <row r="1717" spans="1:10">
      <c r="A1717" s="3" t="s">
        <v>1669</v>
      </c>
      <c r="D1717">
        <v>2</v>
      </c>
      <c r="J1717">
        <v>23</v>
      </c>
    </row>
    <row r="1718" spans="1:10">
      <c r="A1718" s="3" t="s">
        <v>1670</v>
      </c>
      <c r="D1718">
        <v>2</v>
      </c>
      <c r="J1718">
        <v>23</v>
      </c>
    </row>
    <row r="1719" spans="1:10">
      <c r="A1719" s="3" t="s">
        <v>1671</v>
      </c>
      <c r="D1719">
        <v>2</v>
      </c>
      <c r="J1719">
        <v>23</v>
      </c>
    </row>
    <row r="1720" spans="1:10">
      <c r="A1720" s="3" t="s">
        <v>1672</v>
      </c>
      <c r="D1720">
        <v>2</v>
      </c>
      <c r="J1720">
        <v>23</v>
      </c>
    </row>
    <row r="1721" spans="1:10">
      <c r="A1721" s="3" t="s">
        <v>1673</v>
      </c>
      <c r="D1721">
        <v>2</v>
      </c>
      <c r="J1721">
        <v>23</v>
      </c>
    </row>
    <row r="1722" spans="1:10">
      <c r="A1722" s="3" t="s">
        <v>1674</v>
      </c>
      <c r="D1722">
        <v>2</v>
      </c>
      <c r="J1722">
        <v>23</v>
      </c>
    </row>
    <row r="1723" spans="1:10">
      <c r="A1723" s="3" t="s">
        <v>1675</v>
      </c>
      <c r="D1723">
        <v>2</v>
      </c>
      <c r="J1723">
        <v>23</v>
      </c>
    </row>
    <row r="1724" spans="1:10">
      <c r="A1724" s="3" t="s">
        <v>1676</v>
      </c>
      <c r="D1724">
        <v>2</v>
      </c>
      <c r="J1724">
        <v>23</v>
      </c>
    </row>
    <row r="1725" spans="1:10">
      <c r="A1725" s="3" t="s">
        <v>1677</v>
      </c>
      <c r="D1725">
        <v>2</v>
      </c>
      <c r="J1725">
        <v>23</v>
      </c>
    </row>
    <row r="1726" spans="1:10">
      <c r="A1726" s="3" t="s">
        <v>1678</v>
      </c>
      <c r="D1726">
        <v>2</v>
      </c>
      <c r="J1726">
        <v>23</v>
      </c>
    </row>
    <row r="1727" spans="1:10">
      <c r="A1727" s="3" t="s">
        <v>1679</v>
      </c>
      <c r="D1727">
        <v>2</v>
      </c>
      <c r="J1727">
        <v>23</v>
      </c>
    </row>
    <row r="1728" spans="1:10">
      <c r="A1728" s="3" t="s">
        <v>1680</v>
      </c>
      <c r="D1728">
        <v>2</v>
      </c>
      <c r="J1728">
        <v>23</v>
      </c>
    </row>
    <row r="1729" spans="1:10">
      <c r="A1729" s="3" t="s">
        <v>1681</v>
      </c>
      <c r="D1729">
        <v>2</v>
      </c>
      <c r="J1729">
        <v>23</v>
      </c>
    </row>
    <row r="1730" spans="1:10">
      <c r="A1730" s="3" t="s">
        <v>1682</v>
      </c>
      <c r="D1730">
        <v>2</v>
      </c>
      <c r="J1730">
        <v>23</v>
      </c>
    </row>
    <row r="1731" spans="1:10">
      <c r="A1731" s="3" t="s">
        <v>1683</v>
      </c>
      <c r="D1731">
        <v>2</v>
      </c>
      <c r="J1731">
        <v>23</v>
      </c>
    </row>
    <row r="1732" spans="1:10">
      <c r="A1732" s="3" t="s">
        <v>1684</v>
      </c>
      <c r="D1732">
        <v>2</v>
      </c>
      <c r="J1732">
        <v>23</v>
      </c>
    </row>
    <row r="1733" spans="1:10">
      <c r="A1733" s="3" t="s">
        <v>1685</v>
      </c>
      <c r="D1733">
        <v>2</v>
      </c>
      <c r="J1733">
        <v>23</v>
      </c>
    </row>
    <row r="1734" spans="1:10">
      <c r="A1734" s="3" t="s">
        <v>1686</v>
      </c>
      <c r="D1734">
        <v>2</v>
      </c>
      <c r="J1734">
        <v>23</v>
      </c>
    </row>
    <row r="1735" spans="1:10">
      <c r="A1735" s="3" t="s">
        <v>1687</v>
      </c>
      <c r="D1735">
        <v>2</v>
      </c>
      <c r="J1735">
        <v>23</v>
      </c>
    </row>
    <row r="1736" spans="1:10">
      <c r="A1736" s="3" t="s">
        <v>1688</v>
      </c>
      <c r="D1736">
        <v>2</v>
      </c>
      <c r="J1736">
        <v>23</v>
      </c>
    </row>
    <row r="1737" spans="1:10">
      <c r="A1737" s="3" t="s">
        <v>1689</v>
      </c>
      <c r="D1737">
        <v>2</v>
      </c>
      <c r="J1737">
        <v>23</v>
      </c>
    </row>
    <row r="1738" spans="1:10">
      <c r="A1738" s="3" t="s">
        <v>1690</v>
      </c>
      <c r="D1738">
        <v>2</v>
      </c>
      <c r="J1738">
        <v>23</v>
      </c>
    </row>
    <row r="1739" spans="1:10">
      <c r="A1739" s="3" t="s">
        <v>1691</v>
      </c>
      <c r="D1739">
        <v>2</v>
      </c>
      <c r="J1739">
        <v>23</v>
      </c>
    </row>
    <row r="1740" spans="1:10">
      <c r="A1740" s="3" t="s">
        <v>1692</v>
      </c>
      <c r="D1740">
        <v>2</v>
      </c>
      <c r="J1740">
        <v>23</v>
      </c>
    </row>
    <row r="1741" spans="1:10">
      <c r="A1741" s="3" t="s">
        <v>1693</v>
      </c>
      <c r="D1741">
        <v>2</v>
      </c>
      <c r="J1741">
        <v>23</v>
      </c>
    </row>
    <row r="1742" spans="1:10">
      <c r="A1742" s="3" t="s">
        <v>1694</v>
      </c>
      <c r="D1742">
        <v>2</v>
      </c>
      <c r="J1742">
        <v>23</v>
      </c>
    </row>
    <row r="1743" spans="1:10">
      <c r="A1743" s="3" t="s">
        <v>1695</v>
      </c>
      <c r="D1743">
        <v>2</v>
      </c>
      <c r="J1743">
        <v>23</v>
      </c>
    </row>
    <row r="1744" spans="1:10">
      <c r="A1744" s="3" t="s">
        <v>1696</v>
      </c>
      <c r="D1744">
        <v>2</v>
      </c>
      <c r="J1744">
        <v>23</v>
      </c>
    </row>
    <row r="1745" spans="1:11">
      <c r="A1745" s="3" t="s">
        <v>1697</v>
      </c>
      <c r="D1745">
        <v>2</v>
      </c>
      <c r="J1745">
        <v>23</v>
      </c>
    </row>
    <row r="1746" spans="1:11">
      <c r="A1746" s="3" t="s">
        <v>1698</v>
      </c>
      <c r="D1746">
        <v>2</v>
      </c>
      <c r="J1746">
        <v>23</v>
      </c>
    </row>
    <row r="1747" spans="1:11">
      <c r="A1747" s="3" t="s">
        <v>1699</v>
      </c>
      <c r="D1747">
        <v>2</v>
      </c>
      <c r="J1747">
        <v>23</v>
      </c>
    </row>
    <row r="1748" spans="1:11">
      <c r="A1748" s="3" t="s">
        <v>1700</v>
      </c>
      <c r="D1748">
        <v>2</v>
      </c>
      <c r="J1748">
        <v>23</v>
      </c>
    </row>
    <row r="1749" spans="1:11">
      <c r="A1749" s="3" t="s">
        <v>1701</v>
      </c>
      <c r="D1749">
        <v>2</v>
      </c>
      <c r="J1749">
        <v>23</v>
      </c>
    </row>
    <row r="1750" spans="1:11">
      <c r="A1750" s="3" t="s">
        <v>1702</v>
      </c>
      <c r="D1750">
        <v>2</v>
      </c>
      <c r="J1750">
        <v>23</v>
      </c>
    </row>
    <row r="1751" spans="1:11">
      <c r="A1751" s="3" t="s">
        <v>1703</v>
      </c>
      <c r="D1751">
        <v>2</v>
      </c>
      <c r="J1751">
        <v>23</v>
      </c>
    </row>
    <row r="1752" spans="1:11">
      <c r="A1752" s="3" t="s">
        <v>1704</v>
      </c>
      <c r="D1752">
        <v>2</v>
      </c>
      <c r="J1752">
        <v>23</v>
      </c>
    </row>
    <row r="1753" spans="1:11">
      <c r="A1753" s="3" t="s">
        <v>1705</v>
      </c>
      <c r="D1753">
        <v>2</v>
      </c>
      <c r="J1753">
        <v>23</v>
      </c>
    </row>
    <row r="1754" spans="1:11">
      <c r="A1754" s="3" t="s">
        <v>1706</v>
      </c>
      <c r="D1754">
        <v>2</v>
      </c>
      <c r="J1754">
        <v>23</v>
      </c>
    </row>
    <row r="1755" spans="1:11">
      <c r="A1755" s="3" t="s">
        <v>1707</v>
      </c>
      <c r="D1755">
        <v>2</v>
      </c>
      <c r="J1755">
        <v>23</v>
      </c>
    </row>
    <row r="1756" spans="1:11">
      <c r="A1756" s="3" t="s">
        <v>1708</v>
      </c>
      <c r="D1756">
        <v>2</v>
      </c>
      <c r="J1756">
        <v>23</v>
      </c>
    </row>
    <row r="1757" spans="1:11">
      <c r="A1757" s="3" t="s">
        <v>1709</v>
      </c>
      <c r="D1757">
        <v>2</v>
      </c>
      <c r="J1757">
        <v>23</v>
      </c>
    </row>
    <row r="1758" spans="1:11">
      <c r="A1758" s="3" t="s">
        <v>1710</v>
      </c>
      <c r="D1758">
        <v>2</v>
      </c>
      <c r="K1758">
        <v>1</v>
      </c>
    </row>
    <row r="1759" spans="1:11">
      <c r="A1759" s="3" t="s">
        <v>1711</v>
      </c>
      <c r="D1759">
        <v>2</v>
      </c>
      <c r="K1759">
        <v>1</v>
      </c>
    </row>
    <row r="1760" spans="1:11">
      <c r="A1760" s="3" t="s">
        <v>1712</v>
      </c>
      <c r="D1760">
        <v>2</v>
      </c>
      <c r="K1760">
        <v>1</v>
      </c>
    </row>
    <row r="1761" spans="1:11">
      <c r="A1761" s="3" t="s">
        <v>1713</v>
      </c>
      <c r="D1761">
        <v>2</v>
      </c>
      <c r="K1761">
        <v>1</v>
      </c>
    </row>
    <row r="1762" spans="1:11">
      <c r="A1762" s="3" t="s">
        <v>1714</v>
      </c>
      <c r="D1762">
        <v>2</v>
      </c>
      <c r="K1762">
        <v>1</v>
      </c>
    </row>
    <row r="1763" spans="1:11">
      <c r="A1763" s="3" t="s">
        <v>1715</v>
      </c>
      <c r="D1763">
        <v>2</v>
      </c>
      <c r="K1763">
        <v>1</v>
      </c>
    </row>
    <row r="1764" spans="1:11">
      <c r="A1764" s="3" t="s">
        <v>1716</v>
      </c>
      <c r="D1764">
        <v>2</v>
      </c>
      <c r="K1764">
        <v>1</v>
      </c>
    </row>
    <row r="1765" spans="1:11">
      <c r="A1765" s="3" t="s">
        <v>1717</v>
      </c>
      <c r="D1765">
        <v>2</v>
      </c>
      <c r="K1765">
        <v>1</v>
      </c>
    </row>
    <row r="1766" spans="1:11">
      <c r="A1766" s="3" t="s">
        <v>1718</v>
      </c>
      <c r="D1766">
        <v>2</v>
      </c>
      <c r="K1766">
        <v>1</v>
      </c>
    </row>
    <row r="1767" spans="1:11">
      <c r="A1767" s="3" t="s">
        <v>1719</v>
      </c>
      <c r="D1767">
        <v>2</v>
      </c>
      <c r="K1767">
        <v>1</v>
      </c>
    </row>
    <row r="1768" spans="1:11">
      <c r="A1768" s="3" t="s">
        <v>1720</v>
      </c>
      <c r="D1768">
        <v>2</v>
      </c>
      <c r="K1768">
        <v>1</v>
      </c>
    </row>
    <row r="1769" spans="1:11">
      <c r="A1769" s="3" t="s">
        <v>1721</v>
      </c>
      <c r="D1769">
        <v>2</v>
      </c>
      <c r="K1769">
        <v>1</v>
      </c>
    </row>
    <row r="1770" spans="1:11">
      <c r="A1770" s="3" t="s">
        <v>1722</v>
      </c>
      <c r="D1770">
        <v>2</v>
      </c>
      <c r="K1770">
        <v>1</v>
      </c>
    </row>
    <row r="1771" spans="1:11">
      <c r="A1771" s="3" t="s">
        <v>1723</v>
      </c>
      <c r="D1771">
        <v>2</v>
      </c>
      <c r="K1771">
        <v>1</v>
      </c>
    </row>
    <row r="1772" spans="1:11">
      <c r="A1772" s="3" t="s">
        <v>1724</v>
      </c>
      <c r="D1772">
        <v>2</v>
      </c>
      <c r="K1772">
        <v>1</v>
      </c>
    </row>
    <row r="1773" spans="1:11">
      <c r="A1773" s="3" t="s">
        <v>1725</v>
      </c>
      <c r="D1773">
        <v>2</v>
      </c>
      <c r="K1773">
        <v>1</v>
      </c>
    </row>
    <row r="1774" spans="1:11">
      <c r="A1774" s="3" t="s">
        <v>1726</v>
      </c>
      <c r="D1774">
        <v>2</v>
      </c>
      <c r="K1774">
        <v>1</v>
      </c>
    </row>
    <row r="1775" spans="1:11">
      <c r="A1775" s="3" t="s">
        <v>1727</v>
      </c>
      <c r="D1775">
        <v>2</v>
      </c>
      <c r="K1775">
        <v>1</v>
      </c>
    </row>
    <row r="1776" spans="1:11">
      <c r="A1776" s="3" t="s">
        <v>1728</v>
      </c>
      <c r="D1776">
        <v>2</v>
      </c>
      <c r="K1776">
        <v>1</v>
      </c>
    </row>
    <row r="1777" spans="1:11">
      <c r="A1777" s="3" t="s">
        <v>1729</v>
      </c>
      <c r="D1777">
        <v>2</v>
      </c>
      <c r="K1777">
        <v>1</v>
      </c>
    </row>
    <row r="1778" spans="1:11">
      <c r="A1778" s="3" t="s">
        <v>1730</v>
      </c>
      <c r="D1778">
        <v>2</v>
      </c>
      <c r="K1778">
        <v>1</v>
      </c>
    </row>
    <row r="1779" spans="1:11">
      <c r="A1779" s="3" t="s">
        <v>1731</v>
      </c>
      <c r="D1779">
        <v>2</v>
      </c>
      <c r="K1779">
        <v>1</v>
      </c>
    </row>
    <row r="1780" spans="1:11">
      <c r="A1780" s="3" t="s">
        <v>1732</v>
      </c>
      <c r="D1780">
        <v>2</v>
      </c>
      <c r="K1780">
        <v>1</v>
      </c>
    </row>
    <row r="1781" spans="1:11">
      <c r="A1781" s="3" t="s">
        <v>1733</v>
      </c>
      <c r="D1781">
        <v>2</v>
      </c>
      <c r="K1781">
        <v>1</v>
      </c>
    </row>
    <row r="1782" spans="1:11">
      <c r="A1782" s="3" t="s">
        <v>1734</v>
      </c>
      <c r="D1782">
        <v>2</v>
      </c>
      <c r="K1782">
        <v>1</v>
      </c>
    </row>
    <row r="1783" spans="1:11">
      <c r="A1783" s="3" t="s">
        <v>1735</v>
      </c>
      <c r="D1783">
        <v>2</v>
      </c>
      <c r="K1783">
        <v>1</v>
      </c>
    </row>
    <row r="1784" spans="1:11">
      <c r="A1784" s="3" t="s">
        <v>1736</v>
      </c>
      <c r="D1784">
        <v>2</v>
      </c>
      <c r="K1784">
        <v>1</v>
      </c>
    </row>
    <row r="1785" spans="1:11">
      <c r="A1785" s="3" t="s">
        <v>1737</v>
      </c>
      <c r="D1785">
        <v>2</v>
      </c>
      <c r="K1785">
        <v>1</v>
      </c>
    </row>
    <row r="1786" spans="1:11">
      <c r="A1786" s="3" t="s">
        <v>1738</v>
      </c>
      <c r="D1786">
        <v>2</v>
      </c>
      <c r="K1786">
        <v>1</v>
      </c>
    </row>
    <row r="1787" spans="1:11">
      <c r="A1787" s="3" t="s">
        <v>1739</v>
      </c>
      <c r="D1787">
        <v>2</v>
      </c>
      <c r="K1787">
        <v>1</v>
      </c>
    </row>
    <row r="1788" spans="1:11">
      <c r="A1788" s="3" t="s">
        <v>1740</v>
      </c>
      <c r="D1788">
        <v>2</v>
      </c>
      <c r="K1788">
        <v>1</v>
      </c>
    </row>
    <row r="1789" spans="1:11">
      <c r="A1789" s="3" t="s">
        <v>1741</v>
      </c>
      <c r="D1789">
        <v>2</v>
      </c>
      <c r="K1789">
        <v>1</v>
      </c>
    </row>
    <row r="1790" spans="1:11">
      <c r="A1790" s="3" t="s">
        <v>1742</v>
      </c>
      <c r="D1790">
        <v>2</v>
      </c>
      <c r="K1790">
        <v>1</v>
      </c>
    </row>
    <row r="1791" spans="1:11">
      <c r="A1791" s="3" t="s">
        <v>1743</v>
      </c>
      <c r="D1791">
        <v>2</v>
      </c>
      <c r="K1791">
        <v>1</v>
      </c>
    </row>
    <row r="1792" spans="1:11">
      <c r="A1792" s="3" t="s">
        <v>1744</v>
      </c>
      <c r="D1792">
        <v>2</v>
      </c>
      <c r="K1792">
        <v>1</v>
      </c>
    </row>
    <row r="1793" spans="1:11">
      <c r="A1793" s="3" t="s">
        <v>1745</v>
      </c>
      <c r="D1793">
        <v>2</v>
      </c>
      <c r="K1793">
        <v>1</v>
      </c>
    </row>
    <row r="1794" spans="1:11">
      <c r="A1794" s="3" t="s">
        <v>1746</v>
      </c>
      <c r="D1794">
        <v>2</v>
      </c>
      <c r="K1794">
        <v>1</v>
      </c>
    </row>
    <row r="1795" spans="1:11">
      <c r="A1795" s="3" t="s">
        <v>1747</v>
      </c>
      <c r="D1795">
        <v>2</v>
      </c>
      <c r="K1795">
        <v>1</v>
      </c>
    </row>
    <row r="1796" spans="1:11">
      <c r="A1796" s="3" t="s">
        <v>1748</v>
      </c>
      <c r="D1796">
        <v>2</v>
      </c>
      <c r="K1796">
        <v>1</v>
      </c>
    </row>
    <row r="1797" spans="1:11">
      <c r="A1797" s="3" t="s">
        <v>1749</v>
      </c>
      <c r="D1797">
        <v>2</v>
      </c>
      <c r="K1797">
        <v>1</v>
      </c>
    </row>
    <row r="1798" spans="1:11">
      <c r="A1798" s="3" t="s">
        <v>1750</v>
      </c>
      <c r="D1798">
        <v>2</v>
      </c>
      <c r="K1798">
        <v>1</v>
      </c>
    </row>
    <row r="1799" spans="1:11">
      <c r="A1799" s="3" t="s">
        <v>1751</v>
      </c>
      <c r="D1799">
        <v>2</v>
      </c>
      <c r="K1799">
        <v>1</v>
      </c>
    </row>
    <row r="1800" spans="1:11">
      <c r="A1800" s="3" t="s">
        <v>1752</v>
      </c>
      <c r="D1800">
        <v>2</v>
      </c>
      <c r="K1800">
        <v>1</v>
      </c>
    </row>
    <row r="1801" spans="1:11">
      <c r="A1801" s="3" t="s">
        <v>1753</v>
      </c>
      <c r="D1801">
        <v>2</v>
      </c>
      <c r="K1801">
        <v>1</v>
      </c>
    </row>
    <row r="1802" spans="1:11">
      <c r="A1802" s="3" t="s">
        <v>1754</v>
      </c>
      <c r="D1802">
        <v>2</v>
      </c>
      <c r="K1802">
        <v>1</v>
      </c>
    </row>
    <row r="1803" spans="1:11">
      <c r="A1803" s="3" t="s">
        <v>1755</v>
      </c>
      <c r="D1803">
        <v>2</v>
      </c>
      <c r="K1803">
        <v>1</v>
      </c>
    </row>
    <row r="1804" spans="1:11">
      <c r="A1804" s="3" t="s">
        <v>1756</v>
      </c>
      <c r="D1804">
        <v>2</v>
      </c>
      <c r="K1804">
        <v>1</v>
      </c>
    </row>
    <row r="1805" spans="1:11">
      <c r="A1805" s="3" t="s">
        <v>1757</v>
      </c>
      <c r="D1805">
        <v>2</v>
      </c>
      <c r="K1805">
        <v>1</v>
      </c>
    </row>
    <row r="1806" spans="1:11">
      <c r="A1806" s="3" t="s">
        <v>1758</v>
      </c>
      <c r="D1806">
        <v>2</v>
      </c>
      <c r="K1806">
        <v>1</v>
      </c>
    </row>
    <row r="1807" spans="1:11">
      <c r="A1807" s="3" t="s">
        <v>1759</v>
      </c>
      <c r="D1807">
        <v>2</v>
      </c>
      <c r="K1807">
        <v>1</v>
      </c>
    </row>
    <row r="1808" spans="1:11">
      <c r="A1808" s="3" t="s">
        <v>1760</v>
      </c>
      <c r="D1808">
        <v>2</v>
      </c>
      <c r="K1808">
        <v>1</v>
      </c>
    </row>
    <row r="1809" spans="1:11">
      <c r="A1809" s="3" t="s">
        <v>1761</v>
      </c>
      <c r="D1809">
        <v>2</v>
      </c>
      <c r="K1809">
        <v>1</v>
      </c>
    </row>
    <row r="1810" spans="1:11">
      <c r="A1810" s="3" t="s">
        <v>1762</v>
      </c>
      <c r="D1810">
        <v>2</v>
      </c>
      <c r="K1810">
        <v>1</v>
      </c>
    </row>
    <row r="1811" spans="1:11">
      <c r="A1811" s="3" t="s">
        <v>1763</v>
      </c>
      <c r="D1811">
        <v>2</v>
      </c>
      <c r="K1811">
        <v>1</v>
      </c>
    </row>
    <row r="1812" spans="1:11">
      <c r="A1812" s="3" t="s">
        <v>1764</v>
      </c>
      <c r="D1812">
        <v>2</v>
      </c>
      <c r="K1812">
        <v>1</v>
      </c>
    </row>
    <row r="1813" spans="1:11">
      <c r="A1813" s="3" t="s">
        <v>1765</v>
      </c>
      <c r="D1813">
        <v>2</v>
      </c>
      <c r="K1813">
        <v>1</v>
      </c>
    </row>
    <row r="1814" spans="1:11">
      <c r="A1814" s="3" t="s">
        <v>1766</v>
      </c>
      <c r="D1814">
        <v>2</v>
      </c>
      <c r="K1814">
        <v>1</v>
      </c>
    </row>
    <row r="1815" spans="1:11">
      <c r="A1815" s="3" t="s">
        <v>1767</v>
      </c>
      <c r="D1815">
        <v>2</v>
      </c>
      <c r="K1815">
        <v>1</v>
      </c>
    </row>
    <row r="1816" spans="1:11">
      <c r="A1816" s="3" t="s">
        <v>1768</v>
      </c>
      <c r="D1816">
        <v>2</v>
      </c>
      <c r="K1816">
        <v>1</v>
      </c>
    </row>
    <row r="1817" spans="1:11">
      <c r="A1817" s="3" t="s">
        <v>1769</v>
      </c>
      <c r="D1817">
        <v>2</v>
      </c>
      <c r="K1817">
        <v>1</v>
      </c>
    </row>
    <row r="1818" spans="1:11">
      <c r="A1818" s="3" t="s">
        <v>1770</v>
      </c>
      <c r="D1818">
        <v>2</v>
      </c>
      <c r="K1818">
        <v>1</v>
      </c>
    </row>
    <row r="1819" spans="1:11">
      <c r="A1819" s="3" t="s">
        <v>1771</v>
      </c>
      <c r="D1819">
        <v>2</v>
      </c>
      <c r="K1819">
        <v>1</v>
      </c>
    </row>
    <row r="1820" spans="1:11">
      <c r="A1820" s="3" t="s">
        <v>1772</v>
      </c>
      <c r="D1820">
        <v>2</v>
      </c>
      <c r="K1820">
        <v>1</v>
      </c>
    </row>
    <row r="1821" spans="1:11">
      <c r="A1821" s="3" t="s">
        <v>1773</v>
      </c>
      <c r="D1821">
        <v>2</v>
      </c>
      <c r="K1821">
        <v>1</v>
      </c>
    </row>
    <row r="1822" spans="1:11">
      <c r="A1822" s="3" t="s">
        <v>1774</v>
      </c>
      <c r="D1822">
        <v>2</v>
      </c>
      <c r="K1822">
        <v>1</v>
      </c>
    </row>
    <row r="1823" spans="1:11">
      <c r="A1823" s="3" t="s">
        <v>1775</v>
      </c>
      <c r="D1823">
        <v>2</v>
      </c>
      <c r="K1823">
        <v>1</v>
      </c>
    </row>
    <row r="1824" spans="1:11">
      <c r="A1824" s="3" t="s">
        <v>1776</v>
      </c>
      <c r="D1824">
        <v>2</v>
      </c>
      <c r="K1824">
        <v>1</v>
      </c>
    </row>
    <row r="1825" spans="1:11">
      <c r="A1825" s="3" t="s">
        <v>1777</v>
      </c>
      <c r="D1825">
        <v>2</v>
      </c>
      <c r="K1825">
        <v>1</v>
      </c>
    </row>
    <row r="1826" spans="1:11">
      <c r="A1826" s="3" t="s">
        <v>1778</v>
      </c>
      <c r="D1826">
        <v>2</v>
      </c>
      <c r="K1826">
        <v>1</v>
      </c>
    </row>
    <row r="1827" spans="1:11">
      <c r="A1827" s="3" t="s">
        <v>1779</v>
      </c>
      <c r="D1827">
        <v>2</v>
      </c>
      <c r="K1827">
        <v>1</v>
      </c>
    </row>
    <row r="1828" spans="1:11">
      <c r="A1828" s="3" t="s">
        <v>1780</v>
      </c>
      <c r="D1828">
        <v>2</v>
      </c>
      <c r="K1828">
        <v>1</v>
      </c>
    </row>
    <row r="1829" spans="1:11">
      <c r="A1829" s="3" t="s">
        <v>1781</v>
      </c>
      <c r="D1829">
        <v>2</v>
      </c>
      <c r="K1829">
        <v>1</v>
      </c>
    </row>
    <row r="1830" spans="1:11">
      <c r="A1830" s="3" t="s">
        <v>1782</v>
      </c>
      <c r="D1830">
        <v>2</v>
      </c>
      <c r="K1830">
        <v>1</v>
      </c>
    </row>
    <row r="1831" spans="1:11">
      <c r="A1831" s="3" t="s">
        <v>1783</v>
      </c>
      <c r="D1831">
        <v>2</v>
      </c>
      <c r="K1831">
        <v>1</v>
      </c>
    </row>
    <row r="1832" spans="1:11">
      <c r="A1832" s="3" t="s">
        <v>1784</v>
      </c>
      <c r="D1832">
        <v>2</v>
      </c>
      <c r="K1832">
        <v>1</v>
      </c>
    </row>
    <row r="1833" spans="1:11">
      <c r="A1833" s="3" t="s">
        <v>1785</v>
      </c>
      <c r="D1833">
        <v>2</v>
      </c>
      <c r="K1833">
        <v>1</v>
      </c>
    </row>
    <row r="1834" spans="1:11">
      <c r="A1834" s="3" t="s">
        <v>1786</v>
      </c>
      <c r="D1834">
        <v>2</v>
      </c>
      <c r="K1834">
        <v>1</v>
      </c>
    </row>
    <row r="1835" spans="1:11">
      <c r="A1835" s="3" t="s">
        <v>1787</v>
      </c>
      <c r="D1835">
        <v>2</v>
      </c>
      <c r="K1835">
        <v>1</v>
      </c>
    </row>
    <row r="1836" spans="1:11">
      <c r="A1836" s="3" t="s">
        <v>1788</v>
      </c>
      <c r="D1836">
        <v>2</v>
      </c>
      <c r="K1836">
        <v>1</v>
      </c>
    </row>
    <row r="1837" spans="1:11">
      <c r="A1837" s="3" t="s">
        <v>1789</v>
      </c>
      <c r="D1837">
        <v>2</v>
      </c>
      <c r="K1837">
        <v>1</v>
      </c>
    </row>
    <row r="1838" spans="1:11">
      <c r="A1838" s="3" t="s">
        <v>1790</v>
      </c>
      <c r="D1838">
        <v>2</v>
      </c>
      <c r="K1838">
        <v>1</v>
      </c>
    </row>
    <row r="1839" spans="1:11">
      <c r="A1839" s="3" t="s">
        <v>1791</v>
      </c>
      <c r="D1839">
        <v>2</v>
      </c>
      <c r="K1839">
        <v>1</v>
      </c>
    </row>
    <row r="1840" spans="1:11">
      <c r="A1840" s="3" t="s">
        <v>1792</v>
      </c>
      <c r="D1840">
        <v>2</v>
      </c>
      <c r="K1840">
        <v>1</v>
      </c>
    </row>
    <row r="1841" spans="1:11">
      <c r="A1841" s="3" t="s">
        <v>1793</v>
      </c>
      <c r="D1841">
        <v>2</v>
      </c>
      <c r="K1841">
        <v>1</v>
      </c>
    </row>
    <row r="1842" spans="1:11">
      <c r="A1842" s="3" t="s">
        <v>1794</v>
      </c>
      <c r="D1842">
        <v>2</v>
      </c>
      <c r="K1842">
        <v>1</v>
      </c>
    </row>
    <row r="1843" spans="1:11">
      <c r="A1843" s="3" t="s">
        <v>1795</v>
      </c>
      <c r="D1843">
        <v>2</v>
      </c>
      <c r="K1843">
        <v>1</v>
      </c>
    </row>
    <row r="1844" spans="1:11">
      <c r="A1844" s="3" t="s">
        <v>1796</v>
      </c>
      <c r="D1844">
        <v>2</v>
      </c>
      <c r="K1844">
        <v>1</v>
      </c>
    </row>
    <row r="1845" spans="1:11">
      <c r="A1845" s="3" t="s">
        <v>1797</v>
      </c>
      <c r="D1845">
        <v>2</v>
      </c>
      <c r="K1845">
        <v>1</v>
      </c>
    </row>
    <row r="1846" spans="1:11">
      <c r="A1846" s="3" t="s">
        <v>1798</v>
      </c>
      <c r="D1846">
        <v>2</v>
      </c>
      <c r="K1846">
        <v>1</v>
      </c>
    </row>
    <row r="1847" spans="1:11">
      <c r="A1847" s="3" t="s">
        <v>1799</v>
      </c>
      <c r="D1847">
        <v>2</v>
      </c>
      <c r="K1847">
        <v>1</v>
      </c>
    </row>
    <row r="1848" spans="1:11">
      <c r="A1848" s="3" t="s">
        <v>1800</v>
      </c>
      <c r="D1848">
        <v>2</v>
      </c>
      <c r="K1848">
        <v>1</v>
      </c>
    </row>
    <row r="1849" spans="1:11">
      <c r="A1849" s="3" t="s">
        <v>1801</v>
      </c>
      <c r="D1849">
        <v>2</v>
      </c>
      <c r="K1849">
        <v>1</v>
      </c>
    </row>
    <row r="1850" spans="1:11">
      <c r="A1850" s="3" t="s">
        <v>1802</v>
      </c>
      <c r="D1850">
        <v>2</v>
      </c>
      <c r="K1850">
        <v>1</v>
      </c>
    </row>
    <row r="1851" spans="1:11">
      <c r="A1851" s="3" t="s">
        <v>1803</v>
      </c>
      <c r="D1851">
        <v>2</v>
      </c>
      <c r="K1851">
        <v>1</v>
      </c>
    </row>
    <row r="1852" spans="1:11">
      <c r="A1852" s="3" t="s">
        <v>1804</v>
      </c>
      <c r="D1852">
        <v>2</v>
      </c>
      <c r="K1852">
        <v>1</v>
      </c>
    </row>
    <row r="1853" spans="1:11">
      <c r="A1853" s="3" t="s">
        <v>1805</v>
      </c>
      <c r="D1853">
        <v>2</v>
      </c>
      <c r="K1853">
        <v>1</v>
      </c>
    </row>
    <row r="1854" spans="1:11">
      <c r="A1854" s="3" t="s">
        <v>1806</v>
      </c>
      <c r="D1854">
        <v>2</v>
      </c>
      <c r="K1854">
        <v>1</v>
      </c>
    </row>
    <row r="1855" spans="1:11">
      <c r="A1855" s="3" t="s">
        <v>1807</v>
      </c>
      <c r="D1855">
        <v>2</v>
      </c>
      <c r="K1855">
        <v>1</v>
      </c>
    </row>
    <row r="1856" spans="1:11">
      <c r="A1856" s="3" t="s">
        <v>1808</v>
      </c>
      <c r="D1856">
        <v>2</v>
      </c>
      <c r="K1856">
        <v>1</v>
      </c>
    </row>
    <row r="1857" spans="1:11">
      <c r="A1857" s="3" t="s">
        <v>1809</v>
      </c>
      <c r="D1857">
        <v>2</v>
      </c>
      <c r="K1857">
        <v>1</v>
      </c>
    </row>
    <row r="1858" spans="1:11">
      <c r="A1858" s="3" t="s">
        <v>1810</v>
      </c>
      <c r="D1858">
        <v>2</v>
      </c>
      <c r="K1858">
        <v>1</v>
      </c>
    </row>
    <row r="1859" spans="1:11">
      <c r="A1859" s="3" t="s">
        <v>1811</v>
      </c>
      <c r="D1859">
        <v>2</v>
      </c>
      <c r="K1859">
        <v>1</v>
      </c>
    </row>
    <row r="1860" spans="1:11">
      <c r="A1860" s="3" t="s">
        <v>1812</v>
      </c>
      <c r="D1860">
        <v>2</v>
      </c>
      <c r="K1860">
        <v>1</v>
      </c>
    </row>
    <row r="1861" spans="1:11">
      <c r="A1861" s="3" t="s">
        <v>1813</v>
      </c>
      <c r="D1861">
        <v>2</v>
      </c>
      <c r="K1861">
        <v>1</v>
      </c>
    </row>
    <row r="1862" spans="1:11">
      <c r="A1862" s="3" t="s">
        <v>1814</v>
      </c>
      <c r="D1862">
        <v>2</v>
      </c>
      <c r="K1862">
        <v>1</v>
      </c>
    </row>
    <row r="1863" spans="1:11">
      <c r="A1863" s="3" t="s">
        <v>1815</v>
      </c>
      <c r="D1863">
        <v>2</v>
      </c>
      <c r="K1863">
        <v>1</v>
      </c>
    </row>
    <row r="1864" spans="1:11">
      <c r="A1864" s="3" t="s">
        <v>1816</v>
      </c>
      <c r="D1864">
        <v>2</v>
      </c>
      <c r="K1864">
        <v>1</v>
      </c>
    </row>
    <row r="1865" spans="1:11">
      <c r="A1865" s="3" t="s">
        <v>1817</v>
      </c>
      <c r="D1865">
        <v>2</v>
      </c>
      <c r="K1865">
        <v>1</v>
      </c>
    </row>
    <row r="1866" spans="1:11">
      <c r="A1866" s="3" t="s">
        <v>1818</v>
      </c>
      <c r="D1866">
        <v>2</v>
      </c>
      <c r="K1866">
        <v>1</v>
      </c>
    </row>
    <row r="1867" spans="1:11">
      <c r="A1867" s="3" t="s">
        <v>1819</v>
      </c>
      <c r="D1867">
        <v>2</v>
      </c>
      <c r="K1867">
        <v>1</v>
      </c>
    </row>
    <row r="1868" spans="1:11">
      <c r="A1868" s="3" t="s">
        <v>1820</v>
      </c>
      <c r="D1868">
        <v>2</v>
      </c>
      <c r="K1868">
        <v>1</v>
      </c>
    </row>
    <row r="1869" spans="1:11">
      <c r="A1869" s="3" t="s">
        <v>1821</v>
      </c>
      <c r="D1869">
        <v>2</v>
      </c>
      <c r="K1869">
        <v>1</v>
      </c>
    </row>
    <row r="1870" spans="1:11">
      <c r="A1870" s="3" t="s">
        <v>1822</v>
      </c>
      <c r="D1870">
        <v>2</v>
      </c>
      <c r="K1870">
        <v>1</v>
      </c>
    </row>
    <row r="1871" spans="1:11">
      <c r="A1871" s="3" t="s">
        <v>1823</v>
      </c>
      <c r="D1871">
        <v>2</v>
      </c>
      <c r="J1871">
        <v>24</v>
      </c>
    </row>
    <row r="1872" spans="1:11">
      <c r="A1872" s="3" t="s">
        <v>1824</v>
      </c>
      <c r="D1872">
        <v>2</v>
      </c>
      <c r="J1872">
        <v>24</v>
      </c>
    </row>
    <row r="1873" spans="1:10">
      <c r="A1873" s="3" t="s">
        <v>1825</v>
      </c>
      <c r="C1873">
        <v>2</v>
      </c>
      <c r="D1873">
        <v>2</v>
      </c>
      <c r="J1873">
        <v>24</v>
      </c>
    </row>
    <row r="1874" spans="1:10">
      <c r="A1874" s="3" t="s">
        <v>1826</v>
      </c>
      <c r="C1874">
        <v>2</v>
      </c>
      <c r="D1874">
        <v>2</v>
      </c>
      <c r="J1874">
        <v>24</v>
      </c>
    </row>
    <row r="1875" spans="1:10">
      <c r="A1875" s="3" t="s">
        <v>1827</v>
      </c>
      <c r="C1875">
        <v>2</v>
      </c>
      <c r="D1875">
        <v>2</v>
      </c>
      <c r="J1875">
        <v>24</v>
      </c>
    </row>
    <row r="1876" spans="1:10">
      <c r="A1876" s="3" t="s">
        <v>1828</v>
      </c>
      <c r="C1876">
        <v>2</v>
      </c>
      <c r="D1876">
        <v>2</v>
      </c>
      <c r="J1876">
        <v>24</v>
      </c>
    </row>
    <row r="1877" spans="1:10">
      <c r="A1877" s="3" t="s">
        <v>1829</v>
      </c>
      <c r="C1877">
        <v>2</v>
      </c>
      <c r="D1877">
        <v>2</v>
      </c>
      <c r="J1877">
        <v>24</v>
      </c>
    </row>
    <row r="1878" spans="1:10">
      <c r="A1878" s="3" t="s">
        <v>1830</v>
      </c>
      <c r="C1878">
        <v>2</v>
      </c>
      <c r="D1878">
        <v>2</v>
      </c>
      <c r="J1878">
        <v>24</v>
      </c>
    </row>
    <row r="1879" spans="1:10">
      <c r="A1879" s="3" t="s">
        <v>1831</v>
      </c>
      <c r="C1879">
        <v>2</v>
      </c>
      <c r="D1879">
        <v>2</v>
      </c>
      <c r="J1879">
        <v>24</v>
      </c>
    </row>
    <row r="1880" spans="1:10">
      <c r="A1880" s="3" t="s">
        <v>1832</v>
      </c>
      <c r="C1880">
        <v>2</v>
      </c>
      <c r="D1880">
        <v>2</v>
      </c>
      <c r="J1880">
        <v>24</v>
      </c>
    </row>
    <row r="1881" spans="1:10">
      <c r="A1881" s="3" t="s">
        <v>1833</v>
      </c>
      <c r="C1881">
        <v>2</v>
      </c>
      <c r="D1881">
        <v>2</v>
      </c>
      <c r="J1881">
        <v>24</v>
      </c>
    </row>
    <row r="1882" spans="1:10">
      <c r="A1882" s="3" t="s">
        <v>1834</v>
      </c>
      <c r="C1882">
        <v>2</v>
      </c>
      <c r="D1882">
        <v>2</v>
      </c>
      <c r="J1882">
        <v>24</v>
      </c>
    </row>
    <row r="1883" spans="1:10">
      <c r="A1883" s="3" t="s">
        <v>1835</v>
      </c>
      <c r="C1883">
        <v>2</v>
      </c>
      <c r="D1883">
        <v>2</v>
      </c>
      <c r="J1883">
        <v>24</v>
      </c>
    </row>
    <row r="1884" spans="1:10">
      <c r="A1884" s="3" t="s">
        <v>1836</v>
      </c>
      <c r="C1884">
        <v>2</v>
      </c>
      <c r="D1884">
        <v>2</v>
      </c>
      <c r="J1884">
        <v>24</v>
      </c>
    </row>
    <row r="1885" spans="1:10">
      <c r="A1885" s="3" t="s">
        <v>1837</v>
      </c>
      <c r="C1885">
        <v>2</v>
      </c>
      <c r="D1885">
        <v>2</v>
      </c>
      <c r="J1885">
        <v>24</v>
      </c>
    </row>
    <row r="1886" spans="1:10">
      <c r="A1886" s="3" t="s">
        <v>1838</v>
      </c>
      <c r="C1886">
        <v>2</v>
      </c>
      <c r="D1886">
        <v>2</v>
      </c>
      <c r="J1886">
        <v>24</v>
      </c>
    </row>
    <row r="1887" spans="1:10">
      <c r="A1887" s="3" t="s">
        <v>1839</v>
      </c>
      <c r="C1887">
        <v>2</v>
      </c>
      <c r="J1887">
        <v>24</v>
      </c>
    </row>
    <row r="1888" spans="1:10">
      <c r="A1888" s="3" t="s">
        <v>1840</v>
      </c>
      <c r="C1888">
        <v>2</v>
      </c>
      <c r="J1888">
        <v>24</v>
      </c>
    </row>
    <row r="1889" spans="1:10">
      <c r="A1889" s="3" t="s">
        <v>1841</v>
      </c>
      <c r="C1889">
        <v>2</v>
      </c>
      <c r="J1889">
        <v>24</v>
      </c>
    </row>
    <row r="1890" spans="1:10">
      <c r="A1890" s="3" t="s">
        <v>1842</v>
      </c>
      <c r="C1890">
        <v>2</v>
      </c>
      <c r="J1890">
        <v>24</v>
      </c>
    </row>
    <row r="1891" spans="1:10">
      <c r="A1891" s="3" t="s">
        <v>1843</v>
      </c>
      <c r="C1891">
        <v>2</v>
      </c>
      <c r="J1891">
        <v>24</v>
      </c>
    </row>
    <row r="1892" spans="1:10">
      <c r="A1892" s="3" t="s">
        <v>1844</v>
      </c>
      <c r="C1892">
        <v>2</v>
      </c>
      <c r="J1892">
        <v>24</v>
      </c>
    </row>
    <row r="1893" spans="1:10">
      <c r="A1893" s="3" t="s">
        <v>1845</v>
      </c>
      <c r="C1893">
        <v>2</v>
      </c>
      <c r="J1893">
        <v>24</v>
      </c>
    </row>
    <row r="1894" spans="1:10">
      <c r="A1894" s="3" t="s">
        <v>1846</v>
      </c>
      <c r="C1894">
        <v>2</v>
      </c>
      <c r="J1894">
        <v>24</v>
      </c>
    </row>
    <row r="1895" spans="1:10">
      <c r="A1895" s="3" t="s">
        <v>1847</v>
      </c>
      <c r="C1895">
        <v>2</v>
      </c>
      <c r="J1895">
        <v>24</v>
      </c>
    </row>
    <row r="1896" spans="1:10">
      <c r="A1896" s="3" t="s">
        <v>1848</v>
      </c>
      <c r="C1896">
        <v>2</v>
      </c>
      <c r="J1896">
        <v>24</v>
      </c>
    </row>
    <row r="1897" spans="1:10">
      <c r="A1897" s="3" t="s">
        <v>1849</v>
      </c>
      <c r="C1897">
        <v>2</v>
      </c>
      <c r="J1897">
        <v>24</v>
      </c>
    </row>
    <row r="1898" spans="1:10">
      <c r="A1898" s="3" t="s">
        <v>1850</v>
      </c>
      <c r="C1898">
        <v>2</v>
      </c>
      <c r="J1898">
        <v>24</v>
      </c>
    </row>
    <row r="1899" spans="1:10">
      <c r="A1899" s="3" t="s">
        <v>1851</v>
      </c>
      <c r="C1899">
        <v>2</v>
      </c>
      <c r="J1899">
        <v>24</v>
      </c>
    </row>
    <row r="1900" spans="1:10">
      <c r="A1900" s="3" t="s">
        <v>1852</v>
      </c>
      <c r="C1900">
        <v>2</v>
      </c>
      <c r="J1900">
        <v>24</v>
      </c>
    </row>
    <row r="1901" spans="1:10">
      <c r="A1901" s="3" t="s">
        <v>1853</v>
      </c>
      <c r="C1901">
        <v>2</v>
      </c>
      <c r="J1901">
        <v>24</v>
      </c>
    </row>
    <row r="1902" spans="1:10">
      <c r="A1902" s="3" t="s">
        <v>1854</v>
      </c>
      <c r="C1902">
        <v>2</v>
      </c>
      <c r="J1902">
        <v>24</v>
      </c>
    </row>
    <row r="1903" spans="1:10">
      <c r="A1903" s="3" t="s">
        <v>1855</v>
      </c>
      <c r="C1903">
        <v>2</v>
      </c>
      <c r="J1903">
        <v>24</v>
      </c>
    </row>
    <row r="1904" spans="1:10">
      <c r="A1904" s="3" t="s">
        <v>1856</v>
      </c>
      <c r="C1904">
        <v>2</v>
      </c>
      <c r="J1904">
        <v>24</v>
      </c>
    </row>
    <row r="1905" spans="1:10">
      <c r="A1905" s="3" t="s">
        <v>1857</v>
      </c>
      <c r="C1905">
        <v>2</v>
      </c>
      <c r="J1905">
        <v>24</v>
      </c>
    </row>
    <row r="1906" spans="1:10">
      <c r="A1906" s="3" t="s">
        <v>1858</v>
      </c>
      <c r="C1906">
        <v>2</v>
      </c>
      <c r="J1906">
        <v>24</v>
      </c>
    </row>
    <row r="1907" spans="1:10">
      <c r="A1907" s="3" t="s">
        <v>1859</v>
      </c>
      <c r="C1907">
        <v>2</v>
      </c>
      <c r="J1907">
        <v>24</v>
      </c>
    </row>
    <row r="1908" spans="1:10">
      <c r="A1908" s="3" t="s">
        <v>1860</v>
      </c>
      <c r="C1908">
        <v>2</v>
      </c>
      <c r="J1908">
        <v>24</v>
      </c>
    </row>
    <row r="1909" spans="1:10">
      <c r="A1909" s="3" t="s">
        <v>1861</v>
      </c>
      <c r="C1909">
        <v>2</v>
      </c>
      <c r="J1909">
        <v>24</v>
      </c>
    </row>
    <row r="1910" spans="1:10">
      <c r="A1910" s="3" t="s">
        <v>1862</v>
      </c>
      <c r="C1910">
        <v>2</v>
      </c>
      <c r="J1910">
        <v>24</v>
      </c>
    </row>
    <row r="1911" spans="1:10">
      <c r="A1911" s="3" t="s">
        <v>1863</v>
      </c>
      <c r="C1911">
        <v>2</v>
      </c>
      <c r="J1911">
        <v>24</v>
      </c>
    </row>
    <row r="1912" spans="1:10">
      <c r="A1912" s="3" t="s">
        <v>1864</v>
      </c>
      <c r="C1912">
        <v>2</v>
      </c>
      <c r="J1912">
        <v>24</v>
      </c>
    </row>
    <row r="1913" spans="1:10">
      <c r="A1913" s="3" t="s">
        <v>1865</v>
      </c>
      <c r="C1913">
        <v>2</v>
      </c>
      <c r="J1913">
        <v>24</v>
      </c>
    </row>
    <row r="1914" spans="1:10">
      <c r="A1914" s="3" t="s">
        <v>1866</v>
      </c>
      <c r="C1914">
        <v>2</v>
      </c>
      <c r="J1914">
        <v>24</v>
      </c>
    </row>
    <row r="1915" spans="1:10">
      <c r="A1915" s="3" t="s">
        <v>1867</v>
      </c>
      <c r="C1915">
        <v>2</v>
      </c>
      <c r="J1915">
        <v>24</v>
      </c>
    </row>
    <row r="1916" spans="1:10">
      <c r="A1916" s="3" t="s">
        <v>1868</v>
      </c>
      <c r="C1916">
        <v>2</v>
      </c>
      <c r="J1916">
        <v>24</v>
      </c>
    </row>
    <row r="1917" spans="1:10">
      <c r="A1917" s="3" t="s">
        <v>1869</v>
      </c>
      <c r="C1917">
        <v>2</v>
      </c>
      <c r="J1917">
        <v>24</v>
      </c>
    </row>
    <row r="1918" spans="1:10">
      <c r="A1918" s="3" t="s">
        <v>1870</v>
      </c>
      <c r="C1918">
        <v>2</v>
      </c>
      <c r="J1918">
        <v>24</v>
      </c>
    </row>
    <row r="1919" spans="1:10">
      <c r="A1919" s="3" t="s">
        <v>1871</v>
      </c>
      <c r="C1919">
        <v>2</v>
      </c>
      <c r="J1919">
        <v>24</v>
      </c>
    </row>
    <row r="1920" spans="1:10">
      <c r="A1920" s="3" t="s">
        <v>1872</v>
      </c>
      <c r="C1920">
        <v>2</v>
      </c>
      <c r="J1920">
        <v>24</v>
      </c>
    </row>
    <row r="1921" spans="1:46">
      <c r="A1921" s="3" t="s">
        <v>1873</v>
      </c>
      <c r="C1921">
        <v>2</v>
      </c>
      <c r="J1921">
        <v>24</v>
      </c>
    </row>
    <row r="1922" spans="1:46">
      <c r="A1922" s="3" t="s">
        <v>1874</v>
      </c>
      <c r="C1922">
        <v>2</v>
      </c>
      <c r="J1922">
        <v>24</v>
      </c>
    </row>
    <row r="1923" spans="1:46">
      <c r="A1923" s="3" t="s">
        <v>1875</v>
      </c>
      <c r="C1923">
        <v>2</v>
      </c>
      <c r="J1923">
        <v>24</v>
      </c>
    </row>
    <row r="1924" spans="1:46">
      <c r="A1924" s="3" t="s">
        <v>1876</v>
      </c>
      <c r="C1924">
        <v>2</v>
      </c>
      <c r="J1924">
        <v>24</v>
      </c>
    </row>
    <row r="1925" spans="1:46">
      <c r="A1925" s="3" t="s">
        <v>1877</v>
      </c>
      <c r="C1925">
        <v>2</v>
      </c>
      <c r="J1925">
        <v>24</v>
      </c>
    </row>
    <row r="1926" spans="1:46">
      <c r="A1926" s="3" t="s">
        <v>1878</v>
      </c>
      <c r="C1926">
        <v>2</v>
      </c>
      <c r="J1926">
        <v>24</v>
      </c>
    </row>
    <row r="1927" spans="1:46">
      <c r="A1927" s="3" t="s">
        <v>1879</v>
      </c>
      <c r="C1927">
        <v>2</v>
      </c>
      <c r="J1927">
        <v>24</v>
      </c>
    </row>
    <row r="1928" spans="1:46">
      <c r="A1928" s="3" t="s">
        <v>1880</v>
      </c>
      <c r="C1928">
        <v>2</v>
      </c>
      <c r="AT1928">
        <v>11</v>
      </c>
    </row>
    <row r="1929" spans="1:46">
      <c r="A1929" s="3" t="s">
        <v>1881</v>
      </c>
      <c r="C1929">
        <v>2</v>
      </c>
      <c r="AT1929">
        <v>11</v>
      </c>
    </row>
    <row r="1930" spans="1:46">
      <c r="A1930" s="3" t="s">
        <v>1882</v>
      </c>
      <c r="C1930">
        <v>2</v>
      </c>
      <c r="AT1930">
        <v>11</v>
      </c>
    </row>
    <row r="1931" spans="1:46">
      <c r="A1931" s="3" t="s">
        <v>1883</v>
      </c>
      <c r="C1931">
        <v>2</v>
      </c>
      <c r="AT1931">
        <v>11</v>
      </c>
    </row>
    <row r="1932" spans="1:46">
      <c r="A1932" s="3" t="s">
        <v>1884</v>
      </c>
      <c r="C1932">
        <v>2</v>
      </c>
      <c r="AT1932">
        <v>11</v>
      </c>
    </row>
    <row r="1933" spans="1:46">
      <c r="A1933" s="3" t="s">
        <v>1885</v>
      </c>
      <c r="C1933">
        <v>2</v>
      </c>
      <c r="AT1933">
        <v>11</v>
      </c>
    </row>
    <row r="1934" spans="1:46">
      <c r="A1934" s="3" t="s">
        <v>1886</v>
      </c>
      <c r="C1934">
        <v>2</v>
      </c>
      <c r="AT1934">
        <v>11</v>
      </c>
    </row>
    <row r="1935" spans="1:46">
      <c r="A1935" s="3" t="s">
        <v>1887</v>
      </c>
      <c r="C1935">
        <v>2</v>
      </c>
      <c r="AT1935">
        <v>11</v>
      </c>
    </row>
    <row r="1936" spans="1:46">
      <c r="A1936" s="3" t="s">
        <v>1888</v>
      </c>
      <c r="C1936">
        <v>2</v>
      </c>
      <c r="AT1936">
        <v>11</v>
      </c>
    </row>
    <row r="1937" spans="1:46">
      <c r="A1937" s="3" t="s">
        <v>1889</v>
      </c>
      <c r="C1937">
        <v>2</v>
      </c>
      <c r="AT1937">
        <v>11</v>
      </c>
    </row>
    <row r="1938" spans="1:46">
      <c r="A1938" s="3" t="s">
        <v>1890</v>
      </c>
      <c r="C1938">
        <v>2</v>
      </c>
      <c r="AT1938">
        <v>11</v>
      </c>
    </row>
    <row r="1939" spans="1:46">
      <c r="A1939" s="3" t="s">
        <v>1891</v>
      </c>
      <c r="C1939">
        <v>2</v>
      </c>
      <c r="AT1939">
        <v>11</v>
      </c>
    </row>
    <row r="1940" spans="1:46">
      <c r="A1940" s="3" t="s">
        <v>1892</v>
      </c>
      <c r="C1940">
        <v>2</v>
      </c>
      <c r="AT1940">
        <v>11</v>
      </c>
    </row>
    <row r="1941" spans="1:46">
      <c r="A1941" s="3" t="s">
        <v>1893</v>
      </c>
      <c r="C1941">
        <v>2</v>
      </c>
      <c r="AT1941">
        <v>11</v>
      </c>
    </row>
    <row r="1942" spans="1:46">
      <c r="A1942" s="3" t="s">
        <v>1894</v>
      </c>
      <c r="C1942">
        <v>2</v>
      </c>
      <c r="AT1942">
        <v>11</v>
      </c>
    </row>
    <row r="1943" spans="1:46">
      <c r="A1943" s="3" t="s">
        <v>1895</v>
      </c>
      <c r="C1943">
        <v>2</v>
      </c>
      <c r="AT1943">
        <v>11</v>
      </c>
    </row>
    <row r="1944" spans="1:46">
      <c r="A1944" s="3" t="s">
        <v>1896</v>
      </c>
      <c r="C1944">
        <v>2</v>
      </c>
      <c r="AT1944">
        <v>11</v>
      </c>
    </row>
    <row r="1945" spans="1:46">
      <c r="A1945" s="3" t="s">
        <v>1897</v>
      </c>
      <c r="C1945">
        <v>2</v>
      </c>
      <c r="AT1945">
        <v>11</v>
      </c>
    </row>
    <row r="1946" spans="1:46">
      <c r="A1946" s="3" t="s">
        <v>1898</v>
      </c>
      <c r="C1946">
        <v>2</v>
      </c>
      <c r="AT1946">
        <v>11</v>
      </c>
    </row>
    <row r="1947" spans="1:46">
      <c r="A1947" s="3" t="s">
        <v>1899</v>
      </c>
      <c r="C1947">
        <v>2</v>
      </c>
      <c r="AT1947">
        <v>11</v>
      </c>
    </row>
    <row r="1948" spans="1:46">
      <c r="A1948" s="3" t="s">
        <v>1900</v>
      </c>
      <c r="C1948">
        <v>2</v>
      </c>
      <c r="AT1948">
        <v>11</v>
      </c>
    </row>
    <row r="1949" spans="1:46">
      <c r="A1949" s="3" t="s">
        <v>1901</v>
      </c>
      <c r="C1949">
        <v>2</v>
      </c>
      <c r="AT1949">
        <v>11</v>
      </c>
    </row>
    <row r="1950" spans="1:46">
      <c r="A1950" s="3" t="s">
        <v>1902</v>
      </c>
      <c r="C1950">
        <v>2</v>
      </c>
      <c r="AT1950">
        <v>11</v>
      </c>
    </row>
    <row r="1951" spans="1:46">
      <c r="A1951" s="3" t="s">
        <v>1903</v>
      </c>
      <c r="C1951">
        <v>2</v>
      </c>
      <c r="AT1951">
        <v>11</v>
      </c>
    </row>
    <row r="1952" spans="1:46">
      <c r="A1952" s="3" t="s">
        <v>1904</v>
      </c>
      <c r="C1952">
        <v>2</v>
      </c>
      <c r="AT1952">
        <v>11</v>
      </c>
    </row>
    <row r="1953" spans="1:46">
      <c r="A1953" s="3" t="s">
        <v>1905</v>
      </c>
      <c r="C1953">
        <v>2</v>
      </c>
      <c r="AT1953">
        <v>11</v>
      </c>
    </row>
    <row r="1954" spans="1:46">
      <c r="A1954" s="3" t="s">
        <v>1906</v>
      </c>
      <c r="C1954">
        <v>2</v>
      </c>
      <c r="AT1954">
        <v>11</v>
      </c>
    </row>
    <row r="1955" spans="1:46">
      <c r="A1955" s="3" t="s">
        <v>1907</v>
      </c>
      <c r="C1955">
        <v>2</v>
      </c>
      <c r="AT1955">
        <v>11</v>
      </c>
    </row>
    <row r="1956" spans="1:46">
      <c r="A1956" s="3" t="s">
        <v>1908</v>
      </c>
      <c r="C1956">
        <v>2</v>
      </c>
      <c r="AT1956">
        <v>11</v>
      </c>
    </row>
    <row r="1957" spans="1:46">
      <c r="A1957" s="3" t="s">
        <v>1909</v>
      </c>
      <c r="C1957">
        <v>2</v>
      </c>
      <c r="AT1957">
        <v>11</v>
      </c>
    </row>
    <row r="1958" spans="1:46">
      <c r="A1958" s="3" t="s">
        <v>1910</v>
      </c>
      <c r="C1958">
        <v>2</v>
      </c>
      <c r="AT1958">
        <v>11</v>
      </c>
    </row>
    <row r="1959" spans="1:46">
      <c r="A1959" s="3" t="s">
        <v>1911</v>
      </c>
      <c r="C1959">
        <v>2</v>
      </c>
      <c r="AT1959">
        <v>11</v>
      </c>
    </row>
    <row r="1960" spans="1:46">
      <c r="A1960" s="3" t="s">
        <v>1912</v>
      </c>
      <c r="C1960">
        <v>2</v>
      </c>
      <c r="AT1960">
        <v>11</v>
      </c>
    </row>
    <row r="1961" spans="1:46">
      <c r="A1961" s="3" t="s">
        <v>1913</v>
      </c>
      <c r="C1961">
        <v>2</v>
      </c>
      <c r="AT1961">
        <v>11</v>
      </c>
    </row>
    <row r="1962" spans="1:46">
      <c r="A1962" s="3" t="s">
        <v>1914</v>
      </c>
      <c r="C1962">
        <v>2</v>
      </c>
      <c r="AT1962">
        <v>11</v>
      </c>
    </row>
    <row r="1963" spans="1:46">
      <c r="A1963" s="3" t="s">
        <v>1915</v>
      </c>
      <c r="C1963">
        <v>2</v>
      </c>
      <c r="AT1963">
        <v>11</v>
      </c>
    </row>
    <row r="1964" spans="1:46">
      <c r="A1964" s="3" t="s">
        <v>1916</v>
      </c>
      <c r="C1964">
        <v>2</v>
      </c>
      <c r="AT1964">
        <v>11</v>
      </c>
    </row>
    <row r="1965" spans="1:46">
      <c r="A1965" s="3" t="s">
        <v>1917</v>
      </c>
      <c r="C1965">
        <v>2</v>
      </c>
      <c r="J1965">
        <v>25</v>
      </c>
    </row>
    <row r="1966" spans="1:46">
      <c r="A1966" s="3" t="s">
        <v>1918</v>
      </c>
      <c r="C1966">
        <v>2</v>
      </c>
      <c r="J1966">
        <v>25</v>
      </c>
    </row>
    <row r="1967" spans="1:46">
      <c r="A1967" s="3" t="s">
        <v>1919</v>
      </c>
      <c r="C1967">
        <v>2</v>
      </c>
      <c r="J1967">
        <v>25</v>
      </c>
    </row>
    <row r="1968" spans="1:46">
      <c r="A1968" s="3" t="s">
        <v>1920</v>
      </c>
      <c r="C1968">
        <v>2</v>
      </c>
      <c r="J1968">
        <v>25</v>
      </c>
    </row>
    <row r="1969" spans="1:10">
      <c r="A1969" s="3" t="s">
        <v>1921</v>
      </c>
      <c r="C1969">
        <v>2</v>
      </c>
      <c r="J1969">
        <v>25</v>
      </c>
    </row>
    <row r="1970" spans="1:10">
      <c r="A1970" s="3" t="s">
        <v>1922</v>
      </c>
      <c r="C1970">
        <v>2</v>
      </c>
      <c r="J1970">
        <v>25</v>
      </c>
    </row>
    <row r="1971" spans="1:10">
      <c r="A1971" s="3" t="s">
        <v>1923</v>
      </c>
      <c r="C1971">
        <v>2</v>
      </c>
      <c r="J1971">
        <v>25</v>
      </c>
    </row>
    <row r="1972" spans="1:10">
      <c r="A1972" s="3" t="s">
        <v>1924</v>
      </c>
      <c r="C1972">
        <v>2</v>
      </c>
      <c r="J1972">
        <v>25</v>
      </c>
    </row>
    <row r="1973" spans="1:10">
      <c r="A1973" s="3" t="s">
        <v>1925</v>
      </c>
      <c r="C1973">
        <v>2</v>
      </c>
      <c r="J1973">
        <v>25</v>
      </c>
    </row>
    <row r="1974" spans="1:10">
      <c r="A1974" s="3" t="s">
        <v>1926</v>
      </c>
      <c r="C1974">
        <v>2</v>
      </c>
      <c r="J1974">
        <v>25</v>
      </c>
    </row>
    <row r="1975" spans="1:10">
      <c r="A1975" s="3" t="s">
        <v>1927</v>
      </c>
      <c r="C1975">
        <v>2</v>
      </c>
      <c r="J1975">
        <v>25</v>
      </c>
    </row>
    <row r="1976" spans="1:10">
      <c r="A1976" s="3" t="s">
        <v>1928</v>
      </c>
      <c r="C1976">
        <v>2</v>
      </c>
      <c r="J1976">
        <v>25</v>
      </c>
    </row>
    <row r="1977" spans="1:10">
      <c r="A1977" s="3" t="s">
        <v>1929</v>
      </c>
      <c r="C1977">
        <v>2</v>
      </c>
      <c r="J1977">
        <v>25</v>
      </c>
    </row>
    <row r="1978" spans="1:10">
      <c r="A1978" s="3" t="s">
        <v>1930</v>
      </c>
      <c r="C1978">
        <v>2</v>
      </c>
      <c r="J1978">
        <v>25</v>
      </c>
    </row>
    <row r="1979" spans="1:10">
      <c r="A1979" s="3" t="s">
        <v>1931</v>
      </c>
      <c r="C1979">
        <v>2</v>
      </c>
      <c r="J1979">
        <v>25</v>
      </c>
    </row>
    <row r="1980" spans="1:10">
      <c r="A1980" s="3" t="s">
        <v>1932</v>
      </c>
      <c r="C1980">
        <v>2</v>
      </c>
      <c r="J1980">
        <v>25</v>
      </c>
    </row>
    <row r="1981" spans="1:10">
      <c r="A1981" s="3" t="s">
        <v>1933</v>
      </c>
      <c r="C1981">
        <v>2</v>
      </c>
      <c r="J1981">
        <v>25</v>
      </c>
    </row>
    <row r="1982" spans="1:10">
      <c r="A1982" s="3" t="s">
        <v>1934</v>
      </c>
      <c r="C1982">
        <v>2</v>
      </c>
      <c r="J1982">
        <v>25</v>
      </c>
    </row>
    <row r="1983" spans="1:10">
      <c r="A1983" s="3" t="s">
        <v>1935</v>
      </c>
      <c r="C1983">
        <v>2</v>
      </c>
      <c r="J1983">
        <v>25</v>
      </c>
    </row>
    <row r="1984" spans="1:10">
      <c r="A1984" s="3" t="s">
        <v>1936</v>
      </c>
      <c r="C1984">
        <v>2</v>
      </c>
      <c r="J1984">
        <v>25</v>
      </c>
    </row>
    <row r="1985" spans="1:10">
      <c r="A1985" s="3" t="s">
        <v>1937</v>
      </c>
      <c r="C1985">
        <v>2</v>
      </c>
      <c r="J1985">
        <v>25</v>
      </c>
    </row>
    <row r="1986" spans="1:10">
      <c r="A1986" s="3" t="s">
        <v>1938</v>
      </c>
      <c r="C1986">
        <v>2</v>
      </c>
      <c r="J1986">
        <v>25</v>
      </c>
    </row>
    <row r="1987" spans="1:10">
      <c r="A1987" s="3" t="s">
        <v>1939</v>
      </c>
      <c r="C1987">
        <v>2</v>
      </c>
      <c r="J1987">
        <v>25</v>
      </c>
    </row>
    <row r="1988" spans="1:10">
      <c r="A1988" s="3" t="s">
        <v>1940</v>
      </c>
      <c r="C1988">
        <v>2</v>
      </c>
      <c r="J1988">
        <v>25</v>
      </c>
    </row>
    <row r="1989" spans="1:10">
      <c r="A1989" s="3" t="s">
        <v>1941</v>
      </c>
      <c r="C1989">
        <v>2</v>
      </c>
      <c r="J1989">
        <v>25</v>
      </c>
    </row>
    <row r="1990" spans="1:10">
      <c r="A1990" s="3" t="s">
        <v>1942</v>
      </c>
      <c r="C1990">
        <v>2</v>
      </c>
      <c r="J1990">
        <v>25</v>
      </c>
    </row>
    <row r="1991" spans="1:10">
      <c r="A1991" s="3" t="s">
        <v>1943</v>
      </c>
      <c r="C1991">
        <v>2</v>
      </c>
      <c r="J1991">
        <v>25</v>
      </c>
    </row>
    <row r="1992" spans="1:10">
      <c r="A1992" s="3" t="s">
        <v>1944</v>
      </c>
      <c r="C1992">
        <v>2</v>
      </c>
      <c r="J1992">
        <v>25</v>
      </c>
    </row>
    <row r="1993" spans="1:10">
      <c r="A1993" s="3" t="s">
        <v>1945</v>
      </c>
      <c r="C1993">
        <v>2</v>
      </c>
      <c r="J1993">
        <v>25</v>
      </c>
    </row>
    <row r="1994" spans="1:10">
      <c r="A1994" s="3" t="s">
        <v>1946</v>
      </c>
      <c r="C1994">
        <v>2</v>
      </c>
      <c r="J1994">
        <v>25</v>
      </c>
    </row>
    <row r="1995" spans="1:10">
      <c r="A1995" s="3" t="s">
        <v>1947</v>
      </c>
      <c r="C1995">
        <v>2</v>
      </c>
      <c r="J1995">
        <v>25</v>
      </c>
    </row>
    <row r="1996" spans="1:10">
      <c r="A1996" s="3" t="s">
        <v>1948</v>
      </c>
      <c r="C1996">
        <v>2</v>
      </c>
      <c r="J1996">
        <v>25</v>
      </c>
    </row>
    <row r="1997" spans="1:10">
      <c r="A1997" s="3" t="s">
        <v>1949</v>
      </c>
      <c r="C1997">
        <v>2</v>
      </c>
      <c r="J1997">
        <v>25</v>
      </c>
    </row>
    <row r="1998" spans="1:10">
      <c r="A1998" s="3" t="s">
        <v>1950</v>
      </c>
      <c r="C1998">
        <v>2</v>
      </c>
      <c r="J1998">
        <v>25</v>
      </c>
    </row>
    <row r="1999" spans="1:10">
      <c r="A1999" s="3" t="s">
        <v>1951</v>
      </c>
      <c r="C1999">
        <v>2</v>
      </c>
      <c r="J1999">
        <v>25</v>
      </c>
    </row>
    <row r="2000" spans="1:10">
      <c r="A2000" s="3" t="s">
        <v>1952</v>
      </c>
      <c r="C2000">
        <v>2</v>
      </c>
      <c r="J2000">
        <v>25</v>
      </c>
    </row>
    <row r="2001" spans="1:10">
      <c r="A2001" s="3" t="s">
        <v>1953</v>
      </c>
      <c r="C2001">
        <v>2</v>
      </c>
      <c r="J2001">
        <v>25</v>
      </c>
    </row>
    <row r="2002" spans="1:10">
      <c r="A2002" s="3" t="s">
        <v>1954</v>
      </c>
      <c r="C2002">
        <v>2</v>
      </c>
      <c r="J2002">
        <v>25</v>
      </c>
    </row>
    <row r="2003" spans="1:10">
      <c r="A2003" s="3" t="s">
        <v>1955</v>
      </c>
      <c r="C2003">
        <v>2</v>
      </c>
      <c r="J2003">
        <v>25</v>
      </c>
    </row>
    <row r="2004" spans="1:10">
      <c r="A2004" s="3" t="s">
        <v>1956</v>
      </c>
      <c r="C2004">
        <v>2</v>
      </c>
      <c r="J2004">
        <v>25</v>
      </c>
    </row>
    <row r="2005" spans="1:10">
      <c r="A2005" s="3" t="s">
        <v>1957</v>
      </c>
      <c r="C2005">
        <v>2</v>
      </c>
      <c r="J2005">
        <v>25</v>
      </c>
    </row>
    <row r="2006" spans="1:10">
      <c r="A2006" s="3" t="s">
        <v>1958</v>
      </c>
      <c r="C2006">
        <v>2</v>
      </c>
      <c r="J2006">
        <v>25</v>
      </c>
    </row>
    <row r="2007" spans="1:10">
      <c r="A2007" s="3" t="s">
        <v>1959</v>
      </c>
      <c r="C2007">
        <v>2</v>
      </c>
      <c r="J2007">
        <v>25</v>
      </c>
    </row>
    <row r="2008" spans="1:10">
      <c r="A2008" s="3" t="s">
        <v>1960</v>
      </c>
      <c r="C2008">
        <v>2</v>
      </c>
      <c r="J2008">
        <v>25</v>
      </c>
    </row>
    <row r="2009" spans="1:10">
      <c r="A2009" s="3" t="s">
        <v>1961</v>
      </c>
      <c r="C2009">
        <v>2</v>
      </c>
      <c r="J2009">
        <v>25</v>
      </c>
    </row>
    <row r="2010" spans="1:10">
      <c r="A2010" s="3" t="s">
        <v>1962</v>
      </c>
      <c r="C2010">
        <v>2</v>
      </c>
      <c r="J2010">
        <v>25</v>
      </c>
    </row>
    <row r="2011" spans="1:10">
      <c r="A2011" s="3" t="s">
        <v>1963</v>
      </c>
      <c r="C2011">
        <v>2</v>
      </c>
      <c r="J2011">
        <v>25</v>
      </c>
    </row>
    <row r="2012" spans="1:10">
      <c r="A2012" s="3" t="s">
        <v>1964</v>
      </c>
      <c r="C2012">
        <v>2</v>
      </c>
      <c r="J2012">
        <v>25</v>
      </c>
    </row>
    <row r="2013" spans="1:10">
      <c r="A2013" s="3" t="s">
        <v>1965</v>
      </c>
      <c r="C2013">
        <v>2</v>
      </c>
      <c r="J2013">
        <v>25</v>
      </c>
    </row>
    <row r="2014" spans="1:10">
      <c r="A2014" s="3" t="s">
        <v>1966</v>
      </c>
      <c r="C2014">
        <v>2</v>
      </c>
      <c r="J2014">
        <v>25</v>
      </c>
    </row>
    <row r="2015" spans="1:10">
      <c r="A2015" s="3" t="s">
        <v>1967</v>
      </c>
      <c r="C2015">
        <v>2</v>
      </c>
      <c r="J2015">
        <v>25</v>
      </c>
    </row>
    <row r="2016" spans="1:10">
      <c r="A2016" s="3" t="s">
        <v>1968</v>
      </c>
      <c r="C2016">
        <v>2</v>
      </c>
      <c r="J2016">
        <v>25</v>
      </c>
    </row>
    <row r="2017" spans="1:47">
      <c r="A2017" s="3" t="s">
        <v>1969</v>
      </c>
      <c r="C2017">
        <v>2</v>
      </c>
      <c r="J2017">
        <v>25</v>
      </c>
    </row>
    <row r="2018" spans="1:47">
      <c r="A2018" s="3" t="s">
        <v>1970</v>
      </c>
      <c r="C2018">
        <v>2</v>
      </c>
      <c r="J2018">
        <v>25</v>
      </c>
    </row>
    <row r="2019" spans="1:47">
      <c r="A2019" s="3" t="s">
        <v>1971</v>
      </c>
      <c r="C2019">
        <v>2</v>
      </c>
      <c r="J2019">
        <v>25</v>
      </c>
    </row>
    <row r="2020" spans="1:47">
      <c r="A2020" s="3" t="s">
        <v>1972</v>
      </c>
      <c r="C2020">
        <v>2</v>
      </c>
      <c r="J2020">
        <v>25</v>
      </c>
    </row>
    <row r="2021" spans="1:47">
      <c r="A2021" s="3" t="s">
        <v>1973</v>
      </c>
      <c r="C2021">
        <v>2</v>
      </c>
      <c r="J2021">
        <v>25</v>
      </c>
    </row>
    <row r="2022" spans="1:47">
      <c r="A2022" s="3" t="s">
        <v>1974</v>
      </c>
      <c r="C2022">
        <v>2</v>
      </c>
      <c r="J2022">
        <v>25</v>
      </c>
    </row>
    <row r="2023" spans="1:47">
      <c r="A2023" s="3" t="s">
        <v>1975</v>
      </c>
      <c r="C2023">
        <v>2</v>
      </c>
      <c r="AU2023">
        <v>1</v>
      </c>
    </row>
    <row r="2024" spans="1:47">
      <c r="A2024" s="3" t="s">
        <v>1976</v>
      </c>
      <c r="C2024">
        <v>2</v>
      </c>
      <c r="AU2024">
        <v>1</v>
      </c>
    </row>
    <row r="2025" spans="1:47">
      <c r="A2025" s="3" t="s">
        <v>1977</v>
      </c>
      <c r="C2025">
        <v>2</v>
      </c>
      <c r="AU2025">
        <v>1</v>
      </c>
    </row>
    <row r="2026" spans="1:47">
      <c r="A2026" s="3" t="s">
        <v>1978</v>
      </c>
      <c r="C2026">
        <v>2</v>
      </c>
      <c r="AU2026">
        <v>1</v>
      </c>
    </row>
    <row r="2027" spans="1:47">
      <c r="A2027" s="3" t="s">
        <v>1979</v>
      </c>
      <c r="C2027">
        <v>2</v>
      </c>
      <c r="AU2027">
        <v>1</v>
      </c>
    </row>
    <row r="2028" spans="1:47">
      <c r="A2028" s="3" t="s">
        <v>1980</v>
      </c>
      <c r="C2028">
        <v>2</v>
      </c>
      <c r="AU2028">
        <v>1</v>
      </c>
    </row>
    <row r="2029" spans="1:47">
      <c r="A2029" s="3" t="s">
        <v>1981</v>
      </c>
      <c r="C2029">
        <v>2</v>
      </c>
      <c r="AU2029">
        <v>1</v>
      </c>
    </row>
    <row r="2030" spans="1:47">
      <c r="A2030" s="3" t="s">
        <v>1982</v>
      </c>
      <c r="C2030">
        <v>2</v>
      </c>
      <c r="AU2030">
        <v>1</v>
      </c>
    </row>
    <row r="2031" spans="1:47">
      <c r="A2031" s="3" t="s">
        <v>1983</v>
      </c>
      <c r="C2031">
        <v>2</v>
      </c>
      <c r="AU2031">
        <v>1</v>
      </c>
    </row>
    <row r="2032" spans="1:47">
      <c r="A2032" s="3" t="s">
        <v>1984</v>
      </c>
      <c r="C2032">
        <v>2</v>
      </c>
      <c r="AU2032">
        <v>1</v>
      </c>
    </row>
    <row r="2033" spans="1:47">
      <c r="A2033" s="3" t="s">
        <v>1985</v>
      </c>
      <c r="C2033">
        <v>2</v>
      </c>
      <c r="AU2033">
        <v>1</v>
      </c>
    </row>
    <row r="2034" spans="1:47">
      <c r="A2034" s="3" t="s">
        <v>1986</v>
      </c>
      <c r="C2034">
        <v>2</v>
      </c>
      <c r="AU2034">
        <v>1</v>
      </c>
    </row>
    <row r="2035" spans="1:47">
      <c r="A2035" s="3" t="s">
        <v>1987</v>
      </c>
      <c r="C2035">
        <v>2</v>
      </c>
      <c r="AU2035">
        <v>1</v>
      </c>
    </row>
    <row r="2036" spans="1:47">
      <c r="A2036" s="3" t="s">
        <v>1988</v>
      </c>
      <c r="C2036">
        <v>2</v>
      </c>
      <c r="AU2036">
        <v>1</v>
      </c>
    </row>
    <row r="2037" spans="1:47">
      <c r="A2037" s="3" t="s">
        <v>1989</v>
      </c>
      <c r="C2037">
        <v>2</v>
      </c>
      <c r="AU2037">
        <v>1</v>
      </c>
    </row>
    <row r="2038" spans="1:47">
      <c r="A2038" s="3" t="s">
        <v>1990</v>
      </c>
      <c r="C2038">
        <v>2</v>
      </c>
      <c r="AU2038">
        <v>1</v>
      </c>
    </row>
    <row r="2039" spans="1:47">
      <c r="A2039" s="3" t="s">
        <v>1991</v>
      </c>
      <c r="C2039">
        <v>2</v>
      </c>
      <c r="AU2039">
        <v>1</v>
      </c>
    </row>
    <row r="2040" spans="1:47">
      <c r="A2040" s="3" t="s">
        <v>1992</v>
      </c>
      <c r="C2040">
        <v>2</v>
      </c>
      <c r="AU2040">
        <v>1</v>
      </c>
    </row>
    <row r="2041" spans="1:47">
      <c r="A2041" s="3" t="s">
        <v>1993</v>
      </c>
      <c r="C2041">
        <v>2</v>
      </c>
      <c r="AU2041">
        <v>1</v>
      </c>
    </row>
    <row r="2042" spans="1:47">
      <c r="A2042" s="3" t="s">
        <v>1994</v>
      </c>
      <c r="C2042">
        <v>2</v>
      </c>
      <c r="AU2042">
        <v>1</v>
      </c>
    </row>
    <row r="2043" spans="1:47">
      <c r="A2043" s="3" t="s">
        <v>1995</v>
      </c>
      <c r="C2043">
        <v>2</v>
      </c>
      <c r="AU2043">
        <v>1</v>
      </c>
    </row>
    <row r="2044" spans="1:47">
      <c r="A2044" s="3" t="s">
        <v>1996</v>
      </c>
      <c r="C2044">
        <v>2</v>
      </c>
      <c r="AU2044">
        <v>1</v>
      </c>
    </row>
    <row r="2045" spans="1:47">
      <c r="A2045" s="3" t="s">
        <v>1997</v>
      </c>
      <c r="C2045">
        <v>2</v>
      </c>
      <c r="AU2045">
        <v>1</v>
      </c>
    </row>
    <row r="2046" spans="1:47">
      <c r="A2046" s="3" t="s">
        <v>1998</v>
      </c>
      <c r="C2046">
        <v>2</v>
      </c>
      <c r="AU2046">
        <v>1</v>
      </c>
    </row>
    <row r="2047" spans="1:47">
      <c r="A2047" s="3" t="s">
        <v>1999</v>
      </c>
      <c r="C2047">
        <v>2</v>
      </c>
      <c r="AU2047">
        <v>1</v>
      </c>
    </row>
    <row r="2048" spans="1:47">
      <c r="A2048" s="3" t="s">
        <v>2000</v>
      </c>
      <c r="C2048">
        <v>2</v>
      </c>
      <c r="AU2048">
        <v>1</v>
      </c>
    </row>
    <row r="2049" spans="1:47">
      <c r="A2049" s="3" t="s">
        <v>2001</v>
      </c>
      <c r="C2049">
        <v>2</v>
      </c>
      <c r="AU2049">
        <v>1</v>
      </c>
    </row>
    <row r="2050" spans="1:47">
      <c r="A2050" s="3" t="s">
        <v>2002</v>
      </c>
      <c r="C2050">
        <v>2</v>
      </c>
      <c r="AU2050">
        <v>1</v>
      </c>
    </row>
    <row r="2051" spans="1:47">
      <c r="A2051" s="3" t="s">
        <v>2003</v>
      </c>
      <c r="C2051">
        <v>2</v>
      </c>
      <c r="AU2051">
        <v>1</v>
      </c>
    </row>
    <row r="2052" spans="1:47">
      <c r="A2052" s="3" t="s">
        <v>2004</v>
      </c>
      <c r="C2052">
        <v>2</v>
      </c>
      <c r="AU2052">
        <v>1</v>
      </c>
    </row>
    <row r="2053" spans="1:47">
      <c r="A2053" s="3" t="s">
        <v>2005</v>
      </c>
      <c r="C2053">
        <v>2</v>
      </c>
      <c r="AU2053">
        <v>1</v>
      </c>
    </row>
    <row r="2054" spans="1:47">
      <c r="A2054" s="3" t="s">
        <v>2006</v>
      </c>
      <c r="C2054">
        <v>2</v>
      </c>
      <c r="AU2054">
        <v>1</v>
      </c>
    </row>
    <row r="2055" spans="1:47">
      <c r="A2055" s="3" t="s">
        <v>2007</v>
      </c>
      <c r="C2055">
        <v>2</v>
      </c>
      <c r="AU2055">
        <v>1</v>
      </c>
    </row>
    <row r="2056" spans="1:47">
      <c r="A2056" s="3" t="s">
        <v>2008</v>
      </c>
      <c r="C2056">
        <v>2</v>
      </c>
      <c r="AU2056">
        <v>1</v>
      </c>
    </row>
    <row r="2057" spans="1:47">
      <c r="A2057" s="3" t="s">
        <v>2009</v>
      </c>
      <c r="C2057">
        <v>2</v>
      </c>
      <c r="AU2057">
        <v>1</v>
      </c>
    </row>
    <row r="2058" spans="1:47">
      <c r="A2058" s="3" t="s">
        <v>2010</v>
      </c>
      <c r="C2058">
        <v>2</v>
      </c>
      <c r="AU2058">
        <v>1</v>
      </c>
    </row>
    <row r="2059" spans="1:47">
      <c r="A2059" s="3" t="s">
        <v>2011</v>
      </c>
      <c r="C2059">
        <v>2</v>
      </c>
      <c r="AU2059">
        <v>1</v>
      </c>
    </row>
    <row r="2060" spans="1:47">
      <c r="A2060" s="3" t="s">
        <v>2012</v>
      </c>
      <c r="C2060">
        <v>2</v>
      </c>
      <c r="AU2060">
        <v>1</v>
      </c>
    </row>
    <row r="2061" spans="1:47">
      <c r="A2061" s="3" t="s">
        <v>2013</v>
      </c>
      <c r="C2061">
        <v>2</v>
      </c>
      <c r="M2061">
        <v>5</v>
      </c>
    </row>
    <row r="2062" spans="1:47">
      <c r="A2062" s="3" t="s">
        <v>2014</v>
      </c>
      <c r="C2062">
        <v>2</v>
      </c>
      <c r="M2062">
        <v>5</v>
      </c>
    </row>
    <row r="2063" spans="1:47">
      <c r="A2063" s="3" t="s">
        <v>2015</v>
      </c>
      <c r="C2063">
        <v>2</v>
      </c>
      <c r="M2063">
        <v>5</v>
      </c>
    </row>
    <row r="2064" spans="1:47">
      <c r="A2064" s="3" t="s">
        <v>2016</v>
      </c>
      <c r="C2064">
        <v>2</v>
      </c>
      <c r="M2064">
        <v>5</v>
      </c>
    </row>
    <row r="2065" spans="1:13">
      <c r="A2065" s="3" t="s">
        <v>2017</v>
      </c>
      <c r="C2065">
        <v>2</v>
      </c>
      <c r="M2065">
        <v>5</v>
      </c>
    </row>
    <row r="2066" spans="1:13">
      <c r="A2066" s="3" t="s">
        <v>2018</v>
      </c>
      <c r="C2066">
        <v>2</v>
      </c>
      <c r="M2066">
        <v>5</v>
      </c>
    </row>
    <row r="2067" spans="1:13">
      <c r="A2067" s="3" t="s">
        <v>2019</v>
      </c>
      <c r="C2067">
        <v>2</v>
      </c>
      <c r="M2067">
        <v>5</v>
      </c>
    </row>
    <row r="2068" spans="1:13">
      <c r="A2068" s="3" t="s">
        <v>2020</v>
      </c>
      <c r="C2068">
        <v>2</v>
      </c>
      <c r="M2068">
        <v>5</v>
      </c>
    </row>
    <row r="2069" spans="1:13">
      <c r="A2069" s="3" t="s">
        <v>2021</v>
      </c>
      <c r="C2069">
        <v>2</v>
      </c>
      <c r="M2069">
        <v>5</v>
      </c>
    </row>
    <row r="2070" spans="1:13">
      <c r="A2070" s="3" t="s">
        <v>2022</v>
      </c>
      <c r="C2070">
        <v>2</v>
      </c>
      <c r="M2070">
        <v>5</v>
      </c>
    </row>
    <row r="2071" spans="1:13">
      <c r="A2071" s="3" t="s">
        <v>2023</v>
      </c>
      <c r="C2071">
        <v>2</v>
      </c>
      <c r="M2071">
        <v>5</v>
      </c>
    </row>
    <row r="2072" spans="1:13">
      <c r="A2072" s="3" t="s">
        <v>2024</v>
      </c>
      <c r="C2072">
        <v>2</v>
      </c>
      <c r="M2072">
        <v>5</v>
      </c>
    </row>
    <row r="2073" spans="1:13">
      <c r="A2073" s="3" t="s">
        <v>2025</v>
      </c>
      <c r="C2073">
        <v>2</v>
      </c>
      <c r="M2073">
        <v>5</v>
      </c>
    </row>
    <row r="2074" spans="1:13">
      <c r="A2074" s="3" t="s">
        <v>2026</v>
      </c>
      <c r="C2074">
        <v>2</v>
      </c>
      <c r="M2074">
        <v>5</v>
      </c>
    </row>
    <row r="2075" spans="1:13">
      <c r="A2075" s="3" t="s">
        <v>2027</v>
      </c>
      <c r="C2075">
        <v>2</v>
      </c>
      <c r="M2075">
        <v>5</v>
      </c>
    </row>
    <row r="2076" spans="1:13">
      <c r="A2076" s="3" t="s">
        <v>2028</v>
      </c>
      <c r="C2076">
        <v>2</v>
      </c>
      <c r="M2076">
        <v>5</v>
      </c>
    </row>
    <row r="2077" spans="1:13">
      <c r="A2077" s="3" t="s">
        <v>2029</v>
      </c>
      <c r="C2077">
        <v>2</v>
      </c>
      <c r="M2077">
        <v>5</v>
      </c>
    </row>
    <row r="2078" spans="1:13">
      <c r="A2078" s="3" t="s">
        <v>2030</v>
      </c>
      <c r="C2078">
        <v>2</v>
      </c>
      <c r="M2078">
        <v>5</v>
      </c>
    </row>
    <row r="2079" spans="1:13">
      <c r="A2079" s="3" t="s">
        <v>2031</v>
      </c>
      <c r="C2079">
        <v>2</v>
      </c>
      <c r="M2079">
        <v>5</v>
      </c>
    </row>
    <row r="2080" spans="1:13">
      <c r="A2080" s="3" t="s">
        <v>2032</v>
      </c>
      <c r="C2080">
        <v>2</v>
      </c>
      <c r="M2080">
        <v>5</v>
      </c>
    </row>
    <row r="2081" spans="1:13">
      <c r="A2081" s="3" t="s">
        <v>2033</v>
      </c>
      <c r="C2081">
        <v>2</v>
      </c>
      <c r="M2081">
        <v>5</v>
      </c>
    </row>
    <row r="2082" spans="1:13">
      <c r="A2082" s="3" t="s">
        <v>2034</v>
      </c>
      <c r="C2082">
        <v>2</v>
      </c>
      <c r="M2082">
        <v>5</v>
      </c>
    </row>
    <row r="2083" spans="1:13">
      <c r="A2083" s="3" t="s">
        <v>2035</v>
      </c>
      <c r="C2083">
        <v>2</v>
      </c>
      <c r="M2083">
        <v>5</v>
      </c>
    </row>
    <row r="2084" spans="1:13">
      <c r="A2084" s="3" t="s">
        <v>2036</v>
      </c>
      <c r="C2084">
        <v>2</v>
      </c>
      <c r="M2084">
        <v>5</v>
      </c>
    </row>
    <row r="2085" spans="1:13">
      <c r="A2085" s="3" t="s">
        <v>2037</v>
      </c>
      <c r="C2085">
        <v>2</v>
      </c>
      <c r="M2085">
        <v>5</v>
      </c>
    </row>
    <row r="2086" spans="1:13">
      <c r="A2086" s="3" t="s">
        <v>2038</v>
      </c>
      <c r="C2086">
        <v>2</v>
      </c>
      <c r="M2086">
        <v>5</v>
      </c>
    </row>
    <row r="2087" spans="1:13">
      <c r="A2087" s="3" t="s">
        <v>2039</v>
      </c>
      <c r="C2087">
        <v>2</v>
      </c>
      <c r="M2087">
        <v>5</v>
      </c>
    </row>
    <row r="2088" spans="1:13">
      <c r="A2088" s="3" t="s">
        <v>2040</v>
      </c>
      <c r="C2088">
        <v>2</v>
      </c>
      <c r="M2088">
        <v>5</v>
      </c>
    </row>
    <row r="2089" spans="1:13">
      <c r="A2089" s="3" t="s">
        <v>2041</v>
      </c>
      <c r="C2089">
        <v>2</v>
      </c>
      <c r="M2089">
        <v>5</v>
      </c>
    </row>
    <row r="2090" spans="1:13">
      <c r="A2090" s="3" t="s">
        <v>2042</v>
      </c>
      <c r="C2090">
        <v>2</v>
      </c>
      <c r="M2090">
        <v>5</v>
      </c>
    </row>
    <row r="2091" spans="1:13">
      <c r="A2091" s="3" t="s">
        <v>2043</v>
      </c>
      <c r="C2091">
        <v>2</v>
      </c>
      <c r="M2091">
        <v>5</v>
      </c>
    </row>
    <row r="2092" spans="1:13">
      <c r="A2092" s="3" t="s">
        <v>2044</v>
      </c>
      <c r="C2092">
        <v>2</v>
      </c>
      <c r="M2092">
        <v>5</v>
      </c>
    </row>
    <row r="2093" spans="1:13">
      <c r="A2093" s="3" t="s">
        <v>2045</v>
      </c>
      <c r="C2093">
        <v>2</v>
      </c>
      <c r="M2093">
        <v>5</v>
      </c>
    </row>
    <row r="2094" spans="1:13">
      <c r="A2094" s="3" t="s">
        <v>2046</v>
      </c>
      <c r="C2094">
        <v>2</v>
      </c>
      <c r="M2094">
        <v>5</v>
      </c>
    </row>
    <row r="2095" spans="1:13">
      <c r="A2095" s="3" t="s">
        <v>2047</v>
      </c>
      <c r="C2095">
        <v>2</v>
      </c>
      <c r="M2095">
        <v>5</v>
      </c>
    </row>
    <row r="2096" spans="1:13">
      <c r="A2096" s="3" t="s">
        <v>2048</v>
      </c>
      <c r="C2096">
        <v>2</v>
      </c>
      <c r="M2096">
        <v>5</v>
      </c>
    </row>
    <row r="2097" spans="1:13">
      <c r="A2097" s="3" t="s">
        <v>2049</v>
      </c>
      <c r="C2097">
        <v>2</v>
      </c>
      <c r="M2097">
        <v>5</v>
      </c>
    </row>
    <row r="2098" spans="1:13">
      <c r="A2098" s="3" t="s">
        <v>2050</v>
      </c>
      <c r="C2098">
        <v>2</v>
      </c>
      <c r="M2098">
        <v>5</v>
      </c>
    </row>
    <row r="2099" spans="1:13">
      <c r="A2099" s="3" t="s">
        <v>2051</v>
      </c>
      <c r="C2099">
        <v>2</v>
      </c>
      <c r="M2099">
        <v>5</v>
      </c>
    </row>
    <row r="2100" spans="1:13">
      <c r="A2100" s="3" t="s">
        <v>2052</v>
      </c>
      <c r="B2100">
        <v>3</v>
      </c>
      <c r="C2100">
        <v>2</v>
      </c>
      <c r="J2100">
        <v>26</v>
      </c>
    </row>
    <row r="2101" spans="1:13">
      <c r="A2101" s="3" t="s">
        <v>2053</v>
      </c>
      <c r="B2101">
        <v>3</v>
      </c>
      <c r="C2101">
        <v>2</v>
      </c>
      <c r="J2101">
        <v>26</v>
      </c>
    </row>
    <row r="2102" spans="1:13">
      <c r="A2102" s="3" t="s">
        <v>2054</v>
      </c>
      <c r="B2102">
        <v>3</v>
      </c>
      <c r="C2102">
        <v>2</v>
      </c>
      <c r="J2102">
        <v>26</v>
      </c>
    </row>
    <row r="2103" spans="1:13">
      <c r="A2103" s="3" t="s">
        <v>2055</v>
      </c>
      <c r="B2103">
        <v>3</v>
      </c>
      <c r="C2103">
        <v>2</v>
      </c>
      <c r="J2103">
        <v>26</v>
      </c>
    </row>
    <row r="2104" spans="1:13">
      <c r="A2104" s="3" t="s">
        <v>2056</v>
      </c>
      <c r="B2104">
        <v>3</v>
      </c>
      <c r="C2104">
        <v>2</v>
      </c>
      <c r="J2104">
        <v>26</v>
      </c>
    </row>
    <row r="2105" spans="1:13">
      <c r="A2105" s="3" t="s">
        <v>2057</v>
      </c>
      <c r="B2105">
        <v>3</v>
      </c>
      <c r="C2105">
        <v>2</v>
      </c>
      <c r="J2105">
        <v>26</v>
      </c>
    </row>
    <row r="2106" spans="1:13">
      <c r="A2106" s="3" t="s">
        <v>2058</v>
      </c>
      <c r="B2106">
        <v>3</v>
      </c>
      <c r="C2106">
        <v>2</v>
      </c>
      <c r="J2106">
        <v>26</v>
      </c>
    </row>
    <row r="2107" spans="1:13">
      <c r="A2107" s="3" t="s">
        <v>2059</v>
      </c>
      <c r="B2107">
        <v>3</v>
      </c>
      <c r="C2107">
        <v>2</v>
      </c>
      <c r="J2107">
        <v>26</v>
      </c>
    </row>
    <row r="2108" spans="1:13">
      <c r="A2108" s="3" t="s">
        <v>2060</v>
      </c>
      <c r="B2108">
        <v>3</v>
      </c>
      <c r="C2108">
        <v>2</v>
      </c>
      <c r="J2108">
        <v>26</v>
      </c>
    </row>
    <row r="2109" spans="1:13">
      <c r="A2109" s="3" t="s">
        <v>2061</v>
      </c>
      <c r="B2109">
        <v>3</v>
      </c>
      <c r="C2109">
        <v>2</v>
      </c>
      <c r="J2109">
        <v>26</v>
      </c>
    </row>
    <row r="2110" spans="1:13">
      <c r="A2110" s="3" t="s">
        <v>2062</v>
      </c>
      <c r="B2110">
        <v>3</v>
      </c>
      <c r="J2110">
        <v>26</v>
      </c>
    </row>
    <row r="2111" spans="1:13">
      <c r="A2111" s="3" t="s">
        <v>2063</v>
      </c>
      <c r="B2111">
        <v>3</v>
      </c>
      <c r="J2111">
        <v>26</v>
      </c>
    </row>
    <row r="2112" spans="1:13">
      <c r="A2112" s="3" t="s">
        <v>2064</v>
      </c>
      <c r="B2112">
        <v>3</v>
      </c>
      <c r="J2112">
        <v>26</v>
      </c>
    </row>
    <row r="2113" spans="1:10">
      <c r="A2113" s="3" t="s">
        <v>2065</v>
      </c>
      <c r="B2113">
        <v>3</v>
      </c>
      <c r="J2113">
        <v>26</v>
      </c>
    </row>
    <row r="2114" spans="1:10">
      <c r="A2114" s="3" t="s">
        <v>2066</v>
      </c>
      <c r="B2114">
        <v>3</v>
      </c>
      <c r="J2114">
        <v>26</v>
      </c>
    </row>
    <row r="2115" spans="1:10">
      <c r="A2115" s="3" t="s">
        <v>2067</v>
      </c>
      <c r="B2115">
        <v>3</v>
      </c>
      <c r="J2115">
        <v>26</v>
      </c>
    </row>
    <row r="2116" spans="1:10">
      <c r="A2116" s="3" t="s">
        <v>2068</v>
      </c>
      <c r="B2116">
        <v>3</v>
      </c>
      <c r="J2116">
        <v>26</v>
      </c>
    </row>
    <row r="2117" spans="1:10">
      <c r="A2117" s="3" t="s">
        <v>2069</v>
      </c>
      <c r="B2117">
        <v>3</v>
      </c>
      <c r="J2117">
        <v>26</v>
      </c>
    </row>
    <row r="2118" spans="1:10">
      <c r="A2118" s="3" t="s">
        <v>2070</v>
      </c>
      <c r="B2118">
        <v>3</v>
      </c>
      <c r="J2118">
        <v>26</v>
      </c>
    </row>
    <row r="2119" spans="1:10">
      <c r="A2119" s="3" t="s">
        <v>2071</v>
      </c>
      <c r="B2119">
        <v>3</v>
      </c>
      <c r="J2119">
        <v>26</v>
      </c>
    </row>
    <row r="2120" spans="1:10">
      <c r="A2120" s="3" t="s">
        <v>2072</v>
      </c>
      <c r="B2120">
        <v>3</v>
      </c>
      <c r="J2120">
        <v>26</v>
      </c>
    </row>
    <row r="2121" spans="1:10">
      <c r="A2121" s="3" t="s">
        <v>2073</v>
      </c>
      <c r="B2121">
        <v>3</v>
      </c>
      <c r="J2121">
        <v>26</v>
      </c>
    </row>
    <row r="2122" spans="1:10">
      <c r="A2122" s="3" t="s">
        <v>2074</v>
      </c>
      <c r="B2122">
        <v>3</v>
      </c>
      <c r="J2122">
        <v>26</v>
      </c>
    </row>
    <row r="2123" spans="1:10">
      <c r="A2123" s="3" t="s">
        <v>2075</v>
      </c>
      <c r="B2123">
        <v>3</v>
      </c>
      <c r="J2123">
        <v>26</v>
      </c>
    </row>
    <row r="2124" spans="1:10">
      <c r="A2124" s="3" t="s">
        <v>2076</v>
      </c>
      <c r="B2124">
        <v>3</v>
      </c>
      <c r="J2124">
        <v>26</v>
      </c>
    </row>
    <row r="2125" spans="1:10">
      <c r="A2125" s="3" t="s">
        <v>2077</v>
      </c>
      <c r="B2125">
        <v>3</v>
      </c>
      <c r="J2125">
        <v>26</v>
      </c>
    </row>
    <row r="2126" spans="1:10">
      <c r="A2126" s="3" t="s">
        <v>2078</v>
      </c>
      <c r="B2126">
        <v>3</v>
      </c>
      <c r="J2126">
        <v>26</v>
      </c>
    </row>
    <row r="2127" spans="1:10">
      <c r="A2127" s="3" t="s">
        <v>2079</v>
      </c>
      <c r="B2127">
        <v>3</v>
      </c>
      <c r="J2127">
        <v>26</v>
      </c>
    </row>
    <row r="2128" spans="1:10">
      <c r="A2128" s="3" t="s">
        <v>2080</v>
      </c>
      <c r="B2128">
        <v>3</v>
      </c>
      <c r="J2128">
        <v>26</v>
      </c>
    </row>
    <row r="2129" spans="1:12">
      <c r="A2129" s="3" t="s">
        <v>2081</v>
      </c>
      <c r="B2129">
        <v>3</v>
      </c>
      <c r="J2129">
        <v>26</v>
      </c>
    </row>
    <row r="2130" spans="1:12">
      <c r="A2130" s="3" t="s">
        <v>2082</v>
      </c>
      <c r="B2130">
        <v>3</v>
      </c>
      <c r="J2130">
        <v>26</v>
      </c>
    </row>
    <row r="2131" spans="1:12">
      <c r="A2131" s="3" t="s">
        <v>2083</v>
      </c>
      <c r="B2131">
        <v>3</v>
      </c>
      <c r="L2131">
        <v>2</v>
      </c>
    </row>
    <row r="2132" spans="1:12">
      <c r="A2132" s="3" t="s">
        <v>2084</v>
      </c>
      <c r="B2132">
        <v>3</v>
      </c>
      <c r="L2132">
        <v>2</v>
      </c>
    </row>
    <row r="2133" spans="1:12">
      <c r="A2133" s="3" t="s">
        <v>2085</v>
      </c>
      <c r="B2133">
        <v>3</v>
      </c>
      <c r="L2133">
        <v>2</v>
      </c>
    </row>
    <row r="2134" spans="1:12">
      <c r="A2134" s="3" t="s">
        <v>2086</v>
      </c>
      <c r="B2134">
        <v>3</v>
      </c>
      <c r="L2134">
        <v>2</v>
      </c>
    </row>
    <row r="2135" spans="1:12">
      <c r="A2135" s="3" t="s">
        <v>2087</v>
      </c>
      <c r="B2135">
        <v>3</v>
      </c>
      <c r="L2135">
        <v>2</v>
      </c>
    </row>
    <row r="2136" spans="1:12">
      <c r="A2136" s="3" t="s">
        <v>2088</v>
      </c>
      <c r="B2136">
        <v>3</v>
      </c>
      <c r="L2136">
        <v>2</v>
      </c>
    </row>
    <row r="2137" spans="1:12">
      <c r="A2137" s="3" t="s">
        <v>2089</v>
      </c>
      <c r="B2137">
        <v>3</v>
      </c>
      <c r="L2137">
        <v>2</v>
      </c>
    </row>
    <row r="2138" spans="1:12">
      <c r="A2138" s="3" t="s">
        <v>2090</v>
      </c>
      <c r="B2138">
        <v>3</v>
      </c>
      <c r="L2138">
        <v>2</v>
      </c>
    </row>
    <row r="2139" spans="1:12">
      <c r="A2139" s="3" t="s">
        <v>2091</v>
      </c>
      <c r="B2139">
        <v>3</v>
      </c>
      <c r="L2139">
        <v>2</v>
      </c>
    </row>
    <row r="2140" spans="1:12">
      <c r="A2140" s="3" t="s">
        <v>2092</v>
      </c>
      <c r="B2140">
        <v>3</v>
      </c>
      <c r="L2140">
        <v>2</v>
      </c>
    </row>
    <row r="2141" spans="1:12">
      <c r="A2141" s="3" t="s">
        <v>2093</v>
      </c>
      <c r="B2141">
        <v>3</v>
      </c>
      <c r="L2141">
        <v>2</v>
      </c>
    </row>
    <row r="2142" spans="1:12">
      <c r="A2142" s="3" t="s">
        <v>2094</v>
      </c>
      <c r="B2142">
        <v>3</v>
      </c>
      <c r="L2142">
        <v>2</v>
      </c>
    </row>
    <row r="2143" spans="1:12">
      <c r="A2143" s="3" t="s">
        <v>2095</v>
      </c>
      <c r="B2143">
        <v>3</v>
      </c>
      <c r="L2143">
        <v>2</v>
      </c>
    </row>
    <row r="2144" spans="1:12">
      <c r="A2144" s="3" t="s">
        <v>2096</v>
      </c>
      <c r="B2144">
        <v>3</v>
      </c>
      <c r="L2144">
        <v>2</v>
      </c>
    </row>
    <row r="2145" spans="1:12">
      <c r="A2145" s="3" t="s">
        <v>2097</v>
      </c>
      <c r="B2145">
        <v>3</v>
      </c>
      <c r="L2145">
        <v>2</v>
      </c>
    </row>
    <row r="2146" spans="1:12">
      <c r="A2146" s="3" t="s">
        <v>2098</v>
      </c>
      <c r="B2146">
        <v>3</v>
      </c>
      <c r="L2146">
        <v>2</v>
      </c>
    </row>
    <row r="2147" spans="1:12">
      <c r="A2147" s="3" t="s">
        <v>2099</v>
      </c>
      <c r="B2147">
        <v>3</v>
      </c>
      <c r="L2147">
        <v>2</v>
      </c>
    </row>
    <row r="2148" spans="1:12">
      <c r="A2148" s="3" t="s">
        <v>2100</v>
      </c>
      <c r="B2148">
        <v>3</v>
      </c>
      <c r="L2148">
        <v>2</v>
      </c>
    </row>
    <row r="2149" spans="1:12">
      <c r="A2149" s="3" t="s">
        <v>2101</v>
      </c>
      <c r="B2149">
        <v>3</v>
      </c>
      <c r="L2149">
        <v>2</v>
      </c>
    </row>
    <row r="2150" spans="1:12">
      <c r="A2150" s="3" t="s">
        <v>2102</v>
      </c>
      <c r="B2150">
        <v>3</v>
      </c>
      <c r="L2150">
        <v>2</v>
      </c>
    </row>
    <row r="2151" spans="1:12">
      <c r="A2151" s="3" t="s">
        <v>2103</v>
      </c>
      <c r="B2151">
        <v>3</v>
      </c>
      <c r="L2151">
        <v>2</v>
      </c>
    </row>
    <row r="2152" spans="1:12">
      <c r="A2152" s="3" t="s">
        <v>2104</v>
      </c>
      <c r="B2152">
        <v>3</v>
      </c>
      <c r="L2152">
        <v>2</v>
      </c>
    </row>
    <row r="2153" spans="1:12">
      <c r="A2153" s="3" t="s">
        <v>2105</v>
      </c>
      <c r="B2153">
        <v>3</v>
      </c>
      <c r="L2153">
        <v>2</v>
      </c>
    </row>
    <row r="2154" spans="1:12">
      <c r="A2154" s="3" t="s">
        <v>2106</v>
      </c>
      <c r="B2154">
        <v>3</v>
      </c>
      <c r="L2154">
        <v>2</v>
      </c>
    </row>
    <row r="2155" spans="1:12">
      <c r="A2155" s="3" t="s">
        <v>2107</v>
      </c>
      <c r="B2155">
        <v>3</v>
      </c>
      <c r="L2155">
        <v>2</v>
      </c>
    </row>
    <row r="2156" spans="1:12">
      <c r="A2156" s="3" t="s">
        <v>2108</v>
      </c>
      <c r="B2156">
        <v>3</v>
      </c>
      <c r="L2156">
        <v>2</v>
      </c>
    </row>
    <row r="2157" spans="1:12">
      <c r="A2157" s="3" t="s">
        <v>2109</v>
      </c>
      <c r="B2157">
        <v>3</v>
      </c>
      <c r="L2157">
        <v>2</v>
      </c>
    </row>
    <row r="2158" spans="1:12">
      <c r="A2158" s="3" t="s">
        <v>2110</v>
      </c>
      <c r="B2158">
        <v>3</v>
      </c>
      <c r="L2158">
        <v>2</v>
      </c>
    </row>
    <row r="2159" spans="1:12">
      <c r="A2159" s="3" t="s">
        <v>2111</v>
      </c>
      <c r="B2159">
        <v>3</v>
      </c>
      <c r="L2159">
        <v>2</v>
      </c>
    </row>
    <row r="2160" spans="1:12">
      <c r="A2160" s="3" t="s">
        <v>2112</v>
      </c>
      <c r="B2160">
        <v>3</v>
      </c>
      <c r="L2160">
        <v>2</v>
      </c>
    </row>
    <row r="2161" spans="1:12">
      <c r="A2161" s="3" t="s">
        <v>2113</v>
      </c>
      <c r="B2161">
        <v>3</v>
      </c>
      <c r="L2161">
        <v>2</v>
      </c>
    </row>
    <row r="2162" spans="1:12">
      <c r="A2162" s="3" t="s">
        <v>2114</v>
      </c>
      <c r="B2162">
        <v>3</v>
      </c>
      <c r="L2162">
        <v>2</v>
      </c>
    </row>
    <row r="2163" spans="1:12">
      <c r="A2163" s="3" t="s">
        <v>2115</v>
      </c>
      <c r="B2163">
        <v>3</v>
      </c>
      <c r="L2163">
        <v>2</v>
      </c>
    </row>
    <row r="2164" spans="1:12">
      <c r="A2164" s="3" t="s">
        <v>2116</v>
      </c>
      <c r="B2164">
        <v>3</v>
      </c>
      <c r="L2164">
        <v>2</v>
      </c>
    </row>
    <row r="2165" spans="1:12">
      <c r="A2165" s="3" t="s">
        <v>2117</v>
      </c>
      <c r="B2165">
        <v>3</v>
      </c>
      <c r="L2165">
        <v>2</v>
      </c>
    </row>
    <row r="2166" spans="1:12">
      <c r="A2166" s="3" t="s">
        <v>2118</v>
      </c>
      <c r="B2166">
        <v>3</v>
      </c>
      <c r="L2166">
        <v>2</v>
      </c>
    </row>
    <row r="2167" spans="1:12">
      <c r="A2167" s="3" t="s">
        <v>2119</v>
      </c>
      <c r="B2167">
        <v>3</v>
      </c>
      <c r="L2167">
        <v>2</v>
      </c>
    </row>
    <row r="2168" spans="1:12">
      <c r="A2168" s="3" t="s">
        <v>2120</v>
      </c>
      <c r="B2168">
        <v>3</v>
      </c>
      <c r="L2168">
        <v>2</v>
      </c>
    </row>
    <row r="2169" spans="1:12">
      <c r="A2169" s="3" t="s">
        <v>2121</v>
      </c>
      <c r="B2169">
        <v>3</v>
      </c>
      <c r="L2169">
        <v>2</v>
      </c>
    </row>
    <row r="2170" spans="1:12">
      <c r="A2170" s="3" t="s">
        <v>2122</v>
      </c>
      <c r="B2170">
        <v>3</v>
      </c>
      <c r="L2170">
        <v>2</v>
      </c>
    </row>
    <row r="2171" spans="1:12">
      <c r="A2171" s="3" t="s">
        <v>2123</v>
      </c>
      <c r="B2171">
        <v>3</v>
      </c>
      <c r="L2171">
        <v>2</v>
      </c>
    </row>
    <row r="2172" spans="1:12">
      <c r="A2172" s="3" t="s">
        <v>2124</v>
      </c>
      <c r="B2172">
        <v>3</v>
      </c>
      <c r="J2172">
        <v>27</v>
      </c>
    </row>
    <row r="2173" spans="1:12">
      <c r="A2173" s="3" t="s">
        <v>2125</v>
      </c>
      <c r="B2173">
        <v>3</v>
      </c>
      <c r="J2173">
        <v>27</v>
      </c>
    </row>
    <row r="2174" spans="1:12">
      <c r="A2174" s="3" t="s">
        <v>2126</v>
      </c>
      <c r="B2174">
        <v>3</v>
      </c>
      <c r="J2174">
        <v>27</v>
      </c>
    </row>
    <row r="2175" spans="1:12">
      <c r="A2175" s="3" t="s">
        <v>2127</v>
      </c>
      <c r="B2175">
        <v>3</v>
      </c>
      <c r="J2175">
        <v>27</v>
      </c>
    </row>
    <row r="2176" spans="1:12">
      <c r="A2176" s="3" t="s">
        <v>2128</v>
      </c>
      <c r="B2176">
        <v>3</v>
      </c>
      <c r="J2176">
        <v>27</v>
      </c>
    </row>
    <row r="2177" spans="1:10">
      <c r="A2177" s="3" t="s">
        <v>2129</v>
      </c>
      <c r="B2177">
        <v>3</v>
      </c>
      <c r="J2177">
        <v>27</v>
      </c>
    </row>
    <row r="2178" spans="1:10">
      <c r="A2178" s="3" t="s">
        <v>2130</v>
      </c>
      <c r="B2178">
        <v>3</v>
      </c>
      <c r="J2178">
        <v>27</v>
      </c>
    </row>
    <row r="2179" spans="1:10">
      <c r="A2179" s="3" t="s">
        <v>2131</v>
      </c>
      <c r="B2179">
        <v>3</v>
      </c>
      <c r="J2179">
        <v>27</v>
      </c>
    </row>
    <row r="2180" spans="1:10">
      <c r="A2180" s="3" t="s">
        <v>2132</v>
      </c>
      <c r="B2180">
        <v>3</v>
      </c>
      <c r="J2180">
        <v>27</v>
      </c>
    </row>
    <row r="2181" spans="1:10">
      <c r="A2181" s="3" t="s">
        <v>2133</v>
      </c>
      <c r="B2181">
        <v>3</v>
      </c>
      <c r="J2181">
        <v>27</v>
      </c>
    </row>
    <row r="2182" spans="1:10">
      <c r="A2182" s="3" t="s">
        <v>2134</v>
      </c>
      <c r="B2182">
        <v>3</v>
      </c>
      <c r="J2182">
        <v>27</v>
      </c>
    </row>
    <row r="2183" spans="1:10">
      <c r="A2183" s="3" t="s">
        <v>2135</v>
      </c>
      <c r="B2183">
        <v>3</v>
      </c>
      <c r="J2183">
        <v>27</v>
      </c>
    </row>
    <row r="2184" spans="1:10">
      <c r="A2184" s="3" t="s">
        <v>2136</v>
      </c>
      <c r="B2184">
        <v>3</v>
      </c>
      <c r="J2184">
        <v>27</v>
      </c>
    </row>
    <row r="2185" spans="1:10">
      <c r="A2185" s="3" t="s">
        <v>2137</v>
      </c>
      <c r="B2185">
        <v>3</v>
      </c>
      <c r="J2185">
        <v>27</v>
      </c>
    </row>
    <row r="2186" spans="1:10">
      <c r="A2186" s="3" t="s">
        <v>2138</v>
      </c>
      <c r="B2186">
        <v>3</v>
      </c>
      <c r="J2186">
        <v>27</v>
      </c>
    </row>
    <row r="2187" spans="1:10">
      <c r="A2187" s="3" t="s">
        <v>2139</v>
      </c>
      <c r="B2187">
        <v>3</v>
      </c>
      <c r="J2187">
        <v>27</v>
      </c>
    </row>
    <row r="2188" spans="1:10">
      <c r="A2188" s="3" t="s">
        <v>2140</v>
      </c>
      <c r="B2188">
        <v>3</v>
      </c>
      <c r="J2188">
        <v>27</v>
      </c>
    </row>
    <row r="2189" spans="1:10">
      <c r="A2189" s="3" t="s">
        <v>2141</v>
      </c>
      <c r="B2189">
        <v>3</v>
      </c>
      <c r="J2189">
        <v>27</v>
      </c>
    </row>
    <row r="2190" spans="1:10">
      <c r="A2190" s="3" t="s">
        <v>2142</v>
      </c>
      <c r="B2190">
        <v>3</v>
      </c>
      <c r="J2190">
        <v>27</v>
      </c>
    </row>
    <row r="2191" spans="1:10">
      <c r="A2191" s="3" t="s">
        <v>2143</v>
      </c>
      <c r="B2191">
        <v>3</v>
      </c>
      <c r="J2191">
        <v>27</v>
      </c>
    </row>
    <row r="2192" spans="1:10">
      <c r="A2192" s="3" t="s">
        <v>2144</v>
      </c>
      <c r="B2192">
        <v>3</v>
      </c>
      <c r="J2192">
        <v>27</v>
      </c>
    </row>
    <row r="2193" spans="1:10">
      <c r="A2193" s="3" t="s">
        <v>2145</v>
      </c>
      <c r="B2193">
        <v>3</v>
      </c>
      <c r="J2193">
        <v>27</v>
      </c>
    </row>
    <row r="2194" spans="1:10">
      <c r="A2194" s="3" t="s">
        <v>2146</v>
      </c>
      <c r="B2194">
        <v>3</v>
      </c>
      <c r="J2194">
        <v>27</v>
      </c>
    </row>
    <row r="2195" spans="1:10">
      <c r="A2195" s="3" t="s">
        <v>2147</v>
      </c>
      <c r="B2195">
        <v>3</v>
      </c>
      <c r="J2195">
        <v>27</v>
      </c>
    </row>
    <row r="2196" spans="1:10">
      <c r="A2196" s="3" t="s">
        <v>2148</v>
      </c>
      <c r="B2196">
        <v>3</v>
      </c>
      <c r="J2196">
        <v>27</v>
      </c>
    </row>
    <row r="2197" spans="1:10">
      <c r="A2197" s="3" t="s">
        <v>2149</v>
      </c>
      <c r="B2197">
        <v>3</v>
      </c>
      <c r="J2197">
        <v>27</v>
      </c>
    </row>
    <row r="2198" spans="1:10">
      <c r="A2198" s="3" t="s">
        <v>2150</v>
      </c>
      <c r="B2198">
        <v>3</v>
      </c>
      <c r="J2198">
        <v>27</v>
      </c>
    </row>
    <row r="2199" spans="1:10">
      <c r="A2199" s="3" t="s">
        <v>2151</v>
      </c>
      <c r="B2199">
        <v>3</v>
      </c>
      <c r="J2199">
        <v>27</v>
      </c>
    </row>
    <row r="2200" spans="1:10">
      <c r="A2200" s="3" t="s">
        <v>2152</v>
      </c>
      <c r="B2200">
        <v>3</v>
      </c>
      <c r="J2200">
        <v>27</v>
      </c>
    </row>
    <row r="2201" spans="1:10">
      <c r="A2201" s="3" t="s">
        <v>2153</v>
      </c>
      <c r="B2201">
        <v>3</v>
      </c>
      <c r="J2201">
        <v>27</v>
      </c>
    </row>
    <row r="2202" spans="1:10">
      <c r="A2202" s="3" t="s">
        <v>2154</v>
      </c>
      <c r="B2202">
        <v>3</v>
      </c>
      <c r="J2202">
        <v>27</v>
      </c>
    </row>
    <row r="2203" spans="1:10">
      <c r="A2203" s="3" t="s">
        <v>2155</v>
      </c>
      <c r="B2203">
        <v>3</v>
      </c>
      <c r="J2203">
        <v>27</v>
      </c>
    </row>
    <row r="2204" spans="1:10">
      <c r="A2204" s="3" t="s">
        <v>2156</v>
      </c>
      <c r="B2204">
        <v>3</v>
      </c>
      <c r="J2204">
        <v>27</v>
      </c>
    </row>
    <row r="2205" spans="1:10">
      <c r="A2205" s="3" t="s">
        <v>2157</v>
      </c>
      <c r="B2205">
        <v>3</v>
      </c>
      <c r="J2205">
        <v>27</v>
      </c>
    </row>
    <row r="2206" spans="1:10">
      <c r="A2206" s="3" t="s">
        <v>2158</v>
      </c>
      <c r="B2206">
        <v>3</v>
      </c>
      <c r="J2206">
        <v>27</v>
      </c>
    </row>
    <row r="2207" spans="1:10">
      <c r="A2207" s="3" t="s">
        <v>2159</v>
      </c>
      <c r="B2207">
        <v>3</v>
      </c>
      <c r="J2207">
        <v>27</v>
      </c>
    </row>
    <row r="2208" spans="1:10">
      <c r="A2208" s="3" t="s">
        <v>2160</v>
      </c>
      <c r="B2208">
        <v>3</v>
      </c>
      <c r="J2208">
        <v>27</v>
      </c>
    </row>
    <row r="2209" spans="1:49">
      <c r="A2209" s="3" t="s">
        <v>2161</v>
      </c>
      <c r="B2209">
        <v>3</v>
      </c>
      <c r="J2209">
        <v>27</v>
      </c>
    </row>
    <row r="2210" spans="1:49">
      <c r="A2210" s="3" t="s">
        <v>2162</v>
      </c>
      <c r="B2210">
        <v>3</v>
      </c>
      <c r="J2210">
        <v>27</v>
      </c>
    </row>
    <row r="2211" spans="1:49">
      <c r="A2211" s="3" t="s">
        <v>2163</v>
      </c>
      <c r="B2211">
        <v>3</v>
      </c>
      <c r="J2211">
        <v>27</v>
      </c>
    </row>
    <row r="2212" spans="1:49">
      <c r="A2212" s="3" t="s">
        <v>2164</v>
      </c>
      <c r="B2212">
        <v>3</v>
      </c>
      <c r="J2212">
        <v>27</v>
      </c>
    </row>
    <row r="2213" spans="1:49">
      <c r="A2213" s="3" t="s">
        <v>2165</v>
      </c>
      <c r="B2213">
        <v>3</v>
      </c>
      <c r="J2213">
        <v>27</v>
      </c>
    </row>
    <row r="2214" spans="1:49">
      <c r="A2214" s="3" t="s">
        <v>2166</v>
      </c>
      <c r="B2214">
        <v>3</v>
      </c>
      <c r="J2214">
        <v>27</v>
      </c>
    </row>
    <row r="2215" spans="1:49">
      <c r="A2215" s="3" t="s">
        <v>2167</v>
      </c>
      <c r="B2215">
        <v>3</v>
      </c>
      <c r="J2215">
        <v>27</v>
      </c>
    </row>
    <row r="2216" spans="1:49">
      <c r="A2216" s="3" t="s">
        <v>2168</v>
      </c>
      <c r="B2216">
        <v>3</v>
      </c>
      <c r="J2216">
        <v>27</v>
      </c>
    </row>
    <row r="2217" spans="1:49">
      <c r="A2217" s="3" t="s">
        <v>2169</v>
      </c>
      <c r="B2217">
        <v>3</v>
      </c>
      <c r="J2217">
        <v>27</v>
      </c>
    </row>
    <row r="2218" spans="1:49">
      <c r="A2218" s="3" t="s">
        <v>2170</v>
      </c>
      <c r="B2218">
        <v>3</v>
      </c>
      <c r="J2218">
        <v>27</v>
      </c>
    </row>
    <row r="2219" spans="1:49">
      <c r="A2219" s="3" t="s">
        <v>2171</v>
      </c>
      <c r="B2219">
        <v>3</v>
      </c>
      <c r="J2219">
        <v>27</v>
      </c>
    </row>
    <row r="2220" spans="1:49">
      <c r="A2220" s="3" t="s">
        <v>2172</v>
      </c>
      <c r="B2220">
        <v>3</v>
      </c>
      <c r="J2220">
        <v>27</v>
      </c>
    </row>
    <row r="2221" spans="1:49">
      <c r="A2221" s="3" t="s">
        <v>2173</v>
      </c>
      <c r="B2221">
        <v>3</v>
      </c>
      <c r="J2221">
        <v>27</v>
      </c>
    </row>
    <row r="2222" spans="1:49">
      <c r="A2222" s="3" t="s">
        <v>2174</v>
      </c>
      <c r="B2222">
        <v>3</v>
      </c>
      <c r="AW2222">
        <v>12</v>
      </c>
    </row>
    <row r="2223" spans="1:49">
      <c r="A2223" s="3" t="s">
        <v>2175</v>
      </c>
      <c r="B2223">
        <v>3</v>
      </c>
      <c r="AW2223">
        <v>12</v>
      </c>
    </row>
    <row r="2224" spans="1:49">
      <c r="A2224" s="3" t="s">
        <v>2176</v>
      </c>
      <c r="B2224">
        <v>3</v>
      </c>
      <c r="AW2224">
        <v>12</v>
      </c>
    </row>
    <row r="2225" spans="1:49">
      <c r="A2225" s="3" t="s">
        <v>2177</v>
      </c>
      <c r="B2225">
        <v>3</v>
      </c>
      <c r="AW2225">
        <v>12</v>
      </c>
    </row>
    <row r="2226" spans="1:49">
      <c r="A2226" s="3" t="s">
        <v>2178</v>
      </c>
      <c r="B2226">
        <v>3</v>
      </c>
      <c r="AW2226">
        <v>12</v>
      </c>
    </row>
    <row r="2227" spans="1:49">
      <c r="A2227" s="3" t="s">
        <v>2179</v>
      </c>
      <c r="B2227">
        <v>3</v>
      </c>
      <c r="AW2227">
        <v>12</v>
      </c>
    </row>
    <row r="2228" spans="1:49">
      <c r="A2228" s="3" t="s">
        <v>2180</v>
      </c>
      <c r="B2228">
        <v>3</v>
      </c>
      <c r="AW2228">
        <v>12</v>
      </c>
    </row>
    <row r="2229" spans="1:49">
      <c r="A2229" s="3" t="s">
        <v>2181</v>
      </c>
      <c r="B2229">
        <v>3</v>
      </c>
      <c r="AW2229">
        <v>12</v>
      </c>
    </row>
    <row r="2230" spans="1:49">
      <c r="A2230" s="3" t="s">
        <v>2182</v>
      </c>
      <c r="B2230">
        <v>3</v>
      </c>
      <c r="AW2230">
        <v>12</v>
      </c>
    </row>
    <row r="2231" spans="1:49">
      <c r="A2231" s="3" t="s">
        <v>2183</v>
      </c>
      <c r="B2231">
        <v>3</v>
      </c>
      <c r="AW2231">
        <v>12</v>
      </c>
    </row>
    <row r="2232" spans="1:49">
      <c r="A2232" s="3" t="s">
        <v>2184</v>
      </c>
      <c r="B2232">
        <v>3</v>
      </c>
      <c r="AW2232">
        <v>12</v>
      </c>
    </row>
    <row r="2233" spans="1:49">
      <c r="A2233" s="3" t="s">
        <v>2185</v>
      </c>
      <c r="B2233">
        <v>3</v>
      </c>
      <c r="AW2233">
        <v>12</v>
      </c>
    </row>
    <row r="2234" spans="1:49">
      <c r="A2234" s="3" t="s">
        <v>2186</v>
      </c>
      <c r="B2234">
        <v>3</v>
      </c>
      <c r="J2234">
        <v>28</v>
      </c>
    </row>
    <row r="2235" spans="1:49">
      <c r="A2235" s="3" t="s">
        <v>2187</v>
      </c>
      <c r="B2235">
        <v>3</v>
      </c>
      <c r="J2235">
        <v>28</v>
      </c>
    </row>
    <row r="2236" spans="1:49">
      <c r="A2236" s="3" t="s">
        <v>2188</v>
      </c>
      <c r="B2236">
        <v>3</v>
      </c>
      <c r="J2236">
        <v>28</v>
      </c>
    </row>
    <row r="2237" spans="1:49">
      <c r="A2237" s="3" t="s">
        <v>2189</v>
      </c>
      <c r="B2237">
        <v>3</v>
      </c>
      <c r="J2237">
        <v>28</v>
      </c>
    </row>
    <row r="2238" spans="1:49">
      <c r="A2238" s="3" t="s">
        <v>2190</v>
      </c>
      <c r="B2238">
        <v>3</v>
      </c>
      <c r="J2238">
        <v>28</v>
      </c>
    </row>
    <row r="2239" spans="1:49">
      <c r="A2239" s="3" t="s">
        <v>2191</v>
      </c>
      <c r="B2239">
        <v>3</v>
      </c>
      <c r="J2239">
        <v>28</v>
      </c>
    </row>
    <row r="2240" spans="1:49">
      <c r="A2240" s="3" t="s">
        <v>2192</v>
      </c>
      <c r="B2240">
        <v>3</v>
      </c>
      <c r="J2240">
        <v>28</v>
      </c>
    </row>
    <row r="2241" spans="1:46">
      <c r="A2241" s="3" t="s">
        <v>2193</v>
      </c>
      <c r="B2241">
        <v>3</v>
      </c>
      <c r="J2241">
        <v>28</v>
      </c>
    </row>
    <row r="2242" spans="1:46">
      <c r="A2242" s="3" t="s">
        <v>2194</v>
      </c>
      <c r="B2242">
        <v>3</v>
      </c>
      <c r="J2242">
        <v>28</v>
      </c>
    </row>
    <row r="2243" spans="1:46">
      <c r="A2243" s="3" t="s">
        <v>2195</v>
      </c>
      <c r="B2243">
        <v>3</v>
      </c>
      <c r="J2243">
        <v>28</v>
      </c>
    </row>
    <row r="2244" spans="1:46">
      <c r="A2244" s="3" t="s">
        <v>2196</v>
      </c>
      <c r="B2244">
        <v>3</v>
      </c>
      <c r="J2244">
        <v>28</v>
      </c>
    </row>
    <row r="2245" spans="1:46">
      <c r="A2245" s="3" t="s">
        <v>2197</v>
      </c>
      <c r="B2245">
        <v>3</v>
      </c>
      <c r="J2245">
        <v>28</v>
      </c>
    </row>
    <row r="2246" spans="1:46">
      <c r="A2246" s="3" t="s">
        <v>2198</v>
      </c>
      <c r="B2246">
        <v>3</v>
      </c>
      <c r="J2246">
        <v>28</v>
      </c>
    </row>
    <row r="2247" spans="1:46">
      <c r="A2247" s="3" t="s">
        <v>2199</v>
      </c>
      <c r="B2247">
        <v>3</v>
      </c>
      <c r="J2247">
        <v>28</v>
      </c>
    </row>
    <row r="2248" spans="1:46">
      <c r="A2248" s="3" t="s">
        <v>2200</v>
      </c>
      <c r="B2248">
        <v>3</v>
      </c>
      <c r="J2248">
        <v>28</v>
      </c>
    </row>
    <row r="2249" spans="1:46">
      <c r="A2249" s="3" t="s">
        <v>2201</v>
      </c>
      <c r="B2249">
        <v>3</v>
      </c>
      <c r="J2249">
        <v>28</v>
      </c>
    </row>
    <row r="2250" spans="1:46">
      <c r="A2250" s="3" t="s">
        <v>2202</v>
      </c>
      <c r="B2250">
        <v>3</v>
      </c>
      <c r="J2250">
        <v>28</v>
      </c>
    </row>
    <row r="2251" spans="1:46">
      <c r="A2251" s="3" t="s">
        <v>2203</v>
      </c>
      <c r="B2251">
        <v>3</v>
      </c>
      <c r="J2251">
        <v>28</v>
      </c>
    </row>
    <row r="2252" spans="1:46">
      <c r="A2252" s="3" t="s">
        <v>2204</v>
      </c>
      <c r="B2252">
        <v>3</v>
      </c>
      <c r="J2252">
        <v>28</v>
      </c>
    </row>
    <row r="2253" spans="1:46">
      <c r="A2253" s="3" t="s">
        <v>2205</v>
      </c>
      <c r="B2253">
        <v>3</v>
      </c>
      <c r="J2253">
        <v>28</v>
      </c>
    </row>
    <row r="2254" spans="1:46">
      <c r="A2254" s="3" t="s">
        <v>2206</v>
      </c>
      <c r="B2254">
        <v>3</v>
      </c>
      <c r="J2254">
        <v>28</v>
      </c>
    </row>
    <row r="2255" spans="1:46">
      <c r="A2255" s="3" t="s">
        <v>2207</v>
      </c>
      <c r="B2255">
        <v>3</v>
      </c>
      <c r="J2255">
        <v>28</v>
      </c>
    </row>
    <row r="2256" spans="1:46">
      <c r="A2256" s="3" t="s">
        <v>2208</v>
      </c>
      <c r="B2256">
        <v>3</v>
      </c>
      <c r="AT2256">
        <v>12</v>
      </c>
    </row>
    <row r="2257" spans="1:46">
      <c r="A2257" s="3" t="s">
        <v>2209</v>
      </c>
      <c r="B2257">
        <v>3</v>
      </c>
      <c r="AT2257">
        <v>12</v>
      </c>
    </row>
    <row r="2258" spans="1:46">
      <c r="A2258" s="3" t="s">
        <v>2210</v>
      </c>
      <c r="B2258">
        <v>3</v>
      </c>
      <c r="AT2258">
        <v>12</v>
      </c>
    </row>
    <row r="2259" spans="1:46">
      <c r="A2259" s="3" t="s">
        <v>2211</v>
      </c>
      <c r="B2259">
        <v>3</v>
      </c>
      <c r="AT2259">
        <v>12</v>
      </c>
    </row>
    <row r="2260" spans="1:46">
      <c r="A2260" s="3" t="s">
        <v>2212</v>
      </c>
      <c r="B2260">
        <v>3</v>
      </c>
      <c r="AT2260">
        <v>12</v>
      </c>
    </row>
    <row r="2261" spans="1:46">
      <c r="A2261" s="3" t="s">
        <v>2213</v>
      </c>
      <c r="B2261">
        <v>3</v>
      </c>
      <c r="AT2261">
        <v>12</v>
      </c>
    </row>
    <row r="2262" spans="1:46">
      <c r="A2262" s="3" t="s">
        <v>2214</v>
      </c>
      <c r="B2262">
        <v>3</v>
      </c>
      <c r="AT2262">
        <v>12</v>
      </c>
    </row>
    <row r="2263" spans="1:46">
      <c r="A2263" s="3" t="s">
        <v>2215</v>
      </c>
      <c r="B2263">
        <v>3</v>
      </c>
      <c r="AT2263">
        <v>12</v>
      </c>
    </row>
    <row r="2264" spans="1:46">
      <c r="A2264" s="3" t="s">
        <v>2216</v>
      </c>
      <c r="B2264">
        <v>3</v>
      </c>
      <c r="AT2264">
        <v>12</v>
      </c>
    </row>
    <row r="2265" spans="1:46">
      <c r="A2265" s="3" t="s">
        <v>2217</v>
      </c>
      <c r="B2265">
        <v>3</v>
      </c>
      <c r="AT2265">
        <v>12</v>
      </c>
    </row>
    <row r="2266" spans="1:46">
      <c r="A2266" s="3" t="s">
        <v>2218</v>
      </c>
      <c r="B2266">
        <v>3</v>
      </c>
      <c r="AT2266">
        <v>12</v>
      </c>
    </row>
    <row r="2267" spans="1:46">
      <c r="A2267" s="3" t="s">
        <v>2219</v>
      </c>
      <c r="B2267">
        <v>3</v>
      </c>
      <c r="AT2267">
        <v>12</v>
      </c>
    </row>
    <row r="2268" spans="1:46">
      <c r="A2268" s="3" t="s">
        <v>2220</v>
      </c>
      <c r="B2268">
        <v>3</v>
      </c>
      <c r="K2268">
        <v>2</v>
      </c>
    </row>
    <row r="2269" spans="1:46">
      <c r="A2269" s="3" t="s">
        <v>2221</v>
      </c>
      <c r="B2269">
        <v>3</v>
      </c>
      <c r="K2269">
        <v>2</v>
      </c>
    </row>
    <row r="2270" spans="1:46">
      <c r="A2270" s="3" t="s">
        <v>2222</v>
      </c>
      <c r="B2270">
        <v>3</v>
      </c>
      <c r="K2270">
        <v>2</v>
      </c>
    </row>
    <row r="2271" spans="1:46">
      <c r="A2271" s="3" t="s">
        <v>2223</v>
      </c>
      <c r="B2271">
        <v>3</v>
      </c>
      <c r="K2271">
        <v>2</v>
      </c>
    </row>
    <row r="2272" spans="1:46">
      <c r="A2272" s="3" t="s">
        <v>2224</v>
      </c>
      <c r="B2272">
        <v>3</v>
      </c>
      <c r="K2272">
        <v>2</v>
      </c>
    </row>
    <row r="2273" spans="1:11">
      <c r="A2273" s="3" t="s">
        <v>2225</v>
      </c>
      <c r="B2273">
        <v>3</v>
      </c>
      <c r="K2273">
        <v>2</v>
      </c>
    </row>
    <row r="2274" spans="1:11">
      <c r="A2274" s="3" t="s">
        <v>2226</v>
      </c>
      <c r="B2274">
        <v>3</v>
      </c>
      <c r="K2274">
        <v>2</v>
      </c>
    </row>
    <row r="2275" spans="1:11">
      <c r="A2275" s="3" t="s">
        <v>2227</v>
      </c>
      <c r="B2275">
        <v>3</v>
      </c>
      <c r="K2275">
        <v>2</v>
      </c>
    </row>
    <row r="2276" spans="1:11">
      <c r="A2276" s="3" t="s">
        <v>2228</v>
      </c>
      <c r="B2276">
        <v>3</v>
      </c>
      <c r="K2276">
        <v>2</v>
      </c>
    </row>
    <row r="2277" spans="1:11">
      <c r="A2277" s="3" t="s">
        <v>2229</v>
      </c>
      <c r="B2277">
        <v>3</v>
      </c>
      <c r="K2277">
        <v>2</v>
      </c>
    </row>
    <row r="2278" spans="1:11">
      <c r="A2278" s="3" t="s">
        <v>2230</v>
      </c>
      <c r="B2278">
        <v>3</v>
      </c>
      <c r="K2278">
        <v>2</v>
      </c>
    </row>
    <row r="2279" spans="1:11">
      <c r="A2279" s="3" t="s">
        <v>2231</v>
      </c>
      <c r="B2279">
        <v>3</v>
      </c>
      <c r="K2279">
        <v>2</v>
      </c>
    </row>
    <row r="2280" spans="1:11">
      <c r="A2280" s="3" t="s">
        <v>2232</v>
      </c>
      <c r="B2280">
        <v>3</v>
      </c>
      <c r="K2280">
        <v>2</v>
      </c>
    </row>
    <row r="2281" spans="1:11">
      <c r="A2281" s="3" t="s">
        <v>2233</v>
      </c>
      <c r="B2281">
        <v>3</v>
      </c>
      <c r="K2281">
        <v>2</v>
      </c>
    </row>
    <row r="2282" spans="1:11">
      <c r="A2282" s="3" t="s">
        <v>2234</v>
      </c>
      <c r="B2282">
        <v>3</v>
      </c>
      <c r="K2282">
        <v>2</v>
      </c>
    </row>
    <row r="2283" spans="1:11">
      <c r="A2283" s="3" t="s">
        <v>2235</v>
      </c>
      <c r="B2283">
        <v>3</v>
      </c>
      <c r="K2283">
        <v>2</v>
      </c>
    </row>
    <row r="2284" spans="1:11">
      <c r="A2284" s="3" t="s">
        <v>2236</v>
      </c>
      <c r="B2284">
        <v>3</v>
      </c>
      <c r="K2284">
        <v>2</v>
      </c>
    </row>
    <row r="2285" spans="1:11">
      <c r="A2285" s="3" t="s">
        <v>2237</v>
      </c>
      <c r="B2285">
        <v>3</v>
      </c>
      <c r="K2285">
        <v>2</v>
      </c>
    </row>
    <row r="2286" spans="1:11">
      <c r="A2286" s="3" t="s">
        <v>2238</v>
      </c>
      <c r="B2286">
        <v>3</v>
      </c>
      <c r="K2286">
        <v>2</v>
      </c>
    </row>
    <row r="2287" spans="1:11">
      <c r="A2287" s="3" t="s">
        <v>2239</v>
      </c>
      <c r="B2287">
        <v>3</v>
      </c>
      <c r="K2287">
        <v>2</v>
      </c>
    </row>
    <row r="2288" spans="1:11">
      <c r="A2288" s="3" t="s">
        <v>2240</v>
      </c>
      <c r="B2288">
        <v>3</v>
      </c>
      <c r="K2288">
        <v>2</v>
      </c>
    </row>
    <row r="2289" spans="1:11">
      <c r="A2289" s="3" t="s">
        <v>2241</v>
      </c>
      <c r="B2289">
        <v>3</v>
      </c>
      <c r="K2289">
        <v>2</v>
      </c>
    </row>
    <row r="2290" spans="1:11">
      <c r="A2290" s="3" t="s">
        <v>2242</v>
      </c>
      <c r="B2290">
        <v>3</v>
      </c>
      <c r="K2290">
        <v>2</v>
      </c>
    </row>
    <row r="2291" spans="1:11">
      <c r="A2291" s="3" t="s">
        <v>2243</v>
      </c>
      <c r="B2291">
        <v>3</v>
      </c>
      <c r="K2291">
        <v>2</v>
      </c>
    </row>
    <row r="2292" spans="1:11">
      <c r="A2292" s="3" t="s">
        <v>2244</v>
      </c>
      <c r="B2292">
        <v>3</v>
      </c>
      <c r="K2292">
        <v>2</v>
      </c>
    </row>
    <row r="2293" spans="1:11">
      <c r="A2293" s="3" t="s">
        <v>2245</v>
      </c>
      <c r="B2293">
        <v>3</v>
      </c>
      <c r="K2293">
        <v>2</v>
      </c>
    </row>
    <row r="2294" spans="1:11">
      <c r="A2294" s="3" t="s">
        <v>2246</v>
      </c>
      <c r="B2294">
        <v>3</v>
      </c>
      <c r="K2294">
        <v>2</v>
      </c>
    </row>
    <row r="2295" spans="1:11">
      <c r="A2295" s="3" t="s">
        <v>2247</v>
      </c>
      <c r="B2295">
        <v>3</v>
      </c>
      <c r="K2295">
        <v>2</v>
      </c>
    </row>
    <row r="2296" spans="1:11">
      <c r="A2296" s="3" t="s">
        <v>2248</v>
      </c>
      <c r="B2296">
        <v>3</v>
      </c>
      <c r="K2296">
        <v>2</v>
      </c>
    </row>
    <row r="2297" spans="1:11">
      <c r="A2297" s="3" t="s">
        <v>2249</v>
      </c>
      <c r="B2297">
        <v>3</v>
      </c>
      <c r="K2297">
        <v>2</v>
      </c>
    </row>
    <row r="2298" spans="1:11">
      <c r="A2298" s="3" t="s">
        <v>2250</v>
      </c>
      <c r="B2298">
        <v>3</v>
      </c>
      <c r="K2298">
        <v>2</v>
      </c>
    </row>
    <row r="2299" spans="1:11">
      <c r="A2299" s="3" t="s">
        <v>2251</v>
      </c>
      <c r="B2299">
        <v>3</v>
      </c>
      <c r="J2299">
        <v>29</v>
      </c>
    </row>
    <row r="2300" spans="1:11">
      <c r="A2300" s="3" t="s">
        <v>2252</v>
      </c>
      <c r="B2300">
        <v>3</v>
      </c>
      <c r="J2300">
        <v>29</v>
      </c>
    </row>
    <row r="2301" spans="1:11">
      <c r="A2301" s="3" t="s">
        <v>2253</v>
      </c>
      <c r="B2301">
        <v>3</v>
      </c>
      <c r="J2301">
        <v>29</v>
      </c>
    </row>
    <row r="2302" spans="1:11">
      <c r="A2302" s="3" t="s">
        <v>2254</v>
      </c>
      <c r="B2302">
        <v>3</v>
      </c>
      <c r="J2302">
        <v>29</v>
      </c>
    </row>
    <row r="2303" spans="1:11">
      <c r="A2303" s="3" t="s">
        <v>2255</v>
      </c>
      <c r="B2303">
        <v>3</v>
      </c>
      <c r="J2303">
        <v>29</v>
      </c>
    </row>
    <row r="2304" spans="1:11">
      <c r="A2304" s="3" t="s">
        <v>2256</v>
      </c>
      <c r="B2304">
        <v>3</v>
      </c>
      <c r="J2304">
        <v>29</v>
      </c>
    </row>
    <row r="2305" spans="1:10">
      <c r="A2305" s="3" t="s">
        <v>2257</v>
      </c>
      <c r="B2305">
        <v>3</v>
      </c>
      <c r="J2305">
        <v>29</v>
      </c>
    </row>
    <row r="2306" spans="1:10">
      <c r="A2306" s="3" t="s">
        <v>2258</v>
      </c>
      <c r="B2306">
        <v>3</v>
      </c>
      <c r="J2306">
        <v>29</v>
      </c>
    </row>
    <row r="2307" spans="1:10">
      <c r="A2307" s="3" t="s">
        <v>2259</v>
      </c>
      <c r="B2307">
        <v>3</v>
      </c>
      <c r="J2307">
        <v>29</v>
      </c>
    </row>
    <row r="2308" spans="1:10">
      <c r="A2308" s="3" t="s">
        <v>2260</v>
      </c>
      <c r="B2308">
        <v>3</v>
      </c>
      <c r="J2308">
        <v>29</v>
      </c>
    </row>
    <row r="2309" spans="1:10">
      <c r="A2309" s="3" t="s">
        <v>2261</v>
      </c>
      <c r="B2309">
        <v>3</v>
      </c>
      <c r="J2309">
        <v>29</v>
      </c>
    </row>
    <row r="2310" spans="1:10">
      <c r="A2310" s="3" t="s">
        <v>2262</v>
      </c>
      <c r="B2310">
        <v>3</v>
      </c>
      <c r="J2310">
        <v>29</v>
      </c>
    </row>
    <row r="2311" spans="1:10">
      <c r="A2311" s="3" t="s">
        <v>2263</v>
      </c>
      <c r="B2311">
        <v>3</v>
      </c>
      <c r="E2311">
        <v>3</v>
      </c>
      <c r="J2311">
        <v>29</v>
      </c>
    </row>
    <row r="2312" spans="1:10">
      <c r="A2312" s="3" t="s">
        <v>2264</v>
      </c>
      <c r="B2312">
        <v>3</v>
      </c>
      <c r="E2312">
        <v>3</v>
      </c>
      <c r="J2312">
        <v>29</v>
      </c>
    </row>
    <row r="2313" spans="1:10">
      <c r="A2313" s="3" t="s">
        <v>2265</v>
      </c>
      <c r="B2313">
        <v>3</v>
      </c>
      <c r="E2313">
        <v>3</v>
      </c>
      <c r="J2313">
        <v>29</v>
      </c>
    </row>
    <row r="2314" spans="1:10">
      <c r="A2314" s="3" t="s">
        <v>2266</v>
      </c>
      <c r="B2314">
        <v>3</v>
      </c>
      <c r="E2314">
        <v>3</v>
      </c>
      <c r="J2314">
        <v>29</v>
      </c>
    </row>
    <row r="2315" spans="1:10">
      <c r="A2315" s="3" t="s">
        <v>2267</v>
      </c>
      <c r="B2315">
        <v>3</v>
      </c>
      <c r="E2315">
        <v>3</v>
      </c>
      <c r="J2315">
        <v>29</v>
      </c>
    </row>
    <row r="2316" spans="1:10">
      <c r="A2316" s="3" t="s">
        <v>2268</v>
      </c>
      <c r="B2316">
        <v>3</v>
      </c>
      <c r="E2316">
        <v>3</v>
      </c>
      <c r="J2316">
        <v>29</v>
      </c>
    </row>
    <row r="2317" spans="1:10">
      <c r="A2317" s="3" t="s">
        <v>2269</v>
      </c>
      <c r="B2317">
        <v>3</v>
      </c>
      <c r="E2317">
        <v>3</v>
      </c>
      <c r="J2317">
        <v>29</v>
      </c>
    </row>
    <row r="2318" spans="1:10">
      <c r="A2318" s="3" t="s">
        <v>2270</v>
      </c>
      <c r="B2318">
        <v>3</v>
      </c>
      <c r="E2318">
        <v>3</v>
      </c>
      <c r="J2318">
        <v>29</v>
      </c>
    </row>
    <row r="2319" spans="1:10">
      <c r="A2319" s="3" t="s">
        <v>2271</v>
      </c>
      <c r="B2319">
        <v>3</v>
      </c>
      <c r="E2319">
        <v>3</v>
      </c>
      <c r="J2319">
        <v>29</v>
      </c>
    </row>
    <row r="2320" spans="1:10">
      <c r="A2320" s="3" t="s">
        <v>2272</v>
      </c>
      <c r="B2320">
        <v>3</v>
      </c>
      <c r="E2320">
        <v>3</v>
      </c>
      <c r="J2320">
        <v>29</v>
      </c>
    </row>
    <row r="2321" spans="1:10">
      <c r="A2321" s="3" t="s">
        <v>2273</v>
      </c>
      <c r="B2321">
        <v>3</v>
      </c>
      <c r="E2321">
        <v>3</v>
      </c>
      <c r="J2321">
        <v>29</v>
      </c>
    </row>
    <row r="2322" spans="1:10">
      <c r="A2322" s="3" t="s">
        <v>2274</v>
      </c>
      <c r="B2322">
        <v>3</v>
      </c>
      <c r="E2322">
        <v>3</v>
      </c>
      <c r="J2322">
        <v>29</v>
      </c>
    </row>
    <row r="2323" spans="1:10">
      <c r="A2323" s="3" t="s">
        <v>2275</v>
      </c>
      <c r="B2323">
        <v>3</v>
      </c>
      <c r="E2323">
        <v>3</v>
      </c>
      <c r="J2323">
        <v>29</v>
      </c>
    </row>
    <row r="2324" spans="1:10">
      <c r="A2324" s="3" t="s">
        <v>2276</v>
      </c>
      <c r="B2324">
        <v>3</v>
      </c>
      <c r="E2324">
        <v>3</v>
      </c>
      <c r="J2324">
        <v>29</v>
      </c>
    </row>
    <row r="2325" spans="1:10">
      <c r="A2325" s="3" t="s">
        <v>2277</v>
      </c>
      <c r="B2325">
        <v>3</v>
      </c>
      <c r="E2325">
        <v>3</v>
      </c>
      <c r="J2325">
        <v>29</v>
      </c>
    </row>
    <row r="2326" spans="1:10">
      <c r="A2326" s="3" t="s">
        <v>2278</v>
      </c>
      <c r="B2326">
        <v>3</v>
      </c>
      <c r="E2326">
        <v>3</v>
      </c>
      <c r="J2326">
        <v>29</v>
      </c>
    </row>
    <row r="2327" spans="1:10">
      <c r="A2327" s="3" t="s">
        <v>2279</v>
      </c>
      <c r="B2327">
        <v>3</v>
      </c>
      <c r="E2327">
        <v>3</v>
      </c>
      <c r="J2327">
        <v>29</v>
      </c>
    </row>
    <row r="2328" spans="1:10">
      <c r="A2328" s="3" t="s">
        <v>2280</v>
      </c>
      <c r="B2328">
        <v>3</v>
      </c>
      <c r="E2328">
        <v>3</v>
      </c>
      <c r="J2328">
        <v>29</v>
      </c>
    </row>
    <row r="2329" spans="1:10">
      <c r="A2329" s="3" t="s">
        <v>2281</v>
      </c>
      <c r="B2329">
        <v>3</v>
      </c>
      <c r="E2329">
        <v>3</v>
      </c>
      <c r="J2329">
        <v>29</v>
      </c>
    </row>
    <row r="2330" spans="1:10">
      <c r="A2330" s="3" t="s">
        <v>2282</v>
      </c>
      <c r="B2330">
        <v>3</v>
      </c>
      <c r="E2330">
        <v>3</v>
      </c>
      <c r="J2330">
        <v>29</v>
      </c>
    </row>
    <row r="2331" spans="1:10">
      <c r="A2331" s="3" t="s">
        <v>2283</v>
      </c>
      <c r="E2331">
        <v>3</v>
      </c>
      <c r="J2331">
        <v>29</v>
      </c>
    </row>
    <row r="2332" spans="1:10">
      <c r="A2332" s="3" t="s">
        <v>2284</v>
      </c>
      <c r="E2332">
        <v>3</v>
      </c>
      <c r="J2332">
        <v>29</v>
      </c>
    </row>
    <row r="2333" spans="1:10">
      <c r="A2333" s="3" t="s">
        <v>2285</v>
      </c>
      <c r="E2333">
        <v>3</v>
      </c>
      <c r="J2333">
        <v>29</v>
      </c>
    </row>
    <row r="2334" spans="1:10">
      <c r="A2334" s="3" t="s">
        <v>2286</v>
      </c>
      <c r="E2334">
        <v>3</v>
      </c>
      <c r="J2334">
        <v>29</v>
      </c>
    </row>
    <row r="2335" spans="1:10">
      <c r="A2335" s="3" t="s">
        <v>2287</v>
      </c>
      <c r="E2335">
        <v>3</v>
      </c>
      <c r="J2335">
        <v>29</v>
      </c>
    </row>
    <row r="2336" spans="1:10">
      <c r="A2336" s="3" t="s">
        <v>2288</v>
      </c>
      <c r="E2336">
        <v>3</v>
      </c>
      <c r="J2336">
        <v>29</v>
      </c>
    </row>
    <row r="2337" spans="1:10">
      <c r="A2337" s="3" t="s">
        <v>2289</v>
      </c>
      <c r="E2337">
        <v>3</v>
      </c>
      <c r="J2337">
        <v>29</v>
      </c>
    </row>
    <row r="2338" spans="1:10">
      <c r="A2338" s="3" t="s">
        <v>2290</v>
      </c>
      <c r="E2338">
        <v>3</v>
      </c>
      <c r="J2338">
        <v>29</v>
      </c>
    </row>
    <row r="2339" spans="1:10">
      <c r="A2339" s="3" t="s">
        <v>2291</v>
      </c>
      <c r="E2339">
        <v>3</v>
      </c>
      <c r="J2339">
        <v>29</v>
      </c>
    </row>
    <row r="2340" spans="1:10">
      <c r="A2340" s="3" t="s">
        <v>2292</v>
      </c>
      <c r="E2340">
        <v>3</v>
      </c>
      <c r="J2340">
        <v>29</v>
      </c>
    </row>
    <row r="2341" spans="1:10">
      <c r="A2341" s="3" t="s">
        <v>2293</v>
      </c>
      <c r="E2341">
        <v>3</v>
      </c>
      <c r="J2341">
        <v>29</v>
      </c>
    </row>
    <row r="2342" spans="1:10">
      <c r="A2342" s="3" t="s">
        <v>2294</v>
      </c>
      <c r="E2342">
        <v>3</v>
      </c>
      <c r="J2342">
        <v>29</v>
      </c>
    </row>
    <row r="2343" spans="1:10">
      <c r="A2343" s="3" t="s">
        <v>2295</v>
      </c>
      <c r="E2343">
        <v>3</v>
      </c>
      <c r="J2343">
        <v>29</v>
      </c>
    </row>
    <row r="2344" spans="1:10">
      <c r="A2344" s="3" t="s">
        <v>2296</v>
      </c>
      <c r="E2344">
        <v>3</v>
      </c>
      <c r="J2344">
        <v>29</v>
      </c>
    </row>
    <row r="2345" spans="1:10">
      <c r="A2345" s="3" t="s">
        <v>2297</v>
      </c>
      <c r="E2345">
        <v>3</v>
      </c>
      <c r="J2345">
        <v>29</v>
      </c>
    </row>
    <row r="2346" spans="1:10">
      <c r="A2346" s="3" t="s">
        <v>2298</v>
      </c>
      <c r="E2346">
        <v>3</v>
      </c>
      <c r="J2346">
        <v>29</v>
      </c>
    </row>
    <row r="2347" spans="1:10">
      <c r="A2347" s="3" t="s">
        <v>2299</v>
      </c>
      <c r="E2347">
        <v>3</v>
      </c>
      <c r="J2347">
        <v>29</v>
      </c>
    </row>
    <row r="2348" spans="1:10">
      <c r="A2348" s="3" t="s">
        <v>2300</v>
      </c>
      <c r="E2348">
        <v>3</v>
      </c>
      <c r="J2348">
        <v>29</v>
      </c>
    </row>
    <row r="2349" spans="1:10">
      <c r="A2349" s="3" t="s">
        <v>2301</v>
      </c>
      <c r="E2349">
        <v>3</v>
      </c>
      <c r="J2349">
        <v>29</v>
      </c>
    </row>
    <row r="2350" spans="1:10">
      <c r="A2350" s="3" t="s">
        <v>2302</v>
      </c>
      <c r="E2350">
        <v>3</v>
      </c>
      <c r="J2350">
        <v>29</v>
      </c>
    </row>
    <row r="2351" spans="1:10">
      <c r="A2351" s="3" t="s">
        <v>2303</v>
      </c>
      <c r="E2351">
        <v>3</v>
      </c>
      <c r="J2351">
        <v>29</v>
      </c>
    </row>
    <row r="2352" spans="1:10">
      <c r="A2352" s="3" t="s">
        <v>2304</v>
      </c>
      <c r="E2352">
        <v>3</v>
      </c>
      <c r="J2352">
        <v>29</v>
      </c>
    </row>
    <row r="2353" spans="1:10">
      <c r="A2353" s="3" t="s">
        <v>2305</v>
      </c>
      <c r="E2353">
        <v>3</v>
      </c>
      <c r="J2353">
        <v>29</v>
      </c>
    </row>
    <row r="2354" spans="1:10">
      <c r="A2354" s="3" t="s">
        <v>2306</v>
      </c>
      <c r="E2354">
        <v>3</v>
      </c>
      <c r="J2354">
        <v>29</v>
      </c>
    </row>
    <row r="2355" spans="1:10">
      <c r="A2355" s="3" t="s">
        <v>2307</v>
      </c>
      <c r="E2355">
        <v>3</v>
      </c>
      <c r="J2355">
        <v>29</v>
      </c>
    </row>
    <row r="2356" spans="1:10">
      <c r="A2356" s="3" t="s">
        <v>2308</v>
      </c>
      <c r="E2356">
        <v>3</v>
      </c>
      <c r="J2356">
        <v>29</v>
      </c>
    </row>
    <row r="2357" spans="1:10">
      <c r="A2357" s="3" t="s">
        <v>2309</v>
      </c>
      <c r="E2357">
        <v>3</v>
      </c>
      <c r="J2357">
        <v>29</v>
      </c>
    </row>
    <row r="2358" spans="1:10">
      <c r="A2358" s="3" t="s">
        <v>2310</v>
      </c>
      <c r="E2358">
        <v>3</v>
      </c>
      <c r="J2358">
        <v>29</v>
      </c>
    </row>
    <row r="2359" spans="1:10">
      <c r="A2359" s="3" t="s">
        <v>2311</v>
      </c>
      <c r="E2359">
        <v>3</v>
      </c>
      <c r="J2359">
        <v>29</v>
      </c>
    </row>
    <row r="2360" spans="1:10">
      <c r="A2360" s="3" t="s">
        <v>2312</v>
      </c>
      <c r="E2360">
        <v>3</v>
      </c>
      <c r="J2360">
        <v>29</v>
      </c>
    </row>
    <row r="2361" spans="1:10">
      <c r="A2361" s="3" t="s">
        <v>2313</v>
      </c>
      <c r="E2361">
        <v>3</v>
      </c>
      <c r="J2361">
        <v>29</v>
      </c>
    </row>
    <row r="2362" spans="1:10">
      <c r="A2362" s="3" t="s">
        <v>2314</v>
      </c>
      <c r="E2362">
        <v>3</v>
      </c>
      <c r="J2362">
        <v>29</v>
      </c>
    </row>
    <row r="2363" spans="1:10">
      <c r="A2363" s="3" t="s">
        <v>2315</v>
      </c>
      <c r="E2363">
        <v>3</v>
      </c>
      <c r="J2363">
        <v>29</v>
      </c>
    </row>
    <row r="2364" spans="1:10">
      <c r="A2364" s="3" t="s">
        <v>2316</v>
      </c>
      <c r="E2364">
        <v>3</v>
      </c>
      <c r="J2364">
        <v>29</v>
      </c>
    </row>
    <row r="2365" spans="1:10">
      <c r="A2365" s="3" t="s">
        <v>2317</v>
      </c>
      <c r="E2365">
        <v>3</v>
      </c>
      <c r="J2365">
        <v>29</v>
      </c>
    </row>
    <row r="2366" spans="1:10">
      <c r="A2366" s="3" t="s">
        <v>2318</v>
      </c>
      <c r="E2366">
        <v>3</v>
      </c>
      <c r="J2366">
        <v>29</v>
      </c>
    </row>
    <row r="2367" spans="1:10">
      <c r="A2367" s="3" t="s">
        <v>2319</v>
      </c>
      <c r="E2367">
        <v>3</v>
      </c>
      <c r="J2367">
        <v>29</v>
      </c>
    </row>
    <row r="2368" spans="1:10">
      <c r="A2368" s="3" t="s">
        <v>2320</v>
      </c>
      <c r="E2368">
        <v>3</v>
      </c>
      <c r="J2368">
        <v>29</v>
      </c>
    </row>
    <row r="2369" spans="1:10">
      <c r="A2369" s="3" t="s">
        <v>2321</v>
      </c>
      <c r="E2369">
        <v>3</v>
      </c>
      <c r="J2369">
        <v>29</v>
      </c>
    </row>
    <row r="2370" spans="1:10">
      <c r="A2370" s="3" t="s">
        <v>2322</v>
      </c>
      <c r="E2370">
        <v>3</v>
      </c>
      <c r="J2370">
        <v>29</v>
      </c>
    </row>
    <row r="2371" spans="1:10">
      <c r="A2371" s="3" t="s">
        <v>2323</v>
      </c>
      <c r="E2371">
        <v>3</v>
      </c>
      <c r="J2371">
        <v>29</v>
      </c>
    </row>
    <row r="2372" spans="1:10">
      <c r="A2372" s="3" t="s">
        <v>2324</v>
      </c>
      <c r="E2372">
        <v>3</v>
      </c>
      <c r="J2372">
        <v>29</v>
      </c>
    </row>
    <row r="2373" spans="1:10">
      <c r="A2373" s="3" t="s">
        <v>2325</v>
      </c>
      <c r="E2373">
        <v>3</v>
      </c>
      <c r="J2373">
        <v>29</v>
      </c>
    </row>
    <row r="2374" spans="1:10">
      <c r="A2374" s="3" t="s">
        <v>2326</v>
      </c>
      <c r="E2374">
        <v>3</v>
      </c>
      <c r="J2374">
        <v>29</v>
      </c>
    </row>
    <row r="2375" spans="1:10">
      <c r="A2375" s="3" t="s">
        <v>2327</v>
      </c>
      <c r="E2375">
        <v>3</v>
      </c>
      <c r="J2375">
        <v>29</v>
      </c>
    </row>
    <row r="2376" spans="1:10">
      <c r="A2376" s="3" t="s">
        <v>2328</v>
      </c>
      <c r="E2376">
        <v>3</v>
      </c>
      <c r="J2376">
        <v>29</v>
      </c>
    </row>
    <row r="2377" spans="1:10">
      <c r="A2377" s="3" t="s">
        <v>2329</v>
      </c>
      <c r="E2377">
        <v>3</v>
      </c>
      <c r="J2377">
        <v>29</v>
      </c>
    </row>
    <row r="2378" spans="1:10">
      <c r="A2378" s="3" t="s">
        <v>2330</v>
      </c>
      <c r="E2378">
        <v>3</v>
      </c>
      <c r="J2378">
        <v>29</v>
      </c>
    </row>
    <row r="2379" spans="1:10">
      <c r="A2379" s="3" t="s">
        <v>2331</v>
      </c>
      <c r="E2379">
        <v>3</v>
      </c>
      <c r="J2379">
        <v>29</v>
      </c>
    </row>
    <row r="2380" spans="1:10">
      <c r="A2380" s="3" t="s">
        <v>2332</v>
      </c>
      <c r="E2380">
        <v>3</v>
      </c>
      <c r="J2380">
        <v>29</v>
      </c>
    </row>
    <row r="2381" spans="1:10">
      <c r="A2381" s="3" t="s">
        <v>2333</v>
      </c>
      <c r="E2381">
        <v>3</v>
      </c>
      <c r="J2381">
        <v>29</v>
      </c>
    </row>
    <row r="2382" spans="1:10">
      <c r="A2382" s="3" t="s">
        <v>2334</v>
      </c>
      <c r="E2382">
        <v>3</v>
      </c>
      <c r="J2382">
        <v>29</v>
      </c>
    </row>
    <row r="2383" spans="1:10">
      <c r="A2383" s="3" t="s">
        <v>2335</v>
      </c>
      <c r="E2383">
        <v>3</v>
      </c>
      <c r="J2383">
        <v>29</v>
      </c>
    </row>
    <row r="2384" spans="1:10">
      <c r="A2384" s="3" t="s">
        <v>2336</v>
      </c>
      <c r="E2384">
        <v>3</v>
      </c>
      <c r="J2384">
        <v>29</v>
      </c>
    </row>
    <row r="2385" spans="1:10">
      <c r="A2385" s="3" t="s">
        <v>2337</v>
      </c>
      <c r="E2385">
        <v>3</v>
      </c>
      <c r="J2385">
        <v>29</v>
      </c>
    </row>
    <row r="2386" spans="1:10">
      <c r="A2386" s="3" t="s">
        <v>2338</v>
      </c>
      <c r="E2386">
        <v>3</v>
      </c>
      <c r="J2386">
        <v>29</v>
      </c>
    </row>
    <row r="2387" spans="1:10">
      <c r="A2387" s="3" t="s">
        <v>2339</v>
      </c>
      <c r="E2387">
        <v>3</v>
      </c>
      <c r="J2387">
        <v>29</v>
      </c>
    </row>
    <row r="2388" spans="1:10">
      <c r="A2388" s="3" t="s">
        <v>2340</v>
      </c>
      <c r="E2388">
        <v>3</v>
      </c>
      <c r="J2388">
        <v>29</v>
      </c>
    </row>
    <row r="2389" spans="1:10">
      <c r="A2389" s="3" t="s">
        <v>2341</v>
      </c>
      <c r="E2389">
        <v>3</v>
      </c>
      <c r="J2389">
        <v>29</v>
      </c>
    </row>
    <row r="2390" spans="1:10">
      <c r="A2390" s="3" t="s">
        <v>2342</v>
      </c>
      <c r="E2390">
        <v>3</v>
      </c>
      <c r="J2390">
        <v>29</v>
      </c>
    </row>
    <row r="2391" spans="1:10">
      <c r="A2391" s="3" t="s">
        <v>2343</v>
      </c>
      <c r="E2391">
        <v>3</v>
      </c>
      <c r="J2391">
        <v>29</v>
      </c>
    </row>
    <row r="2392" spans="1:10">
      <c r="A2392" s="3" t="s">
        <v>2344</v>
      </c>
      <c r="E2392">
        <v>3</v>
      </c>
      <c r="J2392">
        <v>29</v>
      </c>
    </row>
    <row r="2393" spans="1:10">
      <c r="A2393" s="3" t="s">
        <v>2345</v>
      </c>
      <c r="E2393">
        <v>3</v>
      </c>
      <c r="J2393">
        <v>29</v>
      </c>
    </row>
    <row r="2394" spans="1:10">
      <c r="A2394" s="3" t="s">
        <v>2346</v>
      </c>
      <c r="E2394">
        <v>3</v>
      </c>
      <c r="J2394">
        <v>29</v>
      </c>
    </row>
    <row r="2395" spans="1:10">
      <c r="A2395" s="3" t="s">
        <v>2347</v>
      </c>
      <c r="E2395">
        <v>3</v>
      </c>
      <c r="J2395">
        <v>29</v>
      </c>
    </row>
    <row r="2396" spans="1:10">
      <c r="A2396" s="3" t="s">
        <v>2348</v>
      </c>
      <c r="E2396">
        <v>3</v>
      </c>
      <c r="J2396">
        <v>29</v>
      </c>
    </row>
    <row r="2397" spans="1:10">
      <c r="A2397" s="3" t="s">
        <v>2349</v>
      </c>
      <c r="E2397">
        <v>3</v>
      </c>
      <c r="J2397">
        <v>29</v>
      </c>
    </row>
    <row r="2398" spans="1:10">
      <c r="A2398" s="3" t="s">
        <v>2350</v>
      </c>
      <c r="E2398">
        <v>3</v>
      </c>
      <c r="J2398">
        <v>29</v>
      </c>
    </row>
    <row r="2399" spans="1:10">
      <c r="A2399" s="3" t="s">
        <v>2351</v>
      </c>
      <c r="E2399">
        <v>3</v>
      </c>
      <c r="J2399">
        <v>29</v>
      </c>
    </row>
    <row r="2400" spans="1:10">
      <c r="A2400" s="3" t="s">
        <v>2352</v>
      </c>
      <c r="E2400">
        <v>3</v>
      </c>
      <c r="J2400">
        <v>29</v>
      </c>
    </row>
    <row r="2401" spans="1:10">
      <c r="A2401" s="3" t="s">
        <v>2353</v>
      </c>
      <c r="E2401">
        <v>3</v>
      </c>
      <c r="J2401">
        <v>29</v>
      </c>
    </row>
    <row r="2402" spans="1:10">
      <c r="A2402" s="3" t="s">
        <v>2354</v>
      </c>
      <c r="E2402">
        <v>3</v>
      </c>
      <c r="J2402">
        <v>29</v>
      </c>
    </row>
    <row r="2403" spans="1:10">
      <c r="A2403" s="3" t="s">
        <v>2355</v>
      </c>
      <c r="E2403">
        <v>3</v>
      </c>
      <c r="J2403">
        <v>29</v>
      </c>
    </row>
    <row r="2404" spans="1:10">
      <c r="A2404" s="3" t="s">
        <v>2356</v>
      </c>
      <c r="E2404">
        <v>3</v>
      </c>
      <c r="J2404">
        <v>29</v>
      </c>
    </row>
    <row r="2405" spans="1:10">
      <c r="A2405" s="3" t="s">
        <v>2357</v>
      </c>
      <c r="E2405">
        <v>3</v>
      </c>
      <c r="J2405">
        <v>29</v>
      </c>
    </row>
    <row r="2406" spans="1:10">
      <c r="A2406" s="3" t="s">
        <v>2358</v>
      </c>
      <c r="E2406">
        <v>3</v>
      </c>
      <c r="J2406">
        <v>29</v>
      </c>
    </row>
    <row r="2407" spans="1:10">
      <c r="A2407" s="3" t="s">
        <v>2359</v>
      </c>
      <c r="E2407">
        <v>3</v>
      </c>
      <c r="J2407">
        <v>29</v>
      </c>
    </row>
    <row r="2408" spans="1:10">
      <c r="A2408" s="3" t="s">
        <v>2360</v>
      </c>
      <c r="E2408">
        <v>3</v>
      </c>
      <c r="J2408">
        <v>29</v>
      </c>
    </row>
    <row r="2409" spans="1:10">
      <c r="A2409" s="3" t="s">
        <v>2361</v>
      </c>
      <c r="E2409">
        <v>3</v>
      </c>
      <c r="J2409">
        <v>29</v>
      </c>
    </row>
    <row r="2410" spans="1:10">
      <c r="A2410" s="3" t="s">
        <v>2362</v>
      </c>
      <c r="E2410">
        <v>3</v>
      </c>
      <c r="J2410">
        <v>29</v>
      </c>
    </row>
    <row r="2411" spans="1:10">
      <c r="A2411" s="3" t="s">
        <v>2363</v>
      </c>
      <c r="E2411">
        <v>3</v>
      </c>
      <c r="J2411">
        <v>29</v>
      </c>
    </row>
    <row r="2412" spans="1:10">
      <c r="A2412" s="3" t="s">
        <v>2364</v>
      </c>
      <c r="E2412">
        <v>3</v>
      </c>
      <c r="J2412">
        <v>29</v>
      </c>
    </row>
    <row r="2413" spans="1:10">
      <c r="A2413" s="3" t="s">
        <v>2365</v>
      </c>
      <c r="E2413">
        <v>3</v>
      </c>
      <c r="J2413">
        <v>29</v>
      </c>
    </row>
    <row r="2414" spans="1:10">
      <c r="A2414" s="3" t="s">
        <v>2366</v>
      </c>
      <c r="E2414">
        <v>3</v>
      </c>
      <c r="J2414">
        <v>29</v>
      </c>
    </row>
    <row r="2415" spans="1:10">
      <c r="A2415" s="3" t="s">
        <v>2367</v>
      </c>
      <c r="E2415">
        <v>3</v>
      </c>
      <c r="J2415">
        <v>29</v>
      </c>
    </row>
    <row r="2416" spans="1:10">
      <c r="A2416" s="3" t="s">
        <v>2368</v>
      </c>
      <c r="E2416">
        <v>3</v>
      </c>
      <c r="J2416">
        <v>29</v>
      </c>
    </row>
    <row r="2417" spans="1:10">
      <c r="A2417" s="3" t="s">
        <v>2369</v>
      </c>
      <c r="E2417">
        <v>3</v>
      </c>
      <c r="J2417">
        <v>29</v>
      </c>
    </row>
    <row r="2418" spans="1:10">
      <c r="A2418" s="3" t="s">
        <v>2370</v>
      </c>
      <c r="E2418">
        <v>3</v>
      </c>
      <c r="J2418">
        <v>29</v>
      </c>
    </row>
    <row r="2419" spans="1:10">
      <c r="A2419" s="3" t="s">
        <v>2371</v>
      </c>
      <c r="E2419">
        <v>3</v>
      </c>
      <c r="J2419">
        <v>29</v>
      </c>
    </row>
    <row r="2420" spans="1:10">
      <c r="A2420" s="3" t="s">
        <v>2372</v>
      </c>
      <c r="E2420">
        <v>3</v>
      </c>
      <c r="J2420">
        <v>29</v>
      </c>
    </row>
    <row r="2421" spans="1:10">
      <c r="A2421" s="3" t="s">
        <v>2373</v>
      </c>
      <c r="E2421">
        <v>3</v>
      </c>
      <c r="J2421">
        <v>29</v>
      </c>
    </row>
    <row r="2422" spans="1:10">
      <c r="A2422" s="3" t="s">
        <v>2374</v>
      </c>
      <c r="E2422">
        <v>3</v>
      </c>
      <c r="J2422">
        <v>29</v>
      </c>
    </row>
    <row r="2423" spans="1:10">
      <c r="A2423" s="3" t="s">
        <v>2375</v>
      </c>
      <c r="E2423">
        <v>3</v>
      </c>
      <c r="J2423">
        <v>29</v>
      </c>
    </row>
    <row r="2424" spans="1:10">
      <c r="A2424" s="3" t="s">
        <v>2376</v>
      </c>
      <c r="E2424">
        <v>3</v>
      </c>
      <c r="J2424">
        <v>29</v>
      </c>
    </row>
    <row r="2425" spans="1:10">
      <c r="A2425" s="3" t="s">
        <v>2377</v>
      </c>
      <c r="E2425">
        <v>3</v>
      </c>
      <c r="J2425">
        <v>29</v>
      </c>
    </row>
    <row r="2426" spans="1:10">
      <c r="A2426" s="3" t="s">
        <v>2378</v>
      </c>
      <c r="E2426">
        <v>3</v>
      </c>
      <c r="J2426">
        <v>29</v>
      </c>
    </row>
    <row r="2427" spans="1:10">
      <c r="A2427" s="3" t="s">
        <v>2379</v>
      </c>
      <c r="E2427">
        <v>3</v>
      </c>
      <c r="J2427">
        <v>29</v>
      </c>
    </row>
    <row r="2428" spans="1:10">
      <c r="A2428" s="3" t="s">
        <v>2380</v>
      </c>
      <c r="E2428">
        <v>3</v>
      </c>
      <c r="J2428">
        <v>29</v>
      </c>
    </row>
    <row r="2429" spans="1:10">
      <c r="A2429" s="3" t="s">
        <v>2381</v>
      </c>
      <c r="E2429">
        <v>3</v>
      </c>
      <c r="J2429">
        <v>29</v>
      </c>
    </row>
    <row r="2430" spans="1:10">
      <c r="A2430" s="3" t="s">
        <v>2382</v>
      </c>
      <c r="E2430">
        <v>3</v>
      </c>
      <c r="J2430">
        <v>29</v>
      </c>
    </row>
    <row r="2431" spans="1:10">
      <c r="A2431" s="3" t="s">
        <v>2383</v>
      </c>
      <c r="E2431">
        <v>3</v>
      </c>
      <c r="J2431">
        <v>29</v>
      </c>
    </row>
    <row r="2432" spans="1:10">
      <c r="A2432" s="3" t="s">
        <v>2384</v>
      </c>
      <c r="E2432">
        <v>3</v>
      </c>
      <c r="J2432">
        <v>29</v>
      </c>
    </row>
    <row r="2433" spans="1:46">
      <c r="A2433" s="3" t="s">
        <v>2385</v>
      </c>
      <c r="E2433">
        <v>3</v>
      </c>
      <c r="J2433">
        <v>29</v>
      </c>
    </row>
    <row r="2434" spans="1:46">
      <c r="A2434" s="3" t="s">
        <v>2386</v>
      </c>
      <c r="E2434">
        <v>3</v>
      </c>
      <c r="J2434">
        <v>29</v>
      </c>
    </row>
    <row r="2435" spans="1:46">
      <c r="A2435" s="3" t="s">
        <v>2387</v>
      </c>
      <c r="E2435">
        <v>3</v>
      </c>
      <c r="J2435">
        <v>29</v>
      </c>
    </row>
    <row r="2436" spans="1:46">
      <c r="A2436" s="3" t="s">
        <v>2388</v>
      </c>
      <c r="E2436">
        <v>3</v>
      </c>
      <c r="J2436">
        <v>29</v>
      </c>
    </row>
    <row r="2437" spans="1:46">
      <c r="A2437" s="3" t="s">
        <v>2389</v>
      </c>
      <c r="E2437">
        <v>3</v>
      </c>
      <c r="J2437">
        <v>29</v>
      </c>
    </row>
    <row r="2438" spans="1:46">
      <c r="A2438" s="3" t="s">
        <v>2390</v>
      </c>
      <c r="E2438">
        <v>3</v>
      </c>
      <c r="J2438">
        <v>29</v>
      </c>
    </row>
    <row r="2439" spans="1:46">
      <c r="A2439" s="3" t="s">
        <v>2391</v>
      </c>
      <c r="E2439">
        <v>3</v>
      </c>
      <c r="J2439">
        <v>29</v>
      </c>
    </row>
    <row r="2440" spans="1:46">
      <c r="A2440" s="3" t="s">
        <v>2392</v>
      </c>
      <c r="E2440">
        <v>3</v>
      </c>
      <c r="J2440">
        <v>29</v>
      </c>
    </row>
    <row r="2441" spans="1:46">
      <c r="A2441" s="3" t="s">
        <v>2393</v>
      </c>
      <c r="E2441">
        <v>3</v>
      </c>
      <c r="J2441">
        <v>29</v>
      </c>
    </row>
    <row r="2442" spans="1:46">
      <c r="A2442" s="3" t="s">
        <v>2394</v>
      </c>
      <c r="E2442">
        <v>3</v>
      </c>
      <c r="J2442">
        <v>29</v>
      </c>
    </row>
    <row r="2443" spans="1:46">
      <c r="A2443" s="3" t="s">
        <v>2395</v>
      </c>
      <c r="E2443">
        <v>3</v>
      </c>
      <c r="J2443">
        <v>29</v>
      </c>
    </row>
    <row r="2444" spans="1:46">
      <c r="A2444" s="3" t="s">
        <v>2396</v>
      </c>
      <c r="E2444">
        <v>3</v>
      </c>
      <c r="J2444">
        <v>29</v>
      </c>
    </row>
    <row r="2445" spans="1:46">
      <c r="A2445" s="3" t="s">
        <v>2397</v>
      </c>
      <c r="E2445">
        <v>3</v>
      </c>
      <c r="J2445">
        <v>29</v>
      </c>
    </row>
    <row r="2446" spans="1:46">
      <c r="A2446" s="3" t="s">
        <v>2398</v>
      </c>
      <c r="E2446">
        <v>3</v>
      </c>
      <c r="J2446">
        <v>29</v>
      </c>
    </row>
    <row r="2447" spans="1:46">
      <c r="A2447" s="3" t="s">
        <v>2399</v>
      </c>
      <c r="E2447">
        <v>3</v>
      </c>
      <c r="J2447">
        <v>29</v>
      </c>
    </row>
    <row r="2448" spans="1:46">
      <c r="A2448" s="3" t="s">
        <v>2400</v>
      </c>
      <c r="E2448">
        <v>3</v>
      </c>
      <c r="AT2448">
        <v>13</v>
      </c>
    </row>
    <row r="2449" spans="1:46">
      <c r="A2449" s="3" t="s">
        <v>2401</v>
      </c>
      <c r="E2449">
        <v>3</v>
      </c>
      <c r="AT2449">
        <v>13</v>
      </c>
    </row>
    <row r="2450" spans="1:46">
      <c r="A2450" s="3" t="s">
        <v>2402</v>
      </c>
      <c r="E2450">
        <v>3</v>
      </c>
      <c r="AT2450">
        <v>13</v>
      </c>
    </row>
    <row r="2451" spans="1:46">
      <c r="A2451" s="3" t="s">
        <v>2403</v>
      </c>
      <c r="E2451">
        <v>3</v>
      </c>
      <c r="AT2451">
        <v>13</v>
      </c>
    </row>
    <row r="2452" spans="1:46">
      <c r="A2452" s="3" t="s">
        <v>2404</v>
      </c>
      <c r="E2452">
        <v>3</v>
      </c>
      <c r="AT2452">
        <v>13</v>
      </c>
    </row>
    <row r="2453" spans="1:46">
      <c r="A2453" s="3" t="s">
        <v>2405</v>
      </c>
      <c r="E2453">
        <v>3</v>
      </c>
      <c r="AT2453">
        <v>13</v>
      </c>
    </row>
    <row r="2454" spans="1:46">
      <c r="A2454" s="3" t="s">
        <v>2406</v>
      </c>
      <c r="E2454">
        <v>3</v>
      </c>
      <c r="AT2454">
        <v>13</v>
      </c>
    </row>
    <row r="2455" spans="1:46">
      <c r="A2455" s="3" t="s">
        <v>2407</v>
      </c>
      <c r="E2455">
        <v>3</v>
      </c>
      <c r="AT2455">
        <v>13</v>
      </c>
    </row>
    <row r="2456" spans="1:46">
      <c r="A2456" s="3" t="s">
        <v>2408</v>
      </c>
      <c r="E2456">
        <v>3</v>
      </c>
      <c r="AT2456">
        <v>13</v>
      </c>
    </row>
    <row r="2457" spans="1:46">
      <c r="A2457" s="3" t="s">
        <v>2409</v>
      </c>
      <c r="E2457">
        <v>3</v>
      </c>
      <c r="AT2457">
        <v>13</v>
      </c>
    </row>
    <row r="2458" spans="1:46">
      <c r="A2458" s="3" t="s">
        <v>2410</v>
      </c>
      <c r="E2458">
        <v>3</v>
      </c>
      <c r="AT2458">
        <v>13</v>
      </c>
    </row>
    <row r="2459" spans="1:46">
      <c r="A2459" s="3" t="s">
        <v>2411</v>
      </c>
      <c r="E2459">
        <v>3</v>
      </c>
      <c r="AT2459">
        <v>13</v>
      </c>
    </row>
    <row r="2460" spans="1:46">
      <c r="A2460" s="3" t="s">
        <v>2412</v>
      </c>
      <c r="E2460">
        <v>3</v>
      </c>
      <c r="AT2460">
        <v>13</v>
      </c>
    </row>
    <row r="2461" spans="1:46">
      <c r="A2461" s="3" t="s">
        <v>2413</v>
      </c>
      <c r="E2461">
        <v>3</v>
      </c>
      <c r="AT2461">
        <v>13</v>
      </c>
    </row>
    <row r="2462" spans="1:46">
      <c r="A2462" s="3" t="s">
        <v>2414</v>
      </c>
      <c r="E2462">
        <v>3</v>
      </c>
      <c r="AT2462">
        <v>13</v>
      </c>
    </row>
    <row r="2463" spans="1:46">
      <c r="A2463" s="3" t="s">
        <v>2415</v>
      </c>
      <c r="E2463">
        <v>3</v>
      </c>
      <c r="AT2463">
        <v>13</v>
      </c>
    </row>
    <row r="2464" spans="1:46">
      <c r="A2464" s="3" t="s">
        <v>2416</v>
      </c>
      <c r="E2464">
        <v>3</v>
      </c>
      <c r="AT2464">
        <v>13</v>
      </c>
    </row>
    <row r="2465" spans="1:46">
      <c r="A2465" s="3" t="s">
        <v>2417</v>
      </c>
      <c r="E2465">
        <v>3</v>
      </c>
      <c r="AT2465">
        <v>13</v>
      </c>
    </row>
    <row r="2466" spans="1:46">
      <c r="A2466" s="3" t="s">
        <v>2418</v>
      </c>
      <c r="E2466">
        <v>3</v>
      </c>
      <c r="AT2466">
        <v>13</v>
      </c>
    </row>
    <row r="2467" spans="1:46">
      <c r="A2467" s="3" t="s">
        <v>2419</v>
      </c>
      <c r="E2467">
        <v>3</v>
      </c>
      <c r="AT2467">
        <v>13</v>
      </c>
    </row>
    <row r="2468" spans="1:46">
      <c r="A2468" s="3" t="s">
        <v>2420</v>
      </c>
      <c r="E2468">
        <v>3</v>
      </c>
      <c r="AT2468">
        <v>13</v>
      </c>
    </row>
    <row r="2469" spans="1:46">
      <c r="A2469" s="3" t="s">
        <v>2421</v>
      </c>
      <c r="E2469">
        <v>3</v>
      </c>
      <c r="AT2469">
        <v>13</v>
      </c>
    </row>
    <row r="2470" spans="1:46">
      <c r="A2470" s="3" t="s">
        <v>2422</v>
      </c>
      <c r="E2470">
        <v>3</v>
      </c>
      <c r="J2470">
        <v>30</v>
      </c>
    </row>
    <row r="2471" spans="1:46">
      <c r="A2471" s="3" t="s">
        <v>2423</v>
      </c>
      <c r="E2471">
        <v>3</v>
      </c>
      <c r="J2471">
        <v>30</v>
      </c>
    </row>
    <row r="2472" spans="1:46">
      <c r="A2472" s="3" t="s">
        <v>2424</v>
      </c>
      <c r="E2472">
        <v>3</v>
      </c>
      <c r="J2472">
        <v>30</v>
      </c>
    </row>
    <row r="2473" spans="1:46">
      <c r="A2473" s="3" t="s">
        <v>2425</v>
      </c>
      <c r="E2473">
        <v>3</v>
      </c>
      <c r="J2473">
        <v>30</v>
      </c>
    </row>
    <row r="2474" spans="1:46">
      <c r="A2474" s="3" t="s">
        <v>2426</v>
      </c>
      <c r="E2474">
        <v>3</v>
      </c>
      <c r="J2474">
        <v>30</v>
      </c>
    </row>
    <row r="2475" spans="1:46">
      <c r="A2475" s="3" t="s">
        <v>2427</v>
      </c>
      <c r="E2475">
        <v>3</v>
      </c>
      <c r="J2475">
        <v>30</v>
      </c>
    </row>
    <row r="2476" spans="1:46">
      <c r="A2476" s="3" t="s">
        <v>2428</v>
      </c>
      <c r="D2476">
        <v>3</v>
      </c>
      <c r="E2476">
        <v>3</v>
      </c>
      <c r="J2476">
        <v>30</v>
      </c>
    </row>
    <row r="2477" spans="1:46">
      <c r="A2477" s="3" t="s">
        <v>2429</v>
      </c>
      <c r="D2477">
        <v>3</v>
      </c>
      <c r="E2477">
        <v>3</v>
      </c>
      <c r="J2477">
        <v>30</v>
      </c>
    </row>
    <row r="2478" spans="1:46">
      <c r="A2478" s="3" t="s">
        <v>2430</v>
      </c>
      <c r="D2478">
        <v>3</v>
      </c>
      <c r="E2478">
        <v>3</v>
      </c>
      <c r="J2478">
        <v>30</v>
      </c>
    </row>
    <row r="2479" spans="1:46">
      <c r="A2479" s="3" t="s">
        <v>2431</v>
      </c>
      <c r="D2479">
        <v>3</v>
      </c>
      <c r="E2479">
        <v>3</v>
      </c>
      <c r="J2479">
        <v>30</v>
      </c>
    </row>
    <row r="2480" spans="1:46">
      <c r="A2480" s="3" t="s">
        <v>2432</v>
      </c>
      <c r="D2480">
        <v>3</v>
      </c>
      <c r="E2480">
        <v>3</v>
      </c>
      <c r="J2480">
        <v>30</v>
      </c>
    </row>
    <row r="2481" spans="1:32">
      <c r="A2481" s="3" t="s">
        <v>2433</v>
      </c>
      <c r="D2481">
        <v>3</v>
      </c>
      <c r="E2481">
        <v>3</v>
      </c>
      <c r="J2481">
        <v>30</v>
      </c>
    </row>
    <row r="2482" spans="1:32">
      <c r="A2482" s="3" t="s">
        <v>2434</v>
      </c>
      <c r="D2482">
        <v>3</v>
      </c>
      <c r="E2482">
        <v>3</v>
      </c>
      <c r="J2482">
        <v>30</v>
      </c>
    </row>
    <row r="2483" spans="1:32">
      <c r="A2483" s="3" t="s">
        <v>2435</v>
      </c>
      <c r="D2483">
        <v>3</v>
      </c>
      <c r="E2483">
        <v>3</v>
      </c>
      <c r="J2483">
        <v>30</v>
      </c>
    </row>
    <row r="2484" spans="1:32">
      <c r="A2484" s="3" t="s">
        <v>2436</v>
      </c>
      <c r="D2484">
        <v>3</v>
      </c>
      <c r="E2484">
        <v>3</v>
      </c>
      <c r="J2484">
        <v>30</v>
      </c>
    </row>
    <row r="2485" spans="1:32">
      <c r="A2485" s="3" t="s">
        <v>2437</v>
      </c>
      <c r="D2485">
        <v>3</v>
      </c>
      <c r="E2485">
        <v>3</v>
      </c>
      <c r="J2485">
        <v>30</v>
      </c>
    </row>
    <row r="2486" spans="1:32">
      <c r="A2486" s="3" t="s">
        <v>2438</v>
      </c>
      <c r="D2486">
        <v>3</v>
      </c>
      <c r="E2486">
        <v>3</v>
      </c>
      <c r="J2486">
        <v>30</v>
      </c>
    </row>
    <row r="2487" spans="1:32">
      <c r="A2487" s="3" t="s">
        <v>2439</v>
      </c>
      <c r="D2487">
        <v>3</v>
      </c>
      <c r="E2487">
        <v>3</v>
      </c>
      <c r="J2487">
        <v>30</v>
      </c>
    </row>
    <row r="2488" spans="1:32">
      <c r="A2488" s="3" t="s">
        <v>2440</v>
      </c>
      <c r="D2488">
        <v>3</v>
      </c>
      <c r="J2488">
        <v>30</v>
      </c>
    </row>
    <row r="2489" spans="1:32">
      <c r="A2489" s="3" t="s">
        <v>2441</v>
      </c>
      <c r="D2489">
        <v>3</v>
      </c>
      <c r="J2489">
        <v>30</v>
      </c>
    </row>
    <row r="2490" spans="1:32">
      <c r="A2490" s="3" t="s">
        <v>2442</v>
      </c>
      <c r="D2490">
        <v>3</v>
      </c>
      <c r="J2490">
        <v>30</v>
      </c>
    </row>
    <row r="2491" spans="1:32">
      <c r="A2491" s="3" t="s">
        <v>2443</v>
      </c>
      <c r="D2491">
        <v>3</v>
      </c>
      <c r="J2491">
        <v>30</v>
      </c>
    </row>
    <row r="2492" spans="1:32">
      <c r="A2492" s="3" t="s">
        <v>2444</v>
      </c>
      <c r="D2492">
        <v>3</v>
      </c>
      <c r="J2492">
        <v>30</v>
      </c>
    </row>
    <row r="2493" spans="1:32">
      <c r="A2493" s="3" t="s">
        <v>2445</v>
      </c>
      <c r="D2493">
        <v>3</v>
      </c>
      <c r="J2493">
        <v>30</v>
      </c>
    </row>
    <row r="2494" spans="1:32">
      <c r="A2494" s="3" t="s">
        <v>2446</v>
      </c>
      <c r="D2494">
        <v>3</v>
      </c>
      <c r="AF2494">
        <v>1</v>
      </c>
    </row>
    <row r="2495" spans="1:32">
      <c r="A2495" s="3" t="s">
        <v>2447</v>
      </c>
      <c r="D2495">
        <v>3</v>
      </c>
      <c r="AF2495">
        <v>1</v>
      </c>
    </row>
    <row r="2496" spans="1:32">
      <c r="A2496" s="3" t="s">
        <v>2448</v>
      </c>
      <c r="D2496">
        <v>3</v>
      </c>
      <c r="AF2496">
        <v>1</v>
      </c>
    </row>
    <row r="2497" spans="1:32">
      <c r="A2497" s="3" t="s">
        <v>2449</v>
      </c>
      <c r="D2497">
        <v>3</v>
      </c>
      <c r="AF2497">
        <v>1</v>
      </c>
    </row>
    <row r="2498" spans="1:32">
      <c r="A2498" s="3" t="s">
        <v>2450</v>
      </c>
      <c r="D2498">
        <v>3</v>
      </c>
      <c r="AF2498">
        <v>1</v>
      </c>
    </row>
    <row r="2499" spans="1:32">
      <c r="A2499" s="3" t="s">
        <v>2451</v>
      </c>
      <c r="D2499">
        <v>3</v>
      </c>
      <c r="AF2499">
        <v>1</v>
      </c>
    </row>
    <row r="2500" spans="1:32">
      <c r="A2500" s="3" t="s">
        <v>2452</v>
      </c>
      <c r="D2500">
        <v>3</v>
      </c>
      <c r="AF2500">
        <v>1</v>
      </c>
    </row>
    <row r="2501" spans="1:32">
      <c r="A2501" s="3" t="s">
        <v>2453</v>
      </c>
      <c r="D2501">
        <v>3</v>
      </c>
      <c r="AF2501">
        <v>1</v>
      </c>
    </row>
    <row r="2502" spans="1:32">
      <c r="A2502" s="3" t="s">
        <v>2454</v>
      </c>
      <c r="D2502">
        <v>3</v>
      </c>
      <c r="AF2502">
        <v>1</v>
      </c>
    </row>
    <row r="2503" spans="1:32">
      <c r="A2503" s="3" t="s">
        <v>2455</v>
      </c>
      <c r="D2503">
        <v>3</v>
      </c>
      <c r="AF2503">
        <v>1</v>
      </c>
    </row>
    <row r="2504" spans="1:32">
      <c r="A2504" s="3" t="s">
        <v>2456</v>
      </c>
      <c r="D2504">
        <v>3</v>
      </c>
      <c r="AF2504">
        <v>1</v>
      </c>
    </row>
    <row r="2505" spans="1:32">
      <c r="A2505" s="3" t="s">
        <v>2457</v>
      </c>
      <c r="D2505">
        <v>3</v>
      </c>
      <c r="AF2505">
        <v>1</v>
      </c>
    </row>
    <row r="2506" spans="1:32">
      <c r="A2506" s="3" t="s">
        <v>2458</v>
      </c>
      <c r="D2506">
        <v>3</v>
      </c>
      <c r="AF2506">
        <v>1</v>
      </c>
    </row>
    <row r="2507" spans="1:32">
      <c r="A2507" s="3" t="s">
        <v>2459</v>
      </c>
      <c r="D2507">
        <v>3</v>
      </c>
      <c r="AF2507">
        <v>1</v>
      </c>
    </row>
    <row r="2508" spans="1:32">
      <c r="A2508" s="3" t="s">
        <v>2460</v>
      </c>
      <c r="D2508">
        <v>3</v>
      </c>
      <c r="AF2508">
        <v>1</v>
      </c>
    </row>
    <row r="2509" spans="1:32">
      <c r="A2509" s="3" t="s">
        <v>2461</v>
      </c>
      <c r="D2509">
        <v>3</v>
      </c>
      <c r="AF2509">
        <v>1</v>
      </c>
    </row>
    <row r="2510" spans="1:32">
      <c r="A2510" s="3" t="s">
        <v>2462</v>
      </c>
      <c r="D2510">
        <v>3</v>
      </c>
      <c r="AF2510">
        <v>1</v>
      </c>
    </row>
    <row r="2511" spans="1:32">
      <c r="A2511" s="3" t="s">
        <v>2463</v>
      </c>
      <c r="D2511">
        <v>3</v>
      </c>
      <c r="AF2511">
        <v>1</v>
      </c>
    </row>
    <row r="2512" spans="1:32">
      <c r="A2512" s="3" t="s">
        <v>2464</v>
      </c>
      <c r="D2512">
        <v>3</v>
      </c>
      <c r="AF2512">
        <v>1</v>
      </c>
    </row>
    <row r="2513" spans="1:32">
      <c r="A2513" s="3" t="s">
        <v>2465</v>
      </c>
      <c r="D2513">
        <v>3</v>
      </c>
      <c r="AF2513">
        <v>1</v>
      </c>
    </row>
    <row r="2514" spans="1:32">
      <c r="A2514" s="3" t="s">
        <v>2466</v>
      </c>
      <c r="D2514">
        <v>3</v>
      </c>
      <c r="AF2514">
        <v>1</v>
      </c>
    </row>
    <row r="2515" spans="1:32">
      <c r="A2515" s="3" t="s">
        <v>2467</v>
      </c>
      <c r="D2515">
        <v>3</v>
      </c>
      <c r="AF2515">
        <v>1</v>
      </c>
    </row>
    <row r="2516" spans="1:32">
      <c r="A2516" s="3" t="s">
        <v>2468</v>
      </c>
      <c r="D2516">
        <v>3</v>
      </c>
      <c r="AF2516">
        <v>1</v>
      </c>
    </row>
    <row r="2517" spans="1:32">
      <c r="A2517" s="3" t="s">
        <v>2469</v>
      </c>
      <c r="D2517">
        <v>3</v>
      </c>
      <c r="AF2517">
        <v>1</v>
      </c>
    </row>
    <row r="2518" spans="1:32">
      <c r="A2518" s="3" t="s">
        <v>2470</v>
      </c>
      <c r="D2518">
        <v>3</v>
      </c>
      <c r="AF2518">
        <v>1</v>
      </c>
    </row>
    <row r="2519" spans="1:32">
      <c r="A2519" s="3" t="s">
        <v>2471</v>
      </c>
      <c r="D2519">
        <v>3</v>
      </c>
      <c r="AF2519">
        <v>1</v>
      </c>
    </row>
    <row r="2520" spans="1:32">
      <c r="A2520" s="3" t="s">
        <v>2472</v>
      </c>
      <c r="D2520">
        <v>3</v>
      </c>
      <c r="AF2520">
        <v>1</v>
      </c>
    </row>
    <row r="2521" spans="1:32">
      <c r="A2521" s="3" t="s">
        <v>2473</v>
      </c>
      <c r="D2521">
        <v>3</v>
      </c>
      <c r="AF2521">
        <v>1</v>
      </c>
    </row>
    <row r="2522" spans="1:32">
      <c r="A2522" s="3" t="s">
        <v>2474</v>
      </c>
      <c r="D2522">
        <v>3</v>
      </c>
      <c r="AF2522">
        <v>1</v>
      </c>
    </row>
    <row r="2523" spans="1:32">
      <c r="A2523" s="3" t="s">
        <v>2475</v>
      </c>
      <c r="D2523">
        <v>3</v>
      </c>
      <c r="AF2523">
        <v>1</v>
      </c>
    </row>
    <row r="2524" spans="1:32">
      <c r="A2524" s="3" t="s">
        <v>2476</v>
      </c>
      <c r="D2524">
        <v>3</v>
      </c>
      <c r="AF2524">
        <v>1</v>
      </c>
    </row>
    <row r="2525" spans="1:32">
      <c r="A2525" s="3" t="s">
        <v>2477</v>
      </c>
      <c r="D2525">
        <v>3</v>
      </c>
      <c r="AF2525">
        <v>1</v>
      </c>
    </row>
    <row r="2526" spans="1:32">
      <c r="A2526" s="3" t="s">
        <v>2478</v>
      </c>
      <c r="D2526">
        <v>3</v>
      </c>
      <c r="AF2526">
        <v>1</v>
      </c>
    </row>
    <row r="2527" spans="1:32">
      <c r="A2527" s="3" t="s">
        <v>2479</v>
      </c>
      <c r="D2527">
        <v>3</v>
      </c>
      <c r="AF2527">
        <v>1</v>
      </c>
    </row>
    <row r="2528" spans="1:32">
      <c r="A2528" s="3" t="s">
        <v>2480</v>
      </c>
      <c r="D2528">
        <v>3</v>
      </c>
      <c r="AF2528">
        <v>1</v>
      </c>
    </row>
    <row r="2529" spans="1:32">
      <c r="A2529" s="3" t="s">
        <v>2481</v>
      </c>
      <c r="D2529">
        <v>3</v>
      </c>
      <c r="AF2529">
        <v>1</v>
      </c>
    </row>
    <row r="2530" spans="1:32">
      <c r="A2530" s="3" t="s">
        <v>2482</v>
      </c>
      <c r="D2530">
        <v>3</v>
      </c>
      <c r="AF2530">
        <v>1</v>
      </c>
    </row>
    <row r="2531" spans="1:32">
      <c r="A2531" s="3" t="s">
        <v>2483</v>
      </c>
      <c r="D2531">
        <v>3</v>
      </c>
      <c r="AF2531">
        <v>1</v>
      </c>
    </row>
    <row r="2532" spans="1:32">
      <c r="A2532" s="3" t="s">
        <v>2484</v>
      </c>
      <c r="D2532">
        <v>3</v>
      </c>
      <c r="AF2532">
        <v>1</v>
      </c>
    </row>
    <row r="2533" spans="1:32">
      <c r="A2533" s="3" t="s">
        <v>2485</v>
      </c>
      <c r="D2533">
        <v>3</v>
      </c>
      <c r="AF2533">
        <v>1</v>
      </c>
    </row>
    <row r="2534" spans="1:32">
      <c r="A2534" s="3" t="s">
        <v>2486</v>
      </c>
      <c r="D2534">
        <v>3</v>
      </c>
      <c r="AF2534">
        <v>1</v>
      </c>
    </row>
    <row r="2535" spans="1:32">
      <c r="A2535" s="3" t="s">
        <v>2487</v>
      </c>
      <c r="D2535">
        <v>3</v>
      </c>
      <c r="AF2535">
        <v>1</v>
      </c>
    </row>
    <row r="2536" spans="1:32">
      <c r="A2536" s="3" t="s">
        <v>2488</v>
      </c>
      <c r="D2536">
        <v>3</v>
      </c>
      <c r="AF2536">
        <v>1</v>
      </c>
    </row>
    <row r="2537" spans="1:32">
      <c r="A2537" s="3" t="s">
        <v>2489</v>
      </c>
      <c r="D2537">
        <v>3</v>
      </c>
      <c r="AF2537">
        <v>1</v>
      </c>
    </row>
    <row r="2538" spans="1:32">
      <c r="A2538" s="3" t="s">
        <v>2490</v>
      </c>
      <c r="D2538">
        <v>3</v>
      </c>
      <c r="AF2538">
        <v>1</v>
      </c>
    </row>
    <row r="2539" spans="1:32">
      <c r="A2539" s="3" t="s">
        <v>2491</v>
      </c>
      <c r="D2539">
        <v>3</v>
      </c>
      <c r="AF2539">
        <v>1</v>
      </c>
    </row>
    <row r="2540" spans="1:32">
      <c r="A2540" s="3" t="s">
        <v>2492</v>
      </c>
      <c r="D2540">
        <v>3</v>
      </c>
      <c r="AF2540">
        <v>1</v>
      </c>
    </row>
    <row r="2541" spans="1:32">
      <c r="A2541" s="3" t="s">
        <v>2493</v>
      </c>
      <c r="D2541">
        <v>3</v>
      </c>
      <c r="AF2541">
        <v>1</v>
      </c>
    </row>
    <row r="2542" spans="1:32">
      <c r="A2542" s="3" t="s">
        <v>2494</v>
      </c>
      <c r="D2542">
        <v>3</v>
      </c>
      <c r="AF2542">
        <v>1</v>
      </c>
    </row>
    <row r="2543" spans="1:32">
      <c r="A2543" s="3" t="s">
        <v>2495</v>
      </c>
      <c r="D2543">
        <v>3</v>
      </c>
      <c r="AF2543">
        <v>1</v>
      </c>
    </row>
    <row r="2544" spans="1:32">
      <c r="A2544" s="3" t="s">
        <v>2496</v>
      </c>
      <c r="D2544">
        <v>3</v>
      </c>
      <c r="AF2544">
        <v>1</v>
      </c>
    </row>
    <row r="2545" spans="1:32">
      <c r="A2545" s="3" t="s">
        <v>2497</v>
      </c>
      <c r="D2545">
        <v>3</v>
      </c>
      <c r="AF2545">
        <v>1</v>
      </c>
    </row>
    <row r="2546" spans="1:32">
      <c r="A2546" s="3" t="s">
        <v>2498</v>
      </c>
      <c r="D2546">
        <v>3</v>
      </c>
      <c r="AF2546">
        <v>1</v>
      </c>
    </row>
    <row r="2547" spans="1:32">
      <c r="A2547" s="3" t="s">
        <v>2499</v>
      </c>
      <c r="D2547">
        <v>3</v>
      </c>
      <c r="AF2547">
        <v>1</v>
      </c>
    </row>
    <row r="2548" spans="1:32">
      <c r="A2548" s="3" t="s">
        <v>2500</v>
      </c>
      <c r="D2548">
        <v>3</v>
      </c>
      <c r="AF2548">
        <v>1</v>
      </c>
    </row>
    <row r="2549" spans="1:32">
      <c r="A2549" s="3" t="s">
        <v>2501</v>
      </c>
      <c r="D2549">
        <v>3</v>
      </c>
      <c r="AF2549">
        <v>1</v>
      </c>
    </row>
    <row r="2550" spans="1:32">
      <c r="A2550" s="3" t="s">
        <v>2502</v>
      </c>
      <c r="D2550">
        <v>3</v>
      </c>
      <c r="AF2550">
        <v>1</v>
      </c>
    </row>
    <row r="2551" spans="1:32">
      <c r="A2551" s="3" t="s">
        <v>2503</v>
      </c>
      <c r="D2551">
        <v>3</v>
      </c>
      <c r="AF2551">
        <v>1</v>
      </c>
    </row>
    <row r="2552" spans="1:32">
      <c r="A2552" s="3" t="s">
        <v>2504</v>
      </c>
      <c r="D2552">
        <v>3</v>
      </c>
      <c r="AF2552">
        <v>1</v>
      </c>
    </row>
    <row r="2553" spans="1:32">
      <c r="A2553" s="3" t="s">
        <v>2505</v>
      </c>
      <c r="D2553">
        <v>3</v>
      </c>
      <c r="AF2553">
        <v>1</v>
      </c>
    </row>
    <row r="2554" spans="1:32">
      <c r="A2554" s="3" t="s">
        <v>2506</v>
      </c>
      <c r="D2554">
        <v>3</v>
      </c>
      <c r="AF2554">
        <v>1</v>
      </c>
    </row>
    <row r="2555" spans="1:32">
      <c r="A2555" s="3" t="s">
        <v>2507</v>
      </c>
      <c r="D2555">
        <v>3</v>
      </c>
      <c r="AF2555">
        <v>1</v>
      </c>
    </row>
    <row r="2556" spans="1:32">
      <c r="A2556" s="3" t="s">
        <v>2508</v>
      </c>
      <c r="D2556">
        <v>3</v>
      </c>
      <c r="AF2556">
        <v>1</v>
      </c>
    </row>
    <row r="2557" spans="1:32">
      <c r="A2557" s="3" t="s">
        <v>2509</v>
      </c>
      <c r="D2557">
        <v>3</v>
      </c>
      <c r="AF2557">
        <v>1</v>
      </c>
    </row>
    <row r="2558" spans="1:32">
      <c r="A2558" s="3" t="s">
        <v>2510</v>
      </c>
      <c r="D2558">
        <v>3</v>
      </c>
      <c r="AF2558">
        <v>1</v>
      </c>
    </row>
    <row r="2559" spans="1:32">
      <c r="A2559" s="3" t="s">
        <v>2511</v>
      </c>
      <c r="D2559">
        <v>3</v>
      </c>
      <c r="AF2559">
        <v>1</v>
      </c>
    </row>
    <row r="2560" spans="1:32">
      <c r="A2560" s="3" t="s">
        <v>2512</v>
      </c>
      <c r="D2560">
        <v>3</v>
      </c>
      <c r="AF2560">
        <v>1</v>
      </c>
    </row>
    <row r="2561" spans="1:49">
      <c r="A2561" s="3" t="s">
        <v>2513</v>
      </c>
      <c r="D2561">
        <v>3</v>
      </c>
      <c r="AF2561">
        <v>1</v>
      </c>
    </row>
    <row r="2562" spans="1:49">
      <c r="A2562" s="3" t="s">
        <v>2514</v>
      </c>
      <c r="D2562">
        <v>3</v>
      </c>
      <c r="AF2562">
        <v>1</v>
      </c>
    </row>
    <row r="2563" spans="1:49">
      <c r="A2563" s="3" t="s">
        <v>2515</v>
      </c>
      <c r="D2563">
        <v>3</v>
      </c>
      <c r="AF2563">
        <v>1</v>
      </c>
    </row>
    <row r="2564" spans="1:49">
      <c r="A2564" s="3" t="s">
        <v>2516</v>
      </c>
      <c r="D2564">
        <v>3</v>
      </c>
      <c r="AF2564">
        <v>1</v>
      </c>
    </row>
    <row r="2565" spans="1:49">
      <c r="A2565" s="3" t="s">
        <v>2517</v>
      </c>
      <c r="D2565">
        <v>3</v>
      </c>
      <c r="AF2565">
        <v>1</v>
      </c>
    </row>
    <row r="2566" spans="1:49">
      <c r="A2566" s="3" t="s">
        <v>2518</v>
      </c>
      <c r="D2566">
        <v>3</v>
      </c>
      <c r="AF2566">
        <v>1</v>
      </c>
    </row>
    <row r="2567" spans="1:49">
      <c r="A2567" s="3" t="s">
        <v>2519</v>
      </c>
      <c r="D2567">
        <v>3</v>
      </c>
      <c r="AF2567">
        <v>1</v>
      </c>
    </row>
    <row r="2568" spans="1:49">
      <c r="A2568" s="3" t="s">
        <v>2520</v>
      </c>
      <c r="D2568">
        <v>3</v>
      </c>
      <c r="AF2568">
        <v>1</v>
      </c>
    </row>
    <row r="2569" spans="1:49">
      <c r="A2569" s="3" t="s">
        <v>2521</v>
      </c>
      <c r="D2569">
        <v>3</v>
      </c>
      <c r="AF2569">
        <v>1</v>
      </c>
    </row>
    <row r="2570" spans="1:49">
      <c r="A2570" s="3" t="s">
        <v>2522</v>
      </c>
      <c r="D2570">
        <v>3</v>
      </c>
      <c r="AF2570">
        <v>1</v>
      </c>
    </row>
    <row r="2571" spans="1:49">
      <c r="A2571" s="3" t="s">
        <v>2523</v>
      </c>
      <c r="D2571">
        <v>3</v>
      </c>
      <c r="AF2571">
        <v>1</v>
      </c>
    </row>
    <row r="2572" spans="1:49">
      <c r="A2572" s="3" t="s">
        <v>2524</v>
      </c>
      <c r="D2572">
        <v>3</v>
      </c>
      <c r="AF2572">
        <v>1</v>
      </c>
    </row>
    <row r="2573" spans="1:49">
      <c r="A2573" s="3" t="s">
        <v>2525</v>
      </c>
      <c r="D2573">
        <v>3</v>
      </c>
      <c r="AF2573">
        <v>1</v>
      </c>
    </row>
    <row r="2574" spans="1:49">
      <c r="A2574" s="3" t="s">
        <v>2526</v>
      </c>
      <c r="D2574">
        <v>3</v>
      </c>
      <c r="AF2574">
        <v>1</v>
      </c>
    </row>
    <row r="2575" spans="1:49">
      <c r="A2575" s="3" t="s">
        <v>2527</v>
      </c>
      <c r="D2575">
        <v>3</v>
      </c>
      <c r="AF2575">
        <v>1</v>
      </c>
    </row>
    <row r="2576" spans="1:49">
      <c r="A2576" s="3" t="s">
        <v>2528</v>
      </c>
      <c r="D2576">
        <v>3</v>
      </c>
      <c r="AW2576">
        <v>13</v>
      </c>
    </row>
    <row r="2577" spans="1:49">
      <c r="A2577" s="3" t="s">
        <v>2529</v>
      </c>
      <c r="D2577">
        <v>3</v>
      </c>
      <c r="AW2577">
        <v>13</v>
      </c>
    </row>
    <row r="2578" spans="1:49">
      <c r="A2578" s="3" t="s">
        <v>2530</v>
      </c>
      <c r="D2578">
        <v>3</v>
      </c>
      <c r="AW2578">
        <v>13</v>
      </c>
    </row>
    <row r="2579" spans="1:49">
      <c r="A2579" s="3" t="s">
        <v>2531</v>
      </c>
      <c r="D2579">
        <v>3</v>
      </c>
      <c r="AW2579">
        <v>13</v>
      </c>
    </row>
    <row r="2580" spans="1:49">
      <c r="A2580" s="3" t="s">
        <v>2532</v>
      </c>
      <c r="D2580">
        <v>3</v>
      </c>
      <c r="AW2580">
        <v>13</v>
      </c>
    </row>
    <row r="2581" spans="1:49">
      <c r="A2581" s="3" t="s">
        <v>2533</v>
      </c>
      <c r="D2581">
        <v>3</v>
      </c>
      <c r="AW2581">
        <v>13</v>
      </c>
    </row>
    <row r="2582" spans="1:49">
      <c r="A2582" s="3" t="s">
        <v>2534</v>
      </c>
      <c r="D2582">
        <v>3</v>
      </c>
      <c r="AW2582">
        <v>13</v>
      </c>
    </row>
    <row r="2583" spans="1:49">
      <c r="A2583" s="3" t="s">
        <v>2535</v>
      </c>
      <c r="D2583">
        <v>3</v>
      </c>
      <c r="AW2583">
        <v>13</v>
      </c>
    </row>
    <row r="2584" spans="1:49">
      <c r="A2584" s="3" t="s">
        <v>2536</v>
      </c>
      <c r="D2584">
        <v>3</v>
      </c>
      <c r="AW2584">
        <v>13</v>
      </c>
    </row>
    <row r="2585" spans="1:49">
      <c r="A2585" s="3" t="s">
        <v>2537</v>
      </c>
      <c r="D2585">
        <v>3</v>
      </c>
      <c r="AW2585">
        <v>13</v>
      </c>
    </row>
    <row r="2586" spans="1:49">
      <c r="A2586" s="3" t="s">
        <v>2538</v>
      </c>
      <c r="D2586">
        <v>3</v>
      </c>
      <c r="AW2586">
        <v>13</v>
      </c>
    </row>
    <row r="2587" spans="1:49">
      <c r="A2587" s="3" t="s">
        <v>2539</v>
      </c>
      <c r="D2587">
        <v>3</v>
      </c>
      <c r="AW2587">
        <v>13</v>
      </c>
    </row>
    <row r="2588" spans="1:49">
      <c r="A2588" s="3" t="s">
        <v>2540</v>
      </c>
      <c r="D2588">
        <v>3</v>
      </c>
      <c r="J2588">
        <v>31</v>
      </c>
    </row>
    <row r="2589" spans="1:49">
      <c r="A2589" s="3" t="s">
        <v>2541</v>
      </c>
      <c r="D2589">
        <v>3</v>
      </c>
      <c r="J2589">
        <v>31</v>
      </c>
    </row>
    <row r="2590" spans="1:49">
      <c r="A2590" s="3" t="s">
        <v>2542</v>
      </c>
      <c r="D2590">
        <v>3</v>
      </c>
      <c r="J2590">
        <v>31</v>
      </c>
    </row>
    <row r="2591" spans="1:49">
      <c r="A2591" s="3" t="s">
        <v>2543</v>
      </c>
      <c r="D2591">
        <v>3</v>
      </c>
      <c r="J2591">
        <v>31</v>
      </c>
    </row>
    <row r="2592" spans="1:49">
      <c r="A2592" s="3" t="s">
        <v>2544</v>
      </c>
      <c r="D2592">
        <v>3</v>
      </c>
      <c r="J2592">
        <v>31</v>
      </c>
    </row>
    <row r="2593" spans="1:30">
      <c r="A2593" s="3" t="s">
        <v>2545</v>
      </c>
      <c r="D2593">
        <v>3</v>
      </c>
      <c r="J2593">
        <v>31</v>
      </c>
    </row>
    <row r="2594" spans="1:30">
      <c r="A2594" s="3" t="s">
        <v>2546</v>
      </c>
      <c r="D2594">
        <v>3</v>
      </c>
      <c r="J2594">
        <v>31</v>
      </c>
    </row>
    <row r="2595" spans="1:30">
      <c r="A2595" s="3" t="s">
        <v>2547</v>
      </c>
      <c r="D2595">
        <v>3</v>
      </c>
      <c r="J2595">
        <v>31</v>
      </c>
    </row>
    <row r="2596" spans="1:30">
      <c r="A2596" s="3" t="s">
        <v>2548</v>
      </c>
      <c r="D2596">
        <v>3</v>
      </c>
      <c r="J2596">
        <v>31</v>
      </c>
    </row>
    <row r="2597" spans="1:30">
      <c r="A2597" s="3" t="s">
        <v>2549</v>
      </c>
      <c r="D2597">
        <v>3</v>
      </c>
      <c r="J2597">
        <v>31</v>
      </c>
    </row>
    <row r="2598" spans="1:30">
      <c r="A2598" s="3" t="s">
        <v>2550</v>
      </c>
      <c r="D2598">
        <v>3</v>
      </c>
      <c r="J2598">
        <v>31</v>
      </c>
    </row>
    <row r="2599" spans="1:30">
      <c r="A2599" s="3" t="s">
        <v>2551</v>
      </c>
      <c r="D2599">
        <v>3</v>
      </c>
      <c r="J2599">
        <v>31</v>
      </c>
    </row>
    <row r="2600" spans="1:30">
      <c r="A2600" s="3" t="s">
        <v>2552</v>
      </c>
      <c r="D2600">
        <v>3</v>
      </c>
      <c r="AD2600">
        <v>1</v>
      </c>
    </row>
    <row r="2601" spans="1:30">
      <c r="A2601" s="3" t="s">
        <v>2553</v>
      </c>
      <c r="D2601">
        <v>3</v>
      </c>
      <c r="AD2601">
        <v>1</v>
      </c>
    </row>
    <row r="2602" spans="1:30">
      <c r="A2602" s="3" t="s">
        <v>2554</v>
      </c>
      <c r="D2602">
        <v>3</v>
      </c>
      <c r="AD2602">
        <v>1</v>
      </c>
    </row>
    <row r="2603" spans="1:30">
      <c r="A2603" s="3" t="s">
        <v>2555</v>
      </c>
      <c r="D2603">
        <v>3</v>
      </c>
      <c r="AD2603">
        <v>1</v>
      </c>
    </row>
    <row r="2604" spans="1:30">
      <c r="A2604" s="3" t="s">
        <v>2556</v>
      </c>
      <c r="D2604">
        <v>3</v>
      </c>
      <c r="AD2604">
        <v>1</v>
      </c>
    </row>
    <row r="2605" spans="1:30">
      <c r="A2605" s="3" t="s">
        <v>2557</v>
      </c>
      <c r="D2605">
        <v>3</v>
      </c>
      <c r="AD2605">
        <v>1</v>
      </c>
    </row>
    <row r="2606" spans="1:30">
      <c r="A2606" s="3" t="s">
        <v>2558</v>
      </c>
      <c r="D2606">
        <v>3</v>
      </c>
      <c r="AD2606">
        <v>1</v>
      </c>
    </row>
    <row r="2607" spans="1:30">
      <c r="A2607" s="3" t="s">
        <v>2559</v>
      </c>
      <c r="D2607">
        <v>3</v>
      </c>
      <c r="AD2607">
        <v>1</v>
      </c>
    </row>
    <row r="2608" spans="1:30">
      <c r="A2608" s="3" t="s">
        <v>2560</v>
      </c>
      <c r="D2608">
        <v>3</v>
      </c>
      <c r="AD2608">
        <v>1</v>
      </c>
    </row>
    <row r="2609" spans="1:30">
      <c r="A2609" s="3" t="s">
        <v>2561</v>
      </c>
      <c r="D2609">
        <v>3</v>
      </c>
      <c r="AD2609">
        <v>1</v>
      </c>
    </row>
    <row r="2610" spans="1:30">
      <c r="A2610" s="3" t="s">
        <v>2562</v>
      </c>
      <c r="D2610">
        <v>3</v>
      </c>
      <c r="AD2610">
        <v>1</v>
      </c>
    </row>
    <row r="2611" spans="1:30">
      <c r="A2611" s="3" t="s">
        <v>2563</v>
      </c>
      <c r="D2611">
        <v>3</v>
      </c>
      <c r="AD2611">
        <v>1</v>
      </c>
    </row>
    <row r="2612" spans="1:30">
      <c r="A2612" s="3" t="s">
        <v>2564</v>
      </c>
      <c r="D2612">
        <v>3</v>
      </c>
      <c r="AD2612">
        <v>1</v>
      </c>
    </row>
    <row r="2613" spans="1:30">
      <c r="A2613" s="3" t="s">
        <v>2565</v>
      </c>
      <c r="D2613">
        <v>3</v>
      </c>
      <c r="AD2613">
        <v>1</v>
      </c>
    </row>
    <row r="2614" spans="1:30">
      <c r="A2614" s="3" t="s">
        <v>2566</v>
      </c>
      <c r="D2614">
        <v>3</v>
      </c>
      <c r="AD2614">
        <v>1</v>
      </c>
    </row>
    <row r="2615" spans="1:30">
      <c r="A2615" s="3" t="s">
        <v>2567</v>
      </c>
      <c r="D2615">
        <v>3</v>
      </c>
      <c r="AD2615">
        <v>1</v>
      </c>
    </row>
    <row r="2616" spans="1:30">
      <c r="A2616" s="3" t="s">
        <v>2568</v>
      </c>
      <c r="D2616">
        <v>3</v>
      </c>
      <c r="AD2616">
        <v>1</v>
      </c>
    </row>
    <row r="2617" spans="1:30">
      <c r="A2617" s="3" t="s">
        <v>2569</v>
      </c>
      <c r="D2617">
        <v>3</v>
      </c>
      <c r="AD2617">
        <v>1</v>
      </c>
    </row>
    <row r="2618" spans="1:30">
      <c r="A2618" s="3" t="s">
        <v>2570</v>
      </c>
      <c r="D2618">
        <v>3</v>
      </c>
      <c r="AD2618">
        <v>1</v>
      </c>
    </row>
    <row r="2619" spans="1:30">
      <c r="A2619" s="3" t="s">
        <v>2571</v>
      </c>
      <c r="D2619">
        <v>3</v>
      </c>
      <c r="AD2619">
        <v>1</v>
      </c>
    </row>
    <row r="2620" spans="1:30">
      <c r="A2620" s="3" t="s">
        <v>2572</v>
      </c>
      <c r="D2620">
        <v>3</v>
      </c>
      <c r="AD2620">
        <v>1</v>
      </c>
    </row>
    <row r="2621" spans="1:30">
      <c r="A2621" s="3" t="s">
        <v>2573</v>
      </c>
      <c r="D2621">
        <v>3</v>
      </c>
      <c r="AD2621">
        <v>1</v>
      </c>
    </row>
    <row r="2622" spans="1:30">
      <c r="A2622" s="3" t="s">
        <v>2574</v>
      </c>
      <c r="D2622">
        <v>3</v>
      </c>
      <c r="AD2622">
        <v>1</v>
      </c>
    </row>
    <row r="2623" spans="1:30">
      <c r="A2623" s="3" t="s">
        <v>2575</v>
      </c>
      <c r="D2623">
        <v>3</v>
      </c>
      <c r="AD2623">
        <v>1</v>
      </c>
    </row>
    <row r="2624" spans="1:30">
      <c r="A2624" s="3" t="s">
        <v>2576</v>
      </c>
      <c r="D2624">
        <v>3</v>
      </c>
      <c r="AD2624">
        <v>1</v>
      </c>
    </row>
    <row r="2625" spans="1:49">
      <c r="A2625" s="3" t="s">
        <v>2577</v>
      </c>
      <c r="D2625">
        <v>3</v>
      </c>
      <c r="AD2625">
        <v>1</v>
      </c>
    </row>
    <row r="2626" spans="1:49">
      <c r="A2626" s="3" t="s">
        <v>2578</v>
      </c>
      <c r="D2626">
        <v>3</v>
      </c>
      <c r="AD2626">
        <v>1</v>
      </c>
    </row>
    <row r="2627" spans="1:49">
      <c r="A2627" s="3" t="s">
        <v>2579</v>
      </c>
      <c r="D2627">
        <v>3</v>
      </c>
      <c r="AD2627">
        <v>1</v>
      </c>
    </row>
    <row r="2628" spans="1:49">
      <c r="A2628" s="3" t="s">
        <v>2580</v>
      </c>
      <c r="D2628">
        <v>3</v>
      </c>
      <c r="AD2628">
        <v>1</v>
      </c>
    </row>
    <row r="2629" spans="1:49">
      <c r="A2629" s="3" t="s">
        <v>2581</v>
      </c>
      <c r="D2629">
        <v>3</v>
      </c>
      <c r="AD2629">
        <v>1</v>
      </c>
    </row>
    <row r="2630" spans="1:49">
      <c r="A2630" s="3" t="s">
        <v>2582</v>
      </c>
      <c r="D2630">
        <v>3</v>
      </c>
      <c r="AD2630">
        <v>1</v>
      </c>
    </row>
    <row r="2631" spans="1:49">
      <c r="A2631" s="3" t="s">
        <v>2583</v>
      </c>
      <c r="D2631">
        <v>3</v>
      </c>
      <c r="AD2631">
        <v>1</v>
      </c>
    </row>
    <row r="2632" spans="1:49">
      <c r="A2632" s="3" t="s">
        <v>2584</v>
      </c>
      <c r="D2632">
        <v>3</v>
      </c>
      <c r="AD2632">
        <v>1</v>
      </c>
    </row>
    <row r="2633" spans="1:49">
      <c r="A2633" s="3" t="s">
        <v>2585</v>
      </c>
      <c r="D2633">
        <v>3</v>
      </c>
      <c r="AD2633">
        <v>1</v>
      </c>
    </row>
    <row r="2634" spans="1:49">
      <c r="A2634" s="3" t="s">
        <v>2586</v>
      </c>
      <c r="D2634">
        <v>3</v>
      </c>
      <c r="AD2634">
        <v>1</v>
      </c>
    </row>
    <row r="2635" spans="1:49">
      <c r="A2635" s="3" t="s">
        <v>2587</v>
      </c>
      <c r="D2635">
        <v>3</v>
      </c>
      <c r="AD2635">
        <v>1</v>
      </c>
    </row>
    <row r="2636" spans="1:49">
      <c r="A2636" s="3" t="s">
        <v>2588</v>
      </c>
      <c r="D2636">
        <v>3</v>
      </c>
      <c r="AD2636">
        <v>1</v>
      </c>
    </row>
    <row r="2637" spans="1:49">
      <c r="A2637" s="3" t="s">
        <v>2589</v>
      </c>
      <c r="D2637">
        <v>3</v>
      </c>
      <c r="AD2637">
        <v>1</v>
      </c>
    </row>
    <row r="2638" spans="1:49">
      <c r="A2638" s="3" t="s">
        <v>2590</v>
      </c>
      <c r="D2638">
        <v>3</v>
      </c>
      <c r="AW2638">
        <v>14</v>
      </c>
    </row>
    <row r="2639" spans="1:49">
      <c r="A2639" s="3" t="s">
        <v>2591</v>
      </c>
      <c r="D2639">
        <v>3</v>
      </c>
      <c r="AW2639">
        <v>14</v>
      </c>
    </row>
    <row r="2640" spans="1:49">
      <c r="A2640" s="3" t="s">
        <v>2592</v>
      </c>
      <c r="D2640">
        <v>3</v>
      </c>
      <c r="J2640">
        <v>32</v>
      </c>
    </row>
    <row r="2641" spans="1:10">
      <c r="A2641" s="3" t="s">
        <v>2593</v>
      </c>
      <c r="D2641">
        <v>3</v>
      </c>
      <c r="J2641">
        <v>32</v>
      </c>
    </row>
    <row r="2642" spans="1:10">
      <c r="A2642" s="3" t="s">
        <v>2594</v>
      </c>
      <c r="D2642">
        <v>3</v>
      </c>
      <c r="J2642">
        <v>32</v>
      </c>
    </row>
    <row r="2643" spans="1:10">
      <c r="A2643" s="3" t="s">
        <v>2595</v>
      </c>
      <c r="D2643">
        <v>3</v>
      </c>
      <c r="J2643">
        <v>32</v>
      </c>
    </row>
    <row r="2644" spans="1:10">
      <c r="A2644" s="3" t="s">
        <v>2596</v>
      </c>
      <c r="D2644">
        <v>3</v>
      </c>
      <c r="J2644">
        <v>32</v>
      </c>
    </row>
    <row r="2645" spans="1:10">
      <c r="A2645" s="3" t="s">
        <v>2597</v>
      </c>
      <c r="D2645">
        <v>3</v>
      </c>
      <c r="J2645">
        <v>32</v>
      </c>
    </row>
    <row r="2646" spans="1:10">
      <c r="A2646" s="3" t="s">
        <v>2598</v>
      </c>
      <c r="D2646">
        <v>3</v>
      </c>
      <c r="J2646">
        <v>32</v>
      </c>
    </row>
    <row r="2647" spans="1:10">
      <c r="A2647" s="3" t="s">
        <v>2599</v>
      </c>
      <c r="D2647">
        <v>3</v>
      </c>
      <c r="J2647">
        <v>32</v>
      </c>
    </row>
    <row r="2648" spans="1:10">
      <c r="A2648" s="3" t="s">
        <v>2600</v>
      </c>
      <c r="D2648">
        <v>3</v>
      </c>
      <c r="J2648">
        <v>32</v>
      </c>
    </row>
    <row r="2649" spans="1:10">
      <c r="A2649" s="3" t="s">
        <v>2601</v>
      </c>
      <c r="D2649">
        <v>3</v>
      </c>
      <c r="J2649">
        <v>32</v>
      </c>
    </row>
    <row r="2650" spans="1:10">
      <c r="A2650" s="3" t="s">
        <v>2602</v>
      </c>
      <c r="D2650">
        <v>3</v>
      </c>
      <c r="J2650">
        <v>32</v>
      </c>
    </row>
    <row r="2651" spans="1:10">
      <c r="A2651" s="3" t="s">
        <v>2603</v>
      </c>
      <c r="D2651">
        <v>3</v>
      </c>
      <c r="J2651">
        <v>32</v>
      </c>
    </row>
    <row r="2652" spans="1:10">
      <c r="A2652" s="3" t="s">
        <v>2604</v>
      </c>
      <c r="D2652">
        <v>3</v>
      </c>
      <c r="J2652">
        <v>32</v>
      </c>
    </row>
    <row r="2653" spans="1:10">
      <c r="A2653" s="3" t="s">
        <v>2605</v>
      </c>
      <c r="D2653">
        <v>3</v>
      </c>
      <c r="J2653">
        <v>32</v>
      </c>
    </row>
    <row r="2654" spans="1:10">
      <c r="A2654" s="3" t="s">
        <v>2606</v>
      </c>
      <c r="D2654">
        <v>3</v>
      </c>
      <c r="J2654">
        <v>32</v>
      </c>
    </row>
    <row r="2655" spans="1:10">
      <c r="A2655" s="3" t="s">
        <v>2607</v>
      </c>
      <c r="D2655">
        <v>3</v>
      </c>
      <c r="J2655">
        <v>32</v>
      </c>
    </row>
    <row r="2656" spans="1:10">
      <c r="A2656" s="3" t="s">
        <v>2608</v>
      </c>
      <c r="D2656">
        <v>3</v>
      </c>
      <c r="J2656">
        <v>32</v>
      </c>
    </row>
    <row r="2657" spans="1:10">
      <c r="A2657" s="3" t="s">
        <v>2609</v>
      </c>
      <c r="D2657">
        <v>3</v>
      </c>
      <c r="J2657">
        <v>32</v>
      </c>
    </row>
    <row r="2658" spans="1:10">
      <c r="A2658" s="3" t="s">
        <v>2610</v>
      </c>
      <c r="D2658">
        <v>3</v>
      </c>
      <c r="J2658">
        <v>32</v>
      </c>
    </row>
    <row r="2659" spans="1:10">
      <c r="A2659" s="3" t="s">
        <v>2611</v>
      </c>
      <c r="D2659">
        <v>3</v>
      </c>
      <c r="J2659">
        <v>32</v>
      </c>
    </row>
    <row r="2660" spans="1:10">
      <c r="A2660" s="3" t="s">
        <v>2612</v>
      </c>
      <c r="D2660">
        <v>3</v>
      </c>
      <c r="J2660">
        <v>32</v>
      </c>
    </row>
    <row r="2661" spans="1:10">
      <c r="A2661" s="3" t="s">
        <v>2613</v>
      </c>
      <c r="D2661">
        <v>3</v>
      </c>
      <c r="J2661">
        <v>32</v>
      </c>
    </row>
    <row r="2662" spans="1:10">
      <c r="A2662" s="3" t="s">
        <v>2614</v>
      </c>
      <c r="D2662">
        <v>3</v>
      </c>
      <c r="J2662">
        <v>32</v>
      </c>
    </row>
    <row r="2663" spans="1:10">
      <c r="A2663" s="3" t="s">
        <v>2615</v>
      </c>
      <c r="D2663">
        <v>3</v>
      </c>
      <c r="J2663">
        <v>32</v>
      </c>
    </row>
    <row r="2664" spans="1:10">
      <c r="A2664" s="3" t="s">
        <v>2616</v>
      </c>
      <c r="D2664">
        <v>3</v>
      </c>
      <c r="J2664">
        <v>32</v>
      </c>
    </row>
    <row r="2665" spans="1:10">
      <c r="A2665" s="3" t="s">
        <v>2617</v>
      </c>
      <c r="D2665">
        <v>3</v>
      </c>
      <c r="J2665">
        <v>32</v>
      </c>
    </row>
    <row r="2666" spans="1:10">
      <c r="A2666" s="3" t="s">
        <v>2618</v>
      </c>
      <c r="D2666">
        <v>3</v>
      </c>
      <c r="J2666">
        <v>32</v>
      </c>
    </row>
    <row r="2667" spans="1:10">
      <c r="A2667" s="3" t="s">
        <v>2619</v>
      </c>
      <c r="D2667">
        <v>3</v>
      </c>
      <c r="J2667">
        <v>32</v>
      </c>
    </row>
    <row r="2668" spans="1:10">
      <c r="A2668" s="3" t="s">
        <v>2620</v>
      </c>
      <c r="D2668">
        <v>3</v>
      </c>
      <c r="J2668">
        <v>32</v>
      </c>
    </row>
    <row r="2669" spans="1:10">
      <c r="A2669" s="3" t="s">
        <v>2621</v>
      </c>
      <c r="D2669">
        <v>3</v>
      </c>
      <c r="J2669">
        <v>32</v>
      </c>
    </row>
    <row r="2670" spans="1:10">
      <c r="A2670" s="3" t="s">
        <v>2622</v>
      </c>
      <c r="D2670">
        <v>3</v>
      </c>
      <c r="J2670">
        <v>32</v>
      </c>
    </row>
    <row r="2671" spans="1:10">
      <c r="A2671" s="3" t="s">
        <v>2623</v>
      </c>
      <c r="D2671">
        <v>3</v>
      </c>
      <c r="J2671">
        <v>32</v>
      </c>
    </row>
    <row r="2672" spans="1:10">
      <c r="A2672" s="3" t="s">
        <v>2624</v>
      </c>
      <c r="D2672">
        <v>3</v>
      </c>
      <c r="J2672">
        <v>32</v>
      </c>
    </row>
    <row r="2673" spans="1:10">
      <c r="A2673" s="3" t="s">
        <v>2625</v>
      </c>
      <c r="D2673">
        <v>3</v>
      </c>
      <c r="J2673">
        <v>32</v>
      </c>
    </row>
    <row r="2674" spans="1:10">
      <c r="A2674" s="3" t="s">
        <v>2626</v>
      </c>
      <c r="D2674">
        <v>3</v>
      </c>
      <c r="J2674">
        <v>32</v>
      </c>
    </row>
    <row r="2675" spans="1:10">
      <c r="A2675" s="3" t="s">
        <v>2627</v>
      </c>
      <c r="D2675">
        <v>3</v>
      </c>
      <c r="J2675">
        <v>32</v>
      </c>
    </row>
    <row r="2676" spans="1:10">
      <c r="A2676" s="3" t="s">
        <v>2628</v>
      </c>
      <c r="D2676">
        <v>3</v>
      </c>
      <c r="J2676">
        <v>32</v>
      </c>
    </row>
    <row r="2677" spans="1:10">
      <c r="A2677" s="3" t="s">
        <v>2629</v>
      </c>
      <c r="D2677">
        <v>3</v>
      </c>
      <c r="J2677">
        <v>32</v>
      </c>
    </row>
    <row r="2678" spans="1:10">
      <c r="A2678" s="3" t="s">
        <v>2630</v>
      </c>
      <c r="D2678">
        <v>3</v>
      </c>
      <c r="J2678">
        <v>32</v>
      </c>
    </row>
    <row r="2679" spans="1:10">
      <c r="A2679" s="3" t="s">
        <v>2631</v>
      </c>
      <c r="D2679">
        <v>3</v>
      </c>
      <c r="J2679">
        <v>32</v>
      </c>
    </row>
    <row r="2680" spans="1:10">
      <c r="A2680" s="3" t="s">
        <v>2632</v>
      </c>
      <c r="D2680">
        <v>3</v>
      </c>
      <c r="J2680">
        <v>32</v>
      </c>
    </row>
    <row r="2681" spans="1:10">
      <c r="A2681" s="3" t="s">
        <v>2633</v>
      </c>
      <c r="D2681">
        <v>3</v>
      </c>
      <c r="J2681">
        <v>32</v>
      </c>
    </row>
    <row r="2682" spans="1:10">
      <c r="A2682" s="3" t="s">
        <v>2634</v>
      </c>
      <c r="D2682">
        <v>3</v>
      </c>
      <c r="J2682">
        <v>32</v>
      </c>
    </row>
    <row r="2683" spans="1:10">
      <c r="A2683" s="3" t="s">
        <v>2635</v>
      </c>
      <c r="D2683">
        <v>3</v>
      </c>
      <c r="J2683">
        <v>32</v>
      </c>
    </row>
    <row r="2684" spans="1:10">
      <c r="A2684" s="3" t="s">
        <v>2636</v>
      </c>
      <c r="D2684">
        <v>3</v>
      </c>
      <c r="J2684">
        <v>32</v>
      </c>
    </row>
    <row r="2685" spans="1:10">
      <c r="A2685" s="3" t="s">
        <v>2637</v>
      </c>
      <c r="D2685">
        <v>3</v>
      </c>
      <c r="J2685">
        <v>32</v>
      </c>
    </row>
    <row r="2686" spans="1:10">
      <c r="A2686" s="3" t="s">
        <v>2638</v>
      </c>
      <c r="D2686">
        <v>3</v>
      </c>
      <c r="J2686">
        <v>32</v>
      </c>
    </row>
    <row r="2687" spans="1:10">
      <c r="A2687" s="3" t="s">
        <v>2639</v>
      </c>
      <c r="D2687">
        <v>3</v>
      </c>
      <c r="J2687">
        <v>32</v>
      </c>
    </row>
    <row r="2688" spans="1:10">
      <c r="A2688" s="3" t="s">
        <v>2640</v>
      </c>
      <c r="D2688">
        <v>3</v>
      </c>
      <c r="J2688">
        <v>32</v>
      </c>
    </row>
    <row r="2689" spans="1:46">
      <c r="A2689" s="3" t="s">
        <v>2641</v>
      </c>
      <c r="D2689">
        <v>3</v>
      </c>
      <c r="J2689">
        <v>32</v>
      </c>
    </row>
    <row r="2690" spans="1:46">
      <c r="A2690" s="3" t="s">
        <v>2642</v>
      </c>
      <c r="D2690">
        <v>3</v>
      </c>
      <c r="J2690">
        <v>32</v>
      </c>
    </row>
    <row r="2691" spans="1:46">
      <c r="A2691" s="3" t="s">
        <v>2643</v>
      </c>
      <c r="D2691">
        <v>3</v>
      </c>
      <c r="J2691">
        <v>32</v>
      </c>
    </row>
    <row r="2692" spans="1:46">
      <c r="A2692" s="3" t="s">
        <v>2644</v>
      </c>
      <c r="D2692">
        <v>3</v>
      </c>
      <c r="J2692">
        <v>32</v>
      </c>
    </row>
    <row r="2693" spans="1:46">
      <c r="A2693" s="3" t="s">
        <v>2645</v>
      </c>
      <c r="D2693">
        <v>3</v>
      </c>
      <c r="J2693">
        <v>32</v>
      </c>
    </row>
    <row r="2694" spans="1:46">
      <c r="A2694" s="3" t="s">
        <v>2646</v>
      </c>
      <c r="D2694">
        <v>3</v>
      </c>
      <c r="J2694">
        <v>32</v>
      </c>
    </row>
    <row r="2695" spans="1:46">
      <c r="A2695" s="3" t="s">
        <v>2647</v>
      </c>
      <c r="D2695">
        <v>3</v>
      </c>
      <c r="J2695">
        <v>32</v>
      </c>
    </row>
    <row r="2696" spans="1:46">
      <c r="A2696" s="3" t="s">
        <v>2648</v>
      </c>
      <c r="D2696">
        <v>3</v>
      </c>
      <c r="J2696">
        <v>32</v>
      </c>
    </row>
    <row r="2697" spans="1:46">
      <c r="A2697" s="3" t="s">
        <v>2649</v>
      </c>
      <c r="D2697">
        <v>3</v>
      </c>
      <c r="J2697">
        <v>32</v>
      </c>
    </row>
    <row r="2698" spans="1:46">
      <c r="A2698" s="3" t="s">
        <v>2650</v>
      </c>
      <c r="D2698">
        <v>3</v>
      </c>
      <c r="J2698">
        <v>32</v>
      </c>
    </row>
    <row r="2699" spans="1:46">
      <c r="A2699" s="3" t="s">
        <v>2651</v>
      </c>
      <c r="D2699">
        <v>3</v>
      </c>
      <c r="J2699">
        <v>32</v>
      </c>
    </row>
    <row r="2700" spans="1:46">
      <c r="A2700" s="3" t="s">
        <v>2652</v>
      </c>
      <c r="D2700">
        <v>3</v>
      </c>
      <c r="J2700">
        <v>32</v>
      </c>
    </row>
    <row r="2701" spans="1:46">
      <c r="A2701" s="3" t="s">
        <v>2653</v>
      </c>
      <c r="D2701">
        <v>3</v>
      </c>
      <c r="J2701">
        <v>32</v>
      </c>
    </row>
    <row r="2702" spans="1:46">
      <c r="A2702" s="3" t="s">
        <v>2654</v>
      </c>
      <c r="D2702">
        <v>3</v>
      </c>
      <c r="AT2702">
        <v>14</v>
      </c>
    </row>
    <row r="2703" spans="1:46">
      <c r="A2703" s="3" t="s">
        <v>2655</v>
      </c>
      <c r="D2703">
        <v>3</v>
      </c>
      <c r="AT2703">
        <v>14</v>
      </c>
    </row>
    <row r="2704" spans="1:46">
      <c r="A2704" s="3" t="s">
        <v>2656</v>
      </c>
      <c r="D2704">
        <v>3</v>
      </c>
      <c r="AT2704">
        <v>14</v>
      </c>
    </row>
    <row r="2705" spans="1:46">
      <c r="A2705" s="3" t="s">
        <v>2657</v>
      </c>
      <c r="D2705">
        <v>3</v>
      </c>
      <c r="AT2705">
        <v>14</v>
      </c>
    </row>
    <row r="2706" spans="1:46">
      <c r="A2706" s="3" t="s">
        <v>2658</v>
      </c>
      <c r="D2706">
        <v>3</v>
      </c>
      <c r="AT2706">
        <v>14</v>
      </c>
    </row>
    <row r="2707" spans="1:46">
      <c r="A2707" s="3" t="s">
        <v>2659</v>
      </c>
      <c r="D2707">
        <v>3</v>
      </c>
      <c r="AT2707">
        <v>14</v>
      </c>
    </row>
    <row r="2708" spans="1:46">
      <c r="A2708" s="3" t="s">
        <v>2660</v>
      </c>
      <c r="D2708">
        <v>3</v>
      </c>
      <c r="AT2708">
        <v>14</v>
      </c>
    </row>
    <row r="2709" spans="1:46">
      <c r="A2709" s="3" t="s">
        <v>2661</v>
      </c>
      <c r="D2709">
        <v>3</v>
      </c>
      <c r="AT2709">
        <v>14</v>
      </c>
    </row>
    <row r="2710" spans="1:46">
      <c r="A2710" s="3" t="s">
        <v>2662</v>
      </c>
      <c r="D2710">
        <v>3</v>
      </c>
      <c r="AT2710">
        <v>14</v>
      </c>
    </row>
    <row r="2711" spans="1:46">
      <c r="A2711" s="3" t="s">
        <v>2663</v>
      </c>
      <c r="D2711">
        <v>3</v>
      </c>
      <c r="AT2711">
        <v>14</v>
      </c>
    </row>
    <row r="2712" spans="1:46">
      <c r="A2712" s="3" t="s">
        <v>2664</v>
      </c>
      <c r="D2712">
        <v>3</v>
      </c>
      <c r="AT2712">
        <v>14</v>
      </c>
    </row>
    <row r="2713" spans="1:46">
      <c r="A2713" s="3" t="s">
        <v>2665</v>
      </c>
      <c r="D2713">
        <v>3</v>
      </c>
      <c r="AT2713">
        <v>14</v>
      </c>
    </row>
    <row r="2714" spans="1:46">
      <c r="A2714" s="3" t="s">
        <v>2666</v>
      </c>
      <c r="D2714">
        <v>3</v>
      </c>
      <c r="AT2714">
        <v>14</v>
      </c>
    </row>
    <row r="2715" spans="1:46">
      <c r="A2715" s="3" t="s">
        <v>2667</v>
      </c>
      <c r="D2715">
        <v>3</v>
      </c>
      <c r="AT2715">
        <v>14</v>
      </c>
    </row>
    <row r="2716" spans="1:46">
      <c r="A2716" s="3" t="s">
        <v>2668</v>
      </c>
      <c r="D2716">
        <v>3</v>
      </c>
      <c r="AT2716">
        <v>14</v>
      </c>
    </row>
    <row r="2717" spans="1:46">
      <c r="A2717" s="3" t="s">
        <v>2669</v>
      </c>
      <c r="D2717">
        <v>3</v>
      </c>
      <c r="AT2717">
        <v>14</v>
      </c>
    </row>
    <row r="2718" spans="1:46">
      <c r="A2718" s="3" t="s">
        <v>2670</v>
      </c>
      <c r="D2718">
        <v>3</v>
      </c>
      <c r="J2718">
        <v>33</v>
      </c>
    </row>
    <row r="2719" spans="1:46">
      <c r="A2719" s="3" t="s">
        <v>2671</v>
      </c>
      <c r="D2719">
        <v>3</v>
      </c>
      <c r="J2719">
        <v>33</v>
      </c>
    </row>
    <row r="2720" spans="1:46">
      <c r="A2720" s="3" t="s">
        <v>2672</v>
      </c>
      <c r="D2720">
        <v>3</v>
      </c>
      <c r="J2720">
        <v>33</v>
      </c>
    </row>
    <row r="2721" spans="1:46">
      <c r="A2721" s="3" t="s">
        <v>2673</v>
      </c>
      <c r="D2721">
        <v>3</v>
      </c>
      <c r="J2721">
        <v>33</v>
      </c>
    </row>
    <row r="2722" spans="1:46">
      <c r="A2722" s="3" t="s">
        <v>2674</v>
      </c>
      <c r="D2722">
        <v>3</v>
      </c>
      <c r="J2722">
        <v>33</v>
      </c>
    </row>
    <row r="2723" spans="1:46">
      <c r="A2723" s="3" t="s">
        <v>2675</v>
      </c>
      <c r="D2723">
        <v>3</v>
      </c>
      <c r="J2723">
        <v>33</v>
      </c>
    </row>
    <row r="2724" spans="1:46">
      <c r="A2724" s="3" t="s">
        <v>2676</v>
      </c>
      <c r="D2724">
        <v>3</v>
      </c>
      <c r="J2724">
        <v>33</v>
      </c>
    </row>
    <row r="2725" spans="1:46">
      <c r="A2725" s="3" t="s">
        <v>2677</v>
      </c>
      <c r="D2725">
        <v>3</v>
      </c>
      <c r="J2725">
        <v>33</v>
      </c>
    </row>
    <row r="2726" spans="1:46">
      <c r="A2726" s="3" t="s">
        <v>2678</v>
      </c>
      <c r="D2726">
        <v>3</v>
      </c>
      <c r="J2726">
        <v>33</v>
      </c>
    </row>
    <row r="2727" spans="1:46">
      <c r="A2727" s="3" t="s">
        <v>2679</v>
      </c>
      <c r="D2727">
        <v>3</v>
      </c>
      <c r="AT2727">
        <v>15</v>
      </c>
    </row>
    <row r="2728" spans="1:46">
      <c r="A2728" s="3" t="s">
        <v>2680</v>
      </c>
      <c r="D2728">
        <v>3</v>
      </c>
      <c r="AT2728">
        <v>15</v>
      </c>
    </row>
    <row r="2729" spans="1:46">
      <c r="A2729" s="3" t="s">
        <v>2681</v>
      </c>
      <c r="D2729">
        <v>3</v>
      </c>
      <c r="AT2729">
        <v>15</v>
      </c>
    </row>
    <row r="2730" spans="1:46">
      <c r="A2730" s="3" t="s">
        <v>2682</v>
      </c>
      <c r="D2730">
        <v>3</v>
      </c>
      <c r="AT2730">
        <v>15</v>
      </c>
    </row>
    <row r="2731" spans="1:46">
      <c r="A2731" s="3" t="s">
        <v>2683</v>
      </c>
      <c r="D2731">
        <v>3</v>
      </c>
      <c r="AT2731">
        <v>15</v>
      </c>
    </row>
    <row r="2732" spans="1:46">
      <c r="A2732" s="3" t="s">
        <v>2684</v>
      </c>
      <c r="D2732">
        <v>3</v>
      </c>
      <c r="AT2732">
        <v>15</v>
      </c>
    </row>
    <row r="2733" spans="1:46">
      <c r="A2733" s="3" t="s">
        <v>2685</v>
      </c>
      <c r="D2733">
        <v>3</v>
      </c>
      <c r="AT2733">
        <v>15</v>
      </c>
    </row>
    <row r="2734" spans="1:46">
      <c r="A2734" s="3" t="s">
        <v>2686</v>
      </c>
      <c r="D2734">
        <v>3</v>
      </c>
      <c r="AT2734">
        <v>15</v>
      </c>
    </row>
    <row r="2735" spans="1:46">
      <c r="A2735" s="3" t="s">
        <v>2687</v>
      </c>
      <c r="D2735">
        <v>3</v>
      </c>
      <c r="K2735">
        <v>3</v>
      </c>
    </row>
    <row r="2736" spans="1:46">
      <c r="A2736" s="3" t="s">
        <v>2688</v>
      </c>
      <c r="D2736">
        <v>3</v>
      </c>
      <c r="K2736">
        <v>3</v>
      </c>
    </row>
    <row r="2737" spans="1:11">
      <c r="A2737" s="3" t="s">
        <v>2689</v>
      </c>
      <c r="D2737">
        <v>3</v>
      </c>
      <c r="K2737">
        <v>3</v>
      </c>
    </row>
    <row r="2738" spans="1:11">
      <c r="A2738" s="3" t="s">
        <v>2690</v>
      </c>
      <c r="D2738">
        <v>3</v>
      </c>
      <c r="K2738">
        <v>3</v>
      </c>
    </row>
    <row r="2739" spans="1:11">
      <c r="A2739" s="3" t="s">
        <v>2691</v>
      </c>
      <c r="D2739">
        <v>3</v>
      </c>
      <c r="K2739">
        <v>3</v>
      </c>
    </row>
    <row r="2740" spans="1:11">
      <c r="A2740" s="3" t="s">
        <v>2692</v>
      </c>
      <c r="D2740">
        <v>3</v>
      </c>
      <c r="K2740">
        <v>3</v>
      </c>
    </row>
    <row r="2741" spans="1:11">
      <c r="A2741" s="3" t="s">
        <v>2693</v>
      </c>
      <c r="D2741">
        <v>3</v>
      </c>
      <c r="K2741">
        <v>3</v>
      </c>
    </row>
    <row r="2742" spans="1:11">
      <c r="A2742" s="3" t="s">
        <v>2694</v>
      </c>
      <c r="D2742">
        <v>3</v>
      </c>
      <c r="K2742">
        <v>3</v>
      </c>
    </row>
    <row r="2743" spans="1:11">
      <c r="A2743" s="3" t="s">
        <v>2695</v>
      </c>
      <c r="D2743">
        <v>3</v>
      </c>
      <c r="K2743">
        <v>3</v>
      </c>
    </row>
    <row r="2744" spans="1:11">
      <c r="A2744" s="3" t="s">
        <v>2696</v>
      </c>
      <c r="D2744">
        <v>3</v>
      </c>
      <c r="K2744">
        <v>3</v>
      </c>
    </row>
    <row r="2745" spans="1:11">
      <c r="A2745" s="3" t="s">
        <v>2697</v>
      </c>
      <c r="D2745">
        <v>3</v>
      </c>
      <c r="K2745">
        <v>3</v>
      </c>
    </row>
    <row r="2746" spans="1:11">
      <c r="A2746" s="3" t="s">
        <v>2698</v>
      </c>
      <c r="D2746">
        <v>3</v>
      </c>
      <c r="K2746">
        <v>3</v>
      </c>
    </row>
    <row r="2747" spans="1:11">
      <c r="A2747" s="3" t="s">
        <v>2699</v>
      </c>
      <c r="D2747">
        <v>3</v>
      </c>
      <c r="K2747">
        <v>3</v>
      </c>
    </row>
    <row r="2748" spans="1:11">
      <c r="A2748" s="3" t="s">
        <v>2700</v>
      </c>
      <c r="D2748">
        <v>3</v>
      </c>
      <c r="K2748">
        <v>3</v>
      </c>
    </row>
    <row r="2749" spans="1:11">
      <c r="A2749" s="3" t="s">
        <v>2701</v>
      </c>
      <c r="D2749">
        <v>3</v>
      </c>
      <c r="K2749">
        <v>3</v>
      </c>
    </row>
    <row r="2750" spans="1:11">
      <c r="A2750" s="3" t="s">
        <v>2702</v>
      </c>
      <c r="D2750">
        <v>3</v>
      </c>
      <c r="K2750">
        <v>3</v>
      </c>
    </row>
    <row r="2751" spans="1:11">
      <c r="A2751" s="3" t="s">
        <v>2703</v>
      </c>
      <c r="D2751">
        <v>3</v>
      </c>
      <c r="K2751">
        <v>3</v>
      </c>
    </row>
    <row r="2752" spans="1:11">
      <c r="A2752" s="3" t="s">
        <v>2704</v>
      </c>
      <c r="D2752">
        <v>3</v>
      </c>
      <c r="K2752">
        <v>3</v>
      </c>
    </row>
    <row r="2753" spans="1:11">
      <c r="A2753" s="3" t="s">
        <v>2705</v>
      </c>
      <c r="D2753">
        <v>3</v>
      </c>
      <c r="K2753">
        <v>3</v>
      </c>
    </row>
    <row r="2754" spans="1:11">
      <c r="A2754" s="3" t="s">
        <v>2706</v>
      </c>
      <c r="D2754">
        <v>3</v>
      </c>
      <c r="K2754">
        <v>3</v>
      </c>
    </row>
    <row r="2755" spans="1:11">
      <c r="A2755" s="3" t="s">
        <v>2707</v>
      </c>
      <c r="D2755">
        <v>3</v>
      </c>
      <c r="K2755">
        <v>3</v>
      </c>
    </row>
    <row r="2756" spans="1:11">
      <c r="A2756" s="3" t="s">
        <v>2708</v>
      </c>
      <c r="D2756">
        <v>3</v>
      </c>
      <c r="K2756">
        <v>3</v>
      </c>
    </row>
    <row r="2757" spans="1:11">
      <c r="A2757" s="3" t="s">
        <v>2709</v>
      </c>
      <c r="D2757">
        <v>3</v>
      </c>
      <c r="K2757">
        <v>3</v>
      </c>
    </row>
    <row r="2758" spans="1:11">
      <c r="A2758" s="3" t="s">
        <v>2710</v>
      </c>
      <c r="D2758">
        <v>3</v>
      </c>
      <c r="K2758">
        <v>3</v>
      </c>
    </row>
    <row r="2759" spans="1:11">
      <c r="A2759" s="3" t="s">
        <v>2711</v>
      </c>
      <c r="D2759">
        <v>3</v>
      </c>
      <c r="K2759">
        <v>3</v>
      </c>
    </row>
    <row r="2760" spans="1:11">
      <c r="A2760" s="3" t="s">
        <v>2712</v>
      </c>
      <c r="D2760">
        <v>3</v>
      </c>
      <c r="K2760">
        <v>3</v>
      </c>
    </row>
    <row r="2761" spans="1:11">
      <c r="A2761" s="3" t="s">
        <v>2713</v>
      </c>
      <c r="D2761">
        <v>3</v>
      </c>
      <c r="K2761">
        <v>3</v>
      </c>
    </row>
    <row r="2762" spans="1:11">
      <c r="A2762" s="3" t="s">
        <v>2714</v>
      </c>
      <c r="D2762">
        <v>3</v>
      </c>
      <c r="K2762">
        <v>3</v>
      </c>
    </row>
    <row r="2763" spans="1:11">
      <c r="A2763" s="3" t="s">
        <v>2715</v>
      </c>
      <c r="D2763">
        <v>3</v>
      </c>
      <c r="K2763">
        <v>3</v>
      </c>
    </row>
    <row r="2764" spans="1:11">
      <c r="A2764" s="3" t="s">
        <v>2716</v>
      </c>
      <c r="D2764">
        <v>3</v>
      </c>
      <c r="K2764">
        <v>3</v>
      </c>
    </row>
    <row r="2765" spans="1:11">
      <c r="A2765" s="3" t="s">
        <v>2717</v>
      </c>
      <c r="D2765">
        <v>3</v>
      </c>
      <c r="K2765">
        <v>3</v>
      </c>
    </row>
    <row r="2766" spans="1:11">
      <c r="A2766" s="3" t="s">
        <v>2718</v>
      </c>
      <c r="D2766">
        <v>3</v>
      </c>
      <c r="K2766">
        <v>3</v>
      </c>
    </row>
    <row r="2767" spans="1:11">
      <c r="A2767" s="3" t="s">
        <v>2719</v>
      </c>
      <c r="D2767">
        <v>3</v>
      </c>
      <c r="K2767">
        <v>3</v>
      </c>
    </row>
    <row r="2768" spans="1:11">
      <c r="A2768" s="3" t="s">
        <v>2720</v>
      </c>
      <c r="D2768">
        <v>3</v>
      </c>
      <c r="K2768">
        <v>3</v>
      </c>
    </row>
    <row r="2769" spans="1:11">
      <c r="A2769" s="3" t="s">
        <v>2721</v>
      </c>
      <c r="D2769">
        <v>3</v>
      </c>
      <c r="K2769">
        <v>3</v>
      </c>
    </row>
    <row r="2770" spans="1:11">
      <c r="A2770" s="3" t="s">
        <v>2722</v>
      </c>
      <c r="D2770">
        <v>3</v>
      </c>
      <c r="K2770">
        <v>3</v>
      </c>
    </row>
    <row r="2771" spans="1:11">
      <c r="A2771" s="3" t="s">
        <v>2723</v>
      </c>
      <c r="D2771">
        <v>3</v>
      </c>
      <c r="K2771">
        <v>3</v>
      </c>
    </row>
    <row r="2772" spans="1:11">
      <c r="A2772" s="3" t="s">
        <v>2724</v>
      </c>
      <c r="D2772">
        <v>3</v>
      </c>
      <c r="K2772">
        <v>3</v>
      </c>
    </row>
    <row r="2773" spans="1:11">
      <c r="A2773" s="3" t="s">
        <v>2725</v>
      </c>
      <c r="D2773">
        <v>3</v>
      </c>
      <c r="K2773">
        <v>3</v>
      </c>
    </row>
    <row r="2774" spans="1:11">
      <c r="A2774" s="3" t="s">
        <v>2726</v>
      </c>
      <c r="D2774">
        <v>3</v>
      </c>
      <c r="K2774">
        <v>3</v>
      </c>
    </row>
    <row r="2775" spans="1:11">
      <c r="A2775" s="3" t="s">
        <v>2727</v>
      </c>
      <c r="D2775">
        <v>3</v>
      </c>
      <c r="K2775">
        <v>3</v>
      </c>
    </row>
    <row r="2776" spans="1:11">
      <c r="A2776" s="3" t="s">
        <v>2728</v>
      </c>
      <c r="D2776">
        <v>3</v>
      </c>
      <c r="K2776">
        <v>3</v>
      </c>
    </row>
    <row r="2777" spans="1:11">
      <c r="A2777" s="3" t="s">
        <v>2729</v>
      </c>
      <c r="D2777">
        <v>3</v>
      </c>
      <c r="K2777">
        <v>3</v>
      </c>
    </row>
    <row r="2778" spans="1:11">
      <c r="A2778" s="3" t="s">
        <v>2730</v>
      </c>
      <c r="D2778">
        <v>3</v>
      </c>
      <c r="K2778">
        <v>3</v>
      </c>
    </row>
    <row r="2779" spans="1:11">
      <c r="A2779" s="3" t="s">
        <v>2731</v>
      </c>
      <c r="D2779">
        <v>3</v>
      </c>
      <c r="K2779">
        <v>3</v>
      </c>
    </row>
    <row r="2780" spans="1:11">
      <c r="A2780" s="3" t="s">
        <v>2732</v>
      </c>
      <c r="D2780">
        <v>3</v>
      </c>
      <c r="K2780">
        <v>3</v>
      </c>
    </row>
    <row r="2781" spans="1:11">
      <c r="A2781" s="3" t="s">
        <v>2733</v>
      </c>
      <c r="D2781">
        <v>3</v>
      </c>
      <c r="K2781">
        <v>3</v>
      </c>
    </row>
    <row r="2782" spans="1:11">
      <c r="A2782" s="3" t="s">
        <v>2734</v>
      </c>
      <c r="D2782">
        <v>3</v>
      </c>
      <c r="K2782">
        <v>3</v>
      </c>
    </row>
    <row r="2783" spans="1:11">
      <c r="A2783" s="3" t="s">
        <v>2735</v>
      </c>
      <c r="D2783">
        <v>3</v>
      </c>
      <c r="K2783">
        <v>3</v>
      </c>
    </row>
    <row r="2784" spans="1:11">
      <c r="A2784" s="3" t="s">
        <v>2736</v>
      </c>
      <c r="D2784">
        <v>3</v>
      </c>
      <c r="K2784">
        <v>3</v>
      </c>
    </row>
    <row r="2785" spans="1:11">
      <c r="A2785" s="3" t="s">
        <v>2737</v>
      </c>
      <c r="D2785">
        <v>3</v>
      </c>
      <c r="K2785">
        <v>3</v>
      </c>
    </row>
    <row r="2786" spans="1:11">
      <c r="A2786" s="3" t="s">
        <v>2738</v>
      </c>
      <c r="D2786">
        <v>3</v>
      </c>
      <c r="K2786">
        <v>3</v>
      </c>
    </row>
    <row r="2787" spans="1:11">
      <c r="A2787" s="3" t="s">
        <v>2739</v>
      </c>
      <c r="C2787">
        <v>3</v>
      </c>
      <c r="D2787">
        <v>3</v>
      </c>
      <c r="J2787">
        <v>34</v>
      </c>
    </row>
    <row r="2788" spans="1:11">
      <c r="A2788" s="3" t="s">
        <v>2740</v>
      </c>
      <c r="C2788">
        <v>3</v>
      </c>
      <c r="D2788">
        <v>3</v>
      </c>
      <c r="J2788">
        <v>34</v>
      </c>
    </row>
    <row r="2789" spans="1:11">
      <c r="A2789" s="3" t="s">
        <v>2741</v>
      </c>
      <c r="C2789">
        <v>3</v>
      </c>
      <c r="D2789">
        <v>3</v>
      </c>
      <c r="J2789">
        <v>34</v>
      </c>
    </row>
    <row r="2790" spans="1:11">
      <c r="A2790" s="3" t="s">
        <v>2742</v>
      </c>
      <c r="C2790">
        <v>3</v>
      </c>
      <c r="D2790">
        <v>3</v>
      </c>
      <c r="J2790">
        <v>34</v>
      </c>
    </row>
    <row r="2791" spans="1:11">
      <c r="A2791" s="3" t="s">
        <v>2743</v>
      </c>
      <c r="C2791">
        <v>3</v>
      </c>
      <c r="D2791">
        <v>3</v>
      </c>
      <c r="J2791">
        <v>34</v>
      </c>
    </row>
    <row r="2792" spans="1:11">
      <c r="A2792" s="3" t="s">
        <v>2744</v>
      </c>
      <c r="C2792">
        <v>3</v>
      </c>
      <c r="D2792">
        <v>3</v>
      </c>
      <c r="J2792">
        <v>34</v>
      </c>
    </row>
    <row r="2793" spans="1:11">
      <c r="A2793" s="3" t="s">
        <v>2745</v>
      </c>
      <c r="C2793">
        <v>3</v>
      </c>
      <c r="D2793">
        <v>3</v>
      </c>
      <c r="J2793">
        <v>34</v>
      </c>
    </row>
    <row r="2794" spans="1:11">
      <c r="A2794" s="3" t="s">
        <v>2746</v>
      </c>
      <c r="C2794">
        <v>3</v>
      </c>
      <c r="D2794">
        <v>3</v>
      </c>
      <c r="J2794">
        <v>34</v>
      </c>
    </row>
    <row r="2795" spans="1:11">
      <c r="A2795" s="3" t="s">
        <v>2747</v>
      </c>
      <c r="C2795">
        <v>3</v>
      </c>
      <c r="D2795">
        <v>3</v>
      </c>
      <c r="J2795">
        <v>34</v>
      </c>
    </row>
    <row r="2796" spans="1:11">
      <c r="A2796" s="3" t="s">
        <v>2748</v>
      </c>
      <c r="C2796">
        <v>3</v>
      </c>
      <c r="D2796">
        <v>3</v>
      </c>
      <c r="J2796">
        <v>34</v>
      </c>
    </row>
    <row r="2797" spans="1:11">
      <c r="A2797" s="3" t="s">
        <v>2749</v>
      </c>
      <c r="C2797">
        <v>3</v>
      </c>
      <c r="D2797">
        <v>3</v>
      </c>
      <c r="J2797">
        <v>34</v>
      </c>
    </row>
    <row r="2798" spans="1:11">
      <c r="A2798" s="3" t="s">
        <v>2750</v>
      </c>
      <c r="C2798">
        <v>3</v>
      </c>
      <c r="D2798">
        <v>3</v>
      </c>
      <c r="J2798">
        <v>34</v>
      </c>
    </row>
    <row r="2799" spans="1:11">
      <c r="A2799" s="3" t="s">
        <v>2751</v>
      </c>
      <c r="C2799">
        <v>3</v>
      </c>
      <c r="J2799">
        <v>34</v>
      </c>
    </row>
    <row r="2800" spans="1:11">
      <c r="A2800" s="3" t="s">
        <v>2752</v>
      </c>
      <c r="C2800">
        <v>3</v>
      </c>
      <c r="J2800">
        <v>34</v>
      </c>
    </row>
    <row r="2801" spans="1:47">
      <c r="A2801" s="3" t="s">
        <v>2753</v>
      </c>
      <c r="C2801">
        <v>3</v>
      </c>
      <c r="J2801">
        <v>34</v>
      </c>
    </row>
    <row r="2802" spans="1:47">
      <c r="A2802" s="3" t="s">
        <v>2754</v>
      </c>
      <c r="C2802">
        <v>3</v>
      </c>
      <c r="J2802">
        <v>34</v>
      </c>
    </row>
    <row r="2803" spans="1:47">
      <c r="A2803" s="3" t="s">
        <v>2755</v>
      </c>
      <c r="C2803">
        <v>3</v>
      </c>
      <c r="J2803">
        <v>34</v>
      </c>
    </row>
    <row r="2804" spans="1:47">
      <c r="A2804" s="3" t="s">
        <v>2756</v>
      </c>
      <c r="C2804">
        <v>3</v>
      </c>
      <c r="J2804">
        <v>34</v>
      </c>
    </row>
    <row r="2805" spans="1:47">
      <c r="A2805" s="3" t="s">
        <v>2757</v>
      </c>
      <c r="C2805">
        <v>3</v>
      </c>
      <c r="AU2805">
        <v>2</v>
      </c>
    </row>
    <row r="2806" spans="1:47">
      <c r="A2806" s="3" t="s">
        <v>2758</v>
      </c>
      <c r="C2806">
        <v>3</v>
      </c>
      <c r="AU2806">
        <v>2</v>
      </c>
    </row>
    <row r="2807" spans="1:47">
      <c r="A2807" s="3" t="s">
        <v>2759</v>
      </c>
      <c r="C2807">
        <v>3</v>
      </c>
      <c r="AU2807">
        <v>2</v>
      </c>
    </row>
    <row r="2808" spans="1:47">
      <c r="A2808" s="3" t="s">
        <v>2760</v>
      </c>
      <c r="C2808">
        <v>3</v>
      </c>
      <c r="AU2808">
        <v>2</v>
      </c>
    </row>
    <row r="2809" spans="1:47">
      <c r="A2809" s="3" t="s">
        <v>2761</v>
      </c>
      <c r="C2809">
        <v>3</v>
      </c>
      <c r="AU2809">
        <v>2</v>
      </c>
    </row>
    <row r="2810" spans="1:47">
      <c r="A2810" s="3" t="s">
        <v>2762</v>
      </c>
      <c r="C2810">
        <v>3</v>
      </c>
      <c r="AU2810">
        <v>2</v>
      </c>
    </row>
    <row r="2811" spans="1:47">
      <c r="A2811" s="3" t="s">
        <v>2763</v>
      </c>
      <c r="C2811">
        <v>3</v>
      </c>
      <c r="AU2811">
        <v>2</v>
      </c>
    </row>
    <row r="2812" spans="1:47">
      <c r="A2812" s="3" t="s">
        <v>2764</v>
      </c>
      <c r="C2812">
        <v>3</v>
      </c>
      <c r="AU2812">
        <v>2</v>
      </c>
    </row>
    <row r="2813" spans="1:47">
      <c r="A2813" s="3" t="s">
        <v>2765</v>
      </c>
      <c r="C2813">
        <v>3</v>
      </c>
      <c r="AU2813">
        <v>2</v>
      </c>
    </row>
    <row r="2814" spans="1:47">
      <c r="A2814" s="3" t="s">
        <v>2766</v>
      </c>
      <c r="C2814">
        <v>3</v>
      </c>
      <c r="AU2814">
        <v>2</v>
      </c>
    </row>
    <row r="2815" spans="1:47">
      <c r="A2815" s="3" t="s">
        <v>2767</v>
      </c>
      <c r="C2815">
        <v>3</v>
      </c>
      <c r="AU2815">
        <v>2</v>
      </c>
    </row>
    <row r="2816" spans="1:47">
      <c r="A2816" s="3" t="s">
        <v>2768</v>
      </c>
      <c r="C2816">
        <v>3</v>
      </c>
      <c r="AU2816">
        <v>2</v>
      </c>
    </row>
    <row r="2817" spans="1:47">
      <c r="A2817" s="3" t="s">
        <v>2769</v>
      </c>
      <c r="C2817">
        <v>3</v>
      </c>
      <c r="AU2817">
        <v>2</v>
      </c>
    </row>
    <row r="2818" spans="1:47">
      <c r="A2818" s="3" t="s">
        <v>2770</v>
      </c>
      <c r="C2818">
        <v>3</v>
      </c>
      <c r="AU2818">
        <v>2</v>
      </c>
    </row>
    <row r="2819" spans="1:47">
      <c r="A2819" s="3" t="s">
        <v>2771</v>
      </c>
      <c r="C2819">
        <v>3</v>
      </c>
      <c r="AU2819">
        <v>2</v>
      </c>
    </row>
    <row r="2820" spans="1:47">
      <c r="A2820" s="3" t="s">
        <v>2772</v>
      </c>
      <c r="C2820">
        <v>3</v>
      </c>
      <c r="AU2820">
        <v>2</v>
      </c>
    </row>
    <row r="2821" spans="1:47">
      <c r="A2821" s="3" t="s">
        <v>2773</v>
      </c>
      <c r="C2821">
        <v>3</v>
      </c>
      <c r="J2821">
        <v>35</v>
      </c>
    </row>
    <row r="2822" spans="1:47">
      <c r="A2822" s="3" t="s">
        <v>2774</v>
      </c>
      <c r="C2822">
        <v>3</v>
      </c>
      <c r="J2822">
        <v>35</v>
      </c>
    </row>
    <row r="2823" spans="1:47">
      <c r="A2823" s="3" t="s">
        <v>2775</v>
      </c>
      <c r="C2823">
        <v>3</v>
      </c>
      <c r="J2823">
        <v>35</v>
      </c>
    </row>
    <row r="2824" spans="1:47">
      <c r="A2824" s="3" t="s">
        <v>2776</v>
      </c>
      <c r="C2824">
        <v>3</v>
      </c>
      <c r="J2824">
        <v>35</v>
      </c>
    </row>
    <row r="2825" spans="1:47">
      <c r="A2825" s="3" t="s">
        <v>2777</v>
      </c>
      <c r="C2825">
        <v>3</v>
      </c>
      <c r="J2825">
        <v>35</v>
      </c>
    </row>
    <row r="2826" spans="1:47">
      <c r="A2826" s="3" t="s">
        <v>2778</v>
      </c>
      <c r="C2826">
        <v>3</v>
      </c>
      <c r="J2826">
        <v>35</v>
      </c>
    </row>
    <row r="2827" spans="1:47">
      <c r="A2827" s="3" t="s">
        <v>2779</v>
      </c>
      <c r="C2827">
        <v>3</v>
      </c>
      <c r="J2827">
        <v>35</v>
      </c>
    </row>
    <row r="2828" spans="1:47">
      <c r="A2828" s="3" t="s">
        <v>2780</v>
      </c>
      <c r="C2828">
        <v>3</v>
      </c>
      <c r="J2828">
        <v>35</v>
      </c>
    </row>
    <row r="2829" spans="1:47">
      <c r="A2829" s="3" t="s">
        <v>2781</v>
      </c>
      <c r="C2829">
        <v>3</v>
      </c>
      <c r="J2829">
        <v>35</v>
      </c>
    </row>
    <row r="2830" spans="1:47">
      <c r="A2830" s="3" t="s">
        <v>2782</v>
      </c>
      <c r="C2830">
        <v>3</v>
      </c>
      <c r="J2830">
        <v>35</v>
      </c>
    </row>
    <row r="2831" spans="1:47">
      <c r="A2831" s="3" t="s">
        <v>2783</v>
      </c>
      <c r="C2831">
        <v>3</v>
      </c>
      <c r="J2831">
        <v>35</v>
      </c>
    </row>
    <row r="2832" spans="1:47">
      <c r="A2832" s="3" t="s">
        <v>2784</v>
      </c>
      <c r="C2832">
        <v>3</v>
      </c>
      <c r="J2832">
        <v>35</v>
      </c>
    </row>
    <row r="2833" spans="1:10">
      <c r="A2833" s="3" t="s">
        <v>2785</v>
      </c>
      <c r="C2833">
        <v>3</v>
      </c>
      <c r="J2833">
        <v>35</v>
      </c>
    </row>
    <row r="2834" spans="1:10">
      <c r="A2834" s="3" t="s">
        <v>2786</v>
      </c>
      <c r="C2834">
        <v>3</v>
      </c>
      <c r="J2834">
        <v>35</v>
      </c>
    </row>
    <row r="2835" spans="1:10">
      <c r="A2835" s="3" t="s">
        <v>2787</v>
      </c>
      <c r="C2835">
        <v>3</v>
      </c>
      <c r="J2835">
        <v>35</v>
      </c>
    </row>
    <row r="2836" spans="1:10">
      <c r="A2836" s="3" t="s">
        <v>2788</v>
      </c>
      <c r="C2836">
        <v>3</v>
      </c>
      <c r="J2836">
        <v>35</v>
      </c>
    </row>
    <row r="2837" spans="1:10">
      <c r="A2837" s="3" t="s">
        <v>2789</v>
      </c>
      <c r="C2837">
        <v>3</v>
      </c>
      <c r="J2837">
        <v>35</v>
      </c>
    </row>
    <row r="2838" spans="1:10">
      <c r="A2838" s="3" t="s">
        <v>2790</v>
      </c>
      <c r="C2838">
        <v>3</v>
      </c>
      <c r="J2838">
        <v>35</v>
      </c>
    </row>
    <row r="2839" spans="1:10">
      <c r="A2839" s="3" t="s">
        <v>2791</v>
      </c>
      <c r="C2839">
        <v>3</v>
      </c>
      <c r="J2839">
        <v>35</v>
      </c>
    </row>
    <row r="2840" spans="1:10">
      <c r="A2840" s="3" t="s">
        <v>2792</v>
      </c>
      <c r="C2840">
        <v>3</v>
      </c>
      <c r="J2840">
        <v>35</v>
      </c>
    </row>
    <row r="2841" spans="1:10">
      <c r="A2841" s="3" t="s">
        <v>2793</v>
      </c>
      <c r="C2841">
        <v>3</v>
      </c>
      <c r="J2841">
        <v>35</v>
      </c>
    </row>
    <row r="2842" spans="1:10">
      <c r="A2842" s="3" t="s">
        <v>2794</v>
      </c>
      <c r="C2842">
        <v>3</v>
      </c>
      <c r="J2842">
        <v>35</v>
      </c>
    </row>
    <row r="2843" spans="1:10">
      <c r="A2843" s="3" t="s">
        <v>2795</v>
      </c>
      <c r="C2843">
        <v>3</v>
      </c>
      <c r="J2843">
        <v>35</v>
      </c>
    </row>
    <row r="2844" spans="1:10">
      <c r="A2844" s="3" t="s">
        <v>2796</v>
      </c>
      <c r="C2844">
        <v>3</v>
      </c>
      <c r="J2844">
        <v>35</v>
      </c>
    </row>
    <row r="2845" spans="1:10">
      <c r="A2845" s="3" t="s">
        <v>2797</v>
      </c>
      <c r="C2845">
        <v>3</v>
      </c>
      <c r="J2845">
        <v>35</v>
      </c>
    </row>
    <row r="2846" spans="1:10">
      <c r="A2846" s="3" t="s">
        <v>2798</v>
      </c>
      <c r="C2846">
        <v>3</v>
      </c>
      <c r="J2846">
        <v>35</v>
      </c>
    </row>
    <row r="2847" spans="1:10">
      <c r="A2847" s="3" t="s">
        <v>2799</v>
      </c>
      <c r="C2847">
        <v>3</v>
      </c>
      <c r="J2847">
        <v>35</v>
      </c>
    </row>
    <row r="2848" spans="1:10">
      <c r="A2848" s="3" t="s">
        <v>2800</v>
      </c>
      <c r="C2848">
        <v>3</v>
      </c>
      <c r="J2848">
        <v>35</v>
      </c>
    </row>
    <row r="2849" spans="1:11">
      <c r="A2849" s="3" t="s">
        <v>2801</v>
      </c>
      <c r="C2849">
        <v>3</v>
      </c>
      <c r="J2849">
        <v>35</v>
      </c>
    </row>
    <row r="2850" spans="1:11">
      <c r="A2850" s="3" t="s">
        <v>2802</v>
      </c>
      <c r="C2850">
        <v>3</v>
      </c>
      <c r="J2850">
        <v>35</v>
      </c>
    </row>
    <row r="2851" spans="1:11">
      <c r="A2851" s="3" t="s">
        <v>2803</v>
      </c>
      <c r="C2851">
        <v>3</v>
      </c>
      <c r="J2851">
        <v>35</v>
      </c>
    </row>
    <row r="2852" spans="1:11">
      <c r="A2852" s="3" t="s">
        <v>2804</v>
      </c>
      <c r="C2852">
        <v>3</v>
      </c>
      <c r="J2852">
        <v>35</v>
      </c>
    </row>
    <row r="2853" spans="1:11">
      <c r="A2853" s="3" t="s">
        <v>2805</v>
      </c>
      <c r="C2853">
        <v>3</v>
      </c>
      <c r="J2853">
        <v>35</v>
      </c>
    </row>
    <row r="2854" spans="1:11">
      <c r="A2854" s="3" t="s">
        <v>2806</v>
      </c>
      <c r="C2854">
        <v>3</v>
      </c>
      <c r="J2854">
        <v>35</v>
      </c>
    </row>
    <row r="2855" spans="1:11">
      <c r="A2855" s="3" t="s">
        <v>2807</v>
      </c>
      <c r="C2855">
        <v>3</v>
      </c>
      <c r="J2855">
        <v>35</v>
      </c>
    </row>
    <row r="2856" spans="1:11">
      <c r="A2856" s="3" t="s">
        <v>2808</v>
      </c>
      <c r="C2856">
        <v>3</v>
      </c>
      <c r="J2856">
        <v>35</v>
      </c>
    </row>
    <row r="2857" spans="1:11">
      <c r="A2857" s="3" t="s">
        <v>2809</v>
      </c>
      <c r="C2857">
        <v>3</v>
      </c>
      <c r="J2857">
        <v>35</v>
      </c>
    </row>
    <row r="2858" spans="1:11">
      <c r="A2858" s="3" t="s">
        <v>2810</v>
      </c>
      <c r="C2858">
        <v>3</v>
      </c>
      <c r="J2858">
        <v>35</v>
      </c>
    </row>
    <row r="2859" spans="1:11">
      <c r="A2859" s="3" t="s">
        <v>2811</v>
      </c>
      <c r="C2859">
        <v>3</v>
      </c>
      <c r="J2859">
        <v>35</v>
      </c>
    </row>
    <row r="2860" spans="1:11">
      <c r="A2860" s="3" t="s">
        <v>2812</v>
      </c>
      <c r="C2860">
        <v>3</v>
      </c>
      <c r="J2860">
        <v>35</v>
      </c>
    </row>
    <row r="2861" spans="1:11">
      <c r="A2861" s="3" t="s">
        <v>2813</v>
      </c>
      <c r="C2861">
        <v>3</v>
      </c>
      <c r="J2861">
        <v>35</v>
      </c>
    </row>
    <row r="2862" spans="1:11">
      <c r="A2862" s="3" t="s">
        <v>2814</v>
      </c>
      <c r="C2862">
        <v>3</v>
      </c>
      <c r="J2862">
        <v>35</v>
      </c>
    </row>
    <row r="2863" spans="1:11">
      <c r="A2863" s="3" t="s">
        <v>2815</v>
      </c>
      <c r="C2863">
        <v>3</v>
      </c>
      <c r="K2863">
        <v>4</v>
      </c>
    </row>
    <row r="2864" spans="1:11">
      <c r="A2864" s="3" t="s">
        <v>2816</v>
      </c>
      <c r="C2864">
        <v>3</v>
      </c>
      <c r="K2864">
        <v>4</v>
      </c>
    </row>
    <row r="2865" spans="1:11">
      <c r="A2865" s="3" t="s">
        <v>2817</v>
      </c>
      <c r="C2865">
        <v>3</v>
      </c>
      <c r="K2865">
        <v>4</v>
      </c>
    </row>
    <row r="2866" spans="1:11">
      <c r="A2866" s="3" t="s">
        <v>2818</v>
      </c>
      <c r="C2866">
        <v>3</v>
      </c>
      <c r="K2866">
        <v>4</v>
      </c>
    </row>
    <row r="2867" spans="1:11">
      <c r="A2867" s="3" t="s">
        <v>2819</v>
      </c>
      <c r="C2867">
        <v>3</v>
      </c>
      <c r="K2867">
        <v>4</v>
      </c>
    </row>
    <row r="2868" spans="1:11">
      <c r="A2868" s="3" t="s">
        <v>2820</v>
      </c>
      <c r="C2868">
        <v>3</v>
      </c>
      <c r="K2868">
        <v>4</v>
      </c>
    </row>
    <row r="2869" spans="1:11">
      <c r="A2869" s="3" t="s">
        <v>2821</v>
      </c>
      <c r="C2869">
        <v>3</v>
      </c>
      <c r="K2869">
        <v>4</v>
      </c>
    </row>
    <row r="2870" spans="1:11">
      <c r="A2870" s="3" t="s">
        <v>2822</v>
      </c>
      <c r="C2870">
        <v>3</v>
      </c>
      <c r="K2870">
        <v>4</v>
      </c>
    </row>
    <row r="2871" spans="1:11">
      <c r="A2871" s="3" t="s">
        <v>2823</v>
      </c>
      <c r="C2871">
        <v>3</v>
      </c>
      <c r="K2871">
        <v>4</v>
      </c>
    </row>
    <row r="2872" spans="1:11">
      <c r="A2872" s="3" t="s">
        <v>2824</v>
      </c>
      <c r="C2872">
        <v>3</v>
      </c>
      <c r="K2872">
        <v>4</v>
      </c>
    </row>
    <row r="2873" spans="1:11">
      <c r="A2873" s="3" t="s">
        <v>2825</v>
      </c>
      <c r="C2873">
        <v>3</v>
      </c>
      <c r="K2873">
        <v>4</v>
      </c>
    </row>
    <row r="2874" spans="1:11">
      <c r="A2874" s="3" t="s">
        <v>2826</v>
      </c>
      <c r="C2874">
        <v>3</v>
      </c>
      <c r="K2874">
        <v>4</v>
      </c>
    </row>
    <row r="2875" spans="1:11">
      <c r="A2875" s="3" t="s">
        <v>2827</v>
      </c>
      <c r="C2875">
        <v>3</v>
      </c>
      <c r="K2875">
        <v>4</v>
      </c>
    </row>
    <row r="2876" spans="1:11">
      <c r="A2876" s="3" t="s">
        <v>2828</v>
      </c>
      <c r="C2876">
        <v>3</v>
      </c>
      <c r="K2876">
        <v>4</v>
      </c>
    </row>
    <row r="2877" spans="1:11">
      <c r="A2877" s="3" t="s">
        <v>2829</v>
      </c>
      <c r="C2877">
        <v>3</v>
      </c>
      <c r="K2877">
        <v>4</v>
      </c>
    </row>
    <row r="2878" spans="1:11">
      <c r="A2878" s="3" t="s">
        <v>2830</v>
      </c>
      <c r="C2878">
        <v>3</v>
      </c>
      <c r="K2878">
        <v>4</v>
      </c>
    </row>
    <row r="2879" spans="1:11">
      <c r="A2879" s="3" t="s">
        <v>2831</v>
      </c>
      <c r="C2879">
        <v>3</v>
      </c>
      <c r="K2879">
        <v>4</v>
      </c>
    </row>
    <row r="2880" spans="1:11">
      <c r="A2880" s="3" t="s">
        <v>2832</v>
      </c>
      <c r="C2880">
        <v>3</v>
      </c>
      <c r="K2880">
        <v>4</v>
      </c>
    </row>
    <row r="2881" spans="1:11">
      <c r="A2881" s="3" t="s">
        <v>2833</v>
      </c>
      <c r="C2881">
        <v>3</v>
      </c>
      <c r="K2881">
        <v>4</v>
      </c>
    </row>
    <row r="2882" spans="1:11">
      <c r="A2882" s="3" t="s">
        <v>2834</v>
      </c>
      <c r="C2882">
        <v>3</v>
      </c>
      <c r="K2882">
        <v>4</v>
      </c>
    </row>
    <row r="2883" spans="1:11">
      <c r="A2883" s="3" t="s">
        <v>2835</v>
      </c>
      <c r="C2883">
        <v>3</v>
      </c>
      <c r="K2883">
        <v>4</v>
      </c>
    </row>
    <row r="2884" spans="1:11">
      <c r="A2884" s="3" t="s">
        <v>2836</v>
      </c>
      <c r="C2884">
        <v>3</v>
      </c>
      <c r="K2884">
        <v>4</v>
      </c>
    </row>
    <row r="2885" spans="1:11">
      <c r="A2885" s="3" t="s">
        <v>2837</v>
      </c>
      <c r="C2885">
        <v>3</v>
      </c>
      <c r="K2885">
        <v>4</v>
      </c>
    </row>
    <row r="2886" spans="1:11">
      <c r="A2886" s="3" t="s">
        <v>2838</v>
      </c>
      <c r="C2886">
        <v>3</v>
      </c>
      <c r="K2886">
        <v>4</v>
      </c>
    </row>
    <row r="2887" spans="1:11">
      <c r="A2887" s="3" t="s">
        <v>2839</v>
      </c>
      <c r="C2887">
        <v>3</v>
      </c>
      <c r="K2887">
        <v>4</v>
      </c>
    </row>
    <row r="2888" spans="1:11">
      <c r="A2888" s="3" t="s">
        <v>2840</v>
      </c>
      <c r="C2888">
        <v>3</v>
      </c>
      <c r="K2888">
        <v>4</v>
      </c>
    </row>
    <row r="2889" spans="1:11">
      <c r="A2889" s="3" t="s">
        <v>2841</v>
      </c>
      <c r="C2889">
        <v>3</v>
      </c>
      <c r="K2889">
        <v>4</v>
      </c>
    </row>
    <row r="2890" spans="1:11">
      <c r="A2890" s="3" t="s">
        <v>2842</v>
      </c>
      <c r="C2890">
        <v>3</v>
      </c>
      <c r="K2890">
        <v>4</v>
      </c>
    </row>
    <row r="2891" spans="1:11">
      <c r="A2891" s="3" t="s">
        <v>2843</v>
      </c>
      <c r="C2891">
        <v>3</v>
      </c>
      <c r="K2891">
        <v>4</v>
      </c>
    </row>
    <row r="2892" spans="1:11">
      <c r="A2892" s="3" t="s">
        <v>2844</v>
      </c>
      <c r="C2892">
        <v>3</v>
      </c>
      <c r="K2892">
        <v>4</v>
      </c>
    </row>
    <row r="2893" spans="1:11">
      <c r="A2893" s="3" t="s">
        <v>2845</v>
      </c>
      <c r="C2893">
        <v>3</v>
      </c>
      <c r="K2893">
        <v>4</v>
      </c>
    </row>
    <row r="2894" spans="1:11">
      <c r="A2894" s="3" t="s">
        <v>2846</v>
      </c>
      <c r="C2894">
        <v>3</v>
      </c>
      <c r="K2894">
        <v>4</v>
      </c>
    </row>
    <row r="2895" spans="1:11">
      <c r="A2895" s="3" t="s">
        <v>2847</v>
      </c>
      <c r="C2895">
        <v>3</v>
      </c>
      <c r="J2895">
        <v>36</v>
      </c>
    </row>
    <row r="2896" spans="1:11">
      <c r="A2896" s="3" t="s">
        <v>2848</v>
      </c>
      <c r="C2896">
        <v>3</v>
      </c>
      <c r="J2896">
        <v>36</v>
      </c>
    </row>
    <row r="2897" spans="1:18">
      <c r="A2897" s="3" t="s">
        <v>2849</v>
      </c>
      <c r="C2897">
        <v>3</v>
      </c>
      <c r="J2897">
        <v>36</v>
      </c>
    </row>
    <row r="2898" spans="1:18">
      <c r="A2898" s="3" t="s">
        <v>2850</v>
      </c>
      <c r="C2898">
        <v>3</v>
      </c>
      <c r="J2898">
        <v>36</v>
      </c>
    </row>
    <row r="2899" spans="1:18">
      <c r="A2899" s="3" t="s">
        <v>2851</v>
      </c>
      <c r="C2899">
        <v>3</v>
      </c>
      <c r="J2899">
        <v>36</v>
      </c>
    </row>
    <row r="2900" spans="1:18">
      <c r="A2900" s="3" t="s">
        <v>2852</v>
      </c>
      <c r="C2900">
        <v>3</v>
      </c>
      <c r="J2900">
        <v>36</v>
      </c>
    </row>
    <row r="2901" spans="1:18">
      <c r="A2901" s="3" t="s">
        <v>2853</v>
      </c>
      <c r="C2901">
        <v>3</v>
      </c>
      <c r="J2901">
        <v>36</v>
      </c>
    </row>
    <row r="2902" spans="1:18">
      <c r="A2902" s="3" t="s">
        <v>2854</v>
      </c>
      <c r="C2902">
        <v>3</v>
      </c>
      <c r="J2902">
        <v>36</v>
      </c>
    </row>
    <row r="2903" spans="1:18">
      <c r="A2903" s="3" t="s">
        <v>2855</v>
      </c>
      <c r="C2903">
        <v>3</v>
      </c>
      <c r="J2903">
        <v>36</v>
      </c>
    </row>
    <row r="2904" spans="1:18">
      <c r="A2904" s="3" t="s">
        <v>2856</v>
      </c>
      <c r="C2904">
        <v>3</v>
      </c>
      <c r="J2904">
        <v>36</v>
      </c>
    </row>
    <row r="2905" spans="1:18">
      <c r="A2905" s="3" t="s">
        <v>2857</v>
      </c>
      <c r="C2905">
        <v>3</v>
      </c>
      <c r="J2905">
        <v>36</v>
      </c>
    </row>
    <row r="2906" spans="1:18">
      <c r="A2906" s="3" t="s">
        <v>2858</v>
      </c>
      <c r="C2906">
        <v>3</v>
      </c>
      <c r="J2906">
        <v>36</v>
      </c>
    </row>
    <row r="2907" spans="1:18">
      <c r="A2907" s="3" t="s">
        <v>2859</v>
      </c>
      <c r="C2907">
        <v>3</v>
      </c>
      <c r="J2907">
        <v>36</v>
      </c>
    </row>
    <row r="2908" spans="1:18">
      <c r="A2908" s="3" t="s">
        <v>2860</v>
      </c>
      <c r="C2908">
        <v>3</v>
      </c>
      <c r="J2908">
        <v>36</v>
      </c>
    </row>
    <row r="2909" spans="1:18">
      <c r="A2909" s="3" t="s">
        <v>2861</v>
      </c>
      <c r="C2909">
        <v>3</v>
      </c>
      <c r="J2909">
        <v>36</v>
      </c>
    </row>
    <row r="2910" spans="1:18">
      <c r="A2910" s="3" t="s">
        <v>2862</v>
      </c>
      <c r="C2910">
        <v>3</v>
      </c>
      <c r="J2910">
        <v>36</v>
      </c>
    </row>
    <row r="2911" spans="1:18">
      <c r="A2911" s="3" t="s">
        <v>2863</v>
      </c>
      <c r="C2911">
        <v>3</v>
      </c>
      <c r="R2911">
        <v>1</v>
      </c>
    </row>
    <row r="2912" spans="1:18">
      <c r="A2912" s="3" t="s">
        <v>2864</v>
      </c>
      <c r="C2912">
        <v>3</v>
      </c>
      <c r="R2912">
        <v>1</v>
      </c>
    </row>
    <row r="2913" spans="1:18">
      <c r="A2913" s="3" t="s">
        <v>2865</v>
      </c>
      <c r="C2913">
        <v>3</v>
      </c>
      <c r="R2913">
        <v>1</v>
      </c>
    </row>
    <row r="2914" spans="1:18">
      <c r="A2914" s="3" t="s">
        <v>2866</v>
      </c>
      <c r="C2914">
        <v>3</v>
      </c>
      <c r="R2914">
        <v>1</v>
      </c>
    </row>
    <row r="2915" spans="1:18">
      <c r="A2915" s="3" t="s">
        <v>2867</v>
      </c>
      <c r="C2915">
        <v>3</v>
      </c>
      <c r="R2915">
        <v>1</v>
      </c>
    </row>
    <row r="2916" spans="1:18">
      <c r="A2916" s="3" t="s">
        <v>2868</v>
      </c>
      <c r="C2916">
        <v>3</v>
      </c>
      <c r="R2916">
        <v>1</v>
      </c>
    </row>
    <row r="2917" spans="1:18">
      <c r="A2917" s="3" t="s">
        <v>2869</v>
      </c>
      <c r="C2917">
        <v>3</v>
      </c>
      <c r="R2917">
        <v>1</v>
      </c>
    </row>
    <row r="2918" spans="1:18">
      <c r="A2918" s="3" t="s">
        <v>2870</v>
      </c>
      <c r="C2918">
        <v>3</v>
      </c>
      <c r="R2918">
        <v>1</v>
      </c>
    </row>
    <row r="2919" spans="1:18">
      <c r="A2919" s="3" t="s">
        <v>2871</v>
      </c>
      <c r="C2919">
        <v>3</v>
      </c>
      <c r="R2919">
        <v>1</v>
      </c>
    </row>
    <row r="2920" spans="1:18">
      <c r="A2920" s="3" t="s">
        <v>2872</v>
      </c>
      <c r="C2920">
        <v>3</v>
      </c>
      <c r="R2920">
        <v>1</v>
      </c>
    </row>
    <row r="2921" spans="1:18">
      <c r="A2921" s="3" t="s">
        <v>2873</v>
      </c>
      <c r="C2921">
        <v>3</v>
      </c>
      <c r="R2921">
        <v>1</v>
      </c>
    </row>
    <row r="2922" spans="1:18">
      <c r="A2922" s="3" t="s">
        <v>2874</v>
      </c>
      <c r="C2922">
        <v>3</v>
      </c>
      <c r="R2922">
        <v>1</v>
      </c>
    </row>
    <row r="2923" spans="1:18">
      <c r="A2923" s="3" t="s">
        <v>2875</v>
      </c>
      <c r="C2923">
        <v>3</v>
      </c>
      <c r="R2923">
        <v>1</v>
      </c>
    </row>
    <row r="2924" spans="1:18">
      <c r="A2924" s="3" t="s">
        <v>2876</v>
      </c>
      <c r="C2924">
        <v>3</v>
      </c>
      <c r="R2924">
        <v>1</v>
      </c>
    </row>
    <row r="2925" spans="1:18">
      <c r="A2925" s="3" t="s">
        <v>2877</v>
      </c>
      <c r="C2925">
        <v>3</v>
      </c>
      <c r="R2925">
        <v>1</v>
      </c>
    </row>
    <row r="2926" spans="1:18">
      <c r="A2926" s="3" t="s">
        <v>2878</v>
      </c>
      <c r="C2926">
        <v>3</v>
      </c>
      <c r="R2926">
        <v>1</v>
      </c>
    </row>
    <row r="2927" spans="1:18">
      <c r="A2927" s="3" t="s">
        <v>2879</v>
      </c>
      <c r="C2927">
        <v>3</v>
      </c>
      <c r="R2927">
        <v>1</v>
      </c>
    </row>
    <row r="2928" spans="1:18">
      <c r="A2928" s="3" t="s">
        <v>2880</v>
      </c>
      <c r="C2928">
        <v>3</v>
      </c>
      <c r="J2928">
        <v>37</v>
      </c>
    </row>
    <row r="2929" spans="1:10">
      <c r="A2929" s="3" t="s">
        <v>2881</v>
      </c>
      <c r="C2929">
        <v>3</v>
      </c>
      <c r="J2929">
        <v>37</v>
      </c>
    </row>
    <row r="2930" spans="1:10">
      <c r="A2930" s="3" t="s">
        <v>2882</v>
      </c>
      <c r="C2930">
        <v>3</v>
      </c>
      <c r="J2930">
        <v>37</v>
      </c>
    </row>
    <row r="2931" spans="1:10">
      <c r="A2931" s="3" t="s">
        <v>2883</v>
      </c>
      <c r="C2931">
        <v>3</v>
      </c>
      <c r="J2931">
        <v>37</v>
      </c>
    </row>
    <row r="2932" spans="1:10">
      <c r="A2932" s="3" t="s">
        <v>2884</v>
      </c>
      <c r="C2932">
        <v>3</v>
      </c>
      <c r="J2932">
        <v>37</v>
      </c>
    </row>
    <row r="2933" spans="1:10">
      <c r="A2933" s="3" t="s">
        <v>2885</v>
      </c>
      <c r="C2933">
        <v>3</v>
      </c>
      <c r="J2933">
        <v>37</v>
      </c>
    </row>
    <row r="2934" spans="1:10">
      <c r="A2934" s="3" t="s">
        <v>2886</v>
      </c>
      <c r="C2934">
        <v>3</v>
      </c>
      <c r="J2934">
        <v>37</v>
      </c>
    </row>
    <row r="2935" spans="1:10">
      <c r="A2935" s="3" t="s">
        <v>2887</v>
      </c>
      <c r="C2935">
        <v>3</v>
      </c>
      <c r="J2935">
        <v>37</v>
      </c>
    </row>
    <row r="2936" spans="1:10">
      <c r="A2936" s="3" t="s">
        <v>2888</v>
      </c>
      <c r="C2936">
        <v>3</v>
      </c>
      <c r="J2936">
        <v>37</v>
      </c>
    </row>
    <row r="2937" spans="1:10">
      <c r="A2937" s="3" t="s">
        <v>2889</v>
      </c>
      <c r="C2937">
        <v>3</v>
      </c>
      <c r="J2937">
        <v>37</v>
      </c>
    </row>
    <row r="2938" spans="1:10">
      <c r="A2938" s="3" t="s">
        <v>2890</v>
      </c>
      <c r="C2938">
        <v>3</v>
      </c>
      <c r="J2938">
        <v>37</v>
      </c>
    </row>
    <row r="2939" spans="1:10">
      <c r="A2939" s="3" t="s">
        <v>2891</v>
      </c>
      <c r="C2939">
        <v>3</v>
      </c>
      <c r="J2939">
        <v>37</v>
      </c>
    </row>
    <row r="2940" spans="1:10">
      <c r="A2940" s="3" t="s">
        <v>2892</v>
      </c>
      <c r="C2940">
        <v>3</v>
      </c>
      <c r="J2940">
        <v>37</v>
      </c>
    </row>
    <row r="2941" spans="1:10">
      <c r="A2941" s="3" t="s">
        <v>2893</v>
      </c>
      <c r="C2941">
        <v>3</v>
      </c>
      <c r="J2941">
        <v>37</v>
      </c>
    </row>
    <row r="2942" spans="1:10">
      <c r="A2942" s="3" t="s">
        <v>2894</v>
      </c>
      <c r="C2942">
        <v>3</v>
      </c>
      <c r="J2942">
        <v>37</v>
      </c>
    </row>
    <row r="2943" spans="1:10">
      <c r="A2943" s="3" t="s">
        <v>2895</v>
      </c>
      <c r="C2943">
        <v>3</v>
      </c>
      <c r="J2943">
        <v>37</v>
      </c>
    </row>
    <row r="2944" spans="1:10">
      <c r="A2944" s="3" t="s">
        <v>2896</v>
      </c>
      <c r="C2944">
        <v>3</v>
      </c>
      <c r="J2944">
        <v>37</v>
      </c>
    </row>
    <row r="2945" spans="1:46">
      <c r="A2945" s="3" t="s">
        <v>2897</v>
      </c>
      <c r="C2945">
        <v>3</v>
      </c>
      <c r="J2945">
        <v>37</v>
      </c>
    </row>
    <row r="2946" spans="1:46">
      <c r="A2946" s="3" t="s">
        <v>2898</v>
      </c>
      <c r="C2946">
        <v>3</v>
      </c>
      <c r="J2946">
        <v>37</v>
      </c>
    </row>
    <row r="2947" spans="1:46">
      <c r="A2947" s="3" t="s">
        <v>2899</v>
      </c>
      <c r="C2947">
        <v>3</v>
      </c>
      <c r="J2947">
        <v>37</v>
      </c>
    </row>
    <row r="2948" spans="1:46">
      <c r="A2948" s="3" t="s">
        <v>2900</v>
      </c>
      <c r="C2948">
        <v>3</v>
      </c>
      <c r="J2948">
        <v>37</v>
      </c>
    </row>
    <row r="2949" spans="1:46">
      <c r="A2949" s="3" t="s">
        <v>2901</v>
      </c>
      <c r="C2949">
        <v>3</v>
      </c>
      <c r="J2949">
        <v>37</v>
      </c>
    </row>
    <row r="2950" spans="1:46">
      <c r="A2950" s="3" t="s">
        <v>2902</v>
      </c>
      <c r="C2950">
        <v>3</v>
      </c>
      <c r="J2950">
        <v>37</v>
      </c>
    </row>
    <row r="2951" spans="1:46">
      <c r="A2951" s="3" t="s">
        <v>2903</v>
      </c>
      <c r="C2951">
        <v>3</v>
      </c>
      <c r="AT2951">
        <v>16</v>
      </c>
    </row>
    <row r="2952" spans="1:46">
      <c r="A2952" s="3" t="s">
        <v>2904</v>
      </c>
      <c r="C2952">
        <v>3</v>
      </c>
      <c r="AT2952">
        <v>16</v>
      </c>
    </row>
    <row r="2953" spans="1:46">
      <c r="A2953" s="3" t="s">
        <v>2905</v>
      </c>
      <c r="C2953">
        <v>3</v>
      </c>
      <c r="AT2953">
        <v>16</v>
      </c>
    </row>
    <row r="2954" spans="1:46">
      <c r="A2954" s="3" t="s">
        <v>2906</v>
      </c>
      <c r="C2954">
        <v>3</v>
      </c>
      <c r="AT2954">
        <v>16</v>
      </c>
    </row>
    <row r="2955" spans="1:46">
      <c r="A2955" s="3" t="s">
        <v>2907</v>
      </c>
      <c r="C2955">
        <v>3</v>
      </c>
      <c r="AT2955">
        <v>16</v>
      </c>
    </row>
    <row r="2956" spans="1:46">
      <c r="A2956" s="3" t="s">
        <v>2908</v>
      </c>
      <c r="C2956">
        <v>3</v>
      </c>
      <c r="AT2956">
        <v>16</v>
      </c>
    </row>
    <row r="2957" spans="1:46">
      <c r="A2957" s="3" t="s">
        <v>2909</v>
      </c>
      <c r="C2957">
        <v>3</v>
      </c>
      <c r="AT2957">
        <v>16</v>
      </c>
    </row>
    <row r="2958" spans="1:46">
      <c r="A2958" s="3" t="s">
        <v>2910</v>
      </c>
      <c r="C2958">
        <v>3</v>
      </c>
      <c r="AT2958">
        <v>16</v>
      </c>
    </row>
    <row r="2959" spans="1:46">
      <c r="A2959" s="3" t="s">
        <v>2911</v>
      </c>
      <c r="C2959">
        <v>3</v>
      </c>
      <c r="AT2959">
        <v>16</v>
      </c>
    </row>
    <row r="2960" spans="1:46">
      <c r="A2960" s="3" t="s">
        <v>2912</v>
      </c>
      <c r="C2960">
        <v>3</v>
      </c>
      <c r="AT2960">
        <v>16</v>
      </c>
    </row>
    <row r="2961" spans="1:46">
      <c r="A2961" s="3" t="s">
        <v>2913</v>
      </c>
      <c r="C2961">
        <v>3</v>
      </c>
      <c r="AT2961">
        <v>16</v>
      </c>
    </row>
    <row r="2962" spans="1:46">
      <c r="A2962" s="3" t="s">
        <v>2914</v>
      </c>
      <c r="C2962">
        <v>3</v>
      </c>
      <c r="AT2962">
        <v>16</v>
      </c>
    </row>
    <row r="2963" spans="1:46">
      <c r="A2963" s="3" t="s">
        <v>2915</v>
      </c>
      <c r="C2963">
        <v>3</v>
      </c>
      <c r="AT2963">
        <v>16</v>
      </c>
    </row>
    <row r="2964" spans="1:46">
      <c r="A2964" s="3" t="s">
        <v>2916</v>
      </c>
      <c r="C2964">
        <v>3</v>
      </c>
      <c r="AT2964">
        <v>16</v>
      </c>
    </row>
    <row r="2965" spans="1:46">
      <c r="A2965" s="3" t="s">
        <v>2917</v>
      </c>
      <c r="C2965">
        <v>3</v>
      </c>
      <c r="AT2965">
        <v>16</v>
      </c>
    </row>
    <row r="2966" spans="1:46">
      <c r="A2966" s="3" t="s">
        <v>2918</v>
      </c>
      <c r="C2966">
        <v>3</v>
      </c>
      <c r="AT2966">
        <v>16</v>
      </c>
    </row>
    <row r="2967" spans="1:46">
      <c r="A2967" s="3" t="s">
        <v>2919</v>
      </c>
      <c r="C2967">
        <v>3</v>
      </c>
      <c r="AT2967">
        <v>16</v>
      </c>
    </row>
    <row r="2968" spans="1:46">
      <c r="A2968" s="3" t="s">
        <v>2920</v>
      </c>
      <c r="C2968">
        <v>3</v>
      </c>
      <c r="AT2968">
        <v>16</v>
      </c>
    </row>
    <row r="2969" spans="1:46">
      <c r="A2969" s="3" t="s">
        <v>2921</v>
      </c>
      <c r="C2969">
        <v>3</v>
      </c>
      <c r="AT2969">
        <v>16</v>
      </c>
    </row>
    <row r="2970" spans="1:46">
      <c r="A2970" s="3" t="s">
        <v>2922</v>
      </c>
      <c r="C2970">
        <v>3</v>
      </c>
      <c r="AT2970">
        <v>16</v>
      </c>
    </row>
    <row r="2971" spans="1:46">
      <c r="A2971" s="3" t="s">
        <v>2923</v>
      </c>
      <c r="C2971">
        <v>3</v>
      </c>
      <c r="AT2971">
        <v>16</v>
      </c>
    </row>
    <row r="2972" spans="1:46">
      <c r="A2972" s="3" t="s">
        <v>2924</v>
      </c>
      <c r="C2972">
        <v>3</v>
      </c>
      <c r="AT2972">
        <v>16</v>
      </c>
    </row>
    <row r="2973" spans="1:46">
      <c r="A2973" s="3" t="s">
        <v>2925</v>
      </c>
      <c r="C2973">
        <v>3</v>
      </c>
      <c r="AT2973">
        <v>16</v>
      </c>
    </row>
    <row r="2974" spans="1:46">
      <c r="A2974" s="3" t="s">
        <v>2926</v>
      </c>
      <c r="C2974">
        <v>3</v>
      </c>
      <c r="AT2974">
        <v>16</v>
      </c>
    </row>
    <row r="2975" spans="1:46">
      <c r="A2975" s="3" t="s">
        <v>2927</v>
      </c>
      <c r="C2975">
        <v>3</v>
      </c>
      <c r="AT2975">
        <v>16</v>
      </c>
    </row>
    <row r="2976" spans="1:46">
      <c r="A2976" s="3" t="s">
        <v>2928</v>
      </c>
      <c r="C2976">
        <v>3</v>
      </c>
      <c r="AT2976">
        <v>16</v>
      </c>
    </row>
    <row r="2977" spans="1:46">
      <c r="A2977" s="3" t="s">
        <v>2929</v>
      </c>
      <c r="C2977">
        <v>3</v>
      </c>
      <c r="AT2977">
        <v>16</v>
      </c>
    </row>
    <row r="2978" spans="1:46">
      <c r="A2978" s="3" t="s">
        <v>2930</v>
      </c>
      <c r="C2978">
        <v>3</v>
      </c>
      <c r="AT2978">
        <v>16</v>
      </c>
    </row>
    <row r="2979" spans="1:46">
      <c r="A2979" s="3" t="s">
        <v>2931</v>
      </c>
      <c r="C2979">
        <v>3</v>
      </c>
      <c r="AT2979">
        <v>16</v>
      </c>
    </row>
    <row r="2980" spans="1:46">
      <c r="A2980" s="3" t="s">
        <v>2932</v>
      </c>
      <c r="C2980">
        <v>3</v>
      </c>
      <c r="AT2980">
        <v>16</v>
      </c>
    </row>
    <row r="2981" spans="1:46">
      <c r="A2981" s="3" t="s">
        <v>2933</v>
      </c>
      <c r="C2981">
        <v>3</v>
      </c>
      <c r="AT2981">
        <v>16</v>
      </c>
    </row>
    <row r="2982" spans="1:46">
      <c r="A2982" s="3" t="s">
        <v>2934</v>
      </c>
      <c r="C2982">
        <v>3</v>
      </c>
      <c r="AT2982">
        <v>16</v>
      </c>
    </row>
    <row r="2983" spans="1:46">
      <c r="A2983" s="3" t="s">
        <v>2935</v>
      </c>
      <c r="C2983">
        <v>3</v>
      </c>
      <c r="AT2983">
        <v>16</v>
      </c>
    </row>
    <row r="2984" spans="1:46">
      <c r="A2984" s="3" t="s">
        <v>2936</v>
      </c>
      <c r="C2984">
        <v>3</v>
      </c>
      <c r="AT2984">
        <v>16</v>
      </c>
    </row>
    <row r="2985" spans="1:46">
      <c r="A2985" s="3" t="s">
        <v>2937</v>
      </c>
      <c r="C2985">
        <v>3</v>
      </c>
      <c r="AT2985">
        <v>16</v>
      </c>
    </row>
    <row r="2986" spans="1:46">
      <c r="A2986" s="3" t="s">
        <v>2938</v>
      </c>
      <c r="C2986">
        <v>3</v>
      </c>
      <c r="AT2986">
        <v>16</v>
      </c>
    </row>
    <row r="2987" spans="1:46">
      <c r="A2987" s="3" t="s">
        <v>2939</v>
      </c>
      <c r="C2987">
        <v>3</v>
      </c>
      <c r="AT2987">
        <v>16</v>
      </c>
    </row>
    <row r="2988" spans="1:46">
      <c r="A2988" s="3" t="s">
        <v>2940</v>
      </c>
      <c r="C2988">
        <v>3</v>
      </c>
      <c r="AT2988">
        <v>16</v>
      </c>
    </row>
    <row r="2989" spans="1:46">
      <c r="A2989" s="3" t="s">
        <v>2941</v>
      </c>
      <c r="C2989">
        <v>3</v>
      </c>
      <c r="AT2989">
        <v>16</v>
      </c>
    </row>
    <row r="2990" spans="1:46">
      <c r="A2990" s="3" t="s">
        <v>2942</v>
      </c>
      <c r="C2990">
        <v>3</v>
      </c>
      <c r="AT2990">
        <v>16</v>
      </c>
    </row>
    <row r="2991" spans="1:46">
      <c r="A2991" s="3" t="s">
        <v>2943</v>
      </c>
      <c r="C2991">
        <v>3</v>
      </c>
      <c r="AT2991">
        <v>16</v>
      </c>
    </row>
    <row r="2992" spans="1:46">
      <c r="A2992" s="3" t="s">
        <v>2944</v>
      </c>
      <c r="C2992">
        <v>3</v>
      </c>
      <c r="AT2992">
        <v>16</v>
      </c>
    </row>
    <row r="2993" spans="1:46">
      <c r="A2993" s="3" t="s">
        <v>2945</v>
      </c>
      <c r="C2993">
        <v>3</v>
      </c>
      <c r="AT2993">
        <v>16</v>
      </c>
    </row>
    <row r="2994" spans="1:46">
      <c r="A2994" s="3" t="s">
        <v>2946</v>
      </c>
      <c r="C2994">
        <v>3</v>
      </c>
      <c r="AT2994">
        <v>16</v>
      </c>
    </row>
    <row r="2995" spans="1:46">
      <c r="A2995" s="3" t="s">
        <v>2947</v>
      </c>
      <c r="C2995">
        <v>3</v>
      </c>
      <c r="AT2995">
        <v>16</v>
      </c>
    </row>
    <row r="2996" spans="1:46">
      <c r="A2996" s="3" t="s">
        <v>2948</v>
      </c>
      <c r="C2996">
        <v>3</v>
      </c>
      <c r="AT2996">
        <v>16</v>
      </c>
    </row>
    <row r="2997" spans="1:46">
      <c r="A2997" s="3" t="s">
        <v>2949</v>
      </c>
      <c r="C2997">
        <v>3</v>
      </c>
      <c r="AT2997">
        <v>16</v>
      </c>
    </row>
    <row r="2998" spans="1:46">
      <c r="A2998" s="3" t="s">
        <v>2950</v>
      </c>
      <c r="C2998">
        <v>3</v>
      </c>
      <c r="AT2998">
        <v>16</v>
      </c>
    </row>
    <row r="2999" spans="1:46">
      <c r="A2999" s="3" t="s">
        <v>2951</v>
      </c>
      <c r="C2999">
        <v>3</v>
      </c>
      <c r="AT2999">
        <v>16</v>
      </c>
    </row>
    <row r="3000" spans="1:46">
      <c r="A3000" s="3" t="s">
        <v>2952</v>
      </c>
      <c r="C3000">
        <v>3</v>
      </c>
      <c r="AT3000">
        <v>16</v>
      </c>
    </row>
    <row r="3001" spans="1:46">
      <c r="A3001" s="3" t="s">
        <v>2953</v>
      </c>
      <c r="B3001">
        <v>4</v>
      </c>
      <c r="C3001">
        <v>3</v>
      </c>
      <c r="J3001">
        <v>38</v>
      </c>
    </row>
    <row r="3002" spans="1:46">
      <c r="A3002" s="3" t="s">
        <v>2954</v>
      </c>
      <c r="B3002">
        <v>4</v>
      </c>
      <c r="C3002">
        <v>3</v>
      </c>
      <c r="J3002">
        <v>38</v>
      </c>
    </row>
    <row r="3003" spans="1:46">
      <c r="A3003" s="3" t="s">
        <v>2955</v>
      </c>
      <c r="B3003">
        <v>4</v>
      </c>
      <c r="C3003">
        <v>3</v>
      </c>
      <c r="J3003">
        <v>38</v>
      </c>
    </row>
    <row r="3004" spans="1:46">
      <c r="A3004" s="3" t="s">
        <v>2956</v>
      </c>
      <c r="B3004">
        <v>4</v>
      </c>
      <c r="C3004">
        <v>3</v>
      </c>
      <c r="J3004">
        <v>38</v>
      </c>
    </row>
    <row r="3005" spans="1:46">
      <c r="A3005" s="3" t="s">
        <v>2957</v>
      </c>
      <c r="B3005">
        <v>4</v>
      </c>
      <c r="C3005">
        <v>3</v>
      </c>
      <c r="J3005">
        <v>38</v>
      </c>
    </row>
    <row r="3006" spans="1:46">
      <c r="A3006" s="3" t="s">
        <v>2958</v>
      </c>
      <c r="B3006">
        <v>4</v>
      </c>
      <c r="C3006">
        <v>3</v>
      </c>
      <c r="J3006">
        <v>38</v>
      </c>
    </row>
    <row r="3007" spans="1:46">
      <c r="A3007" s="3" t="s">
        <v>2959</v>
      </c>
      <c r="B3007">
        <v>4</v>
      </c>
      <c r="C3007">
        <v>3</v>
      </c>
      <c r="J3007">
        <v>38</v>
      </c>
    </row>
    <row r="3008" spans="1:46">
      <c r="A3008" s="3" t="s">
        <v>2960</v>
      </c>
      <c r="B3008">
        <v>4</v>
      </c>
      <c r="C3008">
        <v>3</v>
      </c>
      <c r="J3008">
        <v>38</v>
      </c>
    </row>
    <row r="3009" spans="1:10">
      <c r="A3009" s="3" t="s">
        <v>2961</v>
      </c>
      <c r="B3009">
        <v>4</v>
      </c>
      <c r="C3009">
        <v>3</v>
      </c>
      <c r="J3009">
        <v>38</v>
      </c>
    </row>
    <row r="3010" spans="1:10">
      <c r="A3010" s="3" t="s">
        <v>2962</v>
      </c>
      <c r="B3010">
        <v>4</v>
      </c>
      <c r="C3010">
        <v>3</v>
      </c>
      <c r="J3010">
        <v>38</v>
      </c>
    </row>
    <row r="3011" spans="1:10">
      <c r="A3011" s="3" t="s">
        <v>2963</v>
      </c>
      <c r="B3011">
        <v>4</v>
      </c>
      <c r="C3011">
        <v>3</v>
      </c>
      <c r="J3011">
        <v>38</v>
      </c>
    </row>
    <row r="3012" spans="1:10">
      <c r="A3012" s="3" t="s">
        <v>2964</v>
      </c>
      <c r="B3012">
        <v>4</v>
      </c>
      <c r="C3012">
        <v>3</v>
      </c>
      <c r="J3012">
        <v>38</v>
      </c>
    </row>
    <row r="3013" spans="1:10">
      <c r="A3013" s="3" t="s">
        <v>2965</v>
      </c>
      <c r="B3013">
        <v>4</v>
      </c>
      <c r="C3013">
        <v>3</v>
      </c>
      <c r="J3013">
        <v>38</v>
      </c>
    </row>
    <row r="3014" spans="1:10">
      <c r="A3014" s="3" t="s">
        <v>2966</v>
      </c>
      <c r="B3014">
        <v>4</v>
      </c>
      <c r="J3014">
        <v>38</v>
      </c>
    </row>
    <row r="3015" spans="1:10">
      <c r="A3015" s="3" t="s">
        <v>2967</v>
      </c>
      <c r="B3015">
        <v>4</v>
      </c>
      <c r="J3015">
        <v>38</v>
      </c>
    </row>
    <row r="3016" spans="1:10">
      <c r="A3016" s="3" t="s">
        <v>2968</v>
      </c>
      <c r="B3016">
        <v>4</v>
      </c>
      <c r="J3016">
        <v>38</v>
      </c>
    </row>
    <row r="3017" spans="1:10">
      <c r="A3017" s="3" t="s">
        <v>2969</v>
      </c>
      <c r="B3017">
        <v>4</v>
      </c>
      <c r="J3017">
        <v>38</v>
      </c>
    </row>
    <row r="3018" spans="1:10">
      <c r="A3018" s="3" t="s">
        <v>2970</v>
      </c>
      <c r="B3018">
        <v>4</v>
      </c>
      <c r="J3018">
        <v>38</v>
      </c>
    </row>
    <row r="3019" spans="1:10">
      <c r="A3019" s="3" t="s">
        <v>2971</v>
      </c>
      <c r="B3019">
        <v>4</v>
      </c>
      <c r="J3019">
        <v>38</v>
      </c>
    </row>
    <row r="3020" spans="1:10">
      <c r="A3020" s="3" t="s">
        <v>2972</v>
      </c>
      <c r="B3020">
        <v>4</v>
      </c>
      <c r="J3020">
        <v>38</v>
      </c>
    </row>
    <row r="3021" spans="1:10">
      <c r="A3021" s="3" t="s">
        <v>2973</v>
      </c>
      <c r="B3021">
        <v>4</v>
      </c>
      <c r="J3021">
        <v>38</v>
      </c>
    </row>
    <row r="3022" spans="1:10">
      <c r="A3022" s="3" t="s">
        <v>2974</v>
      </c>
      <c r="B3022">
        <v>4</v>
      </c>
      <c r="J3022">
        <v>38</v>
      </c>
    </row>
    <row r="3023" spans="1:10">
      <c r="A3023" s="3" t="s">
        <v>2975</v>
      </c>
      <c r="B3023">
        <v>4</v>
      </c>
      <c r="J3023">
        <v>38</v>
      </c>
    </row>
    <row r="3024" spans="1:10">
      <c r="A3024" s="3" t="s">
        <v>2976</v>
      </c>
      <c r="B3024">
        <v>4</v>
      </c>
      <c r="J3024">
        <v>38</v>
      </c>
    </row>
    <row r="3025" spans="1:10">
      <c r="A3025" s="3" t="s">
        <v>2977</v>
      </c>
      <c r="B3025">
        <v>4</v>
      </c>
      <c r="J3025">
        <v>38</v>
      </c>
    </row>
    <row r="3026" spans="1:10">
      <c r="A3026" s="3" t="s">
        <v>2978</v>
      </c>
      <c r="B3026">
        <v>4</v>
      </c>
      <c r="J3026">
        <v>38</v>
      </c>
    </row>
    <row r="3027" spans="1:10">
      <c r="A3027" s="3" t="s">
        <v>2979</v>
      </c>
      <c r="B3027">
        <v>4</v>
      </c>
      <c r="J3027">
        <v>38</v>
      </c>
    </row>
    <row r="3028" spans="1:10">
      <c r="A3028" s="3" t="s">
        <v>2980</v>
      </c>
      <c r="B3028">
        <v>4</v>
      </c>
      <c r="J3028">
        <v>38</v>
      </c>
    </row>
    <row r="3029" spans="1:10">
      <c r="A3029" s="3" t="s">
        <v>2981</v>
      </c>
      <c r="B3029">
        <v>4</v>
      </c>
      <c r="J3029">
        <v>38</v>
      </c>
    </row>
    <row r="3030" spans="1:10">
      <c r="A3030" s="3" t="s">
        <v>2982</v>
      </c>
      <c r="B3030">
        <v>4</v>
      </c>
      <c r="J3030">
        <v>38</v>
      </c>
    </row>
    <row r="3031" spans="1:10">
      <c r="A3031" s="3" t="s">
        <v>2983</v>
      </c>
      <c r="B3031">
        <v>4</v>
      </c>
      <c r="J3031">
        <v>38</v>
      </c>
    </row>
    <row r="3032" spans="1:10">
      <c r="A3032" s="3" t="s">
        <v>2984</v>
      </c>
      <c r="B3032">
        <v>4</v>
      </c>
      <c r="J3032">
        <v>38</v>
      </c>
    </row>
    <row r="3033" spans="1:10">
      <c r="A3033" s="3" t="s">
        <v>2985</v>
      </c>
      <c r="B3033">
        <v>4</v>
      </c>
      <c r="J3033">
        <v>38</v>
      </c>
    </row>
    <row r="3034" spans="1:10">
      <c r="A3034" s="3" t="s">
        <v>2986</v>
      </c>
      <c r="B3034">
        <v>4</v>
      </c>
      <c r="J3034">
        <v>38</v>
      </c>
    </row>
    <row r="3035" spans="1:10">
      <c r="A3035" s="3" t="s">
        <v>2987</v>
      </c>
      <c r="B3035">
        <v>4</v>
      </c>
      <c r="J3035">
        <v>38</v>
      </c>
    </row>
    <row r="3036" spans="1:10">
      <c r="A3036" s="3" t="s">
        <v>2988</v>
      </c>
      <c r="B3036">
        <v>4</v>
      </c>
      <c r="J3036">
        <v>38</v>
      </c>
    </row>
    <row r="3037" spans="1:10">
      <c r="A3037" s="3" t="s">
        <v>2989</v>
      </c>
      <c r="B3037">
        <v>4</v>
      </c>
      <c r="J3037">
        <v>38</v>
      </c>
    </row>
    <row r="3038" spans="1:10">
      <c r="A3038" s="3" t="s">
        <v>2990</v>
      </c>
      <c r="B3038">
        <v>4</v>
      </c>
      <c r="J3038">
        <v>38</v>
      </c>
    </row>
    <row r="3039" spans="1:10">
      <c r="A3039" s="3" t="s">
        <v>2991</v>
      </c>
      <c r="B3039">
        <v>4</v>
      </c>
      <c r="J3039">
        <v>38</v>
      </c>
    </row>
    <row r="3040" spans="1:10">
      <c r="A3040" s="3" t="s">
        <v>2992</v>
      </c>
      <c r="B3040">
        <v>4</v>
      </c>
      <c r="J3040">
        <v>38</v>
      </c>
    </row>
    <row r="3041" spans="1:10">
      <c r="A3041" s="3" t="s">
        <v>2993</v>
      </c>
      <c r="B3041">
        <v>4</v>
      </c>
      <c r="J3041">
        <v>38</v>
      </c>
    </row>
    <row r="3042" spans="1:10">
      <c r="A3042" s="3" t="s">
        <v>2994</v>
      </c>
      <c r="B3042">
        <v>4</v>
      </c>
      <c r="J3042">
        <v>38</v>
      </c>
    </row>
    <row r="3043" spans="1:10">
      <c r="A3043" s="3" t="s">
        <v>2995</v>
      </c>
      <c r="B3043">
        <v>4</v>
      </c>
      <c r="J3043">
        <v>38</v>
      </c>
    </row>
    <row r="3044" spans="1:10">
      <c r="A3044" s="3" t="s">
        <v>2996</v>
      </c>
      <c r="B3044">
        <v>4</v>
      </c>
      <c r="J3044">
        <v>38</v>
      </c>
    </row>
    <row r="3045" spans="1:10">
      <c r="A3045" s="3" t="s">
        <v>2997</v>
      </c>
      <c r="B3045">
        <v>4</v>
      </c>
      <c r="J3045">
        <v>38</v>
      </c>
    </row>
    <row r="3046" spans="1:10">
      <c r="A3046" s="3" t="s">
        <v>2998</v>
      </c>
      <c r="B3046">
        <v>4</v>
      </c>
      <c r="J3046">
        <v>38</v>
      </c>
    </row>
    <row r="3047" spans="1:10">
      <c r="A3047" s="3" t="s">
        <v>2999</v>
      </c>
      <c r="B3047">
        <v>4</v>
      </c>
      <c r="J3047">
        <v>38</v>
      </c>
    </row>
    <row r="3048" spans="1:10">
      <c r="A3048" s="3" t="s">
        <v>3000</v>
      </c>
      <c r="B3048">
        <v>4</v>
      </c>
      <c r="J3048">
        <v>38</v>
      </c>
    </row>
    <row r="3049" spans="1:10">
      <c r="A3049" s="3" t="s">
        <v>3001</v>
      </c>
      <c r="B3049">
        <v>4</v>
      </c>
      <c r="J3049">
        <v>38</v>
      </c>
    </row>
    <row r="3050" spans="1:10">
      <c r="A3050" s="3" t="s">
        <v>3002</v>
      </c>
      <c r="B3050">
        <v>4</v>
      </c>
      <c r="J3050">
        <v>38</v>
      </c>
    </row>
    <row r="3051" spans="1:10">
      <c r="A3051" s="3" t="s">
        <v>3003</v>
      </c>
      <c r="B3051">
        <v>4</v>
      </c>
      <c r="J3051">
        <v>38</v>
      </c>
    </row>
    <row r="3052" spans="1:10">
      <c r="A3052" s="3" t="s">
        <v>3004</v>
      </c>
      <c r="B3052">
        <v>4</v>
      </c>
      <c r="J3052">
        <v>38</v>
      </c>
    </row>
    <row r="3053" spans="1:10">
      <c r="A3053" s="3" t="s">
        <v>3005</v>
      </c>
      <c r="B3053">
        <v>4</v>
      </c>
      <c r="J3053">
        <v>38</v>
      </c>
    </row>
    <row r="3054" spans="1:10">
      <c r="A3054" s="3" t="s">
        <v>3006</v>
      </c>
      <c r="B3054">
        <v>4</v>
      </c>
      <c r="J3054">
        <v>38</v>
      </c>
    </row>
    <row r="3055" spans="1:10">
      <c r="A3055" s="3" t="s">
        <v>3007</v>
      </c>
      <c r="B3055">
        <v>4</v>
      </c>
      <c r="J3055">
        <v>38</v>
      </c>
    </row>
    <row r="3056" spans="1:10">
      <c r="A3056" s="3" t="s">
        <v>3008</v>
      </c>
      <c r="B3056">
        <v>4</v>
      </c>
      <c r="J3056">
        <v>38</v>
      </c>
    </row>
    <row r="3057" spans="1:46">
      <c r="A3057" s="3" t="s">
        <v>3009</v>
      </c>
      <c r="B3057">
        <v>4</v>
      </c>
      <c r="J3057">
        <v>38</v>
      </c>
    </row>
    <row r="3058" spans="1:46">
      <c r="A3058" s="3" t="s">
        <v>3010</v>
      </c>
      <c r="B3058">
        <v>4</v>
      </c>
      <c r="J3058">
        <v>38</v>
      </c>
    </row>
    <row r="3059" spans="1:46">
      <c r="A3059" s="3" t="s">
        <v>3011</v>
      </c>
      <c r="B3059">
        <v>4</v>
      </c>
      <c r="AT3059">
        <v>17</v>
      </c>
    </row>
    <row r="3060" spans="1:46">
      <c r="A3060" s="3" t="s">
        <v>3012</v>
      </c>
      <c r="B3060">
        <v>4</v>
      </c>
      <c r="AT3060">
        <v>17</v>
      </c>
    </row>
    <row r="3061" spans="1:46">
      <c r="A3061" s="3" t="s">
        <v>3013</v>
      </c>
      <c r="B3061">
        <v>4</v>
      </c>
      <c r="AT3061">
        <v>17</v>
      </c>
    </row>
    <row r="3062" spans="1:46">
      <c r="A3062" s="3" t="s">
        <v>3014</v>
      </c>
      <c r="B3062">
        <v>4</v>
      </c>
      <c r="AT3062">
        <v>17</v>
      </c>
    </row>
    <row r="3063" spans="1:46">
      <c r="A3063" s="3" t="s">
        <v>3015</v>
      </c>
      <c r="B3063">
        <v>4</v>
      </c>
      <c r="AT3063">
        <v>17</v>
      </c>
    </row>
    <row r="3064" spans="1:46">
      <c r="A3064" s="3" t="s">
        <v>3016</v>
      </c>
      <c r="B3064">
        <v>4</v>
      </c>
      <c r="AT3064">
        <v>17</v>
      </c>
    </row>
    <row r="3065" spans="1:46">
      <c r="A3065" s="3" t="s">
        <v>3017</v>
      </c>
      <c r="B3065">
        <v>4</v>
      </c>
      <c r="AT3065">
        <v>17</v>
      </c>
    </row>
    <row r="3066" spans="1:46">
      <c r="A3066" s="3" t="s">
        <v>3018</v>
      </c>
      <c r="B3066">
        <v>4</v>
      </c>
      <c r="AT3066">
        <v>17</v>
      </c>
    </row>
    <row r="3067" spans="1:46">
      <c r="A3067" s="3" t="s">
        <v>3019</v>
      </c>
      <c r="B3067">
        <v>4</v>
      </c>
      <c r="AT3067">
        <v>17</v>
      </c>
    </row>
    <row r="3068" spans="1:46">
      <c r="A3068" s="3" t="s">
        <v>3020</v>
      </c>
      <c r="B3068">
        <v>4</v>
      </c>
      <c r="AT3068">
        <v>17</v>
      </c>
    </row>
    <row r="3069" spans="1:46">
      <c r="A3069" s="3" t="s">
        <v>3021</v>
      </c>
      <c r="B3069">
        <v>4</v>
      </c>
      <c r="AT3069">
        <v>17</v>
      </c>
    </row>
    <row r="3070" spans="1:46">
      <c r="A3070" s="3" t="s">
        <v>3022</v>
      </c>
      <c r="B3070">
        <v>4</v>
      </c>
      <c r="AT3070">
        <v>17</v>
      </c>
    </row>
    <row r="3071" spans="1:46">
      <c r="A3071" s="3" t="s">
        <v>3023</v>
      </c>
      <c r="B3071">
        <v>4</v>
      </c>
      <c r="AT3071">
        <v>17</v>
      </c>
    </row>
    <row r="3072" spans="1:46">
      <c r="A3072" s="3" t="s">
        <v>3024</v>
      </c>
      <c r="B3072">
        <v>4</v>
      </c>
      <c r="AT3072">
        <v>17</v>
      </c>
    </row>
    <row r="3073" spans="1:46">
      <c r="A3073" s="3" t="s">
        <v>3025</v>
      </c>
      <c r="B3073">
        <v>4</v>
      </c>
      <c r="AT3073">
        <v>17</v>
      </c>
    </row>
    <row r="3074" spans="1:46">
      <c r="A3074" s="3" t="s">
        <v>3026</v>
      </c>
      <c r="B3074">
        <v>4</v>
      </c>
      <c r="AT3074">
        <v>17</v>
      </c>
    </row>
    <row r="3075" spans="1:46">
      <c r="A3075" s="3" t="s">
        <v>3027</v>
      </c>
      <c r="B3075">
        <v>4</v>
      </c>
      <c r="J3075">
        <v>39</v>
      </c>
    </row>
    <row r="3076" spans="1:46">
      <c r="A3076" s="3" t="s">
        <v>3028</v>
      </c>
      <c r="B3076">
        <v>4</v>
      </c>
      <c r="J3076">
        <v>39</v>
      </c>
    </row>
    <row r="3077" spans="1:46">
      <c r="A3077" s="3" t="s">
        <v>3029</v>
      </c>
      <c r="B3077">
        <v>4</v>
      </c>
      <c r="J3077">
        <v>39</v>
      </c>
    </row>
    <row r="3078" spans="1:46">
      <c r="A3078" s="3" t="s">
        <v>3030</v>
      </c>
      <c r="B3078">
        <v>4</v>
      </c>
      <c r="J3078">
        <v>39</v>
      </c>
    </row>
    <row r="3079" spans="1:46">
      <c r="A3079" s="3" t="s">
        <v>3031</v>
      </c>
      <c r="B3079">
        <v>4</v>
      </c>
      <c r="J3079">
        <v>39</v>
      </c>
    </row>
    <row r="3080" spans="1:46">
      <c r="A3080" s="3" t="s">
        <v>3032</v>
      </c>
      <c r="B3080">
        <v>4</v>
      </c>
      <c r="J3080">
        <v>39</v>
      </c>
    </row>
    <row r="3081" spans="1:46">
      <c r="A3081" s="3" t="s">
        <v>3033</v>
      </c>
      <c r="B3081">
        <v>4</v>
      </c>
      <c r="J3081">
        <v>39</v>
      </c>
    </row>
    <row r="3082" spans="1:46">
      <c r="A3082" s="3" t="s">
        <v>3034</v>
      </c>
      <c r="B3082">
        <v>4</v>
      </c>
      <c r="J3082">
        <v>39</v>
      </c>
    </row>
    <row r="3083" spans="1:46">
      <c r="A3083" s="3" t="s">
        <v>3035</v>
      </c>
      <c r="B3083">
        <v>4</v>
      </c>
      <c r="J3083">
        <v>39</v>
      </c>
    </row>
    <row r="3084" spans="1:46">
      <c r="A3084" s="3" t="s">
        <v>3036</v>
      </c>
      <c r="B3084">
        <v>4</v>
      </c>
      <c r="J3084">
        <v>39</v>
      </c>
    </row>
    <row r="3085" spans="1:46">
      <c r="A3085" s="3" t="s">
        <v>3037</v>
      </c>
      <c r="B3085">
        <v>4</v>
      </c>
      <c r="J3085">
        <v>39</v>
      </c>
    </row>
    <row r="3086" spans="1:46">
      <c r="A3086" s="3" t="s">
        <v>3038</v>
      </c>
      <c r="B3086">
        <v>4</v>
      </c>
      <c r="J3086">
        <v>39</v>
      </c>
    </row>
    <row r="3087" spans="1:46">
      <c r="A3087" s="3" t="s">
        <v>3039</v>
      </c>
      <c r="B3087">
        <v>4</v>
      </c>
      <c r="J3087">
        <v>39</v>
      </c>
    </row>
    <row r="3088" spans="1:46">
      <c r="A3088" s="3" t="s">
        <v>3040</v>
      </c>
      <c r="B3088">
        <v>4</v>
      </c>
      <c r="J3088">
        <v>39</v>
      </c>
    </row>
    <row r="3089" spans="1:46">
      <c r="A3089" s="3" t="s">
        <v>3041</v>
      </c>
      <c r="B3089">
        <v>4</v>
      </c>
      <c r="J3089">
        <v>39</v>
      </c>
    </row>
    <row r="3090" spans="1:46">
      <c r="A3090" s="3" t="s">
        <v>3042</v>
      </c>
      <c r="B3090">
        <v>4</v>
      </c>
      <c r="J3090">
        <v>39</v>
      </c>
    </row>
    <row r="3091" spans="1:46">
      <c r="A3091" s="3" t="s">
        <v>3043</v>
      </c>
      <c r="B3091">
        <v>4</v>
      </c>
      <c r="AT3091">
        <v>18</v>
      </c>
    </row>
    <row r="3092" spans="1:46">
      <c r="A3092" s="3" t="s">
        <v>3044</v>
      </c>
      <c r="B3092">
        <v>4</v>
      </c>
      <c r="AT3092">
        <v>18</v>
      </c>
    </row>
    <row r="3093" spans="1:46">
      <c r="A3093" s="3" t="s">
        <v>3045</v>
      </c>
      <c r="B3093">
        <v>4</v>
      </c>
      <c r="AT3093">
        <v>18</v>
      </c>
    </row>
    <row r="3094" spans="1:46">
      <c r="A3094" s="3" t="s">
        <v>3046</v>
      </c>
      <c r="B3094">
        <v>4</v>
      </c>
      <c r="AT3094">
        <v>18</v>
      </c>
    </row>
    <row r="3095" spans="1:46">
      <c r="A3095" s="3" t="s">
        <v>3047</v>
      </c>
      <c r="B3095">
        <v>4</v>
      </c>
      <c r="AT3095">
        <v>18</v>
      </c>
    </row>
    <row r="3096" spans="1:46">
      <c r="A3096" s="3" t="s">
        <v>3048</v>
      </c>
      <c r="B3096">
        <v>4</v>
      </c>
      <c r="AT3096">
        <v>18</v>
      </c>
    </row>
    <row r="3097" spans="1:46">
      <c r="A3097" s="3" t="s">
        <v>3049</v>
      </c>
      <c r="B3097">
        <v>4</v>
      </c>
      <c r="AT3097">
        <v>18</v>
      </c>
    </row>
    <row r="3098" spans="1:46">
      <c r="A3098" s="3" t="s">
        <v>3050</v>
      </c>
      <c r="B3098">
        <v>4</v>
      </c>
      <c r="AT3098">
        <v>18</v>
      </c>
    </row>
    <row r="3099" spans="1:46">
      <c r="A3099" s="3" t="s">
        <v>3051</v>
      </c>
      <c r="B3099">
        <v>4</v>
      </c>
      <c r="AT3099">
        <v>18</v>
      </c>
    </row>
    <row r="3100" spans="1:46">
      <c r="A3100" s="3" t="s">
        <v>3052</v>
      </c>
      <c r="B3100">
        <v>4</v>
      </c>
      <c r="AT3100">
        <v>18</v>
      </c>
    </row>
    <row r="3101" spans="1:46">
      <c r="A3101" s="3" t="s">
        <v>3053</v>
      </c>
      <c r="B3101">
        <v>4</v>
      </c>
      <c r="AT3101">
        <v>18</v>
      </c>
    </row>
    <row r="3102" spans="1:46">
      <c r="A3102" s="3" t="s">
        <v>3054</v>
      </c>
      <c r="B3102">
        <v>4</v>
      </c>
      <c r="AT3102">
        <v>18</v>
      </c>
    </row>
    <row r="3103" spans="1:46">
      <c r="A3103" s="3" t="s">
        <v>3055</v>
      </c>
      <c r="B3103">
        <v>4</v>
      </c>
      <c r="AT3103">
        <v>18</v>
      </c>
    </row>
    <row r="3104" spans="1:46">
      <c r="A3104" s="3" t="s">
        <v>3056</v>
      </c>
      <c r="B3104">
        <v>4</v>
      </c>
      <c r="AT3104">
        <v>18</v>
      </c>
    </row>
    <row r="3105" spans="1:46">
      <c r="A3105" s="3" t="s">
        <v>3057</v>
      </c>
      <c r="B3105">
        <v>4</v>
      </c>
      <c r="AT3105">
        <v>18</v>
      </c>
    </row>
    <row r="3106" spans="1:46">
      <c r="A3106" s="3" t="s">
        <v>3058</v>
      </c>
      <c r="B3106">
        <v>4</v>
      </c>
      <c r="AT3106">
        <v>18</v>
      </c>
    </row>
    <row r="3107" spans="1:46">
      <c r="A3107" s="3" t="s">
        <v>3059</v>
      </c>
      <c r="B3107">
        <v>4</v>
      </c>
      <c r="AT3107">
        <v>18</v>
      </c>
    </row>
    <row r="3108" spans="1:46">
      <c r="A3108" s="3" t="s">
        <v>3060</v>
      </c>
      <c r="B3108">
        <v>4</v>
      </c>
      <c r="AT3108">
        <v>18</v>
      </c>
    </row>
    <row r="3109" spans="1:46">
      <c r="A3109" s="3" t="s">
        <v>3061</v>
      </c>
      <c r="B3109">
        <v>4</v>
      </c>
      <c r="AT3109">
        <v>18</v>
      </c>
    </row>
    <row r="3110" spans="1:46">
      <c r="A3110" s="3" t="s">
        <v>3062</v>
      </c>
      <c r="B3110">
        <v>4</v>
      </c>
      <c r="AT3110">
        <v>18</v>
      </c>
    </row>
    <row r="3111" spans="1:46">
      <c r="A3111" s="3" t="s">
        <v>3063</v>
      </c>
      <c r="B3111">
        <v>4</v>
      </c>
      <c r="AT3111">
        <v>18</v>
      </c>
    </row>
    <row r="3112" spans="1:46">
      <c r="A3112" s="3" t="s">
        <v>3064</v>
      </c>
      <c r="B3112">
        <v>4</v>
      </c>
      <c r="AT3112">
        <v>18</v>
      </c>
    </row>
    <row r="3113" spans="1:46">
      <c r="A3113" s="3" t="s">
        <v>3065</v>
      </c>
      <c r="B3113">
        <v>4</v>
      </c>
      <c r="AT3113">
        <v>18</v>
      </c>
    </row>
    <row r="3114" spans="1:46">
      <c r="A3114" s="3" t="s">
        <v>3066</v>
      </c>
      <c r="B3114">
        <v>4</v>
      </c>
      <c r="AT3114">
        <v>18</v>
      </c>
    </row>
    <row r="3115" spans="1:46">
      <c r="A3115" s="3" t="s">
        <v>3067</v>
      </c>
      <c r="B3115">
        <v>4</v>
      </c>
      <c r="AT3115">
        <v>18</v>
      </c>
    </row>
    <row r="3116" spans="1:46">
      <c r="A3116" s="3" t="s">
        <v>3068</v>
      </c>
      <c r="B3116">
        <v>4</v>
      </c>
      <c r="AT3116">
        <v>18</v>
      </c>
    </row>
    <row r="3117" spans="1:46">
      <c r="A3117" s="3" t="s">
        <v>3069</v>
      </c>
      <c r="B3117">
        <v>4</v>
      </c>
      <c r="AT3117">
        <v>18</v>
      </c>
    </row>
    <row r="3118" spans="1:46">
      <c r="A3118" s="3" t="s">
        <v>3070</v>
      </c>
      <c r="B3118">
        <v>4</v>
      </c>
      <c r="AT3118">
        <v>18</v>
      </c>
    </row>
    <row r="3119" spans="1:46">
      <c r="A3119" s="3" t="s">
        <v>3071</v>
      </c>
      <c r="B3119">
        <v>4</v>
      </c>
      <c r="AT3119">
        <v>18</v>
      </c>
    </row>
    <row r="3120" spans="1:46">
      <c r="A3120" s="3" t="s">
        <v>3072</v>
      </c>
      <c r="B3120">
        <v>4</v>
      </c>
      <c r="AT3120">
        <v>18</v>
      </c>
    </row>
    <row r="3121" spans="1:46">
      <c r="A3121" s="3" t="s">
        <v>3073</v>
      </c>
      <c r="B3121">
        <v>4</v>
      </c>
      <c r="AT3121">
        <v>18</v>
      </c>
    </row>
    <row r="3122" spans="1:46">
      <c r="A3122" s="3" t="s">
        <v>3074</v>
      </c>
      <c r="B3122">
        <v>4</v>
      </c>
      <c r="AT3122">
        <v>18</v>
      </c>
    </row>
    <row r="3123" spans="1:46">
      <c r="A3123" s="3" t="s">
        <v>3075</v>
      </c>
      <c r="B3123">
        <v>4</v>
      </c>
      <c r="AT3123">
        <v>18</v>
      </c>
    </row>
    <row r="3124" spans="1:46">
      <c r="A3124" s="3" t="s">
        <v>3076</v>
      </c>
      <c r="B3124">
        <v>4</v>
      </c>
      <c r="AT3124">
        <v>18</v>
      </c>
    </row>
    <row r="3125" spans="1:46">
      <c r="A3125" s="3" t="s">
        <v>3077</v>
      </c>
      <c r="B3125">
        <v>4</v>
      </c>
      <c r="AT3125">
        <v>18</v>
      </c>
    </row>
    <row r="3126" spans="1:46">
      <c r="A3126" s="3" t="s">
        <v>3078</v>
      </c>
      <c r="B3126">
        <v>4</v>
      </c>
      <c r="AT3126">
        <v>18</v>
      </c>
    </row>
    <row r="3127" spans="1:46">
      <c r="A3127" s="3" t="s">
        <v>3079</v>
      </c>
      <c r="B3127">
        <v>4</v>
      </c>
      <c r="AT3127">
        <v>18</v>
      </c>
    </row>
    <row r="3128" spans="1:46">
      <c r="A3128" s="3" t="s">
        <v>3080</v>
      </c>
      <c r="B3128">
        <v>4</v>
      </c>
      <c r="AT3128">
        <v>18</v>
      </c>
    </row>
    <row r="3129" spans="1:46">
      <c r="A3129" s="3" t="s">
        <v>3081</v>
      </c>
      <c r="B3129">
        <v>4</v>
      </c>
      <c r="AT3129">
        <v>18</v>
      </c>
    </row>
    <row r="3130" spans="1:46">
      <c r="A3130" s="3" t="s">
        <v>3082</v>
      </c>
      <c r="B3130">
        <v>4</v>
      </c>
      <c r="AT3130">
        <v>18</v>
      </c>
    </row>
    <row r="3131" spans="1:46">
      <c r="A3131" s="3" t="s">
        <v>3083</v>
      </c>
      <c r="B3131">
        <v>4</v>
      </c>
      <c r="AT3131">
        <v>18</v>
      </c>
    </row>
    <row r="3132" spans="1:46">
      <c r="A3132" s="3" t="s">
        <v>3084</v>
      </c>
      <c r="B3132">
        <v>4</v>
      </c>
      <c r="AT3132">
        <v>18</v>
      </c>
    </row>
    <row r="3133" spans="1:46">
      <c r="A3133" s="3" t="s">
        <v>3085</v>
      </c>
      <c r="B3133">
        <v>4</v>
      </c>
      <c r="AT3133">
        <v>18</v>
      </c>
    </row>
    <row r="3134" spans="1:46">
      <c r="A3134" s="3" t="s">
        <v>3086</v>
      </c>
      <c r="B3134">
        <v>4</v>
      </c>
      <c r="AT3134">
        <v>18</v>
      </c>
    </row>
    <row r="3135" spans="1:46">
      <c r="A3135" s="3" t="s">
        <v>3087</v>
      </c>
      <c r="B3135">
        <v>4</v>
      </c>
      <c r="AT3135">
        <v>18</v>
      </c>
    </row>
    <row r="3136" spans="1:46">
      <c r="A3136" s="3" t="s">
        <v>3088</v>
      </c>
      <c r="B3136">
        <v>4</v>
      </c>
      <c r="AT3136">
        <v>18</v>
      </c>
    </row>
    <row r="3137" spans="1:46">
      <c r="A3137" s="3" t="s">
        <v>3089</v>
      </c>
      <c r="B3137">
        <v>4</v>
      </c>
      <c r="AT3137">
        <v>18</v>
      </c>
    </row>
    <row r="3138" spans="1:46">
      <c r="A3138" s="3" t="s">
        <v>3090</v>
      </c>
      <c r="B3138">
        <v>4</v>
      </c>
      <c r="AT3138">
        <v>18</v>
      </c>
    </row>
    <row r="3139" spans="1:46">
      <c r="A3139" s="3" t="s">
        <v>3091</v>
      </c>
      <c r="B3139">
        <v>4</v>
      </c>
      <c r="AT3139">
        <v>18</v>
      </c>
    </row>
    <row r="3140" spans="1:46">
      <c r="A3140" s="3" t="s">
        <v>3092</v>
      </c>
      <c r="B3140">
        <v>4</v>
      </c>
      <c r="AT3140">
        <v>18</v>
      </c>
    </row>
    <row r="3141" spans="1:46">
      <c r="A3141" s="3" t="s">
        <v>3093</v>
      </c>
      <c r="B3141">
        <v>4</v>
      </c>
      <c r="AT3141">
        <v>18</v>
      </c>
    </row>
    <row r="3142" spans="1:46">
      <c r="A3142" s="3" t="s">
        <v>3094</v>
      </c>
      <c r="B3142">
        <v>4</v>
      </c>
      <c r="AT3142">
        <v>18</v>
      </c>
    </row>
    <row r="3143" spans="1:46">
      <c r="A3143" s="3" t="s">
        <v>3095</v>
      </c>
      <c r="B3143">
        <v>4</v>
      </c>
      <c r="AT3143">
        <v>18</v>
      </c>
    </row>
    <row r="3144" spans="1:46">
      <c r="A3144" s="3" t="s">
        <v>3096</v>
      </c>
      <c r="B3144">
        <v>4</v>
      </c>
      <c r="AT3144">
        <v>18</v>
      </c>
    </row>
    <row r="3145" spans="1:46">
      <c r="A3145" s="3" t="s">
        <v>3097</v>
      </c>
      <c r="B3145">
        <v>4</v>
      </c>
      <c r="AT3145">
        <v>18</v>
      </c>
    </row>
    <row r="3146" spans="1:46">
      <c r="A3146" s="3" t="s">
        <v>3098</v>
      </c>
      <c r="B3146">
        <v>4</v>
      </c>
      <c r="AT3146">
        <v>18</v>
      </c>
    </row>
    <row r="3147" spans="1:46">
      <c r="A3147" s="3" t="s">
        <v>3099</v>
      </c>
      <c r="B3147">
        <v>4</v>
      </c>
      <c r="AT3147">
        <v>18</v>
      </c>
    </row>
    <row r="3148" spans="1:46">
      <c r="A3148" s="3" t="s">
        <v>3100</v>
      </c>
      <c r="B3148">
        <v>4</v>
      </c>
      <c r="AT3148">
        <v>18</v>
      </c>
    </row>
    <row r="3149" spans="1:46">
      <c r="A3149" s="3" t="s">
        <v>3101</v>
      </c>
      <c r="B3149">
        <v>4</v>
      </c>
      <c r="AT3149">
        <v>18</v>
      </c>
    </row>
    <row r="3150" spans="1:46">
      <c r="A3150" s="3" t="s">
        <v>3102</v>
      </c>
      <c r="B3150">
        <v>4</v>
      </c>
      <c r="AT3150">
        <v>18</v>
      </c>
    </row>
    <row r="3151" spans="1:46">
      <c r="A3151" s="3" t="s">
        <v>3103</v>
      </c>
      <c r="B3151">
        <v>4</v>
      </c>
      <c r="AT3151">
        <v>18</v>
      </c>
    </row>
    <row r="3152" spans="1:46">
      <c r="A3152" s="3" t="s">
        <v>3104</v>
      </c>
      <c r="B3152">
        <v>4</v>
      </c>
      <c r="AT3152">
        <v>18</v>
      </c>
    </row>
    <row r="3153" spans="1:46">
      <c r="A3153" s="3" t="s">
        <v>3105</v>
      </c>
      <c r="B3153">
        <v>4</v>
      </c>
      <c r="J3153">
        <v>40</v>
      </c>
    </row>
    <row r="3154" spans="1:46">
      <c r="A3154" s="3" t="s">
        <v>3106</v>
      </c>
      <c r="B3154">
        <v>4</v>
      </c>
      <c r="J3154">
        <v>40</v>
      </c>
    </row>
    <row r="3155" spans="1:46">
      <c r="A3155" s="3" t="s">
        <v>3107</v>
      </c>
      <c r="B3155">
        <v>4</v>
      </c>
      <c r="J3155">
        <v>40</v>
      </c>
    </row>
    <row r="3156" spans="1:46">
      <c r="A3156" s="3" t="s">
        <v>3108</v>
      </c>
      <c r="B3156">
        <v>4</v>
      </c>
      <c r="J3156">
        <v>40</v>
      </c>
    </row>
    <row r="3157" spans="1:46">
      <c r="A3157" s="3" t="s">
        <v>3109</v>
      </c>
      <c r="B3157">
        <v>4</v>
      </c>
      <c r="J3157">
        <v>40</v>
      </c>
    </row>
    <row r="3158" spans="1:46">
      <c r="A3158" s="3" t="s">
        <v>3110</v>
      </c>
      <c r="B3158">
        <v>4</v>
      </c>
      <c r="AT3158">
        <v>19</v>
      </c>
    </row>
    <row r="3159" spans="1:46">
      <c r="A3159" s="3" t="s">
        <v>3111</v>
      </c>
      <c r="B3159">
        <v>4</v>
      </c>
      <c r="AT3159">
        <v>19</v>
      </c>
    </row>
    <row r="3160" spans="1:46">
      <c r="A3160" s="3" t="s">
        <v>3112</v>
      </c>
      <c r="B3160">
        <v>4</v>
      </c>
      <c r="AT3160">
        <v>19</v>
      </c>
    </row>
    <row r="3161" spans="1:46">
      <c r="A3161" s="3" t="s">
        <v>3113</v>
      </c>
      <c r="B3161">
        <v>4</v>
      </c>
      <c r="AT3161">
        <v>19</v>
      </c>
    </row>
    <row r="3162" spans="1:46">
      <c r="A3162" s="3" t="s">
        <v>3114</v>
      </c>
      <c r="B3162">
        <v>4</v>
      </c>
      <c r="AT3162">
        <v>19</v>
      </c>
    </row>
    <row r="3163" spans="1:46">
      <c r="A3163" s="3" t="s">
        <v>3115</v>
      </c>
      <c r="B3163">
        <v>4</v>
      </c>
      <c r="AT3163">
        <v>19</v>
      </c>
    </row>
    <row r="3164" spans="1:46">
      <c r="A3164" s="3" t="s">
        <v>3116</v>
      </c>
      <c r="B3164">
        <v>4</v>
      </c>
      <c r="AT3164">
        <v>19</v>
      </c>
    </row>
    <row r="3165" spans="1:46">
      <c r="A3165" s="3" t="s">
        <v>3117</v>
      </c>
      <c r="B3165">
        <v>4</v>
      </c>
      <c r="AT3165">
        <v>19</v>
      </c>
    </row>
    <row r="3166" spans="1:46">
      <c r="A3166" s="3" t="s">
        <v>3118</v>
      </c>
      <c r="B3166">
        <v>4</v>
      </c>
      <c r="AT3166">
        <v>19</v>
      </c>
    </row>
    <row r="3167" spans="1:46">
      <c r="A3167" s="3" t="s">
        <v>3119</v>
      </c>
      <c r="B3167">
        <v>4</v>
      </c>
      <c r="AT3167">
        <v>19</v>
      </c>
    </row>
    <row r="3168" spans="1:46">
      <c r="A3168" s="3" t="s">
        <v>3120</v>
      </c>
      <c r="B3168">
        <v>4</v>
      </c>
      <c r="AT3168">
        <v>19</v>
      </c>
    </row>
    <row r="3169" spans="1:10">
      <c r="A3169" s="3" t="s">
        <v>3121</v>
      </c>
      <c r="B3169">
        <v>4</v>
      </c>
      <c r="E3169">
        <v>4</v>
      </c>
      <c r="J3169">
        <v>41</v>
      </c>
    </row>
    <row r="3170" spans="1:10">
      <c r="A3170" s="3" t="s">
        <v>3122</v>
      </c>
      <c r="B3170">
        <v>4</v>
      </c>
      <c r="E3170">
        <v>4</v>
      </c>
      <c r="J3170">
        <v>41</v>
      </c>
    </row>
    <row r="3171" spans="1:10">
      <c r="A3171" s="3" t="s">
        <v>3123</v>
      </c>
      <c r="B3171">
        <v>4</v>
      </c>
      <c r="E3171">
        <v>4</v>
      </c>
      <c r="J3171">
        <v>41</v>
      </c>
    </row>
    <row r="3172" spans="1:10">
      <c r="A3172" s="3" t="s">
        <v>3124</v>
      </c>
      <c r="B3172">
        <v>4</v>
      </c>
      <c r="E3172">
        <v>4</v>
      </c>
      <c r="J3172">
        <v>41</v>
      </c>
    </row>
    <row r="3173" spans="1:10">
      <c r="A3173" s="3" t="s">
        <v>3125</v>
      </c>
      <c r="B3173">
        <v>4</v>
      </c>
      <c r="E3173">
        <v>4</v>
      </c>
      <c r="J3173">
        <v>41</v>
      </c>
    </row>
    <row r="3174" spans="1:10">
      <c r="A3174" s="3" t="s">
        <v>3126</v>
      </c>
      <c r="B3174">
        <v>4</v>
      </c>
      <c r="E3174">
        <v>4</v>
      </c>
      <c r="J3174">
        <v>41</v>
      </c>
    </row>
    <row r="3175" spans="1:10">
      <c r="A3175" s="3" t="s">
        <v>3127</v>
      </c>
      <c r="B3175">
        <v>4</v>
      </c>
      <c r="E3175">
        <v>4</v>
      </c>
      <c r="J3175">
        <v>41</v>
      </c>
    </row>
    <row r="3176" spans="1:10">
      <c r="A3176" s="3" t="s">
        <v>3128</v>
      </c>
      <c r="B3176">
        <v>4</v>
      </c>
      <c r="E3176">
        <v>4</v>
      </c>
      <c r="J3176">
        <v>41</v>
      </c>
    </row>
    <row r="3177" spans="1:10">
      <c r="A3177" s="3" t="s">
        <v>3129</v>
      </c>
      <c r="B3177">
        <v>4</v>
      </c>
      <c r="E3177">
        <v>4</v>
      </c>
      <c r="J3177">
        <v>41</v>
      </c>
    </row>
    <row r="3178" spans="1:10">
      <c r="A3178" s="3" t="s">
        <v>3130</v>
      </c>
      <c r="B3178">
        <v>4</v>
      </c>
      <c r="E3178">
        <v>4</v>
      </c>
      <c r="J3178">
        <v>41</v>
      </c>
    </row>
    <row r="3179" spans="1:10">
      <c r="A3179" s="3" t="s">
        <v>3131</v>
      </c>
      <c r="B3179">
        <v>4</v>
      </c>
      <c r="E3179">
        <v>4</v>
      </c>
      <c r="J3179">
        <v>41</v>
      </c>
    </row>
    <row r="3180" spans="1:10">
      <c r="A3180" s="3" t="s">
        <v>3132</v>
      </c>
      <c r="E3180">
        <v>4</v>
      </c>
      <c r="J3180">
        <v>41</v>
      </c>
    </row>
    <row r="3181" spans="1:10">
      <c r="A3181" s="3" t="s">
        <v>3133</v>
      </c>
      <c r="E3181">
        <v>4</v>
      </c>
      <c r="J3181">
        <v>41</v>
      </c>
    </row>
    <row r="3182" spans="1:10">
      <c r="A3182" s="3" t="s">
        <v>3134</v>
      </c>
      <c r="E3182">
        <v>4</v>
      </c>
      <c r="J3182">
        <v>41</v>
      </c>
    </row>
    <row r="3183" spans="1:10">
      <c r="A3183" s="3" t="s">
        <v>3135</v>
      </c>
      <c r="E3183">
        <v>4</v>
      </c>
      <c r="J3183">
        <v>41</v>
      </c>
    </row>
    <row r="3184" spans="1:10">
      <c r="A3184" s="3" t="s">
        <v>3136</v>
      </c>
      <c r="E3184">
        <v>4</v>
      </c>
      <c r="J3184">
        <v>41</v>
      </c>
    </row>
    <row r="3185" spans="1:47">
      <c r="A3185" s="3" t="s">
        <v>3137</v>
      </c>
      <c r="E3185">
        <v>4</v>
      </c>
      <c r="J3185">
        <v>41</v>
      </c>
    </row>
    <row r="3186" spans="1:47">
      <c r="A3186" s="3" t="s">
        <v>3138</v>
      </c>
      <c r="E3186">
        <v>4</v>
      </c>
      <c r="J3186">
        <v>41</v>
      </c>
    </row>
    <row r="3187" spans="1:47">
      <c r="A3187" s="3" t="s">
        <v>3139</v>
      </c>
      <c r="E3187">
        <v>4</v>
      </c>
      <c r="AU3187">
        <v>3</v>
      </c>
    </row>
    <row r="3188" spans="1:47">
      <c r="A3188" s="3" t="s">
        <v>3140</v>
      </c>
      <c r="E3188">
        <v>4</v>
      </c>
      <c r="AU3188">
        <v>3</v>
      </c>
    </row>
    <row r="3189" spans="1:47">
      <c r="A3189" s="3" t="s">
        <v>3141</v>
      </c>
      <c r="E3189">
        <v>4</v>
      </c>
      <c r="AU3189">
        <v>3</v>
      </c>
    </row>
    <row r="3190" spans="1:47">
      <c r="A3190" s="3" t="s">
        <v>3142</v>
      </c>
      <c r="E3190">
        <v>4</v>
      </c>
      <c r="AU3190">
        <v>3</v>
      </c>
    </row>
    <row r="3191" spans="1:47">
      <c r="A3191" s="3" t="s">
        <v>3143</v>
      </c>
      <c r="E3191">
        <v>4</v>
      </c>
      <c r="AU3191">
        <v>3</v>
      </c>
    </row>
    <row r="3192" spans="1:47">
      <c r="A3192" s="3" t="s">
        <v>3144</v>
      </c>
      <c r="E3192">
        <v>4</v>
      </c>
      <c r="AU3192">
        <v>3</v>
      </c>
    </row>
    <row r="3193" spans="1:47">
      <c r="A3193" s="3" t="s">
        <v>3145</v>
      </c>
      <c r="E3193">
        <v>4</v>
      </c>
      <c r="AU3193">
        <v>3</v>
      </c>
    </row>
    <row r="3194" spans="1:47">
      <c r="A3194" s="3" t="s">
        <v>3146</v>
      </c>
      <c r="E3194">
        <v>4</v>
      </c>
      <c r="AU3194">
        <v>3</v>
      </c>
    </row>
    <row r="3195" spans="1:47">
      <c r="A3195" s="3" t="s">
        <v>3147</v>
      </c>
      <c r="E3195">
        <v>4</v>
      </c>
      <c r="AU3195">
        <v>3</v>
      </c>
    </row>
    <row r="3196" spans="1:47">
      <c r="A3196" s="3" t="s">
        <v>3148</v>
      </c>
      <c r="E3196">
        <v>4</v>
      </c>
      <c r="AU3196">
        <v>3</v>
      </c>
    </row>
    <row r="3197" spans="1:47">
      <c r="A3197" s="3" t="s">
        <v>3149</v>
      </c>
      <c r="E3197">
        <v>4</v>
      </c>
      <c r="AU3197">
        <v>3</v>
      </c>
    </row>
    <row r="3198" spans="1:47">
      <c r="A3198" s="3" t="s">
        <v>3150</v>
      </c>
      <c r="E3198">
        <v>4</v>
      </c>
      <c r="AU3198">
        <v>3</v>
      </c>
    </row>
    <row r="3199" spans="1:47">
      <c r="A3199" s="3" t="s">
        <v>3151</v>
      </c>
      <c r="E3199">
        <v>4</v>
      </c>
      <c r="AU3199">
        <v>3</v>
      </c>
    </row>
    <row r="3200" spans="1:47">
      <c r="A3200" s="3" t="s">
        <v>3152</v>
      </c>
      <c r="E3200">
        <v>4</v>
      </c>
      <c r="J3200">
        <v>42</v>
      </c>
    </row>
    <row r="3201" spans="1:10">
      <c r="A3201" s="3" t="s">
        <v>3153</v>
      </c>
      <c r="E3201">
        <v>4</v>
      </c>
      <c r="J3201">
        <v>42</v>
      </c>
    </row>
    <row r="3202" spans="1:10">
      <c r="A3202" s="3" t="s">
        <v>3154</v>
      </c>
      <c r="E3202">
        <v>4</v>
      </c>
      <c r="J3202">
        <v>42</v>
      </c>
    </row>
    <row r="3203" spans="1:10">
      <c r="A3203" s="3" t="s">
        <v>3155</v>
      </c>
      <c r="E3203">
        <v>4</v>
      </c>
      <c r="J3203">
        <v>42</v>
      </c>
    </row>
    <row r="3204" spans="1:10">
      <c r="A3204" s="3" t="s">
        <v>3156</v>
      </c>
      <c r="E3204">
        <v>4</v>
      </c>
      <c r="J3204">
        <v>42</v>
      </c>
    </row>
    <row r="3205" spans="1:10">
      <c r="A3205" s="3" t="s">
        <v>3157</v>
      </c>
      <c r="E3205">
        <v>4</v>
      </c>
      <c r="J3205">
        <v>42</v>
      </c>
    </row>
    <row r="3206" spans="1:10">
      <c r="A3206" s="3" t="s">
        <v>3158</v>
      </c>
      <c r="E3206">
        <v>4</v>
      </c>
      <c r="J3206">
        <v>42</v>
      </c>
    </row>
    <row r="3207" spans="1:10">
      <c r="A3207" s="3" t="s">
        <v>3159</v>
      </c>
      <c r="E3207">
        <v>4</v>
      </c>
      <c r="J3207">
        <v>42</v>
      </c>
    </row>
    <row r="3208" spans="1:10">
      <c r="A3208" s="3" t="s">
        <v>3160</v>
      </c>
      <c r="E3208">
        <v>4</v>
      </c>
      <c r="J3208">
        <v>42</v>
      </c>
    </row>
    <row r="3209" spans="1:10">
      <c r="A3209" s="3" t="s">
        <v>3161</v>
      </c>
      <c r="E3209">
        <v>4</v>
      </c>
      <c r="J3209">
        <v>42</v>
      </c>
    </row>
    <row r="3210" spans="1:10">
      <c r="A3210" s="3" t="s">
        <v>3162</v>
      </c>
      <c r="E3210">
        <v>4</v>
      </c>
      <c r="J3210">
        <v>42</v>
      </c>
    </row>
    <row r="3211" spans="1:10">
      <c r="A3211" s="3" t="s">
        <v>3163</v>
      </c>
      <c r="E3211">
        <v>4</v>
      </c>
      <c r="J3211">
        <v>42</v>
      </c>
    </row>
    <row r="3212" spans="1:10">
      <c r="A3212" s="3" t="s">
        <v>3164</v>
      </c>
      <c r="E3212">
        <v>4</v>
      </c>
      <c r="J3212">
        <v>42</v>
      </c>
    </row>
    <row r="3213" spans="1:10">
      <c r="A3213" s="3" t="s">
        <v>3165</v>
      </c>
      <c r="E3213">
        <v>4</v>
      </c>
      <c r="J3213">
        <v>42</v>
      </c>
    </row>
    <row r="3214" spans="1:10">
      <c r="A3214" s="3" t="s">
        <v>3166</v>
      </c>
      <c r="E3214">
        <v>4</v>
      </c>
      <c r="J3214">
        <v>42</v>
      </c>
    </row>
    <row r="3215" spans="1:10">
      <c r="A3215" s="3" t="s">
        <v>3167</v>
      </c>
      <c r="E3215">
        <v>4</v>
      </c>
      <c r="J3215">
        <v>42</v>
      </c>
    </row>
    <row r="3216" spans="1:10">
      <c r="A3216" s="3" t="s">
        <v>3168</v>
      </c>
      <c r="E3216">
        <v>4</v>
      </c>
      <c r="J3216">
        <v>42</v>
      </c>
    </row>
    <row r="3217" spans="1:10">
      <c r="A3217" s="3" t="s">
        <v>3169</v>
      </c>
      <c r="E3217">
        <v>4</v>
      </c>
      <c r="J3217">
        <v>42</v>
      </c>
    </row>
    <row r="3218" spans="1:10">
      <c r="A3218" s="3" t="s">
        <v>3170</v>
      </c>
      <c r="E3218">
        <v>4</v>
      </c>
      <c r="J3218">
        <v>42</v>
      </c>
    </row>
    <row r="3219" spans="1:10">
      <c r="A3219" s="3" t="s">
        <v>3171</v>
      </c>
      <c r="E3219">
        <v>4</v>
      </c>
      <c r="J3219">
        <v>42</v>
      </c>
    </row>
    <row r="3220" spans="1:10">
      <c r="A3220" s="3" t="s">
        <v>3172</v>
      </c>
      <c r="E3220">
        <v>4</v>
      </c>
      <c r="J3220">
        <v>42</v>
      </c>
    </row>
    <row r="3221" spans="1:10">
      <c r="A3221" s="3" t="s">
        <v>3173</v>
      </c>
      <c r="E3221">
        <v>4</v>
      </c>
      <c r="J3221">
        <v>42</v>
      </c>
    </row>
    <row r="3222" spans="1:10">
      <c r="A3222" s="3" t="s">
        <v>3174</v>
      </c>
      <c r="E3222">
        <v>4</v>
      </c>
      <c r="J3222">
        <v>42</v>
      </c>
    </row>
    <row r="3223" spans="1:10">
      <c r="A3223" s="3" t="s">
        <v>3175</v>
      </c>
      <c r="E3223">
        <v>4</v>
      </c>
      <c r="J3223">
        <v>42</v>
      </c>
    </row>
    <row r="3224" spans="1:10">
      <c r="A3224" s="3" t="s">
        <v>3176</v>
      </c>
      <c r="E3224">
        <v>4</v>
      </c>
      <c r="J3224">
        <v>42</v>
      </c>
    </row>
    <row r="3225" spans="1:10">
      <c r="A3225" s="3" t="s">
        <v>3177</v>
      </c>
      <c r="E3225">
        <v>4</v>
      </c>
      <c r="J3225">
        <v>42</v>
      </c>
    </row>
    <row r="3226" spans="1:10">
      <c r="A3226" s="3" t="s">
        <v>3178</v>
      </c>
      <c r="E3226">
        <v>4</v>
      </c>
      <c r="J3226">
        <v>42</v>
      </c>
    </row>
    <row r="3227" spans="1:10">
      <c r="A3227" s="3" t="s">
        <v>3179</v>
      </c>
      <c r="E3227">
        <v>4</v>
      </c>
      <c r="J3227">
        <v>42</v>
      </c>
    </row>
    <row r="3228" spans="1:10">
      <c r="A3228" s="3" t="s">
        <v>3180</v>
      </c>
      <c r="E3228">
        <v>4</v>
      </c>
      <c r="J3228">
        <v>42</v>
      </c>
    </row>
    <row r="3229" spans="1:10">
      <c r="A3229" s="3" t="s">
        <v>3181</v>
      </c>
      <c r="E3229">
        <v>4</v>
      </c>
      <c r="J3229">
        <v>42</v>
      </c>
    </row>
    <row r="3230" spans="1:10">
      <c r="A3230" s="3" t="s">
        <v>3182</v>
      </c>
      <c r="E3230">
        <v>4</v>
      </c>
      <c r="J3230">
        <v>42</v>
      </c>
    </row>
    <row r="3231" spans="1:10">
      <c r="A3231" s="3" t="s">
        <v>3183</v>
      </c>
      <c r="E3231">
        <v>4</v>
      </c>
      <c r="J3231">
        <v>42</v>
      </c>
    </row>
    <row r="3232" spans="1:10">
      <c r="A3232" s="3" t="s">
        <v>3184</v>
      </c>
      <c r="E3232">
        <v>4</v>
      </c>
      <c r="J3232">
        <v>42</v>
      </c>
    </row>
    <row r="3233" spans="1:10">
      <c r="A3233" s="3" t="s">
        <v>3185</v>
      </c>
      <c r="E3233">
        <v>4</v>
      </c>
      <c r="J3233">
        <v>42</v>
      </c>
    </row>
    <row r="3234" spans="1:10">
      <c r="A3234" s="3" t="s">
        <v>3186</v>
      </c>
      <c r="E3234">
        <v>4</v>
      </c>
      <c r="J3234">
        <v>42</v>
      </c>
    </row>
    <row r="3235" spans="1:10">
      <c r="A3235" s="3" t="s">
        <v>3187</v>
      </c>
      <c r="E3235">
        <v>4</v>
      </c>
      <c r="J3235">
        <v>42</v>
      </c>
    </row>
    <row r="3236" spans="1:10">
      <c r="A3236" s="3" t="s">
        <v>3188</v>
      </c>
      <c r="E3236">
        <v>4</v>
      </c>
      <c r="J3236">
        <v>42</v>
      </c>
    </row>
    <row r="3237" spans="1:10">
      <c r="A3237" s="3" t="s">
        <v>3189</v>
      </c>
      <c r="E3237">
        <v>4</v>
      </c>
      <c r="J3237">
        <v>42</v>
      </c>
    </row>
    <row r="3238" spans="1:10">
      <c r="A3238" s="3" t="s">
        <v>3190</v>
      </c>
      <c r="E3238">
        <v>4</v>
      </c>
      <c r="J3238">
        <v>42</v>
      </c>
    </row>
    <row r="3239" spans="1:10">
      <c r="A3239" s="3" t="s">
        <v>3191</v>
      </c>
      <c r="E3239">
        <v>4</v>
      </c>
      <c r="J3239">
        <v>42</v>
      </c>
    </row>
    <row r="3240" spans="1:10">
      <c r="A3240" s="3" t="s">
        <v>3192</v>
      </c>
      <c r="E3240">
        <v>4</v>
      </c>
      <c r="J3240">
        <v>42</v>
      </c>
    </row>
    <row r="3241" spans="1:10">
      <c r="A3241" s="3" t="s">
        <v>3193</v>
      </c>
      <c r="E3241">
        <v>4</v>
      </c>
      <c r="J3241">
        <v>42</v>
      </c>
    </row>
    <row r="3242" spans="1:10">
      <c r="A3242" s="3" t="s">
        <v>3194</v>
      </c>
      <c r="E3242">
        <v>4</v>
      </c>
      <c r="J3242">
        <v>42</v>
      </c>
    </row>
    <row r="3243" spans="1:10">
      <c r="A3243" s="3" t="s">
        <v>3195</v>
      </c>
      <c r="E3243">
        <v>4</v>
      </c>
      <c r="J3243">
        <v>42</v>
      </c>
    </row>
    <row r="3244" spans="1:10">
      <c r="A3244" s="3" t="s">
        <v>3196</v>
      </c>
      <c r="E3244">
        <v>4</v>
      </c>
      <c r="J3244">
        <v>42</v>
      </c>
    </row>
    <row r="3245" spans="1:10">
      <c r="A3245" s="3" t="s">
        <v>3197</v>
      </c>
      <c r="E3245">
        <v>4</v>
      </c>
      <c r="J3245">
        <v>42</v>
      </c>
    </row>
    <row r="3246" spans="1:10">
      <c r="A3246" s="3" t="s">
        <v>3198</v>
      </c>
      <c r="E3246">
        <v>4</v>
      </c>
      <c r="J3246">
        <v>42</v>
      </c>
    </row>
    <row r="3247" spans="1:10">
      <c r="A3247" s="3" t="s">
        <v>3199</v>
      </c>
      <c r="E3247">
        <v>4</v>
      </c>
      <c r="J3247">
        <v>42</v>
      </c>
    </row>
    <row r="3248" spans="1:10">
      <c r="A3248" s="3" t="s">
        <v>3200</v>
      </c>
      <c r="E3248">
        <v>4</v>
      </c>
      <c r="J3248">
        <v>42</v>
      </c>
    </row>
    <row r="3249" spans="1:13">
      <c r="A3249" s="3" t="s">
        <v>3201</v>
      </c>
      <c r="E3249">
        <v>4</v>
      </c>
      <c r="J3249">
        <v>42</v>
      </c>
    </row>
    <row r="3250" spans="1:13">
      <c r="A3250" s="3" t="s">
        <v>3202</v>
      </c>
      <c r="E3250">
        <v>4</v>
      </c>
      <c r="J3250">
        <v>42</v>
      </c>
    </row>
    <row r="3251" spans="1:13">
      <c r="A3251" s="3" t="s">
        <v>3203</v>
      </c>
      <c r="E3251">
        <v>4</v>
      </c>
      <c r="J3251">
        <v>42</v>
      </c>
    </row>
    <row r="3252" spans="1:13">
      <c r="A3252" s="3" t="s">
        <v>3204</v>
      </c>
      <c r="E3252">
        <v>4</v>
      </c>
      <c r="J3252">
        <v>42</v>
      </c>
    </row>
    <row r="3253" spans="1:13">
      <c r="A3253" s="3" t="s">
        <v>3205</v>
      </c>
      <c r="E3253">
        <v>4</v>
      </c>
      <c r="J3253">
        <v>42</v>
      </c>
    </row>
    <row r="3254" spans="1:13">
      <c r="A3254" s="3" t="s">
        <v>3206</v>
      </c>
      <c r="E3254">
        <v>4</v>
      </c>
      <c r="J3254">
        <v>42</v>
      </c>
    </row>
    <row r="3255" spans="1:13">
      <c r="A3255" s="3" t="s">
        <v>3207</v>
      </c>
      <c r="E3255">
        <v>4</v>
      </c>
      <c r="J3255">
        <v>42</v>
      </c>
    </row>
    <row r="3256" spans="1:13">
      <c r="A3256" s="3" t="s">
        <v>3208</v>
      </c>
      <c r="E3256">
        <v>4</v>
      </c>
      <c r="J3256">
        <v>42</v>
      </c>
    </row>
    <row r="3257" spans="1:13">
      <c r="A3257" s="3" t="s">
        <v>3209</v>
      </c>
      <c r="E3257">
        <v>4</v>
      </c>
      <c r="J3257">
        <v>42</v>
      </c>
    </row>
    <row r="3258" spans="1:13">
      <c r="A3258" s="3" t="s">
        <v>3210</v>
      </c>
      <c r="E3258">
        <v>4</v>
      </c>
      <c r="J3258">
        <v>42</v>
      </c>
    </row>
    <row r="3259" spans="1:13">
      <c r="A3259" s="3" t="s">
        <v>3211</v>
      </c>
      <c r="E3259">
        <v>4</v>
      </c>
      <c r="J3259">
        <v>42</v>
      </c>
    </row>
    <row r="3260" spans="1:13">
      <c r="A3260" s="3" t="s">
        <v>3212</v>
      </c>
      <c r="E3260">
        <v>4</v>
      </c>
      <c r="M3260">
        <v>6</v>
      </c>
    </row>
    <row r="3261" spans="1:13">
      <c r="A3261" s="3" t="s">
        <v>3213</v>
      </c>
      <c r="E3261">
        <v>4</v>
      </c>
      <c r="M3261">
        <v>6</v>
      </c>
    </row>
    <row r="3262" spans="1:13">
      <c r="A3262" s="3" t="s">
        <v>3214</v>
      </c>
      <c r="E3262">
        <v>4</v>
      </c>
      <c r="M3262">
        <v>6</v>
      </c>
    </row>
    <row r="3263" spans="1:13">
      <c r="A3263" s="3" t="s">
        <v>3215</v>
      </c>
      <c r="E3263">
        <v>4</v>
      </c>
      <c r="M3263">
        <v>6</v>
      </c>
    </row>
    <row r="3264" spans="1:13">
      <c r="A3264" s="3" t="s">
        <v>3216</v>
      </c>
      <c r="E3264">
        <v>4</v>
      </c>
      <c r="M3264">
        <v>6</v>
      </c>
    </row>
    <row r="3265" spans="1:13">
      <c r="A3265" s="3" t="s">
        <v>3217</v>
      </c>
      <c r="E3265">
        <v>4</v>
      </c>
      <c r="M3265">
        <v>6</v>
      </c>
    </row>
    <row r="3266" spans="1:13">
      <c r="A3266" s="3" t="s">
        <v>3218</v>
      </c>
      <c r="E3266">
        <v>4</v>
      </c>
      <c r="M3266">
        <v>6</v>
      </c>
    </row>
    <row r="3267" spans="1:13">
      <c r="A3267" s="3" t="s">
        <v>3219</v>
      </c>
      <c r="E3267">
        <v>4</v>
      </c>
      <c r="M3267">
        <v>6</v>
      </c>
    </row>
    <row r="3268" spans="1:13">
      <c r="A3268" s="3" t="s">
        <v>3220</v>
      </c>
      <c r="E3268">
        <v>4</v>
      </c>
      <c r="M3268">
        <v>6</v>
      </c>
    </row>
    <row r="3269" spans="1:13">
      <c r="A3269" s="3" t="s">
        <v>3221</v>
      </c>
      <c r="E3269">
        <v>4</v>
      </c>
      <c r="M3269">
        <v>6</v>
      </c>
    </row>
    <row r="3270" spans="1:13">
      <c r="A3270" s="3" t="s">
        <v>3222</v>
      </c>
      <c r="E3270">
        <v>4</v>
      </c>
      <c r="M3270">
        <v>6</v>
      </c>
    </row>
    <row r="3271" spans="1:13">
      <c r="A3271" s="3" t="s">
        <v>3223</v>
      </c>
      <c r="E3271">
        <v>4</v>
      </c>
      <c r="M3271">
        <v>6</v>
      </c>
    </row>
    <row r="3272" spans="1:13">
      <c r="A3272" s="3" t="s">
        <v>3224</v>
      </c>
      <c r="E3272">
        <v>4</v>
      </c>
      <c r="M3272">
        <v>6</v>
      </c>
    </row>
    <row r="3273" spans="1:13">
      <c r="A3273" s="3" t="s">
        <v>3225</v>
      </c>
      <c r="E3273">
        <v>4</v>
      </c>
      <c r="M3273">
        <v>6</v>
      </c>
    </row>
    <row r="3274" spans="1:13">
      <c r="A3274" s="3" t="s">
        <v>3226</v>
      </c>
      <c r="E3274">
        <v>4</v>
      </c>
      <c r="M3274">
        <v>6</v>
      </c>
    </row>
    <row r="3275" spans="1:13">
      <c r="A3275" s="3" t="s">
        <v>3227</v>
      </c>
      <c r="E3275">
        <v>4</v>
      </c>
      <c r="M3275">
        <v>6</v>
      </c>
    </row>
    <row r="3276" spans="1:13">
      <c r="A3276" s="3" t="s">
        <v>3228</v>
      </c>
      <c r="E3276">
        <v>4</v>
      </c>
      <c r="M3276">
        <v>6</v>
      </c>
    </row>
    <row r="3277" spans="1:13">
      <c r="A3277" s="3" t="s">
        <v>3229</v>
      </c>
      <c r="E3277">
        <v>4</v>
      </c>
      <c r="M3277">
        <v>6</v>
      </c>
    </row>
    <row r="3278" spans="1:13">
      <c r="A3278" s="3" t="s">
        <v>3230</v>
      </c>
      <c r="E3278">
        <v>4</v>
      </c>
      <c r="M3278">
        <v>6</v>
      </c>
    </row>
    <row r="3279" spans="1:13">
      <c r="A3279" s="3" t="s">
        <v>3231</v>
      </c>
      <c r="E3279">
        <v>4</v>
      </c>
      <c r="M3279">
        <v>6</v>
      </c>
    </row>
    <row r="3280" spans="1:13">
      <c r="A3280" s="3" t="s">
        <v>3232</v>
      </c>
      <c r="E3280">
        <v>4</v>
      </c>
      <c r="M3280">
        <v>6</v>
      </c>
    </row>
    <row r="3281" spans="1:13">
      <c r="A3281" s="3" t="s">
        <v>3233</v>
      </c>
      <c r="E3281">
        <v>4</v>
      </c>
      <c r="M3281">
        <v>6</v>
      </c>
    </row>
    <row r="3282" spans="1:13">
      <c r="A3282" s="3" t="s">
        <v>3234</v>
      </c>
      <c r="E3282">
        <v>4</v>
      </c>
      <c r="M3282">
        <v>6</v>
      </c>
    </row>
    <row r="3283" spans="1:13">
      <c r="A3283" s="3" t="s">
        <v>3235</v>
      </c>
      <c r="E3283">
        <v>4</v>
      </c>
      <c r="M3283">
        <v>6</v>
      </c>
    </row>
    <row r="3284" spans="1:13">
      <c r="A3284" s="3" t="s">
        <v>3236</v>
      </c>
      <c r="E3284">
        <v>4</v>
      </c>
      <c r="M3284">
        <v>6</v>
      </c>
    </row>
    <row r="3285" spans="1:13">
      <c r="A3285" s="3" t="s">
        <v>3237</v>
      </c>
      <c r="E3285">
        <v>4</v>
      </c>
      <c r="M3285">
        <v>6</v>
      </c>
    </row>
    <row r="3286" spans="1:13">
      <c r="A3286" s="3" t="s">
        <v>3238</v>
      </c>
      <c r="E3286">
        <v>4</v>
      </c>
      <c r="J3286">
        <v>43</v>
      </c>
    </row>
    <row r="3287" spans="1:13">
      <c r="A3287" s="3" t="s">
        <v>3239</v>
      </c>
      <c r="E3287">
        <v>4</v>
      </c>
      <c r="J3287">
        <v>43</v>
      </c>
    </row>
    <row r="3288" spans="1:13">
      <c r="A3288" s="3" t="s">
        <v>3240</v>
      </c>
      <c r="E3288">
        <v>4</v>
      </c>
      <c r="J3288">
        <v>43</v>
      </c>
    </row>
    <row r="3289" spans="1:13">
      <c r="A3289" s="3" t="s">
        <v>3241</v>
      </c>
      <c r="E3289">
        <v>4</v>
      </c>
      <c r="J3289">
        <v>43</v>
      </c>
    </row>
    <row r="3290" spans="1:13">
      <c r="A3290" s="3" t="s">
        <v>3242</v>
      </c>
      <c r="E3290">
        <v>4</v>
      </c>
      <c r="J3290">
        <v>43</v>
      </c>
    </row>
    <row r="3291" spans="1:13">
      <c r="A3291" s="3" t="s">
        <v>3243</v>
      </c>
      <c r="E3291">
        <v>4</v>
      </c>
      <c r="J3291">
        <v>43</v>
      </c>
    </row>
    <row r="3292" spans="1:13">
      <c r="A3292" s="3" t="s">
        <v>3244</v>
      </c>
      <c r="E3292">
        <v>4</v>
      </c>
      <c r="J3292">
        <v>43</v>
      </c>
    </row>
    <row r="3293" spans="1:13">
      <c r="A3293" s="3" t="s">
        <v>3245</v>
      </c>
      <c r="E3293">
        <v>4</v>
      </c>
      <c r="J3293">
        <v>43</v>
      </c>
    </row>
    <row r="3294" spans="1:13">
      <c r="A3294" s="3" t="s">
        <v>3246</v>
      </c>
      <c r="E3294">
        <v>4</v>
      </c>
      <c r="J3294">
        <v>43</v>
      </c>
    </row>
    <row r="3295" spans="1:13">
      <c r="A3295" s="3" t="s">
        <v>3247</v>
      </c>
      <c r="E3295">
        <v>4</v>
      </c>
      <c r="J3295">
        <v>43</v>
      </c>
    </row>
    <row r="3296" spans="1:13">
      <c r="A3296" s="3" t="s">
        <v>3248</v>
      </c>
      <c r="E3296">
        <v>4</v>
      </c>
      <c r="J3296">
        <v>43</v>
      </c>
    </row>
    <row r="3297" spans="1:10">
      <c r="A3297" s="3" t="s">
        <v>3249</v>
      </c>
      <c r="E3297">
        <v>4</v>
      </c>
      <c r="J3297">
        <v>43</v>
      </c>
    </row>
    <row r="3298" spans="1:10">
      <c r="A3298" s="3" t="s">
        <v>3250</v>
      </c>
      <c r="E3298">
        <v>4</v>
      </c>
      <c r="J3298">
        <v>43</v>
      </c>
    </row>
    <row r="3299" spans="1:10">
      <c r="A3299" s="3" t="s">
        <v>3251</v>
      </c>
      <c r="E3299">
        <v>4</v>
      </c>
      <c r="J3299">
        <v>43</v>
      </c>
    </row>
    <row r="3300" spans="1:10">
      <c r="A3300" s="3" t="s">
        <v>3252</v>
      </c>
      <c r="E3300">
        <v>4</v>
      </c>
      <c r="J3300">
        <v>43</v>
      </c>
    </row>
    <row r="3301" spans="1:10">
      <c r="A3301" s="3" t="s">
        <v>3253</v>
      </c>
      <c r="E3301">
        <v>4</v>
      </c>
      <c r="J3301">
        <v>43</v>
      </c>
    </row>
    <row r="3302" spans="1:10">
      <c r="A3302" s="3" t="s">
        <v>3254</v>
      </c>
      <c r="E3302">
        <v>4</v>
      </c>
      <c r="J3302">
        <v>43</v>
      </c>
    </row>
    <row r="3303" spans="1:10">
      <c r="A3303" s="3" t="s">
        <v>3255</v>
      </c>
      <c r="E3303">
        <v>4</v>
      </c>
      <c r="J3303">
        <v>43</v>
      </c>
    </row>
    <row r="3304" spans="1:10">
      <c r="A3304" s="3" t="s">
        <v>3256</v>
      </c>
      <c r="E3304">
        <v>4</v>
      </c>
      <c r="J3304">
        <v>43</v>
      </c>
    </row>
    <row r="3305" spans="1:10">
      <c r="A3305" s="3" t="s">
        <v>3257</v>
      </c>
      <c r="E3305">
        <v>4</v>
      </c>
      <c r="J3305">
        <v>43</v>
      </c>
    </row>
    <row r="3306" spans="1:10">
      <c r="A3306" s="3" t="s">
        <v>3258</v>
      </c>
      <c r="E3306">
        <v>4</v>
      </c>
      <c r="J3306">
        <v>43</v>
      </c>
    </row>
    <row r="3307" spans="1:10">
      <c r="A3307" s="3" t="s">
        <v>3259</v>
      </c>
      <c r="E3307">
        <v>4</v>
      </c>
      <c r="J3307">
        <v>43</v>
      </c>
    </row>
    <row r="3308" spans="1:10">
      <c r="A3308" s="3" t="s">
        <v>3260</v>
      </c>
      <c r="E3308">
        <v>4</v>
      </c>
      <c r="J3308">
        <v>43</v>
      </c>
    </row>
    <row r="3309" spans="1:10">
      <c r="A3309" s="3" t="s">
        <v>3261</v>
      </c>
      <c r="E3309">
        <v>4</v>
      </c>
      <c r="J3309">
        <v>43</v>
      </c>
    </row>
    <row r="3310" spans="1:10">
      <c r="A3310" s="3" t="s">
        <v>3262</v>
      </c>
      <c r="E3310">
        <v>4</v>
      </c>
      <c r="J3310">
        <v>43</v>
      </c>
    </row>
    <row r="3311" spans="1:10">
      <c r="A3311" s="3" t="s">
        <v>3263</v>
      </c>
      <c r="E3311">
        <v>4</v>
      </c>
      <c r="J3311">
        <v>43</v>
      </c>
    </row>
    <row r="3312" spans="1:10">
      <c r="A3312" s="3" t="s">
        <v>3264</v>
      </c>
      <c r="E3312">
        <v>4</v>
      </c>
      <c r="J3312">
        <v>43</v>
      </c>
    </row>
    <row r="3313" spans="1:49">
      <c r="A3313" s="3" t="s">
        <v>3265</v>
      </c>
      <c r="E3313">
        <v>4</v>
      </c>
      <c r="J3313">
        <v>43</v>
      </c>
    </row>
    <row r="3314" spans="1:49">
      <c r="A3314" s="3" t="s">
        <v>3266</v>
      </c>
      <c r="E3314">
        <v>4</v>
      </c>
      <c r="J3314">
        <v>43</v>
      </c>
    </row>
    <row r="3315" spans="1:49">
      <c r="A3315" s="3" t="s">
        <v>3267</v>
      </c>
      <c r="E3315">
        <v>4</v>
      </c>
      <c r="J3315">
        <v>43</v>
      </c>
    </row>
    <row r="3316" spans="1:49">
      <c r="A3316" s="3" t="s">
        <v>3268</v>
      </c>
      <c r="E3316">
        <v>4</v>
      </c>
      <c r="J3316">
        <v>43</v>
      </c>
    </row>
    <row r="3317" spans="1:49">
      <c r="A3317" s="3" t="s">
        <v>3269</v>
      </c>
      <c r="E3317">
        <v>4</v>
      </c>
      <c r="J3317">
        <v>43</v>
      </c>
    </row>
    <row r="3318" spans="1:49">
      <c r="A3318" s="3" t="s">
        <v>3270</v>
      </c>
      <c r="E3318">
        <v>4</v>
      </c>
      <c r="AW3318">
        <v>15</v>
      </c>
    </row>
    <row r="3319" spans="1:49">
      <c r="A3319" s="3" t="s">
        <v>3271</v>
      </c>
      <c r="E3319">
        <v>4</v>
      </c>
      <c r="AW3319">
        <v>15</v>
      </c>
    </row>
    <row r="3320" spans="1:49">
      <c r="A3320" s="3" t="s">
        <v>3272</v>
      </c>
      <c r="E3320">
        <v>4</v>
      </c>
      <c r="AW3320">
        <v>15</v>
      </c>
    </row>
    <row r="3321" spans="1:49">
      <c r="A3321" s="3" t="s">
        <v>3273</v>
      </c>
      <c r="E3321">
        <v>4</v>
      </c>
      <c r="AW3321">
        <v>15</v>
      </c>
    </row>
    <row r="3322" spans="1:49">
      <c r="A3322" s="3" t="s">
        <v>3274</v>
      </c>
      <c r="E3322">
        <v>4</v>
      </c>
      <c r="AW3322">
        <v>15</v>
      </c>
    </row>
    <row r="3323" spans="1:49">
      <c r="A3323" s="3" t="s">
        <v>3275</v>
      </c>
      <c r="E3323">
        <v>4</v>
      </c>
      <c r="AW3323">
        <v>15</v>
      </c>
    </row>
    <row r="3324" spans="1:49">
      <c r="A3324" s="3" t="s">
        <v>3276</v>
      </c>
      <c r="E3324">
        <v>4</v>
      </c>
      <c r="AW3324">
        <v>15</v>
      </c>
    </row>
    <row r="3325" spans="1:49">
      <c r="A3325" s="3" t="s">
        <v>3277</v>
      </c>
      <c r="E3325">
        <v>4</v>
      </c>
      <c r="AW3325">
        <v>15</v>
      </c>
    </row>
    <row r="3326" spans="1:49">
      <c r="A3326" s="3" t="s">
        <v>3278</v>
      </c>
      <c r="E3326">
        <v>4</v>
      </c>
      <c r="AW3326">
        <v>15</v>
      </c>
    </row>
    <row r="3327" spans="1:49">
      <c r="A3327" s="3" t="s">
        <v>3279</v>
      </c>
      <c r="E3327">
        <v>4</v>
      </c>
      <c r="AW3327">
        <v>15</v>
      </c>
    </row>
    <row r="3328" spans="1:49">
      <c r="A3328" s="3" t="s">
        <v>3280</v>
      </c>
      <c r="E3328">
        <v>4</v>
      </c>
      <c r="AW3328">
        <v>15</v>
      </c>
    </row>
    <row r="3329" spans="1:13">
      <c r="A3329" s="3" t="s">
        <v>3281</v>
      </c>
      <c r="E3329">
        <v>4</v>
      </c>
      <c r="M3329">
        <v>7</v>
      </c>
    </row>
    <row r="3330" spans="1:13">
      <c r="A3330" s="3" t="s">
        <v>3282</v>
      </c>
      <c r="E3330">
        <v>4</v>
      </c>
      <c r="M3330">
        <v>7</v>
      </c>
    </row>
    <row r="3331" spans="1:13">
      <c r="A3331" s="3" t="s">
        <v>3283</v>
      </c>
      <c r="E3331">
        <v>4</v>
      </c>
      <c r="M3331">
        <v>7</v>
      </c>
    </row>
    <row r="3332" spans="1:13">
      <c r="A3332" s="3" t="s">
        <v>3284</v>
      </c>
      <c r="E3332">
        <v>4</v>
      </c>
      <c r="M3332">
        <v>7</v>
      </c>
    </row>
    <row r="3333" spans="1:13">
      <c r="A3333" s="3" t="s">
        <v>3285</v>
      </c>
      <c r="E3333">
        <v>4</v>
      </c>
      <c r="M3333">
        <v>7</v>
      </c>
    </row>
    <row r="3334" spans="1:13">
      <c r="A3334" s="3" t="s">
        <v>3286</v>
      </c>
      <c r="E3334">
        <v>4</v>
      </c>
      <c r="M3334">
        <v>7</v>
      </c>
    </row>
    <row r="3335" spans="1:13">
      <c r="A3335" s="3" t="s">
        <v>3287</v>
      </c>
      <c r="E3335">
        <v>4</v>
      </c>
      <c r="M3335">
        <v>7</v>
      </c>
    </row>
    <row r="3336" spans="1:13">
      <c r="A3336" s="3" t="s">
        <v>3288</v>
      </c>
      <c r="E3336">
        <v>4</v>
      </c>
      <c r="M3336">
        <v>7</v>
      </c>
    </row>
    <row r="3337" spans="1:13">
      <c r="A3337" s="3" t="s">
        <v>3289</v>
      </c>
      <c r="E3337">
        <v>4</v>
      </c>
      <c r="M3337">
        <v>7</v>
      </c>
    </row>
    <row r="3338" spans="1:13">
      <c r="A3338" s="3" t="s">
        <v>3290</v>
      </c>
      <c r="E3338">
        <v>4</v>
      </c>
      <c r="M3338">
        <v>7</v>
      </c>
    </row>
    <row r="3339" spans="1:13">
      <c r="A3339" s="3" t="s">
        <v>3291</v>
      </c>
      <c r="E3339">
        <v>4</v>
      </c>
      <c r="M3339">
        <v>7</v>
      </c>
    </row>
    <row r="3340" spans="1:13">
      <c r="A3340" s="3" t="s">
        <v>3292</v>
      </c>
      <c r="E3340">
        <v>4</v>
      </c>
      <c r="M3340">
        <v>7</v>
      </c>
    </row>
    <row r="3341" spans="1:13">
      <c r="A3341" s="3" t="s">
        <v>3293</v>
      </c>
      <c r="E3341">
        <v>4</v>
      </c>
      <c r="M3341">
        <v>7</v>
      </c>
    </row>
    <row r="3342" spans="1:13">
      <c r="A3342" s="3" t="s">
        <v>3294</v>
      </c>
      <c r="E3342">
        <v>4</v>
      </c>
      <c r="M3342">
        <v>7</v>
      </c>
    </row>
    <row r="3343" spans="1:13">
      <c r="A3343" s="3" t="s">
        <v>3295</v>
      </c>
      <c r="E3343">
        <v>4</v>
      </c>
      <c r="M3343">
        <v>7</v>
      </c>
    </row>
    <row r="3344" spans="1:13">
      <c r="A3344" s="3" t="s">
        <v>3296</v>
      </c>
      <c r="E3344">
        <v>4</v>
      </c>
      <c r="M3344">
        <v>7</v>
      </c>
    </row>
    <row r="3345" spans="1:13">
      <c r="A3345" s="3" t="s">
        <v>3297</v>
      </c>
      <c r="E3345">
        <v>4</v>
      </c>
      <c r="M3345">
        <v>7</v>
      </c>
    </row>
    <row r="3346" spans="1:13">
      <c r="A3346" s="3" t="s">
        <v>3298</v>
      </c>
      <c r="E3346">
        <v>4</v>
      </c>
      <c r="M3346">
        <v>7</v>
      </c>
    </row>
    <row r="3347" spans="1:13">
      <c r="A3347" s="3" t="s">
        <v>3299</v>
      </c>
      <c r="E3347">
        <v>4</v>
      </c>
      <c r="M3347">
        <v>7</v>
      </c>
    </row>
    <row r="3348" spans="1:13">
      <c r="A3348" s="3" t="s">
        <v>3300</v>
      </c>
      <c r="E3348">
        <v>4</v>
      </c>
      <c r="M3348">
        <v>7</v>
      </c>
    </row>
    <row r="3349" spans="1:13">
      <c r="A3349" s="3" t="s">
        <v>3301</v>
      </c>
      <c r="E3349">
        <v>4</v>
      </c>
      <c r="M3349">
        <v>7</v>
      </c>
    </row>
    <row r="3350" spans="1:13">
      <c r="A3350" s="3" t="s">
        <v>3302</v>
      </c>
      <c r="E3350">
        <v>4</v>
      </c>
      <c r="M3350">
        <v>7</v>
      </c>
    </row>
    <row r="3351" spans="1:13">
      <c r="A3351" s="3" t="s">
        <v>3303</v>
      </c>
      <c r="E3351">
        <v>4</v>
      </c>
      <c r="M3351">
        <v>7</v>
      </c>
    </row>
    <row r="3352" spans="1:13">
      <c r="A3352" s="3" t="s">
        <v>3304</v>
      </c>
      <c r="E3352">
        <v>4</v>
      </c>
      <c r="M3352">
        <v>7</v>
      </c>
    </row>
    <row r="3353" spans="1:13">
      <c r="A3353" s="3" t="s">
        <v>3305</v>
      </c>
      <c r="E3353">
        <v>4</v>
      </c>
      <c r="M3353">
        <v>7</v>
      </c>
    </row>
    <row r="3354" spans="1:13">
      <c r="A3354" s="3" t="s">
        <v>3306</v>
      </c>
      <c r="E3354">
        <v>4</v>
      </c>
      <c r="M3354">
        <v>7</v>
      </c>
    </row>
    <row r="3355" spans="1:13">
      <c r="A3355" s="3" t="s">
        <v>3307</v>
      </c>
      <c r="E3355">
        <v>4</v>
      </c>
      <c r="M3355">
        <v>7</v>
      </c>
    </row>
    <row r="3356" spans="1:13">
      <c r="A3356" s="3" t="s">
        <v>3308</v>
      </c>
      <c r="E3356">
        <v>4</v>
      </c>
      <c r="M3356">
        <v>7</v>
      </c>
    </row>
    <row r="3357" spans="1:13">
      <c r="A3357" s="3" t="s">
        <v>3309</v>
      </c>
      <c r="E3357">
        <v>4</v>
      </c>
      <c r="M3357">
        <v>7</v>
      </c>
    </row>
    <row r="3358" spans="1:13">
      <c r="A3358" s="3" t="s">
        <v>3310</v>
      </c>
      <c r="E3358">
        <v>4</v>
      </c>
      <c r="M3358">
        <v>7</v>
      </c>
    </row>
    <row r="3359" spans="1:13">
      <c r="A3359" s="3" t="s">
        <v>3311</v>
      </c>
      <c r="E3359">
        <v>4</v>
      </c>
      <c r="M3359">
        <v>7</v>
      </c>
    </row>
    <row r="3360" spans="1:13">
      <c r="A3360" s="3" t="s">
        <v>3312</v>
      </c>
      <c r="E3360">
        <v>4</v>
      </c>
      <c r="M3360">
        <v>7</v>
      </c>
    </row>
    <row r="3361" spans="1:13">
      <c r="A3361" s="3" t="s">
        <v>3313</v>
      </c>
      <c r="E3361">
        <v>4</v>
      </c>
      <c r="M3361">
        <v>7</v>
      </c>
    </row>
    <row r="3362" spans="1:13">
      <c r="A3362" s="3" t="s">
        <v>3314</v>
      </c>
      <c r="E3362">
        <v>4</v>
      </c>
      <c r="M3362">
        <v>7</v>
      </c>
    </row>
    <row r="3363" spans="1:13">
      <c r="A3363" s="3" t="s">
        <v>3315</v>
      </c>
      <c r="E3363">
        <v>4</v>
      </c>
      <c r="M3363">
        <v>7</v>
      </c>
    </row>
    <row r="3364" spans="1:13">
      <c r="A3364" s="3" t="s">
        <v>3316</v>
      </c>
      <c r="E3364">
        <v>4</v>
      </c>
      <c r="M3364">
        <v>7</v>
      </c>
    </row>
    <row r="3365" spans="1:13">
      <c r="A3365" s="3" t="s">
        <v>3317</v>
      </c>
      <c r="D3365">
        <v>4</v>
      </c>
      <c r="E3365">
        <v>4</v>
      </c>
      <c r="J3365">
        <v>44</v>
      </c>
    </row>
    <row r="3366" spans="1:13">
      <c r="A3366" s="3" t="s">
        <v>3318</v>
      </c>
      <c r="D3366">
        <v>4</v>
      </c>
      <c r="E3366">
        <v>4</v>
      </c>
      <c r="J3366">
        <v>44</v>
      </c>
    </row>
    <row r="3367" spans="1:13">
      <c r="A3367" s="3" t="s">
        <v>3319</v>
      </c>
      <c r="D3367">
        <v>4</v>
      </c>
      <c r="E3367">
        <v>4</v>
      </c>
      <c r="J3367">
        <v>44</v>
      </c>
    </row>
    <row r="3368" spans="1:13">
      <c r="A3368" s="3" t="s">
        <v>3320</v>
      </c>
      <c r="D3368">
        <v>4</v>
      </c>
      <c r="E3368">
        <v>4</v>
      </c>
      <c r="J3368">
        <v>44</v>
      </c>
    </row>
    <row r="3369" spans="1:13">
      <c r="A3369" s="3" t="s">
        <v>3321</v>
      </c>
      <c r="D3369">
        <v>4</v>
      </c>
      <c r="E3369">
        <v>4</v>
      </c>
      <c r="J3369">
        <v>44</v>
      </c>
    </row>
    <row r="3370" spans="1:13">
      <c r="A3370" s="3" t="s">
        <v>3322</v>
      </c>
      <c r="D3370">
        <v>4</v>
      </c>
      <c r="E3370">
        <v>4</v>
      </c>
      <c r="J3370">
        <v>44</v>
      </c>
    </row>
    <row r="3371" spans="1:13">
      <c r="A3371" s="3" t="s">
        <v>3323</v>
      </c>
      <c r="D3371">
        <v>4</v>
      </c>
      <c r="E3371">
        <v>4</v>
      </c>
      <c r="J3371">
        <v>44</v>
      </c>
    </row>
    <row r="3372" spans="1:13">
      <c r="A3372" s="3" t="s">
        <v>3324</v>
      </c>
      <c r="D3372">
        <v>4</v>
      </c>
      <c r="E3372">
        <v>4</v>
      </c>
      <c r="J3372">
        <v>44</v>
      </c>
    </row>
    <row r="3373" spans="1:13">
      <c r="A3373" s="3" t="s">
        <v>3325</v>
      </c>
      <c r="D3373">
        <v>4</v>
      </c>
      <c r="E3373">
        <v>4</v>
      </c>
      <c r="J3373">
        <v>44</v>
      </c>
    </row>
    <row r="3374" spans="1:13">
      <c r="A3374" s="3" t="s">
        <v>3326</v>
      </c>
      <c r="D3374">
        <v>4</v>
      </c>
      <c r="E3374">
        <v>4</v>
      </c>
      <c r="J3374">
        <v>44</v>
      </c>
    </row>
    <row r="3375" spans="1:13">
      <c r="A3375" s="3" t="s">
        <v>3327</v>
      </c>
      <c r="D3375">
        <v>4</v>
      </c>
      <c r="E3375">
        <v>4</v>
      </c>
      <c r="J3375">
        <v>44</v>
      </c>
    </row>
    <row r="3376" spans="1:13">
      <c r="A3376" s="3" t="s">
        <v>3328</v>
      </c>
      <c r="D3376">
        <v>4</v>
      </c>
      <c r="E3376">
        <v>4</v>
      </c>
      <c r="J3376">
        <v>44</v>
      </c>
    </row>
    <row r="3377" spans="1:10">
      <c r="A3377" s="3" t="s">
        <v>3329</v>
      </c>
      <c r="D3377">
        <v>4</v>
      </c>
      <c r="E3377">
        <v>4</v>
      </c>
      <c r="J3377">
        <v>44</v>
      </c>
    </row>
    <row r="3378" spans="1:10">
      <c r="A3378" s="3" t="s">
        <v>3330</v>
      </c>
      <c r="D3378">
        <v>4</v>
      </c>
      <c r="E3378">
        <v>4</v>
      </c>
      <c r="J3378">
        <v>44</v>
      </c>
    </row>
    <row r="3379" spans="1:10">
      <c r="A3379" s="3" t="s">
        <v>3331</v>
      </c>
      <c r="D3379">
        <v>4</v>
      </c>
      <c r="E3379">
        <v>4</v>
      </c>
      <c r="J3379">
        <v>44</v>
      </c>
    </row>
    <row r="3380" spans="1:10">
      <c r="A3380" s="3" t="s">
        <v>3332</v>
      </c>
      <c r="D3380">
        <v>4</v>
      </c>
      <c r="E3380">
        <v>4</v>
      </c>
      <c r="J3380">
        <v>44</v>
      </c>
    </row>
    <row r="3381" spans="1:10">
      <c r="A3381" s="3" t="s">
        <v>3333</v>
      </c>
      <c r="D3381">
        <v>4</v>
      </c>
      <c r="E3381">
        <v>4</v>
      </c>
      <c r="J3381">
        <v>44</v>
      </c>
    </row>
    <row r="3382" spans="1:10">
      <c r="A3382" s="3" t="s">
        <v>3334</v>
      </c>
      <c r="D3382">
        <v>4</v>
      </c>
      <c r="E3382">
        <v>4</v>
      </c>
      <c r="J3382">
        <v>44</v>
      </c>
    </row>
    <row r="3383" spans="1:10">
      <c r="A3383" s="3" t="s">
        <v>3335</v>
      </c>
      <c r="D3383">
        <v>4</v>
      </c>
      <c r="E3383">
        <v>4</v>
      </c>
      <c r="J3383">
        <v>44</v>
      </c>
    </row>
    <row r="3384" spans="1:10">
      <c r="A3384" s="3" t="s">
        <v>3336</v>
      </c>
      <c r="D3384">
        <v>4</v>
      </c>
      <c r="E3384">
        <v>4</v>
      </c>
      <c r="J3384">
        <v>44</v>
      </c>
    </row>
    <row r="3385" spans="1:10">
      <c r="A3385" s="3" t="s">
        <v>3337</v>
      </c>
      <c r="D3385">
        <v>4</v>
      </c>
      <c r="E3385">
        <v>4</v>
      </c>
      <c r="J3385">
        <v>44</v>
      </c>
    </row>
    <row r="3386" spans="1:10">
      <c r="A3386" s="3" t="s">
        <v>3338</v>
      </c>
      <c r="D3386">
        <v>4</v>
      </c>
      <c r="J3386">
        <v>44</v>
      </c>
    </row>
    <row r="3387" spans="1:10">
      <c r="A3387" s="3" t="s">
        <v>3339</v>
      </c>
      <c r="D3387">
        <v>4</v>
      </c>
      <c r="J3387">
        <v>44</v>
      </c>
    </row>
    <row r="3388" spans="1:10">
      <c r="A3388" s="3" t="s">
        <v>3340</v>
      </c>
      <c r="D3388">
        <v>4</v>
      </c>
      <c r="J3388">
        <v>44</v>
      </c>
    </row>
    <row r="3389" spans="1:10">
      <c r="A3389" s="3" t="s">
        <v>3341</v>
      </c>
      <c r="D3389">
        <v>4</v>
      </c>
      <c r="J3389">
        <v>44</v>
      </c>
    </row>
    <row r="3390" spans="1:10">
      <c r="A3390" s="3" t="s">
        <v>3342</v>
      </c>
      <c r="D3390">
        <v>4</v>
      </c>
      <c r="J3390">
        <v>44</v>
      </c>
    </row>
    <row r="3391" spans="1:10">
      <c r="A3391" s="3" t="s">
        <v>3343</v>
      </c>
      <c r="D3391">
        <v>4</v>
      </c>
      <c r="J3391">
        <v>44</v>
      </c>
    </row>
    <row r="3392" spans="1:10">
      <c r="A3392" s="3" t="s">
        <v>3344</v>
      </c>
      <c r="D3392">
        <v>4</v>
      </c>
      <c r="J3392">
        <v>44</v>
      </c>
    </row>
    <row r="3393" spans="1:10">
      <c r="A3393" s="3" t="s">
        <v>3345</v>
      </c>
      <c r="D3393">
        <v>4</v>
      </c>
      <c r="J3393">
        <v>44</v>
      </c>
    </row>
    <row r="3394" spans="1:10">
      <c r="A3394" s="3" t="s">
        <v>3346</v>
      </c>
      <c r="D3394">
        <v>4</v>
      </c>
      <c r="J3394">
        <v>44</v>
      </c>
    </row>
    <row r="3395" spans="1:10">
      <c r="A3395" s="3" t="s">
        <v>3347</v>
      </c>
      <c r="D3395">
        <v>4</v>
      </c>
      <c r="J3395">
        <v>44</v>
      </c>
    </row>
    <row r="3396" spans="1:10">
      <c r="A3396" s="3" t="s">
        <v>3348</v>
      </c>
      <c r="D3396">
        <v>4</v>
      </c>
      <c r="J3396">
        <v>44</v>
      </c>
    </row>
    <row r="3397" spans="1:10">
      <c r="A3397" s="3" t="s">
        <v>3349</v>
      </c>
      <c r="D3397">
        <v>4</v>
      </c>
      <c r="J3397">
        <v>44</v>
      </c>
    </row>
    <row r="3398" spans="1:10">
      <c r="A3398" s="3" t="s">
        <v>3350</v>
      </c>
      <c r="D3398">
        <v>4</v>
      </c>
      <c r="J3398">
        <v>44</v>
      </c>
    </row>
    <row r="3399" spans="1:10">
      <c r="A3399" s="3" t="s">
        <v>3351</v>
      </c>
      <c r="D3399">
        <v>4</v>
      </c>
      <c r="J3399">
        <v>44</v>
      </c>
    </row>
    <row r="3400" spans="1:10">
      <c r="A3400" s="3" t="s">
        <v>3352</v>
      </c>
      <c r="D3400">
        <v>4</v>
      </c>
      <c r="J3400">
        <v>44</v>
      </c>
    </row>
    <row r="3401" spans="1:10">
      <c r="A3401" s="3" t="s">
        <v>3353</v>
      </c>
      <c r="D3401">
        <v>4</v>
      </c>
      <c r="J3401">
        <v>44</v>
      </c>
    </row>
    <row r="3402" spans="1:10">
      <c r="A3402" s="3" t="s">
        <v>3354</v>
      </c>
      <c r="D3402">
        <v>4</v>
      </c>
      <c r="J3402">
        <v>44</v>
      </c>
    </row>
    <row r="3403" spans="1:10">
      <c r="A3403" s="3" t="s">
        <v>3355</v>
      </c>
      <c r="D3403">
        <v>4</v>
      </c>
      <c r="J3403">
        <v>44</v>
      </c>
    </row>
    <row r="3404" spans="1:10">
      <c r="A3404" s="3" t="s">
        <v>3356</v>
      </c>
      <c r="D3404">
        <v>4</v>
      </c>
      <c r="J3404">
        <v>44</v>
      </c>
    </row>
    <row r="3405" spans="1:10">
      <c r="A3405" s="3" t="s">
        <v>3357</v>
      </c>
      <c r="D3405">
        <v>4</v>
      </c>
      <c r="J3405">
        <v>44</v>
      </c>
    </row>
    <row r="3406" spans="1:10">
      <c r="A3406" s="3" t="s">
        <v>3358</v>
      </c>
      <c r="D3406">
        <v>4</v>
      </c>
      <c r="J3406">
        <v>44</v>
      </c>
    </row>
    <row r="3407" spans="1:10">
      <c r="A3407" s="3" t="s">
        <v>3359</v>
      </c>
      <c r="D3407">
        <v>4</v>
      </c>
      <c r="J3407">
        <v>44</v>
      </c>
    </row>
    <row r="3408" spans="1:10">
      <c r="A3408" s="3" t="s">
        <v>3360</v>
      </c>
      <c r="D3408">
        <v>4</v>
      </c>
      <c r="J3408">
        <v>44</v>
      </c>
    </row>
    <row r="3409" spans="1:49">
      <c r="A3409" s="3" t="s">
        <v>3361</v>
      </c>
      <c r="D3409">
        <v>4</v>
      </c>
      <c r="J3409">
        <v>44</v>
      </c>
    </row>
    <row r="3410" spans="1:49">
      <c r="A3410" s="3" t="s">
        <v>3362</v>
      </c>
      <c r="D3410">
        <v>4</v>
      </c>
      <c r="J3410">
        <v>44</v>
      </c>
    </row>
    <row r="3411" spans="1:49">
      <c r="A3411" s="3" t="s">
        <v>3363</v>
      </c>
      <c r="D3411">
        <v>4</v>
      </c>
      <c r="J3411">
        <v>44</v>
      </c>
    </row>
    <row r="3412" spans="1:49">
      <c r="A3412" s="3" t="s">
        <v>3364</v>
      </c>
      <c r="D3412">
        <v>4</v>
      </c>
      <c r="J3412">
        <v>44</v>
      </c>
    </row>
    <row r="3413" spans="1:49">
      <c r="A3413" s="3" t="s">
        <v>3365</v>
      </c>
      <c r="D3413">
        <v>4</v>
      </c>
      <c r="J3413">
        <v>44</v>
      </c>
    </row>
    <row r="3414" spans="1:49">
      <c r="A3414" s="3" t="s">
        <v>3366</v>
      </c>
      <c r="D3414">
        <v>4</v>
      </c>
      <c r="J3414">
        <v>44</v>
      </c>
    </row>
    <row r="3415" spans="1:49">
      <c r="A3415" s="3" t="s">
        <v>3367</v>
      </c>
      <c r="D3415">
        <v>4</v>
      </c>
      <c r="AW3415">
        <v>16</v>
      </c>
    </row>
    <row r="3416" spans="1:49">
      <c r="A3416" s="3" t="s">
        <v>3368</v>
      </c>
      <c r="D3416">
        <v>4</v>
      </c>
      <c r="AW3416">
        <v>16</v>
      </c>
    </row>
    <row r="3417" spans="1:49">
      <c r="A3417" s="3" t="s">
        <v>3369</v>
      </c>
      <c r="D3417">
        <v>4</v>
      </c>
      <c r="AW3417">
        <v>16</v>
      </c>
    </row>
    <row r="3418" spans="1:49">
      <c r="A3418" s="3" t="s">
        <v>3370</v>
      </c>
      <c r="D3418">
        <v>4</v>
      </c>
      <c r="AW3418">
        <v>16</v>
      </c>
    </row>
    <row r="3419" spans="1:49">
      <c r="A3419" s="3" t="s">
        <v>3371</v>
      </c>
      <c r="D3419">
        <v>4</v>
      </c>
      <c r="AW3419">
        <v>16</v>
      </c>
    </row>
    <row r="3420" spans="1:49">
      <c r="A3420" s="3" t="s">
        <v>3372</v>
      </c>
      <c r="D3420">
        <v>4</v>
      </c>
      <c r="AW3420">
        <v>16</v>
      </c>
    </row>
    <row r="3421" spans="1:49">
      <c r="A3421" s="3" t="s">
        <v>3373</v>
      </c>
      <c r="D3421">
        <v>4</v>
      </c>
      <c r="AW3421">
        <v>16</v>
      </c>
    </row>
    <row r="3422" spans="1:49">
      <c r="A3422" s="3" t="s">
        <v>3374</v>
      </c>
      <c r="D3422">
        <v>4</v>
      </c>
      <c r="AW3422">
        <v>16</v>
      </c>
    </row>
    <row r="3423" spans="1:49">
      <c r="A3423" s="3" t="s">
        <v>3375</v>
      </c>
      <c r="D3423">
        <v>4</v>
      </c>
      <c r="AW3423">
        <v>16</v>
      </c>
    </row>
    <row r="3424" spans="1:49">
      <c r="A3424" s="3" t="s">
        <v>3376</v>
      </c>
      <c r="D3424">
        <v>4</v>
      </c>
      <c r="AW3424">
        <v>16</v>
      </c>
    </row>
    <row r="3425" spans="1:49">
      <c r="A3425" s="3" t="s">
        <v>3377</v>
      </c>
      <c r="D3425">
        <v>4</v>
      </c>
      <c r="AW3425">
        <v>16</v>
      </c>
    </row>
    <row r="3426" spans="1:49">
      <c r="A3426" s="3" t="s">
        <v>3378</v>
      </c>
      <c r="D3426">
        <v>4</v>
      </c>
      <c r="AW3426">
        <v>16</v>
      </c>
    </row>
    <row r="3427" spans="1:49">
      <c r="A3427" s="3" t="s">
        <v>3379</v>
      </c>
      <c r="D3427">
        <v>4</v>
      </c>
      <c r="J3427">
        <v>45</v>
      </c>
    </row>
    <row r="3428" spans="1:49">
      <c r="A3428" s="3" t="s">
        <v>3380</v>
      </c>
      <c r="D3428">
        <v>4</v>
      </c>
      <c r="J3428">
        <v>45</v>
      </c>
    </row>
    <row r="3429" spans="1:49">
      <c r="A3429" s="3" t="s">
        <v>3381</v>
      </c>
      <c r="D3429">
        <v>4</v>
      </c>
      <c r="J3429">
        <v>45</v>
      </c>
    </row>
    <row r="3430" spans="1:49">
      <c r="A3430" s="3" t="s">
        <v>3382</v>
      </c>
      <c r="D3430">
        <v>4</v>
      </c>
      <c r="J3430">
        <v>45</v>
      </c>
    </row>
    <row r="3431" spans="1:49">
      <c r="A3431" s="3" t="s">
        <v>3383</v>
      </c>
      <c r="D3431">
        <v>4</v>
      </c>
      <c r="J3431">
        <v>45</v>
      </c>
    </row>
    <row r="3432" spans="1:49">
      <c r="A3432" s="3" t="s">
        <v>3384</v>
      </c>
      <c r="D3432">
        <v>4</v>
      </c>
      <c r="J3432">
        <v>45</v>
      </c>
    </row>
    <row r="3433" spans="1:49">
      <c r="A3433" s="3" t="s">
        <v>3385</v>
      </c>
      <c r="D3433">
        <v>4</v>
      </c>
      <c r="J3433">
        <v>45</v>
      </c>
    </row>
    <row r="3434" spans="1:49">
      <c r="A3434" s="3" t="s">
        <v>3386</v>
      </c>
      <c r="D3434">
        <v>4</v>
      </c>
      <c r="J3434">
        <v>45</v>
      </c>
    </row>
    <row r="3435" spans="1:49">
      <c r="A3435" s="3" t="s">
        <v>3387</v>
      </c>
      <c r="D3435">
        <v>4</v>
      </c>
      <c r="J3435">
        <v>45</v>
      </c>
    </row>
    <row r="3436" spans="1:49">
      <c r="A3436" s="3" t="s">
        <v>3388</v>
      </c>
      <c r="D3436">
        <v>4</v>
      </c>
      <c r="J3436">
        <v>45</v>
      </c>
    </row>
    <row r="3437" spans="1:49">
      <c r="A3437" s="3" t="s">
        <v>3389</v>
      </c>
      <c r="D3437">
        <v>4</v>
      </c>
      <c r="J3437">
        <v>45</v>
      </c>
    </row>
    <row r="3438" spans="1:49">
      <c r="A3438" s="3" t="s">
        <v>3390</v>
      </c>
      <c r="D3438">
        <v>4</v>
      </c>
      <c r="J3438">
        <v>45</v>
      </c>
    </row>
    <row r="3439" spans="1:49">
      <c r="A3439" s="3" t="s">
        <v>3391</v>
      </c>
      <c r="D3439">
        <v>4</v>
      </c>
      <c r="J3439">
        <v>45</v>
      </c>
    </row>
    <row r="3440" spans="1:49">
      <c r="A3440" s="3" t="s">
        <v>3392</v>
      </c>
      <c r="D3440">
        <v>4</v>
      </c>
      <c r="J3440">
        <v>45</v>
      </c>
    </row>
    <row r="3441" spans="1:10">
      <c r="A3441" s="3" t="s">
        <v>3393</v>
      </c>
      <c r="D3441">
        <v>4</v>
      </c>
      <c r="J3441">
        <v>45</v>
      </c>
    </row>
    <row r="3442" spans="1:10">
      <c r="A3442" s="3" t="s">
        <v>3394</v>
      </c>
      <c r="D3442">
        <v>4</v>
      </c>
      <c r="J3442">
        <v>45</v>
      </c>
    </row>
    <row r="3443" spans="1:10">
      <c r="A3443" s="3" t="s">
        <v>3395</v>
      </c>
      <c r="D3443">
        <v>4</v>
      </c>
      <c r="J3443">
        <v>45</v>
      </c>
    </row>
    <row r="3444" spans="1:10">
      <c r="A3444" s="3" t="s">
        <v>3396</v>
      </c>
      <c r="D3444">
        <v>4</v>
      </c>
      <c r="J3444">
        <v>45</v>
      </c>
    </row>
    <row r="3445" spans="1:10">
      <c r="A3445" s="3" t="s">
        <v>3397</v>
      </c>
      <c r="D3445">
        <v>4</v>
      </c>
      <c r="J3445">
        <v>45</v>
      </c>
    </row>
    <row r="3446" spans="1:10">
      <c r="A3446" s="3" t="s">
        <v>3398</v>
      </c>
      <c r="D3446">
        <v>4</v>
      </c>
      <c r="J3446">
        <v>45</v>
      </c>
    </row>
    <row r="3447" spans="1:10">
      <c r="A3447" s="3" t="s">
        <v>3399</v>
      </c>
      <c r="D3447">
        <v>4</v>
      </c>
      <c r="J3447">
        <v>45</v>
      </c>
    </row>
    <row r="3448" spans="1:10">
      <c r="A3448" s="3" t="s">
        <v>3400</v>
      </c>
      <c r="D3448">
        <v>4</v>
      </c>
      <c r="J3448">
        <v>45</v>
      </c>
    </row>
    <row r="3449" spans="1:10">
      <c r="A3449" s="3" t="s">
        <v>3401</v>
      </c>
      <c r="D3449">
        <v>4</v>
      </c>
      <c r="J3449">
        <v>45</v>
      </c>
    </row>
    <row r="3450" spans="1:10">
      <c r="A3450" s="3" t="s">
        <v>3402</v>
      </c>
      <c r="D3450">
        <v>4</v>
      </c>
      <c r="J3450">
        <v>45</v>
      </c>
    </row>
    <row r="3451" spans="1:10">
      <c r="A3451" s="3" t="s">
        <v>3403</v>
      </c>
      <c r="D3451">
        <v>4</v>
      </c>
      <c r="J3451">
        <v>45</v>
      </c>
    </row>
    <row r="3452" spans="1:10">
      <c r="A3452" s="3" t="s">
        <v>3404</v>
      </c>
      <c r="D3452">
        <v>4</v>
      </c>
      <c r="J3452">
        <v>45</v>
      </c>
    </row>
    <row r="3453" spans="1:10">
      <c r="A3453" s="3" t="s">
        <v>3405</v>
      </c>
      <c r="D3453">
        <v>4</v>
      </c>
      <c r="J3453">
        <v>45</v>
      </c>
    </row>
    <row r="3454" spans="1:10">
      <c r="A3454" s="3" t="s">
        <v>3406</v>
      </c>
      <c r="D3454">
        <v>4</v>
      </c>
      <c r="J3454">
        <v>45</v>
      </c>
    </row>
    <row r="3455" spans="1:10">
      <c r="A3455" s="3" t="s">
        <v>3407</v>
      </c>
      <c r="D3455">
        <v>4</v>
      </c>
      <c r="J3455">
        <v>45</v>
      </c>
    </row>
    <row r="3456" spans="1:10">
      <c r="A3456" s="3" t="s">
        <v>3408</v>
      </c>
      <c r="D3456">
        <v>4</v>
      </c>
      <c r="J3456">
        <v>45</v>
      </c>
    </row>
    <row r="3457" spans="1:49">
      <c r="A3457" s="3" t="s">
        <v>3409</v>
      </c>
      <c r="D3457">
        <v>4</v>
      </c>
      <c r="J3457">
        <v>45</v>
      </c>
    </row>
    <row r="3458" spans="1:49">
      <c r="A3458" s="3" t="s">
        <v>3410</v>
      </c>
      <c r="D3458">
        <v>4</v>
      </c>
      <c r="J3458">
        <v>45</v>
      </c>
    </row>
    <row r="3459" spans="1:49">
      <c r="A3459" s="3" t="s">
        <v>3411</v>
      </c>
      <c r="D3459">
        <v>4</v>
      </c>
      <c r="J3459">
        <v>45</v>
      </c>
    </row>
    <row r="3460" spans="1:49">
      <c r="A3460" s="3" t="s">
        <v>3412</v>
      </c>
      <c r="D3460">
        <v>4</v>
      </c>
      <c r="J3460">
        <v>45</v>
      </c>
    </row>
    <row r="3461" spans="1:49">
      <c r="A3461" s="3" t="s">
        <v>3413</v>
      </c>
      <c r="D3461">
        <v>4</v>
      </c>
      <c r="J3461">
        <v>45</v>
      </c>
    </row>
    <row r="3462" spans="1:49">
      <c r="A3462" s="3" t="s">
        <v>3414</v>
      </c>
      <c r="D3462">
        <v>4</v>
      </c>
      <c r="J3462">
        <v>45</v>
      </c>
    </row>
    <row r="3463" spans="1:49">
      <c r="A3463" s="3" t="s">
        <v>3415</v>
      </c>
      <c r="D3463">
        <v>4</v>
      </c>
      <c r="J3463">
        <v>45</v>
      </c>
    </row>
    <row r="3464" spans="1:49">
      <c r="A3464" s="3" t="s">
        <v>3416</v>
      </c>
      <c r="D3464">
        <v>4</v>
      </c>
      <c r="J3464">
        <v>45</v>
      </c>
    </row>
    <row r="3465" spans="1:49">
      <c r="A3465" s="3" t="s">
        <v>3417</v>
      </c>
      <c r="D3465">
        <v>4</v>
      </c>
      <c r="J3465">
        <v>45</v>
      </c>
    </row>
    <row r="3466" spans="1:49">
      <c r="A3466" s="3" t="s">
        <v>3418</v>
      </c>
      <c r="D3466">
        <v>4</v>
      </c>
      <c r="J3466">
        <v>45</v>
      </c>
    </row>
    <row r="3467" spans="1:49">
      <c r="A3467" s="3" t="s">
        <v>3419</v>
      </c>
      <c r="D3467">
        <v>4</v>
      </c>
      <c r="J3467">
        <v>45</v>
      </c>
    </row>
    <row r="3468" spans="1:49">
      <c r="A3468" s="3" t="s">
        <v>3420</v>
      </c>
      <c r="D3468">
        <v>4</v>
      </c>
      <c r="J3468">
        <v>45</v>
      </c>
    </row>
    <row r="3469" spans="1:49">
      <c r="A3469" s="3" t="s">
        <v>3421</v>
      </c>
      <c r="D3469">
        <v>4</v>
      </c>
      <c r="J3469">
        <v>45</v>
      </c>
    </row>
    <row r="3470" spans="1:49">
      <c r="A3470" s="3" t="s">
        <v>3422</v>
      </c>
      <c r="D3470">
        <v>4</v>
      </c>
      <c r="J3470">
        <v>45</v>
      </c>
    </row>
    <row r="3471" spans="1:49">
      <c r="A3471" s="3" t="s">
        <v>3423</v>
      </c>
      <c r="D3471">
        <v>4</v>
      </c>
      <c r="J3471">
        <v>45</v>
      </c>
    </row>
    <row r="3472" spans="1:49">
      <c r="A3472" s="3" t="s">
        <v>3424</v>
      </c>
      <c r="D3472">
        <v>4</v>
      </c>
      <c r="AW3472">
        <v>17</v>
      </c>
    </row>
    <row r="3473" spans="1:49">
      <c r="A3473" s="3" t="s">
        <v>3425</v>
      </c>
      <c r="D3473">
        <v>4</v>
      </c>
      <c r="AW3473">
        <v>17</v>
      </c>
    </row>
    <row r="3474" spans="1:49">
      <c r="A3474" s="3" t="s">
        <v>3426</v>
      </c>
      <c r="D3474">
        <v>4</v>
      </c>
      <c r="AW3474">
        <v>17</v>
      </c>
    </row>
    <row r="3475" spans="1:49">
      <c r="A3475" s="3" t="s">
        <v>3427</v>
      </c>
      <c r="D3475">
        <v>4</v>
      </c>
      <c r="AW3475">
        <v>17</v>
      </c>
    </row>
    <row r="3476" spans="1:49">
      <c r="A3476" s="3" t="s">
        <v>3428</v>
      </c>
      <c r="D3476">
        <v>4</v>
      </c>
      <c r="AW3476">
        <v>17</v>
      </c>
    </row>
    <row r="3477" spans="1:49">
      <c r="A3477" s="3" t="s">
        <v>3429</v>
      </c>
      <c r="D3477">
        <v>4</v>
      </c>
      <c r="J3477">
        <v>46</v>
      </c>
    </row>
    <row r="3478" spans="1:49">
      <c r="A3478" s="3" t="s">
        <v>3430</v>
      </c>
      <c r="D3478">
        <v>4</v>
      </c>
      <c r="J3478">
        <v>46</v>
      </c>
    </row>
    <row r="3479" spans="1:49">
      <c r="A3479" s="3" t="s">
        <v>3431</v>
      </c>
      <c r="D3479">
        <v>4</v>
      </c>
      <c r="J3479">
        <v>46</v>
      </c>
    </row>
    <row r="3480" spans="1:49">
      <c r="A3480" s="3" t="s">
        <v>3432</v>
      </c>
      <c r="D3480">
        <v>4</v>
      </c>
      <c r="J3480">
        <v>46</v>
      </c>
    </row>
    <row r="3481" spans="1:49">
      <c r="A3481" s="3" t="s">
        <v>3433</v>
      </c>
      <c r="D3481">
        <v>4</v>
      </c>
      <c r="J3481">
        <v>46</v>
      </c>
    </row>
    <row r="3482" spans="1:49">
      <c r="A3482" s="3" t="s">
        <v>3434</v>
      </c>
      <c r="D3482">
        <v>4</v>
      </c>
      <c r="J3482">
        <v>46</v>
      </c>
    </row>
    <row r="3483" spans="1:49">
      <c r="A3483" s="3" t="s">
        <v>3435</v>
      </c>
      <c r="D3483">
        <v>4</v>
      </c>
      <c r="J3483">
        <v>46</v>
      </c>
    </row>
    <row r="3484" spans="1:49">
      <c r="A3484" s="3" t="s">
        <v>3436</v>
      </c>
      <c r="D3484">
        <v>4</v>
      </c>
      <c r="J3484">
        <v>46</v>
      </c>
    </row>
    <row r="3485" spans="1:49">
      <c r="A3485" s="3" t="s">
        <v>3437</v>
      </c>
      <c r="D3485">
        <v>4</v>
      </c>
      <c r="J3485">
        <v>46</v>
      </c>
    </row>
    <row r="3486" spans="1:49">
      <c r="A3486" s="3" t="s">
        <v>3438</v>
      </c>
      <c r="D3486">
        <v>4</v>
      </c>
      <c r="J3486">
        <v>46</v>
      </c>
    </row>
    <row r="3487" spans="1:49">
      <c r="A3487" s="3" t="s">
        <v>3439</v>
      </c>
      <c r="D3487">
        <v>4</v>
      </c>
      <c r="J3487">
        <v>46</v>
      </c>
    </row>
    <row r="3488" spans="1:49">
      <c r="A3488" s="3" t="s">
        <v>3440</v>
      </c>
      <c r="D3488">
        <v>4</v>
      </c>
      <c r="J3488">
        <v>46</v>
      </c>
    </row>
    <row r="3489" spans="1:10">
      <c r="A3489" s="3" t="s">
        <v>3441</v>
      </c>
      <c r="D3489">
        <v>4</v>
      </c>
      <c r="J3489">
        <v>46</v>
      </c>
    </row>
    <row r="3490" spans="1:10">
      <c r="A3490" s="3" t="s">
        <v>3442</v>
      </c>
      <c r="D3490">
        <v>4</v>
      </c>
      <c r="J3490">
        <v>46</v>
      </c>
    </row>
    <row r="3491" spans="1:10">
      <c r="A3491" s="3" t="s">
        <v>3443</v>
      </c>
      <c r="D3491">
        <v>4</v>
      </c>
      <c r="J3491">
        <v>46</v>
      </c>
    </row>
    <row r="3492" spans="1:10">
      <c r="A3492" s="3" t="s">
        <v>3444</v>
      </c>
      <c r="D3492">
        <v>4</v>
      </c>
      <c r="J3492">
        <v>46</v>
      </c>
    </row>
    <row r="3493" spans="1:10">
      <c r="A3493" s="3" t="s">
        <v>3445</v>
      </c>
      <c r="D3493">
        <v>4</v>
      </c>
      <c r="J3493">
        <v>46</v>
      </c>
    </row>
    <row r="3494" spans="1:10">
      <c r="A3494" s="3" t="s">
        <v>3446</v>
      </c>
      <c r="D3494">
        <v>4</v>
      </c>
      <c r="J3494">
        <v>46</v>
      </c>
    </row>
    <row r="3495" spans="1:10">
      <c r="A3495" s="3" t="s">
        <v>3447</v>
      </c>
      <c r="D3495">
        <v>4</v>
      </c>
      <c r="J3495">
        <v>46</v>
      </c>
    </row>
    <row r="3496" spans="1:10">
      <c r="A3496" s="3" t="s">
        <v>3448</v>
      </c>
      <c r="D3496">
        <v>4</v>
      </c>
      <c r="J3496">
        <v>46</v>
      </c>
    </row>
    <row r="3497" spans="1:10">
      <c r="A3497" s="3" t="s">
        <v>3449</v>
      </c>
      <c r="D3497">
        <v>4</v>
      </c>
      <c r="J3497">
        <v>46</v>
      </c>
    </row>
    <row r="3498" spans="1:10">
      <c r="A3498" s="3" t="s">
        <v>3450</v>
      </c>
      <c r="D3498">
        <v>4</v>
      </c>
      <c r="J3498">
        <v>46</v>
      </c>
    </row>
    <row r="3499" spans="1:10">
      <c r="A3499" s="3" t="s">
        <v>3451</v>
      </c>
      <c r="D3499">
        <v>4</v>
      </c>
      <c r="J3499">
        <v>46</v>
      </c>
    </row>
    <row r="3500" spans="1:10">
      <c r="A3500" s="3" t="s">
        <v>3452</v>
      </c>
      <c r="D3500">
        <v>4</v>
      </c>
      <c r="J3500">
        <v>46</v>
      </c>
    </row>
    <row r="3501" spans="1:10">
      <c r="A3501" s="3" t="s">
        <v>3453</v>
      </c>
      <c r="D3501">
        <v>4</v>
      </c>
      <c r="J3501">
        <v>46</v>
      </c>
    </row>
    <row r="3502" spans="1:10">
      <c r="A3502" s="3" t="s">
        <v>3454</v>
      </c>
      <c r="D3502">
        <v>4</v>
      </c>
      <c r="J3502">
        <v>46</v>
      </c>
    </row>
    <row r="3503" spans="1:10">
      <c r="A3503" s="3" t="s">
        <v>3455</v>
      </c>
      <c r="D3503">
        <v>4</v>
      </c>
      <c r="J3503">
        <v>46</v>
      </c>
    </row>
    <row r="3504" spans="1:10">
      <c r="A3504" s="3" t="s">
        <v>3456</v>
      </c>
      <c r="D3504">
        <v>4</v>
      </c>
      <c r="J3504">
        <v>46</v>
      </c>
    </row>
    <row r="3505" spans="1:46">
      <c r="A3505" s="3" t="s">
        <v>3457</v>
      </c>
      <c r="D3505">
        <v>4</v>
      </c>
      <c r="J3505">
        <v>46</v>
      </c>
    </row>
    <row r="3506" spans="1:46">
      <c r="A3506" s="3" t="s">
        <v>3458</v>
      </c>
      <c r="D3506">
        <v>4</v>
      </c>
      <c r="J3506">
        <v>46</v>
      </c>
    </row>
    <row r="3507" spans="1:46">
      <c r="A3507" s="3" t="s">
        <v>3459</v>
      </c>
      <c r="D3507">
        <v>4</v>
      </c>
      <c r="J3507">
        <v>46</v>
      </c>
    </row>
    <row r="3508" spans="1:46">
      <c r="A3508" s="3" t="s">
        <v>3460</v>
      </c>
      <c r="D3508">
        <v>4</v>
      </c>
      <c r="J3508">
        <v>46</v>
      </c>
    </row>
    <row r="3509" spans="1:46">
      <c r="A3509" s="3" t="s">
        <v>3461</v>
      </c>
      <c r="D3509">
        <v>4</v>
      </c>
      <c r="J3509">
        <v>46</v>
      </c>
    </row>
    <row r="3510" spans="1:46">
      <c r="A3510" s="3" t="s">
        <v>3462</v>
      </c>
      <c r="D3510">
        <v>4</v>
      </c>
      <c r="J3510">
        <v>46</v>
      </c>
    </row>
    <row r="3511" spans="1:46">
      <c r="A3511" s="3" t="s">
        <v>3463</v>
      </c>
      <c r="D3511">
        <v>4</v>
      </c>
      <c r="J3511">
        <v>46</v>
      </c>
    </row>
    <row r="3512" spans="1:46">
      <c r="A3512" s="3" t="s">
        <v>3464</v>
      </c>
      <c r="D3512">
        <v>4</v>
      </c>
      <c r="J3512">
        <v>46</v>
      </c>
    </row>
    <row r="3513" spans="1:46">
      <c r="A3513" s="3" t="s">
        <v>3465</v>
      </c>
      <c r="D3513">
        <v>4</v>
      </c>
      <c r="J3513">
        <v>46</v>
      </c>
    </row>
    <row r="3514" spans="1:46">
      <c r="A3514" s="3" t="s">
        <v>3466</v>
      </c>
      <c r="D3514">
        <v>4</v>
      </c>
      <c r="AT3514">
        <v>20</v>
      </c>
    </row>
    <row r="3515" spans="1:46">
      <c r="A3515" s="3" t="s">
        <v>3467</v>
      </c>
      <c r="D3515">
        <v>4</v>
      </c>
      <c r="AT3515">
        <v>20</v>
      </c>
    </row>
    <row r="3516" spans="1:46">
      <c r="A3516" s="3" t="s">
        <v>3468</v>
      </c>
      <c r="D3516">
        <v>4</v>
      </c>
      <c r="AT3516">
        <v>20</v>
      </c>
    </row>
    <row r="3517" spans="1:46">
      <c r="A3517" s="3" t="s">
        <v>3469</v>
      </c>
      <c r="D3517">
        <v>4</v>
      </c>
      <c r="AT3517">
        <v>20</v>
      </c>
    </row>
    <row r="3518" spans="1:46">
      <c r="A3518" s="3" t="s">
        <v>3470</v>
      </c>
      <c r="D3518">
        <v>4</v>
      </c>
      <c r="AT3518">
        <v>20</v>
      </c>
    </row>
    <row r="3519" spans="1:46">
      <c r="A3519" s="3" t="s">
        <v>3471</v>
      </c>
      <c r="D3519">
        <v>4</v>
      </c>
      <c r="AT3519">
        <v>20</v>
      </c>
    </row>
    <row r="3520" spans="1:46">
      <c r="A3520" s="3" t="s">
        <v>3472</v>
      </c>
      <c r="D3520">
        <v>4</v>
      </c>
      <c r="AT3520">
        <v>20</v>
      </c>
    </row>
    <row r="3521" spans="1:46">
      <c r="A3521" s="3" t="s">
        <v>3473</v>
      </c>
      <c r="D3521">
        <v>4</v>
      </c>
      <c r="AT3521">
        <v>20</v>
      </c>
    </row>
    <row r="3522" spans="1:46">
      <c r="A3522" s="3" t="s">
        <v>3474</v>
      </c>
      <c r="D3522">
        <v>4</v>
      </c>
      <c r="AT3522">
        <v>20</v>
      </c>
    </row>
    <row r="3523" spans="1:46">
      <c r="A3523" s="3" t="s">
        <v>3475</v>
      </c>
      <c r="D3523">
        <v>4</v>
      </c>
      <c r="AT3523">
        <v>20</v>
      </c>
    </row>
    <row r="3524" spans="1:46">
      <c r="A3524" s="3" t="s">
        <v>3476</v>
      </c>
      <c r="D3524">
        <v>4</v>
      </c>
      <c r="AT3524">
        <v>20</v>
      </c>
    </row>
    <row r="3525" spans="1:46">
      <c r="A3525" s="3" t="s">
        <v>3477</v>
      </c>
      <c r="D3525">
        <v>4</v>
      </c>
      <c r="AT3525">
        <v>20</v>
      </c>
    </row>
    <row r="3526" spans="1:46">
      <c r="A3526" s="3" t="s">
        <v>3478</v>
      </c>
      <c r="D3526">
        <v>4</v>
      </c>
      <c r="AT3526">
        <v>20</v>
      </c>
    </row>
    <row r="3527" spans="1:46">
      <c r="A3527" s="3" t="s">
        <v>3479</v>
      </c>
      <c r="D3527">
        <v>4</v>
      </c>
      <c r="AT3527">
        <v>20</v>
      </c>
    </row>
    <row r="3528" spans="1:46">
      <c r="A3528" s="3" t="s">
        <v>3480</v>
      </c>
      <c r="D3528">
        <v>4</v>
      </c>
      <c r="AT3528">
        <v>20</v>
      </c>
    </row>
    <row r="3529" spans="1:46">
      <c r="A3529" s="3" t="s">
        <v>3481</v>
      </c>
      <c r="C3529">
        <v>4</v>
      </c>
      <c r="D3529">
        <v>4</v>
      </c>
      <c r="J3529">
        <v>47</v>
      </c>
    </row>
    <row r="3530" spans="1:46">
      <c r="A3530" s="3" t="s">
        <v>3482</v>
      </c>
      <c r="C3530">
        <v>4</v>
      </c>
      <c r="D3530">
        <v>4</v>
      </c>
      <c r="J3530">
        <v>47</v>
      </c>
    </row>
    <row r="3531" spans="1:46">
      <c r="A3531" s="3" t="s">
        <v>3483</v>
      </c>
      <c r="C3531">
        <v>4</v>
      </c>
      <c r="D3531">
        <v>4</v>
      </c>
      <c r="J3531">
        <v>47</v>
      </c>
    </row>
    <row r="3532" spans="1:46">
      <c r="A3532" s="3" t="s">
        <v>3484</v>
      </c>
      <c r="C3532">
        <v>4</v>
      </c>
      <c r="D3532">
        <v>4</v>
      </c>
      <c r="J3532">
        <v>47</v>
      </c>
    </row>
    <row r="3533" spans="1:46">
      <c r="A3533" s="3" t="s">
        <v>3485</v>
      </c>
      <c r="C3533">
        <v>4</v>
      </c>
      <c r="D3533">
        <v>4</v>
      </c>
      <c r="J3533">
        <v>47</v>
      </c>
    </row>
    <row r="3534" spans="1:46">
      <c r="A3534" s="3" t="s">
        <v>3486</v>
      </c>
      <c r="C3534">
        <v>4</v>
      </c>
      <c r="D3534">
        <v>4</v>
      </c>
      <c r="J3534">
        <v>47</v>
      </c>
    </row>
    <row r="3535" spans="1:46">
      <c r="A3535" s="3" t="s">
        <v>3487</v>
      </c>
      <c r="C3535">
        <v>4</v>
      </c>
      <c r="D3535">
        <v>4</v>
      </c>
      <c r="J3535">
        <v>47</v>
      </c>
    </row>
    <row r="3536" spans="1:46">
      <c r="A3536" s="3" t="s">
        <v>3488</v>
      </c>
      <c r="C3536">
        <v>4</v>
      </c>
      <c r="D3536">
        <v>4</v>
      </c>
      <c r="J3536">
        <v>47</v>
      </c>
    </row>
    <row r="3537" spans="1:10">
      <c r="A3537" s="3" t="s">
        <v>3489</v>
      </c>
      <c r="C3537">
        <v>4</v>
      </c>
      <c r="D3537">
        <v>4</v>
      </c>
      <c r="J3537">
        <v>47</v>
      </c>
    </row>
    <row r="3538" spans="1:10">
      <c r="A3538" s="3" t="s">
        <v>3490</v>
      </c>
      <c r="C3538">
        <v>4</v>
      </c>
      <c r="D3538">
        <v>4</v>
      </c>
      <c r="J3538">
        <v>47</v>
      </c>
    </row>
    <row r="3539" spans="1:10">
      <c r="A3539" s="3" t="s">
        <v>3491</v>
      </c>
      <c r="C3539">
        <v>4</v>
      </c>
      <c r="D3539">
        <v>4</v>
      </c>
      <c r="J3539">
        <v>47</v>
      </c>
    </row>
    <row r="3540" spans="1:10">
      <c r="A3540" s="3" t="s">
        <v>3492</v>
      </c>
      <c r="C3540">
        <v>4</v>
      </c>
      <c r="J3540">
        <v>47</v>
      </c>
    </row>
    <row r="3541" spans="1:10">
      <c r="A3541" s="3" t="s">
        <v>3493</v>
      </c>
      <c r="C3541">
        <v>4</v>
      </c>
      <c r="J3541">
        <v>47</v>
      </c>
    </row>
    <row r="3542" spans="1:10">
      <c r="A3542" s="3" t="s">
        <v>3494</v>
      </c>
      <c r="C3542">
        <v>4</v>
      </c>
      <c r="J3542">
        <v>47</v>
      </c>
    </row>
    <row r="3543" spans="1:10">
      <c r="A3543" s="3" t="s">
        <v>3495</v>
      </c>
      <c r="C3543">
        <v>4</v>
      </c>
      <c r="J3543">
        <v>47</v>
      </c>
    </row>
    <row r="3544" spans="1:10">
      <c r="A3544" s="3" t="s">
        <v>3496</v>
      </c>
      <c r="C3544">
        <v>4</v>
      </c>
      <c r="J3544">
        <v>47</v>
      </c>
    </row>
    <row r="3545" spans="1:10">
      <c r="A3545" s="3" t="s">
        <v>3497</v>
      </c>
      <c r="C3545">
        <v>4</v>
      </c>
      <c r="J3545">
        <v>47</v>
      </c>
    </row>
    <row r="3546" spans="1:10">
      <c r="A3546" s="3" t="s">
        <v>3498</v>
      </c>
      <c r="C3546">
        <v>4</v>
      </c>
      <c r="J3546">
        <v>47</v>
      </c>
    </row>
    <row r="3547" spans="1:10">
      <c r="A3547" s="3" t="s">
        <v>3499</v>
      </c>
      <c r="C3547">
        <v>4</v>
      </c>
      <c r="J3547">
        <v>47</v>
      </c>
    </row>
    <row r="3548" spans="1:10">
      <c r="A3548" s="3" t="s">
        <v>3500</v>
      </c>
      <c r="C3548">
        <v>4</v>
      </c>
      <c r="J3548">
        <v>47</v>
      </c>
    </row>
    <row r="3549" spans="1:10">
      <c r="A3549" s="3" t="s">
        <v>3501</v>
      </c>
      <c r="C3549">
        <v>4</v>
      </c>
      <c r="J3549">
        <v>47</v>
      </c>
    </row>
    <row r="3550" spans="1:10">
      <c r="A3550" s="3" t="s">
        <v>3502</v>
      </c>
      <c r="C3550">
        <v>4</v>
      </c>
      <c r="J3550">
        <v>47</v>
      </c>
    </row>
    <row r="3551" spans="1:10">
      <c r="A3551" s="3" t="s">
        <v>3503</v>
      </c>
      <c r="C3551">
        <v>4</v>
      </c>
      <c r="J3551">
        <v>47</v>
      </c>
    </row>
    <row r="3552" spans="1:10">
      <c r="A3552" s="3" t="s">
        <v>3504</v>
      </c>
      <c r="C3552">
        <v>4</v>
      </c>
      <c r="J3552">
        <v>47</v>
      </c>
    </row>
    <row r="3553" spans="1:10">
      <c r="A3553" s="3" t="s">
        <v>3505</v>
      </c>
      <c r="C3553">
        <v>4</v>
      </c>
      <c r="J3553">
        <v>47</v>
      </c>
    </row>
    <row r="3554" spans="1:10">
      <c r="A3554" s="3" t="s">
        <v>3506</v>
      </c>
      <c r="C3554">
        <v>4</v>
      </c>
      <c r="J3554">
        <v>47</v>
      </c>
    </row>
    <row r="3555" spans="1:10">
      <c r="A3555" s="3" t="s">
        <v>3507</v>
      </c>
      <c r="C3555">
        <v>4</v>
      </c>
      <c r="J3555">
        <v>47</v>
      </c>
    </row>
    <row r="3556" spans="1:10">
      <c r="A3556" s="3" t="s">
        <v>3508</v>
      </c>
      <c r="C3556">
        <v>4</v>
      </c>
      <c r="J3556">
        <v>47</v>
      </c>
    </row>
    <row r="3557" spans="1:10">
      <c r="A3557" s="3" t="s">
        <v>3509</v>
      </c>
      <c r="C3557">
        <v>4</v>
      </c>
      <c r="J3557">
        <v>47</v>
      </c>
    </row>
    <row r="3558" spans="1:10">
      <c r="A3558" s="3" t="s">
        <v>3510</v>
      </c>
      <c r="C3558">
        <v>4</v>
      </c>
      <c r="J3558">
        <v>47</v>
      </c>
    </row>
    <row r="3559" spans="1:10">
      <c r="A3559" s="3" t="s">
        <v>3511</v>
      </c>
      <c r="C3559">
        <v>4</v>
      </c>
      <c r="J3559">
        <v>47</v>
      </c>
    </row>
    <row r="3560" spans="1:10">
      <c r="A3560" s="3" t="s">
        <v>3512</v>
      </c>
      <c r="C3560">
        <v>4</v>
      </c>
      <c r="J3560">
        <v>47</v>
      </c>
    </row>
    <row r="3561" spans="1:10">
      <c r="A3561" s="3" t="s">
        <v>3513</v>
      </c>
      <c r="C3561">
        <v>4</v>
      </c>
      <c r="J3561">
        <v>47</v>
      </c>
    </row>
    <row r="3562" spans="1:10">
      <c r="A3562" s="3" t="s">
        <v>3514</v>
      </c>
      <c r="C3562">
        <v>4</v>
      </c>
      <c r="J3562">
        <v>47</v>
      </c>
    </row>
    <row r="3563" spans="1:10">
      <c r="A3563" s="3" t="s">
        <v>3515</v>
      </c>
      <c r="C3563">
        <v>4</v>
      </c>
      <c r="J3563">
        <v>47</v>
      </c>
    </row>
    <row r="3564" spans="1:10">
      <c r="A3564" s="3" t="s">
        <v>3516</v>
      </c>
      <c r="C3564">
        <v>4</v>
      </c>
      <c r="J3564">
        <v>47</v>
      </c>
    </row>
    <row r="3565" spans="1:10">
      <c r="A3565" s="3" t="s">
        <v>3517</v>
      </c>
      <c r="C3565">
        <v>4</v>
      </c>
      <c r="J3565">
        <v>47</v>
      </c>
    </row>
    <row r="3566" spans="1:10">
      <c r="A3566" s="3" t="s">
        <v>3518</v>
      </c>
      <c r="C3566">
        <v>4</v>
      </c>
      <c r="J3566">
        <v>47</v>
      </c>
    </row>
    <row r="3567" spans="1:10">
      <c r="A3567" s="3" t="s">
        <v>3519</v>
      </c>
      <c r="C3567">
        <v>4</v>
      </c>
      <c r="J3567">
        <v>47</v>
      </c>
    </row>
    <row r="3568" spans="1:10">
      <c r="A3568" s="3" t="s">
        <v>3520</v>
      </c>
      <c r="C3568">
        <v>4</v>
      </c>
      <c r="J3568">
        <v>47</v>
      </c>
    </row>
    <row r="3569" spans="1:12">
      <c r="A3569" s="3" t="s">
        <v>3521</v>
      </c>
      <c r="C3569">
        <v>4</v>
      </c>
      <c r="J3569">
        <v>47</v>
      </c>
    </row>
    <row r="3570" spans="1:12">
      <c r="A3570" s="3" t="s">
        <v>3522</v>
      </c>
      <c r="C3570">
        <v>4</v>
      </c>
      <c r="J3570">
        <v>47</v>
      </c>
    </row>
    <row r="3571" spans="1:12">
      <c r="A3571" s="3" t="s">
        <v>3523</v>
      </c>
      <c r="C3571">
        <v>4</v>
      </c>
      <c r="J3571">
        <v>47</v>
      </c>
    </row>
    <row r="3572" spans="1:12">
      <c r="A3572" s="3" t="s">
        <v>3524</v>
      </c>
      <c r="C3572">
        <v>4</v>
      </c>
      <c r="J3572">
        <v>47</v>
      </c>
    </row>
    <row r="3573" spans="1:12">
      <c r="A3573" s="3" t="s">
        <v>3525</v>
      </c>
      <c r="C3573">
        <v>4</v>
      </c>
      <c r="J3573">
        <v>47</v>
      </c>
    </row>
    <row r="3574" spans="1:12">
      <c r="A3574" s="3" t="s">
        <v>3526</v>
      </c>
      <c r="C3574">
        <v>4</v>
      </c>
      <c r="J3574">
        <v>47</v>
      </c>
    </row>
    <row r="3575" spans="1:12">
      <c r="A3575" s="3" t="s">
        <v>3527</v>
      </c>
      <c r="C3575">
        <v>4</v>
      </c>
      <c r="J3575">
        <v>47</v>
      </c>
    </row>
    <row r="3576" spans="1:12">
      <c r="A3576" s="3" t="s">
        <v>3528</v>
      </c>
      <c r="C3576">
        <v>4</v>
      </c>
      <c r="J3576">
        <v>47</v>
      </c>
    </row>
    <row r="3577" spans="1:12">
      <c r="A3577" s="3" t="s">
        <v>3529</v>
      </c>
      <c r="C3577">
        <v>4</v>
      </c>
      <c r="L3577">
        <v>3</v>
      </c>
    </row>
    <row r="3578" spans="1:12">
      <c r="A3578" s="3" t="s">
        <v>3530</v>
      </c>
      <c r="C3578">
        <v>4</v>
      </c>
      <c r="L3578">
        <v>3</v>
      </c>
    </row>
    <row r="3579" spans="1:12">
      <c r="A3579" s="3" t="s">
        <v>3531</v>
      </c>
      <c r="C3579">
        <v>4</v>
      </c>
      <c r="L3579">
        <v>3</v>
      </c>
    </row>
    <row r="3580" spans="1:12">
      <c r="A3580" s="3" t="s">
        <v>3532</v>
      </c>
      <c r="C3580">
        <v>4</v>
      </c>
      <c r="L3580">
        <v>3</v>
      </c>
    </row>
    <row r="3581" spans="1:12">
      <c r="A3581" s="3" t="s">
        <v>3533</v>
      </c>
      <c r="C3581">
        <v>4</v>
      </c>
      <c r="L3581">
        <v>3</v>
      </c>
    </row>
    <row r="3582" spans="1:12">
      <c r="A3582" s="3" t="s">
        <v>3534</v>
      </c>
      <c r="C3582">
        <v>4</v>
      </c>
      <c r="L3582">
        <v>3</v>
      </c>
    </row>
    <row r="3583" spans="1:12">
      <c r="A3583" s="3" t="s">
        <v>3535</v>
      </c>
      <c r="C3583">
        <v>4</v>
      </c>
      <c r="L3583">
        <v>3</v>
      </c>
    </row>
    <row r="3584" spans="1:12">
      <c r="A3584" s="3" t="s">
        <v>3536</v>
      </c>
      <c r="C3584">
        <v>4</v>
      </c>
      <c r="L3584">
        <v>3</v>
      </c>
    </row>
    <row r="3585" spans="1:12">
      <c r="A3585" s="3" t="s">
        <v>3537</v>
      </c>
      <c r="C3585">
        <v>4</v>
      </c>
      <c r="L3585">
        <v>3</v>
      </c>
    </row>
    <row r="3586" spans="1:12">
      <c r="A3586" s="3" t="s">
        <v>3538</v>
      </c>
      <c r="C3586">
        <v>4</v>
      </c>
      <c r="L3586">
        <v>3</v>
      </c>
    </row>
    <row r="3587" spans="1:12">
      <c r="A3587" s="3" t="s">
        <v>3539</v>
      </c>
      <c r="C3587">
        <v>4</v>
      </c>
      <c r="L3587">
        <v>3</v>
      </c>
    </row>
    <row r="3588" spans="1:12">
      <c r="A3588" s="3" t="s">
        <v>3540</v>
      </c>
      <c r="C3588">
        <v>4</v>
      </c>
      <c r="L3588">
        <v>3</v>
      </c>
    </row>
    <row r="3589" spans="1:12">
      <c r="A3589" s="3" t="s">
        <v>3541</v>
      </c>
      <c r="C3589">
        <v>4</v>
      </c>
      <c r="L3589">
        <v>3</v>
      </c>
    </row>
    <row r="3590" spans="1:12">
      <c r="A3590" s="3" t="s">
        <v>3542</v>
      </c>
      <c r="C3590">
        <v>4</v>
      </c>
      <c r="L3590">
        <v>3</v>
      </c>
    </row>
    <row r="3591" spans="1:12">
      <c r="A3591" s="3" t="s">
        <v>3543</v>
      </c>
      <c r="C3591">
        <v>4</v>
      </c>
      <c r="L3591">
        <v>3</v>
      </c>
    </row>
    <row r="3592" spans="1:12">
      <c r="A3592" s="3" t="s">
        <v>3544</v>
      </c>
      <c r="C3592">
        <v>4</v>
      </c>
      <c r="L3592">
        <v>3</v>
      </c>
    </row>
    <row r="3593" spans="1:12">
      <c r="A3593" s="3" t="s">
        <v>3545</v>
      </c>
      <c r="C3593">
        <v>4</v>
      </c>
      <c r="L3593">
        <v>3</v>
      </c>
    </row>
    <row r="3594" spans="1:12">
      <c r="A3594" s="3" t="s">
        <v>3546</v>
      </c>
      <c r="C3594">
        <v>4</v>
      </c>
      <c r="L3594">
        <v>3</v>
      </c>
    </row>
    <row r="3595" spans="1:12">
      <c r="A3595" s="3" t="s">
        <v>3547</v>
      </c>
      <c r="C3595">
        <v>4</v>
      </c>
      <c r="L3595">
        <v>3</v>
      </c>
    </row>
    <row r="3596" spans="1:12">
      <c r="A3596" s="3" t="s">
        <v>3548</v>
      </c>
      <c r="C3596">
        <v>4</v>
      </c>
      <c r="L3596">
        <v>3</v>
      </c>
    </row>
    <row r="3597" spans="1:12">
      <c r="A3597" s="3" t="s">
        <v>3549</v>
      </c>
      <c r="C3597">
        <v>4</v>
      </c>
      <c r="L3597">
        <v>3</v>
      </c>
    </row>
    <row r="3598" spans="1:12">
      <c r="A3598" s="3" t="s">
        <v>3550</v>
      </c>
      <c r="C3598">
        <v>4</v>
      </c>
      <c r="L3598">
        <v>3</v>
      </c>
    </row>
    <row r="3599" spans="1:12">
      <c r="A3599" s="3" t="s">
        <v>3551</v>
      </c>
      <c r="C3599">
        <v>4</v>
      </c>
      <c r="L3599">
        <v>3</v>
      </c>
    </row>
    <row r="3600" spans="1:12">
      <c r="A3600" s="3" t="s">
        <v>3552</v>
      </c>
      <c r="C3600">
        <v>4</v>
      </c>
      <c r="L3600">
        <v>3</v>
      </c>
    </row>
    <row r="3601" spans="1:12">
      <c r="A3601" s="3" t="s">
        <v>3553</v>
      </c>
      <c r="C3601">
        <v>4</v>
      </c>
      <c r="L3601">
        <v>3</v>
      </c>
    </row>
    <row r="3602" spans="1:12">
      <c r="A3602" s="3" t="s">
        <v>3554</v>
      </c>
      <c r="C3602">
        <v>4</v>
      </c>
      <c r="L3602">
        <v>3</v>
      </c>
    </row>
    <row r="3603" spans="1:12">
      <c r="A3603" s="3" t="s">
        <v>3555</v>
      </c>
      <c r="C3603">
        <v>4</v>
      </c>
      <c r="L3603">
        <v>3</v>
      </c>
    </row>
    <row r="3604" spans="1:12">
      <c r="A3604" s="3" t="s">
        <v>3556</v>
      </c>
      <c r="C3604">
        <v>4</v>
      </c>
      <c r="L3604">
        <v>3</v>
      </c>
    </row>
    <row r="3605" spans="1:12">
      <c r="A3605" s="3" t="s">
        <v>3557</v>
      </c>
      <c r="C3605">
        <v>4</v>
      </c>
      <c r="L3605">
        <v>3</v>
      </c>
    </row>
    <row r="3606" spans="1:12">
      <c r="A3606" s="3" t="s">
        <v>3558</v>
      </c>
      <c r="C3606">
        <v>4</v>
      </c>
      <c r="L3606">
        <v>3</v>
      </c>
    </row>
    <row r="3607" spans="1:12">
      <c r="A3607" s="3" t="s">
        <v>3559</v>
      </c>
      <c r="C3607">
        <v>4</v>
      </c>
      <c r="L3607">
        <v>3</v>
      </c>
    </row>
    <row r="3608" spans="1:12">
      <c r="A3608" s="3" t="s">
        <v>3560</v>
      </c>
      <c r="C3608">
        <v>4</v>
      </c>
      <c r="L3608">
        <v>3</v>
      </c>
    </row>
    <row r="3609" spans="1:12">
      <c r="A3609" s="3" t="s">
        <v>3561</v>
      </c>
      <c r="C3609">
        <v>4</v>
      </c>
      <c r="L3609">
        <v>3</v>
      </c>
    </row>
    <row r="3610" spans="1:12">
      <c r="A3610" s="3" t="s">
        <v>3562</v>
      </c>
      <c r="C3610">
        <v>4</v>
      </c>
      <c r="J3610">
        <v>48</v>
      </c>
    </row>
    <row r="3611" spans="1:12">
      <c r="A3611" s="3" t="s">
        <v>3563</v>
      </c>
      <c r="C3611">
        <v>4</v>
      </c>
      <c r="J3611">
        <v>48</v>
      </c>
    </row>
    <row r="3612" spans="1:12">
      <c r="A3612" s="3" t="s">
        <v>3564</v>
      </c>
      <c r="C3612">
        <v>4</v>
      </c>
      <c r="J3612">
        <v>48</v>
      </c>
    </row>
    <row r="3613" spans="1:12">
      <c r="A3613" s="3" t="s">
        <v>3565</v>
      </c>
      <c r="C3613">
        <v>4</v>
      </c>
      <c r="J3613">
        <v>48</v>
      </c>
    </row>
    <row r="3614" spans="1:12">
      <c r="A3614" s="3" t="s">
        <v>3566</v>
      </c>
      <c r="C3614">
        <v>4</v>
      </c>
      <c r="J3614">
        <v>48</v>
      </c>
    </row>
    <row r="3615" spans="1:12">
      <c r="A3615" s="3" t="s">
        <v>3567</v>
      </c>
      <c r="C3615">
        <v>4</v>
      </c>
      <c r="J3615">
        <v>48</v>
      </c>
    </row>
    <row r="3616" spans="1:12">
      <c r="A3616" s="3" t="s">
        <v>3568</v>
      </c>
      <c r="C3616">
        <v>4</v>
      </c>
      <c r="J3616">
        <v>48</v>
      </c>
    </row>
    <row r="3617" spans="1:10">
      <c r="A3617" s="3" t="s">
        <v>3569</v>
      </c>
      <c r="C3617">
        <v>4</v>
      </c>
      <c r="J3617">
        <v>48</v>
      </c>
    </row>
    <row r="3618" spans="1:10">
      <c r="A3618" s="3" t="s">
        <v>3570</v>
      </c>
      <c r="C3618">
        <v>4</v>
      </c>
      <c r="J3618">
        <v>48</v>
      </c>
    </row>
    <row r="3619" spans="1:10">
      <c r="A3619" s="3" t="s">
        <v>3571</v>
      </c>
      <c r="C3619">
        <v>4</v>
      </c>
      <c r="J3619">
        <v>48</v>
      </c>
    </row>
    <row r="3620" spans="1:10">
      <c r="A3620" s="3" t="s">
        <v>3572</v>
      </c>
      <c r="C3620">
        <v>4</v>
      </c>
      <c r="J3620">
        <v>48</v>
      </c>
    </row>
    <row r="3621" spans="1:10">
      <c r="A3621" s="3" t="s">
        <v>3573</v>
      </c>
      <c r="C3621">
        <v>4</v>
      </c>
      <c r="J3621">
        <v>48</v>
      </c>
    </row>
    <row r="3622" spans="1:10">
      <c r="A3622" s="3" t="s">
        <v>3574</v>
      </c>
      <c r="C3622">
        <v>4</v>
      </c>
      <c r="J3622">
        <v>48</v>
      </c>
    </row>
    <row r="3623" spans="1:10">
      <c r="A3623" s="3" t="s">
        <v>3575</v>
      </c>
      <c r="C3623">
        <v>4</v>
      </c>
      <c r="J3623">
        <v>48</v>
      </c>
    </row>
    <row r="3624" spans="1:10">
      <c r="A3624" s="3" t="s">
        <v>3576</v>
      </c>
      <c r="C3624">
        <v>4</v>
      </c>
      <c r="J3624">
        <v>48</v>
      </c>
    </row>
    <row r="3625" spans="1:10">
      <c r="A3625" s="3" t="s">
        <v>3577</v>
      </c>
      <c r="C3625">
        <v>4</v>
      </c>
      <c r="J3625">
        <v>48</v>
      </c>
    </row>
    <row r="3626" spans="1:10">
      <c r="A3626" s="3" t="s">
        <v>3578</v>
      </c>
      <c r="C3626">
        <v>4</v>
      </c>
      <c r="J3626">
        <v>48</v>
      </c>
    </row>
    <row r="3627" spans="1:10">
      <c r="A3627" s="3" t="s">
        <v>3579</v>
      </c>
      <c r="C3627">
        <v>4</v>
      </c>
      <c r="J3627">
        <v>48</v>
      </c>
    </row>
    <row r="3628" spans="1:10">
      <c r="A3628" s="3" t="s">
        <v>3580</v>
      </c>
      <c r="C3628">
        <v>4</v>
      </c>
      <c r="J3628">
        <v>48</v>
      </c>
    </row>
    <row r="3629" spans="1:10">
      <c r="A3629" s="3" t="s">
        <v>3581</v>
      </c>
      <c r="C3629">
        <v>4</v>
      </c>
      <c r="J3629">
        <v>48</v>
      </c>
    </row>
    <row r="3630" spans="1:10">
      <c r="A3630" s="3" t="s">
        <v>3582</v>
      </c>
      <c r="C3630">
        <v>4</v>
      </c>
      <c r="J3630">
        <v>48</v>
      </c>
    </row>
    <row r="3631" spans="1:10">
      <c r="A3631" s="3" t="s">
        <v>3583</v>
      </c>
      <c r="C3631">
        <v>4</v>
      </c>
      <c r="J3631">
        <v>48</v>
      </c>
    </row>
    <row r="3632" spans="1:10">
      <c r="A3632" s="3" t="s">
        <v>3584</v>
      </c>
      <c r="C3632">
        <v>4</v>
      </c>
      <c r="J3632">
        <v>48</v>
      </c>
    </row>
    <row r="3633" spans="1:47">
      <c r="A3633" s="3" t="s">
        <v>3585</v>
      </c>
      <c r="C3633">
        <v>4</v>
      </c>
      <c r="J3633">
        <v>48</v>
      </c>
    </row>
    <row r="3634" spans="1:47">
      <c r="A3634" s="3" t="s">
        <v>3586</v>
      </c>
      <c r="C3634">
        <v>4</v>
      </c>
      <c r="J3634">
        <v>48</v>
      </c>
    </row>
    <row r="3635" spans="1:47">
      <c r="A3635" s="3" t="s">
        <v>3587</v>
      </c>
      <c r="C3635">
        <v>4</v>
      </c>
      <c r="AU3635">
        <v>4</v>
      </c>
    </row>
    <row r="3636" spans="1:47">
      <c r="A3636" s="3" t="s">
        <v>3588</v>
      </c>
      <c r="C3636">
        <v>4</v>
      </c>
      <c r="AU3636">
        <v>4</v>
      </c>
    </row>
    <row r="3637" spans="1:47">
      <c r="A3637" s="3" t="s">
        <v>3589</v>
      </c>
      <c r="C3637">
        <v>4</v>
      </c>
      <c r="AU3637">
        <v>4</v>
      </c>
    </row>
    <row r="3638" spans="1:47">
      <c r="A3638" s="3" t="s">
        <v>3590</v>
      </c>
      <c r="C3638">
        <v>4</v>
      </c>
      <c r="AU3638">
        <v>4</v>
      </c>
    </row>
    <row r="3639" spans="1:47">
      <c r="A3639" s="3" t="s">
        <v>3591</v>
      </c>
      <c r="C3639">
        <v>4</v>
      </c>
      <c r="AU3639">
        <v>4</v>
      </c>
    </row>
    <row r="3640" spans="1:47">
      <c r="A3640" s="3" t="s">
        <v>3592</v>
      </c>
      <c r="C3640">
        <v>4</v>
      </c>
      <c r="AU3640">
        <v>4</v>
      </c>
    </row>
    <row r="3641" spans="1:47">
      <c r="A3641" s="3" t="s">
        <v>3593</v>
      </c>
      <c r="C3641">
        <v>4</v>
      </c>
      <c r="J3641">
        <v>49</v>
      </c>
    </row>
    <row r="3642" spans="1:47">
      <c r="A3642" s="3" t="s">
        <v>3594</v>
      </c>
      <c r="C3642">
        <v>4</v>
      </c>
      <c r="J3642">
        <v>49</v>
      </c>
    </row>
    <row r="3643" spans="1:47">
      <c r="A3643" s="3" t="s">
        <v>3595</v>
      </c>
      <c r="C3643">
        <v>4</v>
      </c>
      <c r="J3643">
        <v>49</v>
      </c>
    </row>
    <row r="3644" spans="1:47">
      <c r="A3644" s="3" t="s">
        <v>3596</v>
      </c>
      <c r="C3644">
        <v>4</v>
      </c>
      <c r="J3644">
        <v>49</v>
      </c>
    </row>
    <row r="3645" spans="1:47">
      <c r="A3645" s="3" t="s">
        <v>3597</v>
      </c>
      <c r="C3645">
        <v>4</v>
      </c>
      <c r="J3645">
        <v>49</v>
      </c>
    </row>
    <row r="3646" spans="1:47">
      <c r="A3646" s="3" t="s">
        <v>3598</v>
      </c>
      <c r="C3646">
        <v>4</v>
      </c>
      <c r="J3646">
        <v>49</v>
      </c>
    </row>
    <row r="3647" spans="1:47">
      <c r="A3647" s="3" t="s">
        <v>3599</v>
      </c>
      <c r="C3647">
        <v>4</v>
      </c>
      <c r="J3647">
        <v>49</v>
      </c>
    </row>
    <row r="3648" spans="1:47">
      <c r="A3648" s="3" t="s">
        <v>3600</v>
      </c>
      <c r="C3648">
        <v>4</v>
      </c>
      <c r="J3648">
        <v>49</v>
      </c>
    </row>
    <row r="3649" spans="1:46">
      <c r="A3649" s="3" t="s">
        <v>3601</v>
      </c>
      <c r="C3649">
        <v>4</v>
      </c>
      <c r="J3649">
        <v>49</v>
      </c>
    </row>
    <row r="3650" spans="1:46">
      <c r="A3650" s="3" t="s">
        <v>3602</v>
      </c>
      <c r="C3650">
        <v>4</v>
      </c>
      <c r="J3650">
        <v>49</v>
      </c>
    </row>
    <row r="3651" spans="1:46">
      <c r="A3651" s="3" t="s">
        <v>3603</v>
      </c>
      <c r="C3651">
        <v>4</v>
      </c>
      <c r="J3651">
        <v>49</v>
      </c>
    </row>
    <row r="3652" spans="1:46">
      <c r="A3652" s="3" t="s">
        <v>3604</v>
      </c>
      <c r="C3652">
        <v>4</v>
      </c>
      <c r="J3652">
        <v>49</v>
      </c>
    </row>
    <row r="3653" spans="1:46">
      <c r="A3653" s="3" t="s">
        <v>3605</v>
      </c>
      <c r="C3653">
        <v>4</v>
      </c>
      <c r="J3653">
        <v>49</v>
      </c>
    </row>
    <row r="3654" spans="1:46">
      <c r="A3654" s="3" t="s">
        <v>3606</v>
      </c>
      <c r="C3654">
        <v>4</v>
      </c>
      <c r="J3654">
        <v>49</v>
      </c>
    </row>
    <row r="3655" spans="1:46">
      <c r="A3655" s="3" t="s">
        <v>3607</v>
      </c>
      <c r="C3655">
        <v>4</v>
      </c>
      <c r="J3655">
        <v>49</v>
      </c>
    </row>
    <row r="3656" spans="1:46">
      <c r="A3656" s="3" t="s">
        <v>3608</v>
      </c>
      <c r="C3656">
        <v>4</v>
      </c>
      <c r="J3656">
        <v>49</v>
      </c>
    </row>
    <row r="3657" spans="1:46">
      <c r="A3657" s="3" t="s">
        <v>3609</v>
      </c>
      <c r="C3657">
        <v>4</v>
      </c>
      <c r="J3657">
        <v>49</v>
      </c>
    </row>
    <row r="3658" spans="1:46">
      <c r="A3658" s="3" t="s">
        <v>3610</v>
      </c>
      <c r="C3658">
        <v>4</v>
      </c>
      <c r="J3658">
        <v>49</v>
      </c>
    </row>
    <row r="3659" spans="1:46">
      <c r="A3659" s="3" t="s">
        <v>3611</v>
      </c>
      <c r="C3659">
        <v>4</v>
      </c>
      <c r="J3659">
        <v>49</v>
      </c>
    </row>
    <row r="3660" spans="1:46">
      <c r="A3660" s="3" t="s">
        <v>3612</v>
      </c>
      <c r="C3660">
        <v>4</v>
      </c>
      <c r="J3660">
        <v>49</v>
      </c>
    </row>
    <row r="3661" spans="1:46">
      <c r="A3661" s="3" t="s">
        <v>3613</v>
      </c>
      <c r="C3661">
        <v>4</v>
      </c>
      <c r="AT3661">
        <v>21</v>
      </c>
    </row>
    <row r="3662" spans="1:46">
      <c r="A3662" s="3" t="s">
        <v>3614</v>
      </c>
      <c r="C3662">
        <v>4</v>
      </c>
      <c r="AT3662">
        <v>21</v>
      </c>
    </row>
    <row r="3663" spans="1:46">
      <c r="A3663" s="3" t="s">
        <v>3615</v>
      </c>
      <c r="C3663">
        <v>4</v>
      </c>
      <c r="AT3663">
        <v>21</v>
      </c>
    </row>
    <row r="3664" spans="1:46">
      <c r="A3664" s="3" t="s">
        <v>3616</v>
      </c>
      <c r="C3664">
        <v>4</v>
      </c>
      <c r="AT3664">
        <v>21</v>
      </c>
    </row>
    <row r="3665" spans="1:46">
      <c r="A3665" s="3" t="s">
        <v>3617</v>
      </c>
      <c r="C3665">
        <v>4</v>
      </c>
      <c r="AT3665">
        <v>21</v>
      </c>
    </row>
    <row r="3666" spans="1:46">
      <c r="A3666" s="3" t="s">
        <v>3618</v>
      </c>
      <c r="C3666">
        <v>4</v>
      </c>
      <c r="AT3666">
        <v>21</v>
      </c>
    </row>
    <row r="3667" spans="1:46">
      <c r="A3667" s="3" t="s">
        <v>3619</v>
      </c>
      <c r="C3667">
        <v>4</v>
      </c>
      <c r="AT3667">
        <v>21</v>
      </c>
    </row>
    <row r="3668" spans="1:46">
      <c r="A3668" s="3" t="s">
        <v>3620</v>
      </c>
      <c r="C3668">
        <v>4</v>
      </c>
      <c r="AT3668">
        <v>21</v>
      </c>
    </row>
    <row r="3669" spans="1:46">
      <c r="A3669" s="3" t="s">
        <v>3621</v>
      </c>
      <c r="C3669">
        <v>4</v>
      </c>
      <c r="AT3669">
        <v>21</v>
      </c>
    </row>
    <row r="3670" spans="1:46">
      <c r="A3670" s="3" t="s">
        <v>3622</v>
      </c>
      <c r="C3670">
        <v>4</v>
      </c>
      <c r="AT3670">
        <v>21</v>
      </c>
    </row>
    <row r="3671" spans="1:46">
      <c r="A3671" s="3" t="s">
        <v>3623</v>
      </c>
      <c r="C3671">
        <v>4</v>
      </c>
      <c r="AT3671">
        <v>21</v>
      </c>
    </row>
    <row r="3672" spans="1:46">
      <c r="A3672" s="3" t="s">
        <v>3624</v>
      </c>
      <c r="C3672">
        <v>4</v>
      </c>
      <c r="AT3672">
        <v>21</v>
      </c>
    </row>
    <row r="3673" spans="1:46">
      <c r="A3673" s="3" t="s">
        <v>3625</v>
      </c>
      <c r="C3673">
        <v>4</v>
      </c>
      <c r="AT3673">
        <v>21</v>
      </c>
    </row>
    <row r="3674" spans="1:46">
      <c r="A3674" s="3" t="s">
        <v>3626</v>
      </c>
      <c r="C3674">
        <v>4</v>
      </c>
      <c r="AT3674">
        <v>21</v>
      </c>
    </row>
    <row r="3675" spans="1:46">
      <c r="A3675" s="3" t="s">
        <v>3627</v>
      </c>
      <c r="C3675">
        <v>4</v>
      </c>
      <c r="AT3675">
        <v>21</v>
      </c>
    </row>
    <row r="3676" spans="1:46">
      <c r="A3676" s="3" t="s">
        <v>3628</v>
      </c>
      <c r="C3676">
        <v>4</v>
      </c>
      <c r="AT3676">
        <v>21</v>
      </c>
    </row>
    <row r="3677" spans="1:46">
      <c r="A3677" s="3" t="s">
        <v>3629</v>
      </c>
      <c r="C3677">
        <v>4</v>
      </c>
      <c r="AT3677">
        <v>21</v>
      </c>
    </row>
    <row r="3678" spans="1:46">
      <c r="A3678" s="3" t="s">
        <v>3630</v>
      </c>
      <c r="C3678">
        <v>4</v>
      </c>
      <c r="AT3678">
        <v>21</v>
      </c>
    </row>
    <row r="3679" spans="1:46">
      <c r="A3679" s="3" t="s">
        <v>3631</v>
      </c>
      <c r="C3679">
        <v>4</v>
      </c>
      <c r="AT3679">
        <v>21</v>
      </c>
    </row>
    <row r="3680" spans="1:46">
      <c r="A3680" s="3" t="s">
        <v>3632</v>
      </c>
      <c r="C3680">
        <v>4</v>
      </c>
      <c r="AT3680">
        <v>21</v>
      </c>
    </row>
    <row r="3681" spans="1:46">
      <c r="A3681" s="3" t="s">
        <v>3633</v>
      </c>
      <c r="C3681">
        <v>4</v>
      </c>
      <c r="AT3681">
        <v>21</v>
      </c>
    </row>
    <row r="3682" spans="1:46">
      <c r="A3682" s="3" t="s">
        <v>3634</v>
      </c>
      <c r="C3682">
        <v>4</v>
      </c>
      <c r="AT3682">
        <v>21</v>
      </c>
    </row>
    <row r="3683" spans="1:46">
      <c r="A3683" s="3" t="s">
        <v>3635</v>
      </c>
      <c r="C3683">
        <v>4</v>
      </c>
      <c r="AT3683">
        <v>21</v>
      </c>
    </row>
    <row r="3684" spans="1:46">
      <c r="A3684" s="3" t="s">
        <v>3636</v>
      </c>
      <c r="C3684">
        <v>4</v>
      </c>
      <c r="AT3684">
        <v>21</v>
      </c>
    </row>
    <row r="3685" spans="1:46">
      <c r="A3685" s="3" t="s">
        <v>3637</v>
      </c>
      <c r="C3685">
        <v>4</v>
      </c>
      <c r="AT3685">
        <v>21</v>
      </c>
    </row>
    <row r="3686" spans="1:46">
      <c r="A3686" s="3" t="s">
        <v>3638</v>
      </c>
      <c r="C3686">
        <v>4</v>
      </c>
      <c r="AT3686">
        <v>21</v>
      </c>
    </row>
    <row r="3687" spans="1:46">
      <c r="A3687" s="3" t="s">
        <v>3639</v>
      </c>
      <c r="C3687">
        <v>4</v>
      </c>
      <c r="AT3687">
        <v>21</v>
      </c>
    </row>
    <row r="3688" spans="1:46">
      <c r="A3688" s="3" t="s">
        <v>3640</v>
      </c>
      <c r="C3688">
        <v>4</v>
      </c>
      <c r="AT3688">
        <v>21</v>
      </c>
    </row>
    <row r="3689" spans="1:46">
      <c r="A3689" s="3" t="s">
        <v>3641</v>
      </c>
      <c r="C3689">
        <v>4</v>
      </c>
      <c r="AT3689">
        <v>21</v>
      </c>
    </row>
    <row r="3690" spans="1:46">
      <c r="A3690" s="3" t="s">
        <v>3642</v>
      </c>
      <c r="C3690">
        <v>4</v>
      </c>
      <c r="AT3690">
        <v>21</v>
      </c>
    </row>
    <row r="3691" spans="1:46">
      <c r="A3691" s="3" t="s">
        <v>3643</v>
      </c>
      <c r="C3691">
        <v>4</v>
      </c>
      <c r="AT3691">
        <v>21</v>
      </c>
    </row>
    <row r="3692" spans="1:46">
      <c r="A3692" s="3" t="s">
        <v>3644</v>
      </c>
      <c r="C3692">
        <v>4</v>
      </c>
      <c r="AT3692">
        <v>21</v>
      </c>
    </row>
    <row r="3693" spans="1:46">
      <c r="A3693" s="3" t="s">
        <v>3645</v>
      </c>
      <c r="C3693">
        <v>4</v>
      </c>
      <c r="AT3693">
        <v>21</v>
      </c>
    </row>
    <row r="3694" spans="1:46">
      <c r="A3694" s="3" t="s">
        <v>3646</v>
      </c>
      <c r="C3694">
        <v>4</v>
      </c>
      <c r="AT3694">
        <v>21</v>
      </c>
    </row>
    <row r="3695" spans="1:46">
      <c r="A3695" s="3" t="s">
        <v>3647</v>
      </c>
      <c r="C3695">
        <v>4</v>
      </c>
      <c r="AT3695">
        <v>21</v>
      </c>
    </row>
    <row r="3696" spans="1:46">
      <c r="A3696" s="3" t="s">
        <v>3648</v>
      </c>
      <c r="C3696">
        <v>4</v>
      </c>
      <c r="J3696">
        <v>50</v>
      </c>
    </row>
    <row r="3697" spans="1:10">
      <c r="A3697" s="3" t="s">
        <v>3649</v>
      </c>
      <c r="C3697">
        <v>4</v>
      </c>
      <c r="J3697">
        <v>50</v>
      </c>
    </row>
    <row r="3698" spans="1:10">
      <c r="A3698" s="3" t="s">
        <v>3650</v>
      </c>
      <c r="C3698">
        <v>4</v>
      </c>
      <c r="J3698">
        <v>50</v>
      </c>
    </row>
    <row r="3699" spans="1:10">
      <c r="A3699" s="3" t="s">
        <v>3651</v>
      </c>
      <c r="B3699">
        <v>5</v>
      </c>
      <c r="C3699">
        <v>4</v>
      </c>
      <c r="J3699">
        <v>50</v>
      </c>
    </row>
    <row r="3700" spans="1:10">
      <c r="A3700" s="3" t="s">
        <v>3652</v>
      </c>
      <c r="B3700">
        <v>5</v>
      </c>
      <c r="C3700">
        <v>4</v>
      </c>
      <c r="J3700">
        <v>50</v>
      </c>
    </row>
    <row r="3701" spans="1:10">
      <c r="A3701" s="3" t="s">
        <v>3653</v>
      </c>
      <c r="B3701">
        <v>5</v>
      </c>
      <c r="C3701">
        <v>4</v>
      </c>
      <c r="J3701">
        <v>50</v>
      </c>
    </row>
    <row r="3702" spans="1:10">
      <c r="A3702" s="3" t="s">
        <v>3654</v>
      </c>
      <c r="B3702">
        <v>5</v>
      </c>
      <c r="C3702">
        <v>4</v>
      </c>
      <c r="J3702">
        <v>50</v>
      </c>
    </row>
    <row r="3703" spans="1:10">
      <c r="A3703" s="3" t="s">
        <v>3655</v>
      </c>
      <c r="B3703">
        <v>5</v>
      </c>
      <c r="C3703">
        <v>4</v>
      </c>
      <c r="J3703">
        <v>50</v>
      </c>
    </row>
    <row r="3704" spans="1:10">
      <c r="A3704" s="3" t="s">
        <v>3656</v>
      </c>
      <c r="B3704">
        <v>5</v>
      </c>
      <c r="C3704">
        <v>4</v>
      </c>
      <c r="J3704">
        <v>50</v>
      </c>
    </row>
    <row r="3705" spans="1:10">
      <c r="A3705" s="3" t="s">
        <v>3657</v>
      </c>
      <c r="B3705">
        <v>5</v>
      </c>
      <c r="C3705">
        <v>4</v>
      </c>
      <c r="J3705">
        <v>50</v>
      </c>
    </row>
    <row r="3706" spans="1:10">
      <c r="A3706" s="3" t="s">
        <v>3658</v>
      </c>
      <c r="B3706">
        <v>5</v>
      </c>
      <c r="C3706">
        <v>4</v>
      </c>
      <c r="J3706">
        <v>50</v>
      </c>
    </row>
    <row r="3707" spans="1:10">
      <c r="A3707" s="3" t="s">
        <v>3659</v>
      </c>
      <c r="B3707">
        <v>5</v>
      </c>
      <c r="C3707">
        <v>4</v>
      </c>
      <c r="J3707">
        <v>50</v>
      </c>
    </row>
    <row r="3708" spans="1:10">
      <c r="A3708" s="3" t="s">
        <v>3660</v>
      </c>
      <c r="B3708">
        <v>5</v>
      </c>
      <c r="C3708">
        <v>4</v>
      </c>
      <c r="J3708">
        <v>50</v>
      </c>
    </row>
    <row r="3709" spans="1:10">
      <c r="A3709" s="3" t="s">
        <v>3661</v>
      </c>
      <c r="B3709">
        <v>5</v>
      </c>
      <c r="C3709">
        <v>4</v>
      </c>
      <c r="J3709">
        <v>50</v>
      </c>
    </row>
    <row r="3710" spans="1:10">
      <c r="A3710" s="3" t="s">
        <v>3662</v>
      </c>
      <c r="B3710">
        <v>5</v>
      </c>
      <c r="C3710">
        <v>4</v>
      </c>
      <c r="J3710">
        <v>50</v>
      </c>
    </row>
    <row r="3711" spans="1:10">
      <c r="A3711" s="3" t="s">
        <v>3663</v>
      </c>
      <c r="B3711">
        <v>5</v>
      </c>
      <c r="C3711">
        <v>4</v>
      </c>
      <c r="J3711">
        <v>50</v>
      </c>
    </row>
    <row r="3712" spans="1:10">
      <c r="A3712" s="3" t="s">
        <v>3664</v>
      </c>
      <c r="B3712">
        <v>5</v>
      </c>
      <c r="C3712">
        <v>4</v>
      </c>
      <c r="J3712">
        <v>50</v>
      </c>
    </row>
    <row r="3713" spans="1:13">
      <c r="A3713" s="3" t="s">
        <v>3665</v>
      </c>
      <c r="B3713">
        <v>5</v>
      </c>
      <c r="C3713">
        <v>4</v>
      </c>
      <c r="J3713">
        <v>50</v>
      </c>
    </row>
    <row r="3714" spans="1:13">
      <c r="A3714" s="3" t="s">
        <v>3666</v>
      </c>
      <c r="B3714">
        <v>5</v>
      </c>
      <c r="J3714">
        <v>50</v>
      </c>
    </row>
    <row r="3715" spans="1:13">
      <c r="A3715" s="3" t="s">
        <v>3667</v>
      </c>
      <c r="B3715">
        <v>5</v>
      </c>
      <c r="J3715">
        <v>50</v>
      </c>
    </row>
    <row r="3716" spans="1:13">
      <c r="A3716" s="3" t="s">
        <v>3668</v>
      </c>
      <c r="B3716">
        <v>5</v>
      </c>
      <c r="M3716">
        <v>8</v>
      </c>
    </row>
    <row r="3717" spans="1:13">
      <c r="A3717" s="3" t="s">
        <v>3669</v>
      </c>
      <c r="B3717">
        <v>5</v>
      </c>
      <c r="M3717">
        <v>8</v>
      </c>
    </row>
    <row r="3718" spans="1:13">
      <c r="A3718" s="3" t="s">
        <v>3670</v>
      </c>
      <c r="B3718">
        <v>5</v>
      </c>
      <c r="M3718">
        <v>8</v>
      </c>
    </row>
    <row r="3719" spans="1:13">
      <c r="A3719" s="3" t="s">
        <v>3671</v>
      </c>
      <c r="B3719">
        <v>5</v>
      </c>
      <c r="M3719">
        <v>8</v>
      </c>
    </row>
    <row r="3720" spans="1:13">
      <c r="A3720" s="3" t="s">
        <v>3672</v>
      </c>
      <c r="B3720">
        <v>5</v>
      </c>
      <c r="M3720">
        <v>8</v>
      </c>
    </row>
    <row r="3721" spans="1:13">
      <c r="A3721" s="3" t="s">
        <v>3673</v>
      </c>
      <c r="B3721">
        <v>5</v>
      </c>
      <c r="M3721">
        <v>8</v>
      </c>
    </row>
    <row r="3722" spans="1:13">
      <c r="A3722" s="3" t="s">
        <v>3674</v>
      </c>
      <c r="B3722">
        <v>5</v>
      </c>
      <c r="M3722">
        <v>8</v>
      </c>
    </row>
    <row r="3723" spans="1:13">
      <c r="A3723" s="3" t="s">
        <v>3675</v>
      </c>
      <c r="B3723">
        <v>5</v>
      </c>
      <c r="M3723">
        <v>8</v>
      </c>
    </row>
    <row r="3724" spans="1:13">
      <c r="A3724" s="3" t="s">
        <v>3676</v>
      </c>
      <c r="B3724">
        <v>5</v>
      </c>
      <c r="M3724">
        <v>8</v>
      </c>
    </row>
    <row r="3725" spans="1:13">
      <c r="A3725" s="3" t="s">
        <v>3677</v>
      </c>
      <c r="B3725">
        <v>5</v>
      </c>
      <c r="M3725">
        <v>8</v>
      </c>
    </row>
    <row r="3726" spans="1:13">
      <c r="A3726" s="3" t="s">
        <v>3678</v>
      </c>
      <c r="B3726">
        <v>5</v>
      </c>
      <c r="M3726">
        <v>8</v>
      </c>
    </row>
    <row r="3727" spans="1:13">
      <c r="A3727" s="3" t="s">
        <v>3679</v>
      </c>
      <c r="B3727">
        <v>5</v>
      </c>
      <c r="M3727">
        <v>8</v>
      </c>
    </row>
    <row r="3728" spans="1:13">
      <c r="A3728" s="3" t="s">
        <v>3680</v>
      </c>
      <c r="B3728">
        <v>5</v>
      </c>
      <c r="M3728">
        <v>8</v>
      </c>
    </row>
    <row r="3729" spans="1:13">
      <c r="A3729" s="3" t="s">
        <v>3681</v>
      </c>
      <c r="B3729">
        <v>5</v>
      </c>
      <c r="M3729">
        <v>8</v>
      </c>
    </row>
    <row r="3730" spans="1:13">
      <c r="A3730" s="3" t="s">
        <v>3682</v>
      </c>
      <c r="B3730">
        <v>5</v>
      </c>
      <c r="M3730">
        <v>8</v>
      </c>
    </row>
    <row r="3731" spans="1:13">
      <c r="A3731" s="3" t="s">
        <v>3683</v>
      </c>
      <c r="B3731">
        <v>5</v>
      </c>
      <c r="J3731">
        <v>51</v>
      </c>
    </row>
    <row r="3732" spans="1:13">
      <c r="A3732" s="3" t="s">
        <v>3684</v>
      </c>
      <c r="B3732">
        <v>5</v>
      </c>
      <c r="J3732">
        <v>51</v>
      </c>
    </row>
    <row r="3733" spans="1:13">
      <c r="A3733" s="3" t="s">
        <v>3685</v>
      </c>
      <c r="B3733">
        <v>5</v>
      </c>
      <c r="J3733">
        <v>51</v>
      </c>
    </row>
    <row r="3734" spans="1:13">
      <c r="A3734" s="3" t="s">
        <v>3686</v>
      </c>
      <c r="B3734">
        <v>5</v>
      </c>
      <c r="J3734">
        <v>51</v>
      </c>
    </row>
    <row r="3735" spans="1:13">
      <c r="A3735" s="3" t="s">
        <v>3687</v>
      </c>
      <c r="B3735">
        <v>5</v>
      </c>
      <c r="J3735">
        <v>51</v>
      </c>
    </row>
    <row r="3736" spans="1:13">
      <c r="A3736" s="3" t="s">
        <v>3688</v>
      </c>
      <c r="B3736">
        <v>5</v>
      </c>
      <c r="J3736">
        <v>51</v>
      </c>
    </row>
    <row r="3737" spans="1:13">
      <c r="A3737" s="3" t="s">
        <v>3689</v>
      </c>
      <c r="B3737">
        <v>5</v>
      </c>
      <c r="J3737">
        <v>51</v>
      </c>
    </row>
    <row r="3738" spans="1:13">
      <c r="A3738" s="3" t="s">
        <v>3690</v>
      </c>
      <c r="B3738">
        <v>5</v>
      </c>
      <c r="J3738">
        <v>51</v>
      </c>
    </row>
    <row r="3739" spans="1:13">
      <c r="A3739" s="3" t="s">
        <v>3691</v>
      </c>
      <c r="B3739">
        <v>5</v>
      </c>
      <c r="J3739">
        <v>51</v>
      </c>
    </row>
    <row r="3740" spans="1:13">
      <c r="A3740" s="3" t="s">
        <v>3692</v>
      </c>
      <c r="B3740">
        <v>5</v>
      </c>
      <c r="J3740">
        <v>51</v>
      </c>
    </row>
    <row r="3741" spans="1:13">
      <c r="A3741" s="3" t="s">
        <v>3693</v>
      </c>
      <c r="B3741">
        <v>5</v>
      </c>
      <c r="J3741">
        <v>51</v>
      </c>
    </row>
    <row r="3742" spans="1:13">
      <c r="A3742" s="3" t="s">
        <v>3694</v>
      </c>
      <c r="B3742">
        <v>5</v>
      </c>
      <c r="J3742">
        <v>51</v>
      </c>
    </row>
    <row r="3743" spans="1:13">
      <c r="A3743" s="3" t="s">
        <v>3695</v>
      </c>
      <c r="B3743">
        <v>5</v>
      </c>
      <c r="J3743">
        <v>51</v>
      </c>
    </row>
    <row r="3744" spans="1:13">
      <c r="A3744" s="3" t="s">
        <v>3696</v>
      </c>
      <c r="B3744">
        <v>5</v>
      </c>
      <c r="J3744">
        <v>51</v>
      </c>
    </row>
    <row r="3745" spans="1:46">
      <c r="A3745" s="3" t="s">
        <v>3697</v>
      </c>
      <c r="B3745">
        <v>5</v>
      </c>
      <c r="AT3745">
        <v>22</v>
      </c>
    </row>
    <row r="3746" spans="1:46">
      <c r="A3746" s="3" t="s">
        <v>3698</v>
      </c>
      <c r="B3746">
        <v>5</v>
      </c>
      <c r="AT3746">
        <v>22</v>
      </c>
    </row>
    <row r="3747" spans="1:46">
      <c r="A3747" s="3" t="s">
        <v>3699</v>
      </c>
      <c r="B3747">
        <v>5</v>
      </c>
      <c r="AT3747">
        <v>22</v>
      </c>
    </row>
    <row r="3748" spans="1:46">
      <c r="A3748" s="3" t="s">
        <v>3700</v>
      </c>
      <c r="B3748">
        <v>5</v>
      </c>
      <c r="AT3748">
        <v>22</v>
      </c>
    </row>
    <row r="3749" spans="1:46">
      <c r="A3749" s="3" t="s">
        <v>3701</v>
      </c>
      <c r="B3749">
        <v>5</v>
      </c>
      <c r="AT3749">
        <v>22</v>
      </c>
    </row>
    <row r="3750" spans="1:46">
      <c r="A3750" s="3" t="s">
        <v>3702</v>
      </c>
      <c r="B3750">
        <v>5</v>
      </c>
      <c r="AT3750">
        <v>22</v>
      </c>
    </row>
    <row r="3751" spans="1:46">
      <c r="A3751" s="3" t="s">
        <v>3703</v>
      </c>
      <c r="B3751">
        <v>5</v>
      </c>
      <c r="AT3751">
        <v>22</v>
      </c>
    </row>
    <row r="3752" spans="1:46">
      <c r="A3752" s="3" t="s">
        <v>3704</v>
      </c>
      <c r="B3752">
        <v>5</v>
      </c>
      <c r="AT3752">
        <v>22</v>
      </c>
    </row>
    <row r="3753" spans="1:46">
      <c r="A3753" s="3" t="s">
        <v>3705</v>
      </c>
      <c r="B3753">
        <v>5</v>
      </c>
      <c r="AT3753">
        <v>22</v>
      </c>
    </row>
    <row r="3754" spans="1:46">
      <c r="A3754" s="3" t="s">
        <v>3706</v>
      </c>
      <c r="B3754">
        <v>5</v>
      </c>
      <c r="AT3754">
        <v>22</v>
      </c>
    </row>
    <row r="3755" spans="1:46">
      <c r="A3755" s="3" t="s">
        <v>3707</v>
      </c>
      <c r="B3755">
        <v>5</v>
      </c>
      <c r="AT3755">
        <v>22</v>
      </c>
    </row>
    <row r="3756" spans="1:46">
      <c r="A3756" s="3" t="s">
        <v>3708</v>
      </c>
      <c r="B3756">
        <v>5</v>
      </c>
      <c r="AT3756">
        <v>22</v>
      </c>
    </row>
    <row r="3757" spans="1:46">
      <c r="A3757" s="3" t="s">
        <v>3709</v>
      </c>
      <c r="B3757">
        <v>5</v>
      </c>
      <c r="AT3757">
        <v>22</v>
      </c>
    </row>
    <row r="3758" spans="1:46">
      <c r="A3758" s="3" t="s">
        <v>3710</v>
      </c>
      <c r="B3758">
        <v>5</v>
      </c>
      <c r="AT3758">
        <v>22</v>
      </c>
    </row>
    <row r="3759" spans="1:46">
      <c r="A3759" s="3" t="s">
        <v>3711</v>
      </c>
      <c r="B3759">
        <v>5</v>
      </c>
      <c r="AT3759">
        <v>22</v>
      </c>
    </row>
    <row r="3760" spans="1:46">
      <c r="A3760" s="3" t="s">
        <v>3712</v>
      </c>
      <c r="B3760">
        <v>5</v>
      </c>
      <c r="AT3760">
        <v>22</v>
      </c>
    </row>
    <row r="3761" spans="1:46">
      <c r="A3761" s="3" t="s">
        <v>3713</v>
      </c>
      <c r="B3761">
        <v>5</v>
      </c>
      <c r="AT3761">
        <v>22</v>
      </c>
    </row>
    <row r="3762" spans="1:46">
      <c r="A3762" s="3" t="s">
        <v>3714</v>
      </c>
      <c r="B3762">
        <v>5</v>
      </c>
      <c r="AT3762">
        <v>22</v>
      </c>
    </row>
    <row r="3763" spans="1:46">
      <c r="A3763" s="3" t="s">
        <v>3715</v>
      </c>
      <c r="B3763">
        <v>5</v>
      </c>
      <c r="AT3763">
        <v>22</v>
      </c>
    </row>
    <row r="3764" spans="1:46">
      <c r="A3764" s="3" t="s">
        <v>3716</v>
      </c>
      <c r="B3764">
        <v>5</v>
      </c>
      <c r="AT3764">
        <v>22</v>
      </c>
    </row>
    <row r="3765" spans="1:46">
      <c r="A3765" s="3" t="s">
        <v>3717</v>
      </c>
      <c r="B3765">
        <v>5</v>
      </c>
      <c r="AT3765">
        <v>22</v>
      </c>
    </row>
    <row r="3766" spans="1:46">
      <c r="A3766" s="3" t="s">
        <v>3718</v>
      </c>
      <c r="B3766">
        <v>5</v>
      </c>
      <c r="AT3766">
        <v>22</v>
      </c>
    </row>
    <row r="3767" spans="1:46">
      <c r="A3767" s="3" t="s">
        <v>3719</v>
      </c>
      <c r="B3767">
        <v>5</v>
      </c>
      <c r="AT3767">
        <v>22</v>
      </c>
    </row>
    <row r="3768" spans="1:46">
      <c r="A3768" s="3" t="s">
        <v>3720</v>
      </c>
      <c r="B3768">
        <v>5</v>
      </c>
      <c r="AT3768">
        <v>22</v>
      </c>
    </row>
    <row r="3769" spans="1:46">
      <c r="A3769" s="3" t="s">
        <v>3721</v>
      </c>
      <c r="B3769">
        <v>5</v>
      </c>
      <c r="AT3769">
        <v>22</v>
      </c>
    </row>
    <row r="3770" spans="1:46">
      <c r="A3770" s="3" t="s">
        <v>3722</v>
      </c>
      <c r="B3770">
        <v>5</v>
      </c>
      <c r="AT3770">
        <v>22</v>
      </c>
    </row>
    <row r="3771" spans="1:46">
      <c r="A3771" s="3" t="s">
        <v>3723</v>
      </c>
      <c r="B3771">
        <v>5</v>
      </c>
      <c r="AT3771">
        <v>22</v>
      </c>
    </row>
    <row r="3772" spans="1:46">
      <c r="A3772" s="3" t="s">
        <v>3724</v>
      </c>
      <c r="B3772">
        <v>5</v>
      </c>
      <c r="AT3772">
        <v>22</v>
      </c>
    </row>
    <row r="3773" spans="1:46">
      <c r="A3773" s="3" t="s">
        <v>3725</v>
      </c>
      <c r="B3773">
        <v>5</v>
      </c>
      <c r="AT3773">
        <v>22</v>
      </c>
    </row>
    <row r="3774" spans="1:46">
      <c r="A3774" s="3" t="s">
        <v>3726</v>
      </c>
      <c r="B3774">
        <v>5</v>
      </c>
      <c r="AT3774">
        <v>22</v>
      </c>
    </row>
    <row r="3775" spans="1:46">
      <c r="A3775" s="3" t="s">
        <v>3727</v>
      </c>
      <c r="B3775">
        <v>5</v>
      </c>
      <c r="AT3775">
        <v>22</v>
      </c>
    </row>
    <row r="3776" spans="1:46">
      <c r="A3776" s="3" t="s">
        <v>3728</v>
      </c>
      <c r="B3776">
        <v>5</v>
      </c>
      <c r="AT3776">
        <v>22</v>
      </c>
    </row>
    <row r="3777" spans="1:46">
      <c r="A3777" s="3" t="s">
        <v>3729</v>
      </c>
      <c r="B3777">
        <v>5</v>
      </c>
      <c r="AT3777">
        <v>22</v>
      </c>
    </row>
    <row r="3778" spans="1:46">
      <c r="A3778" s="3" t="s">
        <v>3730</v>
      </c>
      <c r="B3778">
        <v>5</v>
      </c>
      <c r="AT3778">
        <v>22</v>
      </c>
    </row>
    <row r="3779" spans="1:46">
      <c r="A3779" s="3" t="s">
        <v>3731</v>
      </c>
      <c r="B3779">
        <v>5</v>
      </c>
      <c r="AT3779">
        <v>22</v>
      </c>
    </row>
    <row r="3780" spans="1:46">
      <c r="A3780" s="3" t="s">
        <v>3732</v>
      </c>
      <c r="B3780">
        <v>5</v>
      </c>
      <c r="AT3780">
        <v>22</v>
      </c>
    </row>
    <row r="3781" spans="1:46">
      <c r="A3781" s="3" t="s">
        <v>3733</v>
      </c>
      <c r="B3781">
        <v>5</v>
      </c>
      <c r="AT3781">
        <v>22</v>
      </c>
    </row>
    <row r="3782" spans="1:46">
      <c r="A3782" s="3" t="s">
        <v>3734</v>
      </c>
      <c r="B3782">
        <v>5</v>
      </c>
      <c r="AT3782">
        <v>22</v>
      </c>
    </row>
    <row r="3783" spans="1:46">
      <c r="A3783" s="3" t="s">
        <v>3735</v>
      </c>
      <c r="B3783">
        <v>5</v>
      </c>
      <c r="AT3783">
        <v>22</v>
      </c>
    </row>
    <row r="3784" spans="1:46">
      <c r="A3784" s="3" t="s">
        <v>3736</v>
      </c>
      <c r="B3784">
        <v>5</v>
      </c>
      <c r="AT3784">
        <v>22</v>
      </c>
    </row>
    <row r="3785" spans="1:46">
      <c r="A3785" s="3" t="s">
        <v>3737</v>
      </c>
      <c r="B3785">
        <v>5</v>
      </c>
      <c r="AT3785">
        <v>22</v>
      </c>
    </row>
    <row r="3786" spans="1:46">
      <c r="A3786" s="3" t="s">
        <v>3738</v>
      </c>
      <c r="B3786">
        <v>5</v>
      </c>
      <c r="AT3786">
        <v>22</v>
      </c>
    </row>
    <row r="3787" spans="1:46">
      <c r="A3787" s="3" t="s">
        <v>3739</v>
      </c>
      <c r="B3787">
        <v>5</v>
      </c>
      <c r="AT3787">
        <v>22</v>
      </c>
    </row>
    <row r="3788" spans="1:46">
      <c r="A3788" s="3" t="s">
        <v>3740</v>
      </c>
      <c r="B3788">
        <v>5</v>
      </c>
      <c r="AT3788">
        <v>22</v>
      </c>
    </row>
    <row r="3789" spans="1:46">
      <c r="A3789" s="3" t="s">
        <v>3741</v>
      </c>
      <c r="B3789">
        <v>5</v>
      </c>
      <c r="AT3789">
        <v>22</v>
      </c>
    </row>
    <row r="3790" spans="1:46">
      <c r="A3790" s="3" t="s">
        <v>3742</v>
      </c>
      <c r="B3790">
        <v>5</v>
      </c>
      <c r="AT3790">
        <v>22</v>
      </c>
    </row>
    <row r="3791" spans="1:46">
      <c r="A3791" s="3" t="s">
        <v>3743</v>
      </c>
      <c r="B3791">
        <v>5</v>
      </c>
      <c r="N3791">
        <v>1</v>
      </c>
    </row>
    <row r="3792" spans="1:46">
      <c r="A3792" s="3" t="s">
        <v>3744</v>
      </c>
      <c r="B3792">
        <v>5</v>
      </c>
      <c r="N3792">
        <v>1</v>
      </c>
    </row>
    <row r="3793" spans="1:14">
      <c r="A3793" s="3" t="s">
        <v>3745</v>
      </c>
      <c r="B3793">
        <v>5</v>
      </c>
      <c r="N3793">
        <v>1</v>
      </c>
    </row>
    <row r="3794" spans="1:14">
      <c r="A3794" s="3" t="s">
        <v>3746</v>
      </c>
      <c r="B3794">
        <v>5</v>
      </c>
      <c r="N3794">
        <v>1</v>
      </c>
    </row>
    <row r="3795" spans="1:14">
      <c r="A3795" s="3" t="s">
        <v>3747</v>
      </c>
      <c r="B3795">
        <v>5</v>
      </c>
      <c r="N3795">
        <v>1</v>
      </c>
    </row>
    <row r="3796" spans="1:14">
      <c r="A3796" s="3" t="s">
        <v>3748</v>
      </c>
      <c r="B3796">
        <v>5</v>
      </c>
      <c r="N3796">
        <v>1</v>
      </c>
    </row>
    <row r="3797" spans="1:14">
      <c r="A3797" s="3" t="s">
        <v>3749</v>
      </c>
      <c r="B3797">
        <v>5</v>
      </c>
      <c r="N3797">
        <v>1</v>
      </c>
    </row>
    <row r="3798" spans="1:14">
      <c r="A3798" s="3" t="s">
        <v>3750</v>
      </c>
      <c r="B3798">
        <v>5</v>
      </c>
      <c r="N3798">
        <v>1</v>
      </c>
    </row>
    <row r="3799" spans="1:14">
      <c r="A3799" s="3" t="s">
        <v>3751</v>
      </c>
      <c r="B3799">
        <v>5</v>
      </c>
      <c r="N3799">
        <v>1</v>
      </c>
    </row>
    <row r="3800" spans="1:14">
      <c r="A3800" s="3" t="s">
        <v>3752</v>
      </c>
      <c r="B3800">
        <v>5</v>
      </c>
      <c r="N3800">
        <v>1</v>
      </c>
    </row>
    <row r="3801" spans="1:14">
      <c r="A3801" s="3" t="s">
        <v>3753</v>
      </c>
      <c r="B3801">
        <v>5</v>
      </c>
      <c r="N3801">
        <v>1</v>
      </c>
    </row>
    <row r="3802" spans="1:14">
      <c r="A3802" s="3" t="s">
        <v>3754</v>
      </c>
      <c r="B3802">
        <v>5</v>
      </c>
      <c r="N3802">
        <v>1</v>
      </c>
    </row>
    <row r="3803" spans="1:14">
      <c r="A3803" s="3" t="s">
        <v>3755</v>
      </c>
      <c r="B3803">
        <v>5</v>
      </c>
      <c r="N3803">
        <v>1</v>
      </c>
    </row>
    <row r="3804" spans="1:14">
      <c r="A3804" s="3" t="s">
        <v>3756</v>
      </c>
      <c r="B3804">
        <v>5</v>
      </c>
      <c r="N3804">
        <v>1</v>
      </c>
    </row>
    <row r="3805" spans="1:14">
      <c r="A3805" s="3" t="s">
        <v>3757</v>
      </c>
      <c r="B3805">
        <v>5</v>
      </c>
      <c r="N3805">
        <v>1</v>
      </c>
    </row>
    <row r="3806" spans="1:14">
      <c r="A3806" s="3" t="s">
        <v>3758</v>
      </c>
      <c r="B3806">
        <v>5</v>
      </c>
      <c r="N3806">
        <v>1</v>
      </c>
    </row>
    <row r="3807" spans="1:14">
      <c r="A3807" s="3" t="s">
        <v>3759</v>
      </c>
      <c r="B3807">
        <v>5</v>
      </c>
      <c r="N3807">
        <v>1</v>
      </c>
    </row>
    <row r="3808" spans="1:14">
      <c r="A3808" s="3" t="s">
        <v>3760</v>
      </c>
      <c r="B3808">
        <v>5</v>
      </c>
      <c r="N3808">
        <v>1</v>
      </c>
    </row>
    <row r="3809" spans="1:14">
      <c r="A3809" s="3" t="s">
        <v>3761</v>
      </c>
      <c r="B3809">
        <v>5</v>
      </c>
      <c r="N3809">
        <v>1</v>
      </c>
    </row>
    <row r="3810" spans="1:14">
      <c r="A3810" s="3" t="s">
        <v>3762</v>
      </c>
      <c r="B3810">
        <v>5</v>
      </c>
      <c r="N3810">
        <v>1</v>
      </c>
    </row>
    <row r="3811" spans="1:14">
      <c r="A3811" s="3" t="s">
        <v>3763</v>
      </c>
      <c r="B3811">
        <v>5</v>
      </c>
      <c r="N3811">
        <v>1</v>
      </c>
    </row>
    <row r="3812" spans="1:14">
      <c r="A3812" s="3" t="s">
        <v>3764</v>
      </c>
      <c r="B3812">
        <v>5</v>
      </c>
      <c r="N3812">
        <v>1</v>
      </c>
    </row>
    <row r="3813" spans="1:14">
      <c r="A3813" s="3" t="s">
        <v>3765</v>
      </c>
      <c r="B3813">
        <v>5</v>
      </c>
      <c r="N3813">
        <v>1</v>
      </c>
    </row>
    <row r="3814" spans="1:14">
      <c r="A3814" s="3" t="s">
        <v>3766</v>
      </c>
      <c r="B3814">
        <v>5</v>
      </c>
      <c r="N3814">
        <v>1</v>
      </c>
    </row>
    <row r="3815" spans="1:14">
      <c r="A3815" s="3" t="s">
        <v>3767</v>
      </c>
      <c r="B3815">
        <v>5</v>
      </c>
      <c r="N3815">
        <v>1</v>
      </c>
    </row>
    <row r="3816" spans="1:14">
      <c r="A3816" s="3" t="s">
        <v>3768</v>
      </c>
      <c r="B3816">
        <v>5</v>
      </c>
      <c r="J3816">
        <v>52</v>
      </c>
    </row>
    <row r="3817" spans="1:14">
      <c r="A3817" s="3" t="s">
        <v>3769</v>
      </c>
      <c r="B3817">
        <v>5</v>
      </c>
      <c r="J3817">
        <v>52</v>
      </c>
    </row>
    <row r="3818" spans="1:14">
      <c r="A3818" s="3" t="s">
        <v>3770</v>
      </c>
      <c r="B3818">
        <v>5</v>
      </c>
      <c r="J3818">
        <v>52</v>
      </c>
    </row>
    <row r="3819" spans="1:14">
      <c r="A3819" s="3" t="s">
        <v>3771</v>
      </c>
      <c r="B3819">
        <v>5</v>
      </c>
      <c r="J3819">
        <v>52</v>
      </c>
    </row>
    <row r="3820" spans="1:14">
      <c r="A3820" s="3" t="s">
        <v>3772</v>
      </c>
      <c r="B3820">
        <v>5</v>
      </c>
      <c r="J3820">
        <v>52</v>
      </c>
    </row>
    <row r="3821" spans="1:14">
      <c r="A3821" s="3" t="s">
        <v>3773</v>
      </c>
      <c r="B3821">
        <v>5</v>
      </c>
      <c r="J3821">
        <v>52</v>
      </c>
    </row>
    <row r="3822" spans="1:14">
      <c r="A3822" s="3" t="s">
        <v>3774</v>
      </c>
      <c r="B3822">
        <v>5</v>
      </c>
      <c r="J3822">
        <v>52</v>
      </c>
    </row>
    <row r="3823" spans="1:14">
      <c r="A3823" s="3" t="s">
        <v>3775</v>
      </c>
      <c r="B3823">
        <v>5</v>
      </c>
      <c r="J3823">
        <v>52</v>
      </c>
    </row>
    <row r="3824" spans="1:14">
      <c r="A3824" s="3" t="s">
        <v>3776</v>
      </c>
      <c r="B3824">
        <v>5</v>
      </c>
      <c r="J3824">
        <v>52</v>
      </c>
    </row>
    <row r="3825" spans="1:10">
      <c r="A3825" s="3" t="s">
        <v>3777</v>
      </c>
      <c r="B3825">
        <v>5</v>
      </c>
      <c r="J3825">
        <v>52</v>
      </c>
    </row>
    <row r="3826" spans="1:10">
      <c r="A3826" s="3" t="s">
        <v>3778</v>
      </c>
      <c r="B3826">
        <v>5</v>
      </c>
      <c r="J3826">
        <v>52</v>
      </c>
    </row>
    <row r="3827" spans="1:10">
      <c r="A3827" s="3" t="s">
        <v>3779</v>
      </c>
      <c r="B3827">
        <v>5</v>
      </c>
      <c r="J3827">
        <v>52</v>
      </c>
    </row>
    <row r="3828" spans="1:10">
      <c r="A3828" s="3" t="s">
        <v>3780</v>
      </c>
      <c r="B3828">
        <v>5</v>
      </c>
      <c r="J3828">
        <v>52</v>
      </c>
    </row>
    <row r="3829" spans="1:10">
      <c r="A3829" s="3" t="s">
        <v>3781</v>
      </c>
      <c r="B3829">
        <v>5</v>
      </c>
      <c r="J3829">
        <v>52</v>
      </c>
    </row>
    <row r="3830" spans="1:10">
      <c r="A3830" s="3" t="s">
        <v>3782</v>
      </c>
      <c r="B3830">
        <v>5</v>
      </c>
      <c r="J3830">
        <v>52</v>
      </c>
    </row>
    <row r="3831" spans="1:10">
      <c r="A3831" s="3" t="s">
        <v>3783</v>
      </c>
      <c r="B3831">
        <v>5</v>
      </c>
      <c r="J3831">
        <v>52</v>
      </c>
    </row>
    <row r="3832" spans="1:10">
      <c r="A3832" s="3" t="s">
        <v>3784</v>
      </c>
      <c r="B3832">
        <v>5</v>
      </c>
      <c r="J3832">
        <v>52</v>
      </c>
    </row>
    <row r="3833" spans="1:10">
      <c r="A3833" s="3" t="s">
        <v>3785</v>
      </c>
      <c r="B3833">
        <v>5</v>
      </c>
      <c r="J3833">
        <v>52</v>
      </c>
    </row>
    <row r="3834" spans="1:10">
      <c r="A3834" s="3" t="s">
        <v>3786</v>
      </c>
      <c r="B3834">
        <v>5</v>
      </c>
      <c r="J3834">
        <v>52</v>
      </c>
    </row>
    <row r="3835" spans="1:10">
      <c r="A3835" s="3" t="s">
        <v>3787</v>
      </c>
      <c r="B3835">
        <v>5</v>
      </c>
      <c r="J3835">
        <v>52</v>
      </c>
    </row>
    <row r="3836" spans="1:10">
      <c r="A3836" s="3" t="s">
        <v>3788</v>
      </c>
      <c r="B3836">
        <v>5</v>
      </c>
      <c r="J3836">
        <v>52</v>
      </c>
    </row>
    <row r="3837" spans="1:10">
      <c r="A3837" s="3" t="s">
        <v>3789</v>
      </c>
      <c r="B3837">
        <v>5</v>
      </c>
      <c r="J3837">
        <v>52</v>
      </c>
    </row>
    <row r="3838" spans="1:10">
      <c r="A3838" s="3" t="s">
        <v>3790</v>
      </c>
      <c r="B3838">
        <v>5</v>
      </c>
      <c r="J3838">
        <v>52</v>
      </c>
    </row>
    <row r="3839" spans="1:10">
      <c r="A3839" s="3" t="s">
        <v>3791</v>
      </c>
      <c r="B3839">
        <v>5</v>
      </c>
      <c r="J3839">
        <v>52</v>
      </c>
    </row>
    <row r="3840" spans="1:10">
      <c r="A3840" s="3" t="s">
        <v>3792</v>
      </c>
      <c r="B3840">
        <v>5</v>
      </c>
      <c r="J3840">
        <v>52</v>
      </c>
    </row>
    <row r="3841" spans="1:49">
      <c r="A3841" s="3" t="s">
        <v>3793</v>
      </c>
      <c r="B3841">
        <v>5</v>
      </c>
      <c r="J3841">
        <v>52</v>
      </c>
    </row>
    <row r="3842" spans="1:49">
      <c r="A3842" s="3" t="s">
        <v>3794</v>
      </c>
      <c r="B3842">
        <v>5</v>
      </c>
      <c r="J3842">
        <v>52</v>
      </c>
    </row>
    <row r="3843" spans="1:49">
      <c r="A3843" s="3" t="s">
        <v>3795</v>
      </c>
      <c r="B3843">
        <v>5</v>
      </c>
      <c r="J3843">
        <v>52</v>
      </c>
    </row>
    <row r="3844" spans="1:49">
      <c r="A3844" s="3" t="s">
        <v>3796</v>
      </c>
      <c r="B3844">
        <v>5</v>
      </c>
      <c r="AW3844">
        <v>18</v>
      </c>
    </row>
    <row r="3845" spans="1:49">
      <c r="A3845" s="3" t="s">
        <v>3797</v>
      </c>
      <c r="B3845">
        <v>5</v>
      </c>
      <c r="AW3845">
        <v>18</v>
      </c>
    </row>
    <row r="3846" spans="1:49">
      <c r="A3846" s="3" t="s">
        <v>3798</v>
      </c>
      <c r="B3846">
        <v>5</v>
      </c>
      <c r="AW3846">
        <v>18</v>
      </c>
    </row>
    <row r="3847" spans="1:49">
      <c r="A3847" s="3" t="s">
        <v>3799</v>
      </c>
      <c r="B3847">
        <v>5</v>
      </c>
      <c r="AV3847">
        <v>4</v>
      </c>
    </row>
    <row r="3848" spans="1:49">
      <c r="A3848" s="3" t="s">
        <v>3800</v>
      </c>
      <c r="B3848">
        <v>5</v>
      </c>
      <c r="AV3848">
        <v>4</v>
      </c>
    </row>
    <row r="3849" spans="1:49">
      <c r="A3849" s="3" t="s">
        <v>3801</v>
      </c>
      <c r="B3849">
        <v>5</v>
      </c>
      <c r="AV3849">
        <v>4</v>
      </c>
    </row>
    <row r="3850" spans="1:49">
      <c r="A3850" s="3" t="s">
        <v>3802</v>
      </c>
      <c r="B3850">
        <v>5</v>
      </c>
      <c r="AV3850">
        <v>4</v>
      </c>
    </row>
    <row r="3851" spans="1:49">
      <c r="A3851" s="3" t="s">
        <v>3803</v>
      </c>
      <c r="B3851">
        <v>5</v>
      </c>
      <c r="AV3851">
        <v>4</v>
      </c>
    </row>
    <row r="3852" spans="1:49">
      <c r="A3852" s="3" t="s">
        <v>3804</v>
      </c>
      <c r="B3852">
        <v>5</v>
      </c>
      <c r="AV3852">
        <v>4</v>
      </c>
    </row>
    <row r="3853" spans="1:49">
      <c r="A3853" s="3" t="s">
        <v>3805</v>
      </c>
      <c r="B3853">
        <v>5</v>
      </c>
      <c r="AV3853">
        <v>4</v>
      </c>
    </row>
    <row r="3854" spans="1:49">
      <c r="A3854" s="3" t="s">
        <v>3806</v>
      </c>
      <c r="B3854">
        <v>5</v>
      </c>
      <c r="AV3854">
        <v>4</v>
      </c>
    </row>
    <row r="3855" spans="1:49">
      <c r="A3855" s="3" t="s">
        <v>3807</v>
      </c>
      <c r="B3855">
        <v>5</v>
      </c>
      <c r="AV3855">
        <v>4</v>
      </c>
    </row>
    <row r="3856" spans="1:49">
      <c r="A3856" s="3" t="s">
        <v>3808</v>
      </c>
      <c r="B3856">
        <v>5</v>
      </c>
      <c r="AV3856">
        <v>4</v>
      </c>
    </row>
    <row r="3857" spans="1:48">
      <c r="A3857" s="3" t="s">
        <v>3809</v>
      </c>
      <c r="B3857">
        <v>5</v>
      </c>
      <c r="AV3857">
        <v>4</v>
      </c>
    </row>
    <row r="3858" spans="1:48">
      <c r="A3858" s="3" t="s">
        <v>3810</v>
      </c>
      <c r="B3858">
        <v>5</v>
      </c>
      <c r="AV3858">
        <v>4</v>
      </c>
    </row>
    <row r="3859" spans="1:48">
      <c r="A3859" s="3" t="s">
        <v>3811</v>
      </c>
      <c r="B3859">
        <v>5</v>
      </c>
      <c r="AV3859">
        <v>4</v>
      </c>
    </row>
    <row r="3860" spans="1:48">
      <c r="A3860" s="3" t="s">
        <v>3812</v>
      </c>
      <c r="B3860">
        <v>5</v>
      </c>
      <c r="AV3860">
        <v>4</v>
      </c>
    </row>
    <row r="3861" spans="1:48">
      <c r="A3861" s="3" t="s">
        <v>3813</v>
      </c>
      <c r="B3861">
        <v>5</v>
      </c>
      <c r="AV3861">
        <v>4</v>
      </c>
    </row>
    <row r="3862" spans="1:48">
      <c r="A3862" s="3" t="s">
        <v>3814</v>
      </c>
      <c r="B3862">
        <v>5</v>
      </c>
      <c r="AV3862">
        <v>4</v>
      </c>
    </row>
    <row r="3863" spans="1:48">
      <c r="A3863" s="3" t="s">
        <v>3815</v>
      </c>
      <c r="B3863">
        <v>5</v>
      </c>
      <c r="AV3863">
        <v>4</v>
      </c>
    </row>
    <row r="3864" spans="1:48">
      <c r="A3864" s="3" t="s">
        <v>3816</v>
      </c>
      <c r="B3864">
        <v>5</v>
      </c>
      <c r="AV3864">
        <v>4</v>
      </c>
    </row>
    <row r="3865" spans="1:48">
      <c r="A3865" s="3" t="s">
        <v>3817</v>
      </c>
      <c r="B3865">
        <v>5</v>
      </c>
      <c r="AV3865">
        <v>4</v>
      </c>
    </row>
    <row r="3866" spans="1:48">
      <c r="A3866" s="3" t="s">
        <v>3818</v>
      </c>
      <c r="B3866">
        <v>5</v>
      </c>
      <c r="AV3866">
        <v>4</v>
      </c>
    </row>
    <row r="3867" spans="1:48">
      <c r="A3867" s="3" t="s">
        <v>3819</v>
      </c>
      <c r="B3867">
        <v>5</v>
      </c>
      <c r="AV3867">
        <v>4</v>
      </c>
    </row>
    <row r="3868" spans="1:48">
      <c r="A3868" s="3" t="s">
        <v>3820</v>
      </c>
      <c r="B3868">
        <v>5</v>
      </c>
      <c r="M3868">
        <v>9</v>
      </c>
    </row>
    <row r="3869" spans="1:48">
      <c r="A3869" s="3" t="s">
        <v>3821</v>
      </c>
      <c r="B3869">
        <v>5</v>
      </c>
      <c r="M3869">
        <v>9</v>
      </c>
    </row>
    <row r="3870" spans="1:48">
      <c r="A3870" s="3" t="s">
        <v>3822</v>
      </c>
      <c r="B3870">
        <v>5</v>
      </c>
      <c r="M3870">
        <v>9</v>
      </c>
    </row>
    <row r="3871" spans="1:48">
      <c r="A3871" s="3" t="s">
        <v>3823</v>
      </c>
      <c r="B3871">
        <v>5</v>
      </c>
      <c r="M3871">
        <v>9</v>
      </c>
    </row>
    <row r="3872" spans="1:48">
      <c r="A3872" s="3" t="s">
        <v>3824</v>
      </c>
      <c r="B3872">
        <v>5</v>
      </c>
      <c r="M3872">
        <v>9</v>
      </c>
    </row>
    <row r="3873" spans="1:13">
      <c r="A3873" s="3" t="s">
        <v>3825</v>
      </c>
      <c r="B3873">
        <v>5</v>
      </c>
      <c r="M3873">
        <v>9</v>
      </c>
    </row>
    <row r="3874" spans="1:13">
      <c r="A3874" s="3" t="s">
        <v>3826</v>
      </c>
      <c r="B3874">
        <v>5</v>
      </c>
      <c r="M3874">
        <v>9</v>
      </c>
    </row>
    <row r="3875" spans="1:13">
      <c r="A3875" s="3" t="s">
        <v>3827</v>
      </c>
      <c r="B3875">
        <v>5</v>
      </c>
      <c r="M3875">
        <v>9</v>
      </c>
    </row>
    <row r="3876" spans="1:13">
      <c r="A3876" s="3" t="s">
        <v>3828</v>
      </c>
      <c r="B3876">
        <v>5</v>
      </c>
      <c r="M3876">
        <v>9</v>
      </c>
    </row>
    <row r="3877" spans="1:13">
      <c r="A3877" s="3" t="s">
        <v>3829</v>
      </c>
      <c r="B3877">
        <v>5</v>
      </c>
      <c r="M3877">
        <v>9</v>
      </c>
    </row>
    <row r="3878" spans="1:13">
      <c r="A3878" s="3" t="s">
        <v>3830</v>
      </c>
      <c r="B3878">
        <v>5</v>
      </c>
      <c r="M3878">
        <v>9</v>
      </c>
    </row>
    <row r="3879" spans="1:13">
      <c r="A3879" s="3" t="s">
        <v>3831</v>
      </c>
      <c r="B3879">
        <v>5</v>
      </c>
      <c r="M3879">
        <v>9</v>
      </c>
    </row>
    <row r="3880" spans="1:13">
      <c r="A3880" s="3" t="s">
        <v>3832</v>
      </c>
      <c r="B3880">
        <v>5</v>
      </c>
      <c r="M3880">
        <v>9</v>
      </c>
    </row>
    <row r="3881" spans="1:13">
      <c r="A3881" s="3" t="s">
        <v>3833</v>
      </c>
      <c r="B3881">
        <v>5</v>
      </c>
      <c r="M3881">
        <v>9</v>
      </c>
    </row>
    <row r="3882" spans="1:13">
      <c r="A3882" s="3" t="s">
        <v>3834</v>
      </c>
      <c r="B3882">
        <v>5</v>
      </c>
      <c r="M3882">
        <v>9</v>
      </c>
    </row>
    <row r="3883" spans="1:13">
      <c r="A3883" s="3" t="s">
        <v>3835</v>
      </c>
      <c r="B3883">
        <v>5</v>
      </c>
      <c r="M3883">
        <v>9</v>
      </c>
    </row>
    <row r="3884" spans="1:13">
      <c r="A3884" s="3" t="s">
        <v>3836</v>
      </c>
      <c r="B3884">
        <v>5</v>
      </c>
      <c r="M3884">
        <v>9</v>
      </c>
    </row>
    <row r="3885" spans="1:13">
      <c r="A3885" s="3" t="s">
        <v>3837</v>
      </c>
      <c r="B3885">
        <v>5</v>
      </c>
      <c r="M3885">
        <v>9</v>
      </c>
    </row>
    <row r="3886" spans="1:13">
      <c r="A3886" s="3" t="s">
        <v>3838</v>
      </c>
      <c r="B3886">
        <v>5</v>
      </c>
      <c r="M3886">
        <v>9</v>
      </c>
    </row>
    <row r="3887" spans="1:13">
      <c r="A3887" s="3" t="s">
        <v>3839</v>
      </c>
      <c r="B3887">
        <v>5</v>
      </c>
      <c r="M3887">
        <v>9</v>
      </c>
    </row>
    <row r="3888" spans="1:13">
      <c r="A3888" s="3" t="s">
        <v>3840</v>
      </c>
      <c r="B3888">
        <v>5</v>
      </c>
      <c r="M3888">
        <v>9</v>
      </c>
    </row>
    <row r="3889" spans="1:13">
      <c r="A3889" s="3" t="s">
        <v>3841</v>
      </c>
      <c r="B3889">
        <v>5</v>
      </c>
      <c r="M3889">
        <v>9</v>
      </c>
    </row>
    <row r="3890" spans="1:13">
      <c r="A3890" s="3" t="s">
        <v>3842</v>
      </c>
      <c r="B3890">
        <v>5</v>
      </c>
      <c r="M3890">
        <v>9</v>
      </c>
    </row>
    <row r="3891" spans="1:13">
      <c r="A3891" s="3" t="s">
        <v>3843</v>
      </c>
      <c r="B3891">
        <v>5</v>
      </c>
      <c r="M3891">
        <v>9</v>
      </c>
    </row>
    <row r="3892" spans="1:13">
      <c r="A3892" s="3" t="s">
        <v>3844</v>
      </c>
      <c r="B3892">
        <v>5</v>
      </c>
      <c r="M3892">
        <v>9</v>
      </c>
    </row>
    <row r="3893" spans="1:13">
      <c r="A3893" s="3" t="s">
        <v>3845</v>
      </c>
      <c r="B3893">
        <v>5</v>
      </c>
      <c r="J3893">
        <v>53</v>
      </c>
    </row>
    <row r="3894" spans="1:13">
      <c r="A3894" s="3" t="s">
        <v>3846</v>
      </c>
      <c r="B3894">
        <v>5</v>
      </c>
      <c r="J3894">
        <v>53</v>
      </c>
    </row>
    <row r="3895" spans="1:13">
      <c r="A3895" s="3" t="s">
        <v>3847</v>
      </c>
      <c r="B3895">
        <v>5</v>
      </c>
      <c r="J3895">
        <v>53</v>
      </c>
    </row>
    <row r="3896" spans="1:13">
      <c r="A3896" s="3" t="s">
        <v>3848</v>
      </c>
      <c r="B3896">
        <v>5</v>
      </c>
      <c r="J3896">
        <v>53</v>
      </c>
    </row>
    <row r="3897" spans="1:13">
      <c r="A3897" s="3" t="s">
        <v>3849</v>
      </c>
      <c r="B3897">
        <v>5</v>
      </c>
      <c r="J3897">
        <v>53</v>
      </c>
    </row>
    <row r="3898" spans="1:13">
      <c r="A3898" s="3" t="s">
        <v>3850</v>
      </c>
      <c r="B3898">
        <v>5</v>
      </c>
      <c r="J3898">
        <v>53</v>
      </c>
    </row>
    <row r="3899" spans="1:13">
      <c r="A3899" s="3" t="s">
        <v>3851</v>
      </c>
      <c r="B3899">
        <v>5</v>
      </c>
      <c r="J3899">
        <v>53</v>
      </c>
    </row>
    <row r="3900" spans="1:13">
      <c r="A3900" s="3" t="s">
        <v>3852</v>
      </c>
      <c r="B3900">
        <v>5</v>
      </c>
      <c r="J3900">
        <v>53</v>
      </c>
    </row>
    <row r="3901" spans="1:13">
      <c r="A3901" s="3" t="s">
        <v>3853</v>
      </c>
      <c r="B3901">
        <v>5</v>
      </c>
      <c r="J3901">
        <v>53</v>
      </c>
    </row>
    <row r="3902" spans="1:13">
      <c r="A3902" s="3" t="s">
        <v>3854</v>
      </c>
      <c r="B3902">
        <v>5</v>
      </c>
      <c r="J3902">
        <v>53</v>
      </c>
    </row>
    <row r="3903" spans="1:13">
      <c r="A3903" s="3" t="s">
        <v>3855</v>
      </c>
      <c r="B3903">
        <v>5</v>
      </c>
      <c r="J3903">
        <v>53</v>
      </c>
    </row>
    <row r="3904" spans="1:13">
      <c r="A3904" s="3" t="s">
        <v>3856</v>
      </c>
      <c r="B3904">
        <v>5</v>
      </c>
      <c r="J3904">
        <v>53</v>
      </c>
    </row>
    <row r="3905" spans="1:10">
      <c r="A3905" s="3" t="s">
        <v>3857</v>
      </c>
      <c r="B3905">
        <v>5</v>
      </c>
      <c r="J3905">
        <v>53</v>
      </c>
    </row>
    <row r="3906" spans="1:10">
      <c r="A3906" s="3" t="s">
        <v>3858</v>
      </c>
      <c r="B3906">
        <v>5</v>
      </c>
      <c r="J3906">
        <v>53</v>
      </c>
    </row>
    <row r="3907" spans="1:10">
      <c r="A3907" s="3" t="s">
        <v>3859</v>
      </c>
      <c r="B3907">
        <v>5</v>
      </c>
      <c r="J3907">
        <v>53</v>
      </c>
    </row>
    <row r="3908" spans="1:10">
      <c r="A3908" s="3" t="s">
        <v>3860</v>
      </c>
      <c r="B3908">
        <v>5</v>
      </c>
      <c r="J3908">
        <v>53</v>
      </c>
    </row>
    <row r="3909" spans="1:10">
      <c r="A3909" s="3" t="s">
        <v>3861</v>
      </c>
      <c r="B3909">
        <v>5</v>
      </c>
      <c r="J3909">
        <v>53</v>
      </c>
    </row>
    <row r="3910" spans="1:10">
      <c r="A3910" s="3" t="s">
        <v>3862</v>
      </c>
      <c r="B3910">
        <v>5</v>
      </c>
      <c r="J3910">
        <v>53</v>
      </c>
    </row>
    <row r="3911" spans="1:10">
      <c r="A3911" s="3" t="s">
        <v>3863</v>
      </c>
      <c r="B3911">
        <v>5</v>
      </c>
      <c r="J3911">
        <v>53</v>
      </c>
    </row>
    <row r="3912" spans="1:10">
      <c r="A3912" s="3" t="s">
        <v>3864</v>
      </c>
      <c r="B3912">
        <v>5</v>
      </c>
      <c r="J3912">
        <v>53</v>
      </c>
    </row>
    <row r="3913" spans="1:10">
      <c r="A3913" s="3" t="s">
        <v>3865</v>
      </c>
      <c r="B3913">
        <v>5</v>
      </c>
      <c r="J3913">
        <v>53</v>
      </c>
    </row>
    <row r="3914" spans="1:10">
      <c r="A3914" s="3" t="s">
        <v>3866</v>
      </c>
      <c r="B3914">
        <v>5</v>
      </c>
      <c r="J3914">
        <v>53</v>
      </c>
    </row>
    <row r="3915" spans="1:10">
      <c r="A3915" s="3" t="s">
        <v>3867</v>
      </c>
      <c r="B3915">
        <v>5</v>
      </c>
      <c r="J3915">
        <v>53</v>
      </c>
    </row>
    <row r="3916" spans="1:10">
      <c r="A3916" s="3" t="s">
        <v>3868</v>
      </c>
      <c r="B3916">
        <v>5</v>
      </c>
      <c r="J3916">
        <v>53</v>
      </c>
    </row>
    <row r="3917" spans="1:10">
      <c r="A3917" s="3" t="s">
        <v>3869</v>
      </c>
      <c r="B3917">
        <v>5</v>
      </c>
      <c r="J3917">
        <v>53</v>
      </c>
    </row>
    <row r="3918" spans="1:10">
      <c r="A3918" s="3" t="s">
        <v>3870</v>
      </c>
      <c r="B3918">
        <v>5</v>
      </c>
      <c r="J3918">
        <v>53</v>
      </c>
    </row>
    <row r="3919" spans="1:10">
      <c r="A3919" s="3" t="s">
        <v>3871</v>
      </c>
      <c r="B3919">
        <v>5</v>
      </c>
      <c r="J3919">
        <v>53</v>
      </c>
    </row>
    <row r="3920" spans="1:10">
      <c r="A3920" s="3" t="s">
        <v>3872</v>
      </c>
      <c r="B3920">
        <v>5</v>
      </c>
      <c r="J3920">
        <v>53</v>
      </c>
    </row>
    <row r="3921" spans="1:10">
      <c r="A3921" s="3" t="s">
        <v>3873</v>
      </c>
      <c r="B3921">
        <v>5</v>
      </c>
      <c r="J3921">
        <v>53</v>
      </c>
    </row>
    <row r="3922" spans="1:10">
      <c r="A3922" s="3" t="s">
        <v>3874</v>
      </c>
      <c r="B3922">
        <v>5</v>
      </c>
      <c r="J3922">
        <v>53</v>
      </c>
    </row>
    <row r="3923" spans="1:10">
      <c r="A3923" s="3" t="s">
        <v>3875</v>
      </c>
      <c r="B3923">
        <v>5</v>
      </c>
      <c r="J3923">
        <v>53</v>
      </c>
    </row>
    <row r="3924" spans="1:10">
      <c r="A3924" s="3" t="s">
        <v>3876</v>
      </c>
      <c r="B3924">
        <v>5</v>
      </c>
      <c r="J3924">
        <v>53</v>
      </c>
    </row>
    <row r="3925" spans="1:10">
      <c r="A3925" s="3" t="s">
        <v>3877</v>
      </c>
      <c r="B3925">
        <v>5</v>
      </c>
      <c r="J3925">
        <v>53</v>
      </c>
    </row>
    <row r="3926" spans="1:10">
      <c r="A3926" s="3" t="s">
        <v>3878</v>
      </c>
      <c r="B3926">
        <v>5</v>
      </c>
      <c r="J3926">
        <v>53</v>
      </c>
    </row>
    <row r="3927" spans="1:10">
      <c r="A3927" s="3" t="s">
        <v>3879</v>
      </c>
      <c r="B3927">
        <v>5</v>
      </c>
      <c r="J3927">
        <v>53</v>
      </c>
    </row>
    <row r="3928" spans="1:10">
      <c r="A3928" s="3" t="s">
        <v>3880</v>
      </c>
      <c r="B3928">
        <v>5</v>
      </c>
      <c r="J3928">
        <v>53</v>
      </c>
    </row>
    <row r="3929" spans="1:10">
      <c r="A3929" s="3" t="s">
        <v>3881</v>
      </c>
      <c r="B3929">
        <v>5</v>
      </c>
      <c r="J3929">
        <v>53</v>
      </c>
    </row>
    <row r="3930" spans="1:10">
      <c r="A3930" s="3" t="s">
        <v>3882</v>
      </c>
      <c r="B3930">
        <v>5</v>
      </c>
      <c r="J3930">
        <v>53</v>
      </c>
    </row>
    <row r="3931" spans="1:10">
      <c r="A3931" s="3" t="s">
        <v>3883</v>
      </c>
      <c r="B3931">
        <v>5</v>
      </c>
      <c r="J3931">
        <v>53</v>
      </c>
    </row>
    <row r="3932" spans="1:10">
      <c r="A3932" s="3" t="s">
        <v>3884</v>
      </c>
      <c r="B3932">
        <v>5</v>
      </c>
      <c r="J3932">
        <v>53</v>
      </c>
    </row>
    <row r="3933" spans="1:10">
      <c r="A3933" s="3" t="s">
        <v>3885</v>
      </c>
      <c r="B3933">
        <v>5</v>
      </c>
      <c r="J3933">
        <v>53</v>
      </c>
    </row>
    <row r="3934" spans="1:10">
      <c r="A3934" s="3" t="s">
        <v>3886</v>
      </c>
      <c r="B3934">
        <v>5</v>
      </c>
      <c r="J3934">
        <v>53</v>
      </c>
    </row>
    <row r="3935" spans="1:10">
      <c r="A3935" s="3" t="s">
        <v>3887</v>
      </c>
      <c r="B3935">
        <v>5</v>
      </c>
      <c r="J3935">
        <v>53</v>
      </c>
    </row>
    <row r="3936" spans="1:10">
      <c r="A3936" s="3" t="s">
        <v>3888</v>
      </c>
      <c r="B3936">
        <v>5</v>
      </c>
      <c r="J3936">
        <v>53</v>
      </c>
    </row>
    <row r="3937" spans="1:10">
      <c r="A3937" s="3" t="s">
        <v>3889</v>
      </c>
      <c r="B3937">
        <v>5</v>
      </c>
      <c r="J3937">
        <v>53</v>
      </c>
    </row>
    <row r="3938" spans="1:10">
      <c r="A3938" s="3" t="s">
        <v>3890</v>
      </c>
      <c r="B3938">
        <v>5</v>
      </c>
      <c r="J3938">
        <v>53</v>
      </c>
    </row>
    <row r="3939" spans="1:10">
      <c r="A3939" s="3" t="s">
        <v>3891</v>
      </c>
      <c r="B3939">
        <v>5</v>
      </c>
      <c r="J3939">
        <v>53</v>
      </c>
    </row>
    <row r="3940" spans="1:10">
      <c r="A3940" s="3" t="s">
        <v>3892</v>
      </c>
      <c r="B3940">
        <v>5</v>
      </c>
      <c r="J3940">
        <v>53</v>
      </c>
    </row>
    <row r="3941" spans="1:10">
      <c r="A3941" s="3" t="s">
        <v>3893</v>
      </c>
      <c r="B3941">
        <v>5</v>
      </c>
      <c r="J3941">
        <v>53</v>
      </c>
    </row>
    <row r="3942" spans="1:10">
      <c r="A3942" s="3" t="s">
        <v>3894</v>
      </c>
      <c r="B3942">
        <v>5</v>
      </c>
      <c r="J3942">
        <v>53</v>
      </c>
    </row>
    <row r="3943" spans="1:10">
      <c r="A3943" s="3" t="s">
        <v>3895</v>
      </c>
      <c r="B3943">
        <v>5</v>
      </c>
      <c r="J3943">
        <v>53</v>
      </c>
    </row>
    <row r="3944" spans="1:10">
      <c r="A3944" s="3" t="s">
        <v>3896</v>
      </c>
      <c r="B3944">
        <v>5</v>
      </c>
      <c r="J3944">
        <v>53</v>
      </c>
    </row>
    <row r="3945" spans="1:10">
      <c r="A3945" s="3" t="s">
        <v>3897</v>
      </c>
      <c r="B3945">
        <v>5</v>
      </c>
      <c r="J3945">
        <v>53</v>
      </c>
    </row>
    <row r="3946" spans="1:10">
      <c r="A3946" s="3" t="s">
        <v>3898</v>
      </c>
      <c r="B3946">
        <v>5</v>
      </c>
      <c r="E3946">
        <v>5</v>
      </c>
      <c r="J3946">
        <v>53</v>
      </c>
    </row>
    <row r="3947" spans="1:10">
      <c r="A3947" s="3" t="s">
        <v>3899</v>
      </c>
      <c r="B3947">
        <v>5</v>
      </c>
      <c r="E3947">
        <v>5</v>
      </c>
      <c r="J3947">
        <v>53</v>
      </c>
    </row>
    <row r="3948" spans="1:10">
      <c r="A3948" s="3" t="s">
        <v>3900</v>
      </c>
      <c r="B3948">
        <v>5</v>
      </c>
      <c r="E3948">
        <v>5</v>
      </c>
      <c r="J3948">
        <v>53</v>
      </c>
    </row>
    <row r="3949" spans="1:10">
      <c r="A3949" s="3" t="s">
        <v>3901</v>
      </c>
      <c r="B3949">
        <v>5</v>
      </c>
      <c r="E3949">
        <v>5</v>
      </c>
      <c r="J3949">
        <v>53</v>
      </c>
    </row>
    <row r="3950" spans="1:10">
      <c r="A3950" s="3" t="s">
        <v>3902</v>
      </c>
      <c r="B3950">
        <v>5</v>
      </c>
      <c r="E3950">
        <v>5</v>
      </c>
      <c r="J3950">
        <v>53</v>
      </c>
    </row>
    <row r="3951" spans="1:10">
      <c r="A3951" s="3" t="s">
        <v>3903</v>
      </c>
      <c r="B3951">
        <v>5</v>
      </c>
      <c r="E3951">
        <v>5</v>
      </c>
      <c r="J3951">
        <v>53</v>
      </c>
    </row>
    <row r="3952" spans="1:10">
      <c r="A3952" s="3" t="s">
        <v>3904</v>
      </c>
      <c r="B3952">
        <v>5</v>
      </c>
      <c r="E3952">
        <v>5</v>
      </c>
      <c r="J3952">
        <v>53</v>
      </c>
    </row>
    <row r="3953" spans="1:46">
      <c r="A3953" s="3" t="s">
        <v>3905</v>
      </c>
      <c r="B3953">
        <v>5</v>
      </c>
      <c r="E3953">
        <v>5</v>
      </c>
      <c r="J3953">
        <v>53</v>
      </c>
    </row>
    <row r="3954" spans="1:46">
      <c r="A3954" s="3" t="s">
        <v>3906</v>
      </c>
      <c r="B3954">
        <v>5</v>
      </c>
      <c r="E3954">
        <v>5</v>
      </c>
      <c r="J3954">
        <v>53</v>
      </c>
    </row>
    <row r="3955" spans="1:46">
      <c r="A3955" s="3" t="s">
        <v>3907</v>
      </c>
      <c r="B3955">
        <v>5</v>
      </c>
      <c r="E3955">
        <v>5</v>
      </c>
      <c r="J3955">
        <v>53</v>
      </c>
    </row>
    <row r="3956" spans="1:46">
      <c r="A3956" s="3" t="s">
        <v>3908</v>
      </c>
      <c r="B3956">
        <v>5</v>
      </c>
      <c r="E3956">
        <v>5</v>
      </c>
      <c r="J3956">
        <v>53</v>
      </c>
    </row>
    <row r="3957" spans="1:46">
      <c r="A3957" s="3" t="s">
        <v>3909</v>
      </c>
      <c r="E3957">
        <v>5</v>
      </c>
      <c r="J3957">
        <v>53</v>
      </c>
    </row>
    <row r="3958" spans="1:46">
      <c r="A3958" s="3" t="s">
        <v>3910</v>
      </c>
      <c r="E3958">
        <v>5</v>
      </c>
      <c r="AT3958">
        <v>23</v>
      </c>
    </row>
    <row r="3959" spans="1:46">
      <c r="A3959" s="3" t="s">
        <v>3911</v>
      </c>
      <c r="E3959">
        <v>5</v>
      </c>
      <c r="AT3959">
        <v>23</v>
      </c>
    </row>
    <row r="3960" spans="1:46">
      <c r="A3960" s="3" t="s">
        <v>3912</v>
      </c>
      <c r="E3960">
        <v>5</v>
      </c>
      <c r="AT3960">
        <v>23</v>
      </c>
    </row>
    <row r="3961" spans="1:46">
      <c r="A3961" s="3" t="s">
        <v>3913</v>
      </c>
      <c r="E3961">
        <v>5</v>
      </c>
      <c r="AT3961">
        <v>23</v>
      </c>
    </row>
    <row r="3962" spans="1:46">
      <c r="A3962" s="3" t="s">
        <v>3914</v>
      </c>
      <c r="E3962">
        <v>5</v>
      </c>
      <c r="AT3962">
        <v>23</v>
      </c>
    </row>
    <row r="3963" spans="1:46">
      <c r="A3963" s="3" t="s">
        <v>3915</v>
      </c>
      <c r="E3963">
        <v>5</v>
      </c>
      <c r="AT3963">
        <v>23</v>
      </c>
    </row>
    <row r="3964" spans="1:46">
      <c r="A3964" s="3" t="s">
        <v>3916</v>
      </c>
      <c r="E3964">
        <v>5</v>
      </c>
      <c r="AT3964">
        <v>23</v>
      </c>
    </row>
    <row r="3965" spans="1:46">
      <c r="A3965" s="3" t="s">
        <v>3917</v>
      </c>
      <c r="E3965">
        <v>5</v>
      </c>
      <c r="AT3965">
        <v>23</v>
      </c>
    </row>
    <row r="3966" spans="1:46">
      <c r="A3966" s="3" t="s">
        <v>3918</v>
      </c>
      <c r="E3966">
        <v>5</v>
      </c>
      <c r="AT3966">
        <v>23</v>
      </c>
    </row>
    <row r="3967" spans="1:46">
      <c r="A3967" s="3" t="s">
        <v>3919</v>
      </c>
      <c r="E3967">
        <v>5</v>
      </c>
      <c r="AT3967">
        <v>23</v>
      </c>
    </row>
    <row r="3968" spans="1:46">
      <c r="A3968" s="3" t="s">
        <v>3920</v>
      </c>
      <c r="E3968">
        <v>5</v>
      </c>
      <c r="AT3968">
        <v>23</v>
      </c>
    </row>
    <row r="3969" spans="1:46">
      <c r="A3969" s="3" t="s">
        <v>3921</v>
      </c>
      <c r="E3969">
        <v>5</v>
      </c>
      <c r="AT3969">
        <v>23</v>
      </c>
    </row>
    <row r="3970" spans="1:46">
      <c r="A3970" s="3" t="s">
        <v>3922</v>
      </c>
      <c r="E3970">
        <v>5</v>
      </c>
      <c r="AT3970">
        <v>23</v>
      </c>
    </row>
    <row r="3971" spans="1:46">
      <c r="A3971" s="3" t="s">
        <v>3923</v>
      </c>
      <c r="E3971">
        <v>5</v>
      </c>
      <c r="AT3971">
        <v>23</v>
      </c>
    </row>
    <row r="3972" spans="1:46">
      <c r="A3972" s="3" t="s">
        <v>3924</v>
      </c>
      <c r="E3972">
        <v>5</v>
      </c>
      <c r="AT3972">
        <v>23</v>
      </c>
    </row>
    <row r="3973" spans="1:46">
      <c r="A3973" s="3" t="s">
        <v>3925</v>
      </c>
      <c r="E3973">
        <v>5</v>
      </c>
      <c r="AT3973">
        <v>23</v>
      </c>
    </row>
    <row r="3974" spans="1:46">
      <c r="A3974" s="3" t="s">
        <v>3926</v>
      </c>
      <c r="E3974">
        <v>5</v>
      </c>
      <c r="AT3974">
        <v>23</v>
      </c>
    </row>
    <row r="3975" spans="1:46">
      <c r="A3975" s="3" t="s">
        <v>3927</v>
      </c>
      <c r="E3975">
        <v>5</v>
      </c>
      <c r="AT3975">
        <v>23</v>
      </c>
    </row>
    <row r="3976" spans="1:46">
      <c r="A3976" s="3" t="s">
        <v>3928</v>
      </c>
      <c r="E3976">
        <v>5</v>
      </c>
      <c r="AT3976">
        <v>23</v>
      </c>
    </row>
    <row r="3977" spans="1:46">
      <c r="A3977" s="3" t="s">
        <v>3929</v>
      </c>
      <c r="E3977">
        <v>5</v>
      </c>
      <c r="AT3977">
        <v>23</v>
      </c>
    </row>
    <row r="3978" spans="1:46">
      <c r="A3978" s="3" t="s">
        <v>3930</v>
      </c>
      <c r="E3978">
        <v>5</v>
      </c>
      <c r="AT3978">
        <v>23</v>
      </c>
    </row>
    <row r="3979" spans="1:46">
      <c r="A3979" s="3" t="s">
        <v>3931</v>
      </c>
      <c r="E3979">
        <v>5</v>
      </c>
      <c r="AT3979">
        <v>23</v>
      </c>
    </row>
    <row r="3980" spans="1:46">
      <c r="A3980" s="3" t="s">
        <v>3932</v>
      </c>
      <c r="E3980">
        <v>5</v>
      </c>
      <c r="AT3980">
        <v>23</v>
      </c>
    </row>
    <row r="3981" spans="1:46">
      <c r="A3981" s="3" t="s">
        <v>3933</v>
      </c>
      <c r="E3981">
        <v>5</v>
      </c>
      <c r="AT3981">
        <v>23</v>
      </c>
    </row>
    <row r="3982" spans="1:46">
      <c r="A3982" s="3" t="s">
        <v>3934</v>
      </c>
      <c r="E3982">
        <v>5</v>
      </c>
      <c r="AT3982">
        <v>23</v>
      </c>
    </row>
    <row r="3983" spans="1:46">
      <c r="A3983" s="3" t="s">
        <v>3935</v>
      </c>
      <c r="E3983">
        <v>5</v>
      </c>
      <c r="AT3983">
        <v>23</v>
      </c>
    </row>
    <row r="3984" spans="1:46">
      <c r="A3984" s="3" t="s">
        <v>3936</v>
      </c>
      <c r="E3984">
        <v>5</v>
      </c>
      <c r="AT3984">
        <v>23</v>
      </c>
    </row>
    <row r="3985" spans="1:46">
      <c r="A3985" s="3" t="s">
        <v>3937</v>
      </c>
      <c r="E3985">
        <v>5</v>
      </c>
      <c r="AT3985">
        <v>23</v>
      </c>
    </row>
    <row r="3986" spans="1:46">
      <c r="A3986" s="3" t="s">
        <v>3938</v>
      </c>
      <c r="E3986">
        <v>5</v>
      </c>
      <c r="AT3986">
        <v>23</v>
      </c>
    </row>
    <row r="3987" spans="1:46">
      <c r="A3987" s="3" t="s">
        <v>3939</v>
      </c>
      <c r="E3987">
        <v>5</v>
      </c>
      <c r="AT3987">
        <v>23</v>
      </c>
    </row>
    <row r="3988" spans="1:46">
      <c r="A3988" s="3" t="s">
        <v>3940</v>
      </c>
      <c r="E3988">
        <v>5</v>
      </c>
      <c r="AT3988">
        <v>23</v>
      </c>
    </row>
    <row r="3989" spans="1:46">
      <c r="A3989" s="3" t="s">
        <v>3941</v>
      </c>
      <c r="E3989">
        <v>5</v>
      </c>
      <c r="AT3989">
        <v>23</v>
      </c>
    </row>
    <row r="3990" spans="1:46">
      <c r="A3990" s="3" t="s">
        <v>3942</v>
      </c>
      <c r="E3990">
        <v>5</v>
      </c>
      <c r="AT3990">
        <v>23</v>
      </c>
    </row>
    <row r="3991" spans="1:46">
      <c r="A3991" s="3" t="s">
        <v>3943</v>
      </c>
      <c r="E3991">
        <v>5</v>
      </c>
      <c r="AT3991">
        <v>23</v>
      </c>
    </row>
    <row r="3992" spans="1:46">
      <c r="A3992" s="3" t="s">
        <v>3944</v>
      </c>
      <c r="E3992">
        <v>5</v>
      </c>
      <c r="AT3992">
        <v>23</v>
      </c>
    </row>
    <row r="3993" spans="1:46">
      <c r="A3993" s="3" t="s">
        <v>3945</v>
      </c>
      <c r="E3993">
        <v>5</v>
      </c>
      <c r="AT3993">
        <v>23</v>
      </c>
    </row>
    <row r="3994" spans="1:46">
      <c r="A3994" s="3" t="s">
        <v>3946</v>
      </c>
      <c r="E3994">
        <v>5</v>
      </c>
      <c r="AT3994">
        <v>23</v>
      </c>
    </row>
    <row r="3995" spans="1:46">
      <c r="A3995" s="3" t="s">
        <v>3947</v>
      </c>
      <c r="E3995">
        <v>5</v>
      </c>
      <c r="AT3995">
        <v>23</v>
      </c>
    </row>
    <row r="3996" spans="1:46">
      <c r="A3996" s="3" t="s">
        <v>3948</v>
      </c>
      <c r="E3996">
        <v>5</v>
      </c>
      <c r="AT3996">
        <v>23</v>
      </c>
    </row>
    <row r="3997" spans="1:46">
      <c r="A3997" s="3" t="s">
        <v>3949</v>
      </c>
      <c r="E3997">
        <v>5</v>
      </c>
      <c r="AT3997">
        <v>23</v>
      </c>
    </row>
    <row r="3998" spans="1:46">
      <c r="A3998" s="3" t="s">
        <v>3950</v>
      </c>
      <c r="E3998">
        <v>5</v>
      </c>
      <c r="AT3998">
        <v>23</v>
      </c>
    </row>
    <row r="3999" spans="1:46">
      <c r="A3999" s="3" t="s">
        <v>3951</v>
      </c>
      <c r="E3999">
        <v>5</v>
      </c>
      <c r="AT3999">
        <v>23</v>
      </c>
    </row>
    <row r="4000" spans="1:46">
      <c r="A4000" s="3" t="s">
        <v>3952</v>
      </c>
      <c r="E4000">
        <v>5</v>
      </c>
      <c r="AT4000">
        <v>23</v>
      </c>
    </row>
    <row r="4001" spans="1:46">
      <c r="A4001" s="3" t="s">
        <v>3953</v>
      </c>
      <c r="E4001">
        <v>5</v>
      </c>
      <c r="AT4001">
        <v>23</v>
      </c>
    </row>
    <row r="4002" spans="1:46">
      <c r="A4002" s="3" t="s">
        <v>3954</v>
      </c>
      <c r="E4002">
        <v>5</v>
      </c>
      <c r="AT4002">
        <v>23</v>
      </c>
    </row>
    <row r="4003" spans="1:46">
      <c r="A4003" s="3" t="s">
        <v>3955</v>
      </c>
      <c r="E4003">
        <v>5</v>
      </c>
      <c r="AT4003">
        <v>23</v>
      </c>
    </row>
    <row r="4004" spans="1:46">
      <c r="A4004" s="3" t="s">
        <v>3956</v>
      </c>
      <c r="E4004">
        <v>5</v>
      </c>
      <c r="AT4004">
        <v>23</v>
      </c>
    </row>
    <row r="4005" spans="1:46">
      <c r="A4005" s="3" t="s">
        <v>3957</v>
      </c>
      <c r="E4005">
        <v>5</v>
      </c>
      <c r="AT4005">
        <v>23</v>
      </c>
    </row>
    <row r="4006" spans="1:46">
      <c r="A4006" s="3" t="s">
        <v>3958</v>
      </c>
      <c r="E4006">
        <v>5</v>
      </c>
      <c r="AT4006">
        <v>23</v>
      </c>
    </row>
    <row r="4007" spans="1:46">
      <c r="A4007" s="3" t="s">
        <v>3959</v>
      </c>
      <c r="E4007">
        <v>5</v>
      </c>
      <c r="AT4007">
        <v>23</v>
      </c>
    </row>
    <row r="4008" spans="1:46">
      <c r="A4008" s="3" t="s">
        <v>3960</v>
      </c>
      <c r="E4008">
        <v>5</v>
      </c>
      <c r="AT4008">
        <v>23</v>
      </c>
    </row>
    <row r="4009" spans="1:46">
      <c r="A4009" s="3" t="s">
        <v>3961</v>
      </c>
      <c r="E4009">
        <v>5</v>
      </c>
      <c r="AT4009">
        <v>23</v>
      </c>
    </row>
    <row r="4010" spans="1:46">
      <c r="A4010" s="3" t="s">
        <v>3962</v>
      </c>
      <c r="E4010">
        <v>5</v>
      </c>
      <c r="AT4010">
        <v>23</v>
      </c>
    </row>
    <row r="4011" spans="1:46">
      <c r="A4011" s="3" t="s">
        <v>3963</v>
      </c>
      <c r="E4011">
        <v>5</v>
      </c>
      <c r="AT4011">
        <v>23</v>
      </c>
    </row>
    <row r="4012" spans="1:46">
      <c r="A4012" s="3" t="s">
        <v>3964</v>
      </c>
      <c r="E4012">
        <v>5</v>
      </c>
      <c r="AT4012">
        <v>23</v>
      </c>
    </row>
    <row r="4013" spans="1:46">
      <c r="A4013" s="3" t="s">
        <v>3965</v>
      </c>
      <c r="E4013">
        <v>5</v>
      </c>
      <c r="AT4013">
        <v>23</v>
      </c>
    </row>
    <row r="4014" spans="1:46">
      <c r="A4014" s="3" t="s">
        <v>3966</v>
      </c>
      <c r="E4014">
        <v>5</v>
      </c>
      <c r="AT4014">
        <v>23</v>
      </c>
    </row>
    <row r="4015" spans="1:46">
      <c r="A4015" s="3" t="s">
        <v>3967</v>
      </c>
      <c r="E4015">
        <v>5</v>
      </c>
      <c r="AT4015">
        <v>23</v>
      </c>
    </row>
    <row r="4016" spans="1:46">
      <c r="A4016" s="3" t="s">
        <v>3968</v>
      </c>
      <c r="E4016">
        <v>5</v>
      </c>
      <c r="AT4016">
        <v>23</v>
      </c>
    </row>
    <row r="4017" spans="1:46">
      <c r="A4017" s="3" t="s">
        <v>3969</v>
      </c>
      <c r="E4017">
        <v>5</v>
      </c>
      <c r="AT4017">
        <v>23</v>
      </c>
    </row>
    <row r="4018" spans="1:46">
      <c r="A4018" s="3" t="s">
        <v>3970</v>
      </c>
      <c r="E4018">
        <v>5</v>
      </c>
      <c r="AT4018">
        <v>23</v>
      </c>
    </row>
    <row r="4019" spans="1:46">
      <c r="A4019" s="3" t="s">
        <v>3971</v>
      </c>
      <c r="E4019">
        <v>5</v>
      </c>
      <c r="AT4019">
        <v>23</v>
      </c>
    </row>
    <row r="4020" spans="1:46">
      <c r="A4020" s="3" t="s">
        <v>3972</v>
      </c>
      <c r="E4020">
        <v>5</v>
      </c>
      <c r="AT4020">
        <v>23</v>
      </c>
    </row>
    <row r="4021" spans="1:46">
      <c r="A4021" s="3" t="s">
        <v>3973</v>
      </c>
      <c r="E4021">
        <v>5</v>
      </c>
      <c r="AT4021">
        <v>23</v>
      </c>
    </row>
    <row r="4022" spans="1:46">
      <c r="A4022" s="3" t="s">
        <v>3974</v>
      </c>
      <c r="E4022">
        <v>5</v>
      </c>
      <c r="AT4022">
        <v>23</v>
      </c>
    </row>
    <row r="4023" spans="1:46">
      <c r="A4023" s="3" t="s">
        <v>3975</v>
      </c>
      <c r="E4023">
        <v>5</v>
      </c>
      <c r="AT4023">
        <v>23</v>
      </c>
    </row>
    <row r="4024" spans="1:46">
      <c r="A4024" s="3" t="s">
        <v>3976</v>
      </c>
      <c r="E4024">
        <v>5</v>
      </c>
      <c r="AT4024">
        <v>23</v>
      </c>
    </row>
    <row r="4025" spans="1:46">
      <c r="A4025" s="3" t="s">
        <v>3977</v>
      </c>
      <c r="E4025">
        <v>5</v>
      </c>
      <c r="AT4025">
        <v>23</v>
      </c>
    </row>
    <row r="4026" spans="1:46">
      <c r="A4026" s="3" t="s">
        <v>3978</v>
      </c>
      <c r="E4026">
        <v>5</v>
      </c>
      <c r="AT4026">
        <v>23</v>
      </c>
    </row>
    <row r="4027" spans="1:46">
      <c r="A4027" s="3" t="s">
        <v>3979</v>
      </c>
      <c r="E4027">
        <v>5</v>
      </c>
      <c r="AT4027">
        <v>23</v>
      </c>
    </row>
    <row r="4028" spans="1:46">
      <c r="A4028" s="3" t="s">
        <v>3980</v>
      </c>
      <c r="E4028">
        <v>5</v>
      </c>
      <c r="AT4028">
        <v>23</v>
      </c>
    </row>
    <row r="4029" spans="1:46">
      <c r="A4029" s="3" t="s">
        <v>3981</v>
      </c>
      <c r="E4029">
        <v>5</v>
      </c>
      <c r="AT4029">
        <v>23</v>
      </c>
    </row>
    <row r="4030" spans="1:46">
      <c r="A4030" s="3" t="s">
        <v>3982</v>
      </c>
      <c r="E4030">
        <v>5</v>
      </c>
      <c r="AT4030">
        <v>23</v>
      </c>
    </row>
    <row r="4031" spans="1:46">
      <c r="A4031" s="3" t="s">
        <v>3983</v>
      </c>
      <c r="E4031">
        <v>5</v>
      </c>
      <c r="AT4031">
        <v>23</v>
      </c>
    </row>
    <row r="4032" spans="1:46">
      <c r="A4032" s="3" t="s">
        <v>3984</v>
      </c>
      <c r="E4032">
        <v>5</v>
      </c>
      <c r="AT4032">
        <v>23</v>
      </c>
    </row>
    <row r="4033" spans="1:46">
      <c r="A4033" s="3" t="s">
        <v>3985</v>
      </c>
      <c r="E4033">
        <v>5</v>
      </c>
      <c r="AT4033">
        <v>23</v>
      </c>
    </row>
    <row r="4034" spans="1:46">
      <c r="A4034" s="3" t="s">
        <v>3986</v>
      </c>
      <c r="E4034">
        <v>5</v>
      </c>
      <c r="AT4034">
        <v>23</v>
      </c>
    </row>
    <row r="4035" spans="1:46">
      <c r="A4035" s="3" t="s">
        <v>3987</v>
      </c>
      <c r="E4035">
        <v>5</v>
      </c>
      <c r="AT4035">
        <v>23</v>
      </c>
    </row>
    <row r="4036" spans="1:46">
      <c r="A4036" s="3" t="s">
        <v>3988</v>
      </c>
      <c r="E4036">
        <v>5</v>
      </c>
      <c r="AT4036">
        <v>23</v>
      </c>
    </row>
    <row r="4037" spans="1:46">
      <c r="A4037" s="3" t="s">
        <v>3989</v>
      </c>
      <c r="E4037">
        <v>5</v>
      </c>
      <c r="AT4037">
        <v>23</v>
      </c>
    </row>
    <row r="4038" spans="1:46">
      <c r="A4038" s="3" t="s">
        <v>3990</v>
      </c>
      <c r="E4038">
        <v>5</v>
      </c>
      <c r="AT4038">
        <v>23</v>
      </c>
    </row>
    <row r="4039" spans="1:46">
      <c r="A4039" s="3" t="s">
        <v>3991</v>
      </c>
      <c r="E4039">
        <v>5</v>
      </c>
      <c r="AT4039">
        <v>23</v>
      </c>
    </row>
    <row r="4040" spans="1:46">
      <c r="A4040" s="3" t="s">
        <v>3992</v>
      </c>
      <c r="E4040">
        <v>5</v>
      </c>
      <c r="AT4040">
        <v>23</v>
      </c>
    </row>
    <row r="4041" spans="1:46">
      <c r="A4041" s="3" t="s">
        <v>3993</v>
      </c>
      <c r="E4041">
        <v>5</v>
      </c>
      <c r="AT4041">
        <v>23</v>
      </c>
    </row>
    <row r="4042" spans="1:46">
      <c r="A4042" s="3" t="s">
        <v>3994</v>
      </c>
      <c r="E4042">
        <v>5</v>
      </c>
      <c r="AT4042">
        <v>23</v>
      </c>
    </row>
    <row r="4043" spans="1:46">
      <c r="A4043" s="3" t="s">
        <v>3995</v>
      </c>
      <c r="E4043">
        <v>5</v>
      </c>
      <c r="AT4043">
        <v>23</v>
      </c>
    </row>
    <row r="4044" spans="1:46">
      <c r="A4044" s="3" t="s">
        <v>3996</v>
      </c>
      <c r="E4044">
        <v>5</v>
      </c>
      <c r="AT4044">
        <v>23</v>
      </c>
    </row>
    <row r="4045" spans="1:46">
      <c r="A4045" s="3" t="s">
        <v>3997</v>
      </c>
      <c r="E4045">
        <v>5</v>
      </c>
      <c r="AT4045">
        <v>23</v>
      </c>
    </row>
    <row r="4046" spans="1:46">
      <c r="A4046" s="3" t="s">
        <v>3998</v>
      </c>
      <c r="E4046">
        <v>5</v>
      </c>
      <c r="AT4046">
        <v>23</v>
      </c>
    </row>
    <row r="4047" spans="1:46">
      <c r="A4047" s="3" t="s">
        <v>3999</v>
      </c>
      <c r="E4047">
        <v>5</v>
      </c>
      <c r="AT4047">
        <v>23</v>
      </c>
    </row>
    <row r="4048" spans="1:46">
      <c r="A4048" s="3" t="s">
        <v>4000</v>
      </c>
      <c r="E4048">
        <v>5</v>
      </c>
      <c r="AT4048">
        <v>23</v>
      </c>
    </row>
    <row r="4049" spans="1:46">
      <c r="A4049" s="3" t="s">
        <v>4001</v>
      </c>
      <c r="E4049">
        <v>5</v>
      </c>
      <c r="AT4049">
        <v>23</v>
      </c>
    </row>
    <row r="4050" spans="1:46">
      <c r="A4050" s="3" t="s">
        <v>4002</v>
      </c>
      <c r="E4050">
        <v>5</v>
      </c>
      <c r="AT4050">
        <v>23</v>
      </c>
    </row>
    <row r="4051" spans="1:46">
      <c r="A4051" s="3" t="s">
        <v>4003</v>
      </c>
      <c r="E4051">
        <v>5</v>
      </c>
      <c r="AT4051">
        <v>23</v>
      </c>
    </row>
    <row r="4052" spans="1:46">
      <c r="A4052" s="3" t="s">
        <v>4004</v>
      </c>
      <c r="E4052">
        <v>5</v>
      </c>
      <c r="AT4052">
        <v>23</v>
      </c>
    </row>
    <row r="4053" spans="1:46">
      <c r="A4053" s="3" t="s">
        <v>4005</v>
      </c>
      <c r="E4053">
        <v>5</v>
      </c>
      <c r="AT4053">
        <v>23</v>
      </c>
    </row>
    <row r="4054" spans="1:46">
      <c r="A4054" s="3" t="s">
        <v>4006</v>
      </c>
      <c r="E4054">
        <v>5</v>
      </c>
      <c r="AT4054">
        <v>23</v>
      </c>
    </row>
    <row r="4055" spans="1:46">
      <c r="A4055" s="3" t="s">
        <v>4007</v>
      </c>
      <c r="E4055">
        <v>5</v>
      </c>
      <c r="AT4055">
        <v>23</v>
      </c>
    </row>
    <row r="4056" spans="1:46">
      <c r="A4056" s="3" t="s">
        <v>4008</v>
      </c>
      <c r="E4056">
        <v>5</v>
      </c>
      <c r="AT4056">
        <v>23</v>
      </c>
    </row>
    <row r="4057" spans="1:46">
      <c r="A4057" s="3" t="s">
        <v>4009</v>
      </c>
      <c r="E4057">
        <v>5</v>
      </c>
      <c r="AT4057">
        <v>23</v>
      </c>
    </row>
    <row r="4058" spans="1:46">
      <c r="A4058" s="3" t="s">
        <v>4010</v>
      </c>
      <c r="E4058">
        <v>5</v>
      </c>
      <c r="AT4058">
        <v>23</v>
      </c>
    </row>
    <row r="4059" spans="1:46">
      <c r="A4059" s="3" t="s">
        <v>4011</v>
      </c>
      <c r="E4059">
        <v>5</v>
      </c>
      <c r="AT4059">
        <v>23</v>
      </c>
    </row>
    <row r="4060" spans="1:46">
      <c r="A4060" s="3" t="s">
        <v>4012</v>
      </c>
      <c r="E4060">
        <v>5</v>
      </c>
      <c r="AT4060">
        <v>23</v>
      </c>
    </row>
    <row r="4061" spans="1:46">
      <c r="A4061" s="3" t="s">
        <v>4013</v>
      </c>
      <c r="E4061">
        <v>5</v>
      </c>
      <c r="AT4061">
        <v>23</v>
      </c>
    </row>
    <row r="4062" spans="1:46">
      <c r="A4062" s="3" t="s">
        <v>4014</v>
      </c>
      <c r="E4062">
        <v>5</v>
      </c>
      <c r="J4062">
        <v>54</v>
      </c>
    </row>
    <row r="4063" spans="1:46">
      <c r="A4063" s="3" t="s">
        <v>4015</v>
      </c>
      <c r="E4063">
        <v>5</v>
      </c>
      <c r="J4063">
        <v>54</v>
      </c>
    </row>
    <row r="4064" spans="1:46">
      <c r="A4064" s="3" t="s">
        <v>4016</v>
      </c>
      <c r="E4064">
        <v>5</v>
      </c>
      <c r="J4064">
        <v>54</v>
      </c>
    </row>
    <row r="4065" spans="1:10">
      <c r="A4065" s="3" t="s">
        <v>4017</v>
      </c>
      <c r="E4065">
        <v>5</v>
      </c>
      <c r="J4065">
        <v>54</v>
      </c>
    </row>
    <row r="4066" spans="1:10">
      <c r="A4066" s="3" t="s">
        <v>4018</v>
      </c>
      <c r="E4066">
        <v>5</v>
      </c>
      <c r="J4066">
        <v>54</v>
      </c>
    </row>
    <row r="4067" spans="1:10">
      <c r="A4067" s="3" t="s">
        <v>4019</v>
      </c>
      <c r="E4067">
        <v>5</v>
      </c>
      <c r="J4067">
        <v>54</v>
      </c>
    </row>
    <row r="4068" spans="1:10">
      <c r="A4068" s="3" t="s">
        <v>4020</v>
      </c>
      <c r="E4068">
        <v>5</v>
      </c>
      <c r="J4068">
        <v>54</v>
      </c>
    </row>
    <row r="4069" spans="1:10">
      <c r="A4069" s="3" t="s">
        <v>4021</v>
      </c>
      <c r="E4069">
        <v>5</v>
      </c>
      <c r="J4069">
        <v>54</v>
      </c>
    </row>
    <row r="4070" spans="1:10">
      <c r="A4070" s="3" t="s">
        <v>4022</v>
      </c>
      <c r="E4070">
        <v>5</v>
      </c>
      <c r="J4070">
        <v>54</v>
      </c>
    </row>
    <row r="4071" spans="1:10">
      <c r="A4071" s="3" t="s">
        <v>4023</v>
      </c>
      <c r="E4071">
        <v>5</v>
      </c>
      <c r="J4071">
        <v>54</v>
      </c>
    </row>
    <row r="4072" spans="1:10">
      <c r="A4072" s="3" t="s">
        <v>4024</v>
      </c>
      <c r="E4072">
        <v>5</v>
      </c>
      <c r="J4072">
        <v>54</v>
      </c>
    </row>
    <row r="4073" spans="1:10">
      <c r="A4073" s="3" t="s">
        <v>4025</v>
      </c>
      <c r="E4073">
        <v>5</v>
      </c>
      <c r="J4073">
        <v>54</v>
      </c>
    </row>
    <row r="4074" spans="1:10">
      <c r="A4074" s="3" t="s">
        <v>4026</v>
      </c>
      <c r="E4074">
        <v>5</v>
      </c>
      <c r="J4074">
        <v>54</v>
      </c>
    </row>
    <row r="4075" spans="1:10">
      <c r="A4075" s="3" t="s">
        <v>4027</v>
      </c>
      <c r="E4075">
        <v>5</v>
      </c>
      <c r="J4075">
        <v>54</v>
      </c>
    </row>
    <row r="4076" spans="1:10">
      <c r="A4076" s="3" t="s">
        <v>4028</v>
      </c>
      <c r="E4076">
        <v>5</v>
      </c>
      <c r="J4076">
        <v>54</v>
      </c>
    </row>
    <row r="4077" spans="1:10">
      <c r="A4077" s="3" t="s">
        <v>4029</v>
      </c>
      <c r="E4077">
        <v>5</v>
      </c>
      <c r="J4077">
        <v>54</v>
      </c>
    </row>
    <row r="4078" spans="1:10">
      <c r="A4078" s="3" t="s">
        <v>4030</v>
      </c>
      <c r="E4078">
        <v>5</v>
      </c>
      <c r="J4078">
        <v>54</v>
      </c>
    </row>
    <row r="4079" spans="1:10">
      <c r="A4079" s="3" t="s">
        <v>4031</v>
      </c>
      <c r="E4079">
        <v>5</v>
      </c>
      <c r="J4079">
        <v>54</v>
      </c>
    </row>
    <row r="4080" spans="1:10">
      <c r="A4080" s="3" t="s">
        <v>4032</v>
      </c>
      <c r="E4080">
        <v>5</v>
      </c>
      <c r="J4080">
        <v>54</v>
      </c>
    </row>
    <row r="4081" spans="1:10">
      <c r="A4081" s="3" t="s">
        <v>4033</v>
      </c>
      <c r="E4081">
        <v>5</v>
      </c>
      <c r="J4081">
        <v>54</v>
      </c>
    </row>
    <row r="4082" spans="1:10">
      <c r="A4082" s="3" t="s">
        <v>4034</v>
      </c>
      <c r="E4082">
        <v>5</v>
      </c>
      <c r="J4082">
        <v>54</v>
      </c>
    </row>
    <row r="4083" spans="1:10">
      <c r="A4083" s="3" t="s">
        <v>4035</v>
      </c>
      <c r="E4083">
        <v>5</v>
      </c>
      <c r="J4083">
        <v>54</v>
      </c>
    </row>
    <row r="4084" spans="1:10">
      <c r="A4084" s="3" t="s">
        <v>4036</v>
      </c>
      <c r="E4084">
        <v>5</v>
      </c>
      <c r="J4084">
        <v>54</v>
      </c>
    </row>
    <row r="4085" spans="1:10">
      <c r="A4085" s="3" t="s">
        <v>4037</v>
      </c>
      <c r="E4085">
        <v>5</v>
      </c>
      <c r="J4085">
        <v>54</v>
      </c>
    </row>
    <row r="4086" spans="1:10">
      <c r="A4086" s="3" t="s">
        <v>4038</v>
      </c>
      <c r="E4086">
        <v>5</v>
      </c>
      <c r="J4086">
        <v>54</v>
      </c>
    </row>
    <row r="4087" spans="1:10">
      <c r="A4087" s="3" t="s">
        <v>4039</v>
      </c>
      <c r="E4087">
        <v>5</v>
      </c>
      <c r="J4087">
        <v>54</v>
      </c>
    </row>
    <row r="4088" spans="1:10">
      <c r="A4088" s="3" t="s">
        <v>4040</v>
      </c>
      <c r="E4088">
        <v>5</v>
      </c>
      <c r="J4088">
        <v>54</v>
      </c>
    </row>
    <row r="4089" spans="1:10">
      <c r="A4089" s="3" t="s">
        <v>4041</v>
      </c>
      <c r="E4089">
        <v>5</v>
      </c>
      <c r="J4089">
        <v>54</v>
      </c>
    </row>
    <row r="4090" spans="1:10">
      <c r="A4090" s="3" t="s">
        <v>4042</v>
      </c>
      <c r="E4090">
        <v>5</v>
      </c>
      <c r="J4090">
        <v>54</v>
      </c>
    </row>
    <row r="4091" spans="1:10">
      <c r="A4091" s="3" t="s">
        <v>4043</v>
      </c>
      <c r="E4091">
        <v>5</v>
      </c>
      <c r="J4091">
        <v>54</v>
      </c>
    </row>
    <row r="4092" spans="1:10">
      <c r="A4092" s="3" t="s">
        <v>4044</v>
      </c>
      <c r="E4092">
        <v>5</v>
      </c>
      <c r="J4092">
        <v>54</v>
      </c>
    </row>
    <row r="4093" spans="1:10">
      <c r="A4093" s="3" t="s">
        <v>4045</v>
      </c>
      <c r="E4093">
        <v>5</v>
      </c>
      <c r="J4093">
        <v>54</v>
      </c>
    </row>
    <row r="4094" spans="1:10">
      <c r="A4094" s="3" t="s">
        <v>4046</v>
      </c>
      <c r="E4094">
        <v>5</v>
      </c>
      <c r="J4094">
        <v>54</v>
      </c>
    </row>
    <row r="4095" spans="1:10">
      <c r="A4095" s="3" t="s">
        <v>4047</v>
      </c>
      <c r="E4095">
        <v>5</v>
      </c>
      <c r="J4095">
        <v>54</v>
      </c>
    </row>
    <row r="4096" spans="1:10">
      <c r="A4096" s="3" t="s">
        <v>4048</v>
      </c>
      <c r="E4096">
        <v>5</v>
      </c>
      <c r="J4096">
        <v>54</v>
      </c>
    </row>
    <row r="4097" spans="1:10">
      <c r="A4097" s="3" t="s">
        <v>4049</v>
      </c>
      <c r="E4097">
        <v>5</v>
      </c>
      <c r="J4097">
        <v>54</v>
      </c>
    </row>
    <row r="4098" spans="1:10">
      <c r="A4098" s="3" t="s">
        <v>4050</v>
      </c>
      <c r="E4098">
        <v>5</v>
      </c>
      <c r="J4098">
        <v>54</v>
      </c>
    </row>
    <row r="4099" spans="1:10">
      <c r="A4099" s="3" t="s">
        <v>4051</v>
      </c>
      <c r="E4099">
        <v>5</v>
      </c>
      <c r="J4099">
        <v>54</v>
      </c>
    </row>
    <row r="4100" spans="1:10">
      <c r="A4100" s="3" t="s">
        <v>4052</v>
      </c>
      <c r="E4100">
        <v>5</v>
      </c>
      <c r="J4100">
        <v>54</v>
      </c>
    </row>
    <row r="4101" spans="1:10">
      <c r="A4101" s="3" t="s">
        <v>4053</v>
      </c>
      <c r="E4101">
        <v>5</v>
      </c>
      <c r="J4101">
        <v>54</v>
      </c>
    </row>
    <row r="4102" spans="1:10">
      <c r="A4102" s="3" t="s">
        <v>4054</v>
      </c>
      <c r="E4102">
        <v>5</v>
      </c>
      <c r="J4102">
        <v>54</v>
      </c>
    </row>
    <row r="4103" spans="1:10">
      <c r="A4103" s="3" t="s">
        <v>4055</v>
      </c>
      <c r="E4103">
        <v>5</v>
      </c>
      <c r="J4103">
        <v>54</v>
      </c>
    </row>
    <row r="4104" spans="1:10">
      <c r="A4104" s="3" t="s">
        <v>4056</v>
      </c>
      <c r="E4104">
        <v>5</v>
      </c>
      <c r="J4104">
        <v>54</v>
      </c>
    </row>
    <row r="4105" spans="1:10">
      <c r="A4105" s="3" t="s">
        <v>4057</v>
      </c>
      <c r="E4105">
        <v>5</v>
      </c>
      <c r="J4105">
        <v>54</v>
      </c>
    </row>
    <row r="4106" spans="1:10">
      <c r="A4106" s="3" t="s">
        <v>4058</v>
      </c>
      <c r="E4106">
        <v>5</v>
      </c>
      <c r="J4106">
        <v>54</v>
      </c>
    </row>
    <row r="4107" spans="1:10">
      <c r="A4107" s="3" t="s">
        <v>4059</v>
      </c>
      <c r="E4107">
        <v>5</v>
      </c>
      <c r="J4107">
        <v>54</v>
      </c>
    </row>
    <row r="4108" spans="1:10">
      <c r="A4108" s="3" t="s">
        <v>4060</v>
      </c>
      <c r="E4108">
        <v>5</v>
      </c>
      <c r="J4108">
        <v>54</v>
      </c>
    </row>
    <row r="4109" spans="1:10">
      <c r="A4109" s="3" t="s">
        <v>4061</v>
      </c>
      <c r="E4109">
        <v>5</v>
      </c>
      <c r="J4109">
        <v>54</v>
      </c>
    </row>
    <row r="4110" spans="1:10">
      <c r="A4110" s="3" t="s">
        <v>4062</v>
      </c>
      <c r="E4110">
        <v>5</v>
      </c>
      <c r="J4110">
        <v>54</v>
      </c>
    </row>
    <row r="4111" spans="1:10">
      <c r="A4111" s="3" t="s">
        <v>4063</v>
      </c>
      <c r="E4111">
        <v>5</v>
      </c>
      <c r="J4111">
        <v>54</v>
      </c>
    </row>
    <row r="4112" spans="1:10">
      <c r="A4112" s="3" t="s">
        <v>4064</v>
      </c>
      <c r="E4112">
        <v>5</v>
      </c>
      <c r="J4112">
        <v>54</v>
      </c>
    </row>
    <row r="4113" spans="1:10">
      <c r="A4113" s="3" t="s">
        <v>4065</v>
      </c>
      <c r="E4113">
        <v>5</v>
      </c>
      <c r="J4113">
        <v>54</v>
      </c>
    </row>
    <row r="4114" spans="1:10">
      <c r="A4114" s="3" t="s">
        <v>4066</v>
      </c>
      <c r="E4114">
        <v>5</v>
      </c>
      <c r="J4114">
        <v>54</v>
      </c>
    </row>
    <row r="4115" spans="1:10">
      <c r="A4115" s="3" t="s">
        <v>4067</v>
      </c>
      <c r="E4115">
        <v>5</v>
      </c>
      <c r="J4115">
        <v>54</v>
      </c>
    </row>
    <row r="4116" spans="1:10">
      <c r="A4116" s="3" t="s">
        <v>4068</v>
      </c>
      <c r="E4116">
        <v>5</v>
      </c>
      <c r="J4116">
        <v>54</v>
      </c>
    </row>
    <row r="4117" spans="1:10">
      <c r="A4117" s="3" t="s">
        <v>4069</v>
      </c>
      <c r="E4117">
        <v>5</v>
      </c>
      <c r="J4117">
        <v>54</v>
      </c>
    </row>
    <row r="4118" spans="1:10">
      <c r="A4118" s="3" t="s">
        <v>4070</v>
      </c>
      <c r="E4118">
        <v>5</v>
      </c>
      <c r="J4118">
        <v>54</v>
      </c>
    </row>
    <row r="4119" spans="1:10">
      <c r="A4119" s="3" t="s">
        <v>4071</v>
      </c>
      <c r="E4119">
        <v>5</v>
      </c>
      <c r="J4119">
        <v>54</v>
      </c>
    </row>
    <row r="4120" spans="1:10">
      <c r="A4120" s="3" t="s">
        <v>4072</v>
      </c>
      <c r="E4120">
        <v>5</v>
      </c>
      <c r="J4120">
        <v>54</v>
      </c>
    </row>
    <row r="4121" spans="1:10">
      <c r="A4121" s="3" t="s">
        <v>4073</v>
      </c>
      <c r="E4121">
        <v>5</v>
      </c>
      <c r="J4121">
        <v>54</v>
      </c>
    </row>
    <row r="4122" spans="1:10">
      <c r="A4122" s="3" t="s">
        <v>4074</v>
      </c>
      <c r="E4122">
        <v>5</v>
      </c>
      <c r="J4122">
        <v>54</v>
      </c>
    </row>
    <row r="4123" spans="1:10">
      <c r="A4123" s="3" t="s">
        <v>4075</v>
      </c>
      <c r="E4123">
        <v>5</v>
      </c>
      <c r="J4123">
        <v>54</v>
      </c>
    </row>
    <row r="4124" spans="1:10">
      <c r="A4124" s="3" t="s">
        <v>4076</v>
      </c>
      <c r="E4124">
        <v>5</v>
      </c>
      <c r="J4124">
        <v>54</v>
      </c>
    </row>
    <row r="4125" spans="1:10">
      <c r="A4125" s="3" t="s">
        <v>4077</v>
      </c>
      <c r="E4125">
        <v>5</v>
      </c>
      <c r="J4125">
        <v>54</v>
      </c>
    </row>
    <row r="4126" spans="1:10">
      <c r="A4126" s="3" t="s">
        <v>4078</v>
      </c>
      <c r="E4126">
        <v>5</v>
      </c>
      <c r="J4126">
        <v>54</v>
      </c>
    </row>
    <row r="4127" spans="1:10">
      <c r="A4127" s="3" t="s">
        <v>4079</v>
      </c>
      <c r="E4127">
        <v>5</v>
      </c>
      <c r="J4127">
        <v>54</v>
      </c>
    </row>
    <row r="4128" spans="1:10">
      <c r="A4128" s="3" t="s">
        <v>4080</v>
      </c>
      <c r="E4128">
        <v>5</v>
      </c>
      <c r="J4128">
        <v>54</v>
      </c>
    </row>
    <row r="4129" spans="1:46">
      <c r="A4129" s="3" t="s">
        <v>4081</v>
      </c>
      <c r="E4129">
        <v>5</v>
      </c>
      <c r="J4129">
        <v>54</v>
      </c>
    </row>
    <row r="4130" spans="1:46">
      <c r="A4130" s="3" t="s">
        <v>4082</v>
      </c>
      <c r="E4130">
        <v>5</v>
      </c>
      <c r="J4130">
        <v>54</v>
      </c>
    </row>
    <row r="4131" spans="1:46">
      <c r="A4131" s="3" t="s">
        <v>4083</v>
      </c>
      <c r="E4131">
        <v>5</v>
      </c>
      <c r="J4131">
        <v>54</v>
      </c>
    </row>
    <row r="4132" spans="1:46">
      <c r="A4132" s="3" t="s">
        <v>4084</v>
      </c>
      <c r="E4132">
        <v>5</v>
      </c>
      <c r="J4132">
        <v>54</v>
      </c>
    </row>
    <row r="4133" spans="1:46">
      <c r="A4133" s="3" t="s">
        <v>4085</v>
      </c>
      <c r="E4133">
        <v>5</v>
      </c>
      <c r="AT4133">
        <v>24</v>
      </c>
    </row>
    <row r="4134" spans="1:46">
      <c r="A4134" s="3" t="s">
        <v>4086</v>
      </c>
      <c r="E4134">
        <v>5</v>
      </c>
      <c r="AT4134">
        <v>24</v>
      </c>
    </row>
    <row r="4135" spans="1:46">
      <c r="A4135" s="3" t="s">
        <v>4087</v>
      </c>
      <c r="E4135">
        <v>5</v>
      </c>
      <c r="AT4135">
        <v>24</v>
      </c>
    </row>
    <row r="4136" spans="1:46">
      <c r="A4136" s="3" t="s">
        <v>4088</v>
      </c>
      <c r="E4136">
        <v>5</v>
      </c>
      <c r="AT4136">
        <v>24</v>
      </c>
    </row>
    <row r="4137" spans="1:46">
      <c r="A4137" s="3" t="s">
        <v>4089</v>
      </c>
      <c r="E4137">
        <v>5</v>
      </c>
      <c r="AT4137">
        <v>24</v>
      </c>
    </row>
    <row r="4138" spans="1:46">
      <c r="A4138" s="3" t="s">
        <v>4090</v>
      </c>
      <c r="E4138">
        <v>5</v>
      </c>
      <c r="AT4138">
        <v>24</v>
      </c>
    </row>
    <row r="4139" spans="1:46">
      <c r="A4139" s="3" t="s">
        <v>4091</v>
      </c>
      <c r="E4139">
        <v>5</v>
      </c>
      <c r="AT4139">
        <v>24</v>
      </c>
    </row>
    <row r="4140" spans="1:46">
      <c r="A4140" s="3" t="s">
        <v>4092</v>
      </c>
      <c r="E4140">
        <v>5</v>
      </c>
      <c r="AT4140">
        <v>24</v>
      </c>
    </row>
    <row r="4141" spans="1:46">
      <c r="A4141" s="3" t="s">
        <v>4093</v>
      </c>
      <c r="E4141">
        <v>5</v>
      </c>
      <c r="AT4141">
        <v>24</v>
      </c>
    </row>
    <row r="4142" spans="1:46">
      <c r="A4142" s="3" t="s">
        <v>4094</v>
      </c>
      <c r="E4142">
        <v>5</v>
      </c>
      <c r="AJ4142">
        <v>2</v>
      </c>
    </row>
    <row r="4143" spans="1:46">
      <c r="A4143" s="3" t="s">
        <v>4095</v>
      </c>
      <c r="E4143">
        <v>5</v>
      </c>
      <c r="AJ4143">
        <v>2</v>
      </c>
    </row>
    <row r="4144" spans="1:46">
      <c r="A4144" s="3" t="s">
        <v>4096</v>
      </c>
      <c r="E4144">
        <v>5</v>
      </c>
      <c r="AJ4144">
        <v>2</v>
      </c>
    </row>
    <row r="4145" spans="1:36">
      <c r="A4145" s="3" t="s">
        <v>4097</v>
      </c>
      <c r="E4145">
        <v>5</v>
      </c>
      <c r="AJ4145">
        <v>2</v>
      </c>
    </row>
    <row r="4146" spans="1:36">
      <c r="A4146" s="3" t="s">
        <v>4098</v>
      </c>
      <c r="E4146">
        <v>5</v>
      </c>
      <c r="AJ4146">
        <v>2</v>
      </c>
    </row>
    <row r="4147" spans="1:36">
      <c r="A4147" s="3" t="s">
        <v>4099</v>
      </c>
      <c r="E4147">
        <v>5</v>
      </c>
      <c r="AJ4147">
        <v>2</v>
      </c>
    </row>
    <row r="4148" spans="1:36">
      <c r="A4148" s="3" t="s">
        <v>4100</v>
      </c>
      <c r="E4148">
        <v>5</v>
      </c>
      <c r="AJ4148">
        <v>2</v>
      </c>
    </row>
    <row r="4149" spans="1:36">
      <c r="A4149" s="3" t="s">
        <v>4101</v>
      </c>
      <c r="E4149">
        <v>5</v>
      </c>
      <c r="AJ4149">
        <v>2</v>
      </c>
    </row>
    <row r="4150" spans="1:36">
      <c r="A4150" s="3" t="s">
        <v>4102</v>
      </c>
      <c r="E4150">
        <v>5</v>
      </c>
      <c r="AJ4150">
        <v>2</v>
      </c>
    </row>
    <row r="4151" spans="1:36">
      <c r="A4151" s="3" t="s">
        <v>4103</v>
      </c>
      <c r="E4151">
        <v>5</v>
      </c>
      <c r="AJ4151">
        <v>2</v>
      </c>
    </row>
    <row r="4152" spans="1:36">
      <c r="A4152" s="3" t="s">
        <v>4104</v>
      </c>
      <c r="E4152">
        <v>5</v>
      </c>
      <c r="AJ4152">
        <v>2</v>
      </c>
    </row>
    <row r="4153" spans="1:36">
      <c r="A4153" s="3" t="s">
        <v>4105</v>
      </c>
      <c r="E4153">
        <v>5</v>
      </c>
      <c r="AJ4153">
        <v>2</v>
      </c>
    </row>
    <row r="4154" spans="1:36">
      <c r="A4154" s="3" t="s">
        <v>4106</v>
      </c>
      <c r="E4154">
        <v>5</v>
      </c>
      <c r="AJ4154">
        <v>2</v>
      </c>
    </row>
    <row r="4155" spans="1:36">
      <c r="A4155" s="3" t="s">
        <v>4107</v>
      </c>
      <c r="E4155">
        <v>5</v>
      </c>
      <c r="AJ4155">
        <v>2</v>
      </c>
    </row>
    <row r="4156" spans="1:36">
      <c r="A4156" s="3" t="s">
        <v>4108</v>
      </c>
      <c r="E4156">
        <v>5</v>
      </c>
      <c r="AJ4156">
        <v>2</v>
      </c>
    </row>
    <row r="4157" spans="1:36">
      <c r="A4157" s="3" t="s">
        <v>4109</v>
      </c>
      <c r="E4157">
        <v>5</v>
      </c>
      <c r="AJ4157">
        <v>2</v>
      </c>
    </row>
    <row r="4158" spans="1:36">
      <c r="A4158" s="3" t="s">
        <v>4110</v>
      </c>
      <c r="E4158">
        <v>5</v>
      </c>
      <c r="AJ4158">
        <v>2</v>
      </c>
    </row>
    <row r="4159" spans="1:36">
      <c r="A4159" s="3" t="s">
        <v>4111</v>
      </c>
      <c r="E4159">
        <v>5</v>
      </c>
      <c r="AJ4159">
        <v>2</v>
      </c>
    </row>
    <row r="4160" spans="1:36">
      <c r="A4160" s="3" t="s">
        <v>4112</v>
      </c>
      <c r="E4160">
        <v>5</v>
      </c>
      <c r="AJ4160">
        <v>2</v>
      </c>
    </row>
    <row r="4161" spans="1:36">
      <c r="A4161" s="3" t="s">
        <v>4113</v>
      </c>
      <c r="E4161">
        <v>5</v>
      </c>
      <c r="AJ4161">
        <v>2</v>
      </c>
    </row>
    <row r="4162" spans="1:36">
      <c r="A4162" s="3" t="s">
        <v>4114</v>
      </c>
      <c r="E4162">
        <v>5</v>
      </c>
      <c r="AJ4162">
        <v>2</v>
      </c>
    </row>
    <row r="4163" spans="1:36">
      <c r="A4163" s="3" t="s">
        <v>4115</v>
      </c>
      <c r="E4163">
        <v>5</v>
      </c>
      <c r="AJ4163">
        <v>2</v>
      </c>
    </row>
    <row r="4164" spans="1:36">
      <c r="A4164" s="3" t="s">
        <v>4116</v>
      </c>
      <c r="E4164">
        <v>5</v>
      </c>
      <c r="AJ4164">
        <v>2</v>
      </c>
    </row>
    <row r="4165" spans="1:36">
      <c r="A4165" s="3" t="s">
        <v>4117</v>
      </c>
      <c r="E4165">
        <v>5</v>
      </c>
      <c r="AJ4165">
        <v>2</v>
      </c>
    </row>
    <row r="4166" spans="1:36">
      <c r="A4166" s="3" t="s">
        <v>4118</v>
      </c>
      <c r="E4166">
        <v>5</v>
      </c>
      <c r="AJ4166">
        <v>2</v>
      </c>
    </row>
    <row r="4167" spans="1:36">
      <c r="A4167" s="3" t="s">
        <v>4119</v>
      </c>
      <c r="E4167">
        <v>5</v>
      </c>
      <c r="AJ4167">
        <v>2</v>
      </c>
    </row>
    <row r="4168" spans="1:36">
      <c r="A4168" s="3" t="s">
        <v>4120</v>
      </c>
      <c r="E4168">
        <v>5</v>
      </c>
      <c r="AJ4168">
        <v>2</v>
      </c>
    </row>
    <row r="4169" spans="1:36">
      <c r="A4169" s="3" t="s">
        <v>4121</v>
      </c>
      <c r="E4169">
        <v>5</v>
      </c>
      <c r="AJ4169">
        <v>2</v>
      </c>
    </row>
    <row r="4170" spans="1:36">
      <c r="A4170" s="3" t="s">
        <v>4122</v>
      </c>
      <c r="E4170">
        <v>5</v>
      </c>
      <c r="AJ4170">
        <v>2</v>
      </c>
    </row>
    <row r="4171" spans="1:36">
      <c r="A4171" s="3" t="s">
        <v>4123</v>
      </c>
      <c r="E4171">
        <v>5</v>
      </c>
      <c r="AJ4171">
        <v>2</v>
      </c>
    </row>
    <row r="4172" spans="1:36">
      <c r="A4172" s="3" t="s">
        <v>4124</v>
      </c>
      <c r="E4172">
        <v>5</v>
      </c>
      <c r="AJ4172">
        <v>2</v>
      </c>
    </row>
    <row r="4173" spans="1:36">
      <c r="A4173" s="3" t="s">
        <v>4125</v>
      </c>
      <c r="E4173">
        <v>5</v>
      </c>
      <c r="AJ4173">
        <v>2</v>
      </c>
    </row>
    <row r="4174" spans="1:36">
      <c r="A4174" s="3" t="s">
        <v>4126</v>
      </c>
      <c r="E4174">
        <v>5</v>
      </c>
      <c r="AJ4174">
        <v>2</v>
      </c>
    </row>
    <row r="4175" spans="1:36">
      <c r="A4175" s="3" t="s">
        <v>4127</v>
      </c>
      <c r="E4175">
        <v>5</v>
      </c>
      <c r="AJ4175">
        <v>2</v>
      </c>
    </row>
    <row r="4176" spans="1:36">
      <c r="A4176" s="3" t="s">
        <v>4128</v>
      </c>
      <c r="E4176">
        <v>5</v>
      </c>
      <c r="AJ4176">
        <v>2</v>
      </c>
    </row>
    <row r="4177" spans="1:37">
      <c r="A4177" s="3" t="s">
        <v>4129</v>
      </c>
      <c r="E4177">
        <v>5</v>
      </c>
      <c r="AJ4177">
        <v>2</v>
      </c>
    </row>
    <row r="4178" spans="1:37">
      <c r="A4178" s="3" t="s">
        <v>4130</v>
      </c>
      <c r="E4178">
        <v>5</v>
      </c>
      <c r="AJ4178">
        <v>2</v>
      </c>
    </row>
    <row r="4179" spans="1:37">
      <c r="A4179" s="3" t="s">
        <v>4131</v>
      </c>
      <c r="E4179">
        <v>5</v>
      </c>
      <c r="AJ4179">
        <v>2</v>
      </c>
    </row>
    <row r="4180" spans="1:37">
      <c r="A4180" s="3" t="s">
        <v>4132</v>
      </c>
      <c r="E4180">
        <v>5</v>
      </c>
      <c r="AJ4180">
        <v>2</v>
      </c>
    </row>
    <row r="4181" spans="1:37">
      <c r="A4181" s="3" t="s">
        <v>4133</v>
      </c>
      <c r="E4181">
        <v>5</v>
      </c>
      <c r="AJ4181">
        <v>2</v>
      </c>
    </row>
    <row r="4182" spans="1:37">
      <c r="A4182" s="3" t="s">
        <v>4134</v>
      </c>
      <c r="E4182">
        <v>5</v>
      </c>
      <c r="AJ4182">
        <v>2</v>
      </c>
    </row>
    <row r="4183" spans="1:37">
      <c r="A4183" s="3" t="s">
        <v>4135</v>
      </c>
      <c r="E4183">
        <v>5</v>
      </c>
      <c r="AJ4183">
        <v>2</v>
      </c>
    </row>
    <row r="4184" spans="1:37">
      <c r="A4184" s="3" t="s">
        <v>4136</v>
      </c>
      <c r="E4184">
        <v>5</v>
      </c>
      <c r="AJ4184">
        <v>2</v>
      </c>
    </row>
    <row r="4185" spans="1:37">
      <c r="A4185" s="3" t="s">
        <v>4137</v>
      </c>
      <c r="E4185">
        <v>5</v>
      </c>
      <c r="AJ4185">
        <v>2</v>
      </c>
    </row>
    <row r="4186" spans="1:37">
      <c r="A4186" s="3" t="s">
        <v>4138</v>
      </c>
      <c r="E4186">
        <v>5</v>
      </c>
      <c r="AK4186">
        <v>1</v>
      </c>
    </row>
    <row r="4187" spans="1:37">
      <c r="A4187" s="3" t="s">
        <v>4139</v>
      </c>
      <c r="E4187">
        <v>5</v>
      </c>
      <c r="AK4187">
        <v>1</v>
      </c>
    </row>
    <row r="4188" spans="1:37">
      <c r="A4188" s="3" t="s">
        <v>4140</v>
      </c>
      <c r="E4188">
        <v>5</v>
      </c>
      <c r="AK4188">
        <v>1</v>
      </c>
    </row>
    <row r="4189" spans="1:37">
      <c r="A4189" s="3" t="s">
        <v>4141</v>
      </c>
      <c r="E4189">
        <v>5</v>
      </c>
      <c r="AK4189">
        <v>1</v>
      </c>
    </row>
    <row r="4190" spans="1:37">
      <c r="A4190" s="3" t="s">
        <v>4142</v>
      </c>
      <c r="E4190">
        <v>5</v>
      </c>
      <c r="AK4190">
        <v>1</v>
      </c>
    </row>
    <row r="4191" spans="1:37">
      <c r="A4191" s="3" t="s">
        <v>4143</v>
      </c>
      <c r="E4191">
        <v>5</v>
      </c>
      <c r="AK4191">
        <v>1</v>
      </c>
    </row>
    <row r="4192" spans="1:37">
      <c r="A4192" s="3" t="s">
        <v>4144</v>
      </c>
      <c r="E4192">
        <v>5</v>
      </c>
      <c r="AK4192">
        <v>1</v>
      </c>
    </row>
    <row r="4193" spans="1:37">
      <c r="A4193" s="3" t="s">
        <v>4145</v>
      </c>
      <c r="E4193">
        <v>5</v>
      </c>
      <c r="AK4193">
        <v>1</v>
      </c>
    </row>
    <row r="4194" spans="1:37">
      <c r="A4194" s="3" t="s">
        <v>4146</v>
      </c>
      <c r="E4194">
        <v>5</v>
      </c>
      <c r="AK4194">
        <v>1</v>
      </c>
    </row>
    <row r="4195" spans="1:37">
      <c r="A4195" s="3" t="s">
        <v>4147</v>
      </c>
      <c r="E4195">
        <v>5</v>
      </c>
      <c r="AK4195">
        <v>1</v>
      </c>
    </row>
    <row r="4196" spans="1:37">
      <c r="A4196" s="3" t="s">
        <v>4148</v>
      </c>
      <c r="E4196">
        <v>5</v>
      </c>
      <c r="AK4196">
        <v>1</v>
      </c>
    </row>
    <row r="4197" spans="1:37">
      <c r="A4197" s="3" t="s">
        <v>4149</v>
      </c>
      <c r="E4197">
        <v>5</v>
      </c>
      <c r="AK4197">
        <v>1</v>
      </c>
    </row>
    <row r="4198" spans="1:37">
      <c r="A4198" s="3" t="s">
        <v>4150</v>
      </c>
      <c r="E4198">
        <v>5</v>
      </c>
      <c r="AK4198">
        <v>1</v>
      </c>
    </row>
    <row r="4199" spans="1:37">
      <c r="A4199" s="3" t="s">
        <v>4151</v>
      </c>
      <c r="E4199">
        <v>5</v>
      </c>
      <c r="AK4199">
        <v>1</v>
      </c>
    </row>
    <row r="4200" spans="1:37">
      <c r="A4200" s="3" t="s">
        <v>4152</v>
      </c>
      <c r="E4200">
        <v>5</v>
      </c>
      <c r="AK4200">
        <v>1</v>
      </c>
    </row>
    <row r="4201" spans="1:37">
      <c r="A4201" s="3" t="s">
        <v>4153</v>
      </c>
      <c r="E4201">
        <v>5</v>
      </c>
      <c r="AK4201">
        <v>1</v>
      </c>
    </row>
    <row r="4202" spans="1:37">
      <c r="A4202" s="3" t="s">
        <v>4154</v>
      </c>
      <c r="E4202">
        <v>5</v>
      </c>
      <c r="AK4202">
        <v>1</v>
      </c>
    </row>
    <row r="4203" spans="1:37">
      <c r="A4203" s="3" t="s">
        <v>4155</v>
      </c>
      <c r="E4203">
        <v>5</v>
      </c>
      <c r="AK4203">
        <v>1</v>
      </c>
    </row>
    <row r="4204" spans="1:37">
      <c r="A4204" s="3" t="s">
        <v>4156</v>
      </c>
      <c r="E4204">
        <v>5</v>
      </c>
      <c r="AK4204">
        <v>1</v>
      </c>
    </row>
    <row r="4205" spans="1:37">
      <c r="A4205" s="3" t="s">
        <v>4157</v>
      </c>
      <c r="E4205">
        <v>5</v>
      </c>
      <c r="AK4205">
        <v>1</v>
      </c>
    </row>
    <row r="4206" spans="1:37">
      <c r="A4206" s="3" t="s">
        <v>4158</v>
      </c>
      <c r="E4206">
        <v>5</v>
      </c>
      <c r="AK4206">
        <v>1</v>
      </c>
    </row>
    <row r="4207" spans="1:37">
      <c r="A4207" s="3" t="s">
        <v>4159</v>
      </c>
      <c r="E4207">
        <v>5</v>
      </c>
      <c r="AK4207">
        <v>1</v>
      </c>
    </row>
    <row r="4208" spans="1:37">
      <c r="A4208" s="3" t="s">
        <v>4160</v>
      </c>
      <c r="E4208">
        <v>5</v>
      </c>
      <c r="AK4208">
        <v>1</v>
      </c>
    </row>
    <row r="4209" spans="1:37">
      <c r="A4209" s="3" t="s">
        <v>4161</v>
      </c>
      <c r="E4209">
        <v>5</v>
      </c>
      <c r="AK4209">
        <v>1</v>
      </c>
    </row>
    <row r="4210" spans="1:37">
      <c r="A4210" s="3" t="s">
        <v>4162</v>
      </c>
      <c r="E4210">
        <v>5</v>
      </c>
      <c r="AK4210">
        <v>1</v>
      </c>
    </row>
    <row r="4211" spans="1:37">
      <c r="A4211" s="3" t="s">
        <v>4163</v>
      </c>
      <c r="E4211">
        <v>5</v>
      </c>
      <c r="AK4211">
        <v>1</v>
      </c>
    </row>
    <row r="4212" spans="1:37">
      <c r="A4212" s="3" t="s">
        <v>4164</v>
      </c>
      <c r="E4212">
        <v>5</v>
      </c>
      <c r="AK4212">
        <v>1</v>
      </c>
    </row>
    <row r="4213" spans="1:37">
      <c r="A4213" s="3" t="s">
        <v>4165</v>
      </c>
      <c r="E4213">
        <v>5</v>
      </c>
      <c r="AK4213">
        <v>1</v>
      </c>
    </row>
    <row r="4214" spans="1:37">
      <c r="A4214" s="3" t="s">
        <v>4166</v>
      </c>
      <c r="E4214">
        <v>5</v>
      </c>
      <c r="AK4214">
        <v>1</v>
      </c>
    </row>
    <row r="4215" spans="1:37">
      <c r="A4215" s="3" t="s">
        <v>4167</v>
      </c>
      <c r="E4215">
        <v>5</v>
      </c>
      <c r="AK4215">
        <v>1</v>
      </c>
    </row>
    <row r="4216" spans="1:37">
      <c r="A4216" s="3" t="s">
        <v>4168</v>
      </c>
      <c r="E4216">
        <v>5</v>
      </c>
      <c r="AK4216">
        <v>1</v>
      </c>
    </row>
    <row r="4217" spans="1:37">
      <c r="A4217" s="3" t="s">
        <v>4169</v>
      </c>
      <c r="E4217">
        <v>5</v>
      </c>
      <c r="AK4217">
        <v>1</v>
      </c>
    </row>
    <row r="4218" spans="1:37">
      <c r="A4218" s="3" t="s">
        <v>4170</v>
      </c>
      <c r="E4218">
        <v>5</v>
      </c>
      <c r="AK4218">
        <v>1</v>
      </c>
    </row>
    <row r="4219" spans="1:37">
      <c r="A4219" s="3" t="s">
        <v>4171</v>
      </c>
      <c r="E4219">
        <v>5</v>
      </c>
      <c r="AK4219">
        <v>1</v>
      </c>
    </row>
    <row r="4220" spans="1:37">
      <c r="A4220" s="3" t="s">
        <v>4172</v>
      </c>
      <c r="E4220">
        <v>5</v>
      </c>
      <c r="AK4220">
        <v>1</v>
      </c>
    </row>
    <row r="4221" spans="1:37">
      <c r="A4221" s="3" t="s">
        <v>4173</v>
      </c>
      <c r="E4221">
        <v>5</v>
      </c>
      <c r="AK4221">
        <v>1</v>
      </c>
    </row>
    <row r="4222" spans="1:37">
      <c r="A4222" s="3" t="s">
        <v>4174</v>
      </c>
      <c r="E4222">
        <v>5</v>
      </c>
      <c r="AK4222">
        <v>1</v>
      </c>
    </row>
    <row r="4223" spans="1:37">
      <c r="A4223" s="3" t="s">
        <v>4175</v>
      </c>
      <c r="E4223">
        <v>5</v>
      </c>
      <c r="AK4223">
        <v>1</v>
      </c>
    </row>
    <row r="4224" spans="1:37">
      <c r="A4224" s="3" t="s">
        <v>4176</v>
      </c>
      <c r="E4224">
        <v>5</v>
      </c>
      <c r="AK4224">
        <v>1</v>
      </c>
    </row>
    <row r="4225" spans="1:37">
      <c r="A4225" s="3" t="s">
        <v>4177</v>
      </c>
      <c r="E4225">
        <v>5</v>
      </c>
      <c r="AK4225">
        <v>1</v>
      </c>
    </row>
    <row r="4226" spans="1:37">
      <c r="A4226" s="3" t="s">
        <v>4178</v>
      </c>
      <c r="E4226">
        <v>5</v>
      </c>
      <c r="AK4226">
        <v>1</v>
      </c>
    </row>
    <row r="4227" spans="1:37">
      <c r="A4227" s="3" t="s">
        <v>4179</v>
      </c>
      <c r="E4227">
        <v>5</v>
      </c>
      <c r="AK4227">
        <v>1</v>
      </c>
    </row>
    <row r="4228" spans="1:37">
      <c r="A4228" s="3" t="s">
        <v>4180</v>
      </c>
      <c r="E4228">
        <v>5</v>
      </c>
      <c r="AK4228">
        <v>1</v>
      </c>
    </row>
    <row r="4229" spans="1:37">
      <c r="A4229" s="3" t="s">
        <v>4181</v>
      </c>
      <c r="E4229">
        <v>5</v>
      </c>
      <c r="AK4229">
        <v>1</v>
      </c>
    </row>
    <row r="4230" spans="1:37">
      <c r="A4230" s="3" t="s">
        <v>4182</v>
      </c>
      <c r="E4230">
        <v>5</v>
      </c>
      <c r="AK4230">
        <v>1</v>
      </c>
    </row>
    <row r="4231" spans="1:37">
      <c r="A4231" s="3" t="s">
        <v>4183</v>
      </c>
      <c r="E4231">
        <v>5</v>
      </c>
      <c r="AK4231">
        <v>1</v>
      </c>
    </row>
    <row r="4232" spans="1:37">
      <c r="A4232" s="3" t="s">
        <v>4184</v>
      </c>
      <c r="E4232">
        <v>5</v>
      </c>
      <c r="AK4232">
        <v>1</v>
      </c>
    </row>
    <row r="4233" spans="1:37">
      <c r="A4233" s="3" t="s">
        <v>4185</v>
      </c>
      <c r="E4233">
        <v>5</v>
      </c>
      <c r="AK4233">
        <v>1</v>
      </c>
    </row>
    <row r="4234" spans="1:37">
      <c r="A4234" s="3" t="s">
        <v>4186</v>
      </c>
      <c r="E4234">
        <v>5</v>
      </c>
      <c r="AK4234">
        <v>1</v>
      </c>
    </row>
    <row r="4235" spans="1:37">
      <c r="A4235" s="3" t="s">
        <v>4187</v>
      </c>
      <c r="E4235">
        <v>5</v>
      </c>
      <c r="AK4235">
        <v>1</v>
      </c>
    </row>
    <row r="4236" spans="1:37">
      <c r="A4236" s="3" t="s">
        <v>4188</v>
      </c>
      <c r="E4236">
        <v>5</v>
      </c>
      <c r="AK4236">
        <v>1</v>
      </c>
    </row>
    <row r="4237" spans="1:37">
      <c r="A4237" s="3" t="s">
        <v>4189</v>
      </c>
      <c r="E4237">
        <v>5</v>
      </c>
      <c r="AK4237">
        <v>1</v>
      </c>
    </row>
    <row r="4238" spans="1:37">
      <c r="A4238" s="3" t="s">
        <v>4190</v>
      </c>
      <c r="E4238">
        <v>5</v>
      </c>
      <c r="AK4238">
        <v>1</v>
      </c>
    </row>
    <row r="4239" spans="1:37">
      <c r="A4239" s="3" t="s">
        <v>4191</v>
      </c>
      <c r="E4239">
        <v>5</v>
      </c>
      <c r="AK4239">
        <v>1</v>
      </c>
    </row>
    <row r="4240" spans="1:37">
      <c r="A4240" s="3" t="s">
        <v>4192</v>
      </c>
      <c r="E4240">
        <v>5</v>
      </c>
      <c r="AK4240">
        <v>1</v>
      </c>
    </row>
    <row r="4241" spans="1:37">
      <c r="A4241" s="3" t="s">
        <v>4193</v>
      </c>
      <c r="E4241">
        <v>5</v>
      </c>
      <c r="AK4241">
        <v>1</v>
      </c>
    </row>
    <row r="4242" spans="1:37">
      <c r="A4242" s="3" t="s">
        <v>4194</v>
      </c>
      <c r="E4242">
        <v>5</v>
      </c>
      <c r="AK4242">
        <v>1</v>
      </c>
    </row>
    <row r="4243" spans="1:37">
      <c r="A4243" s="3" t="s">
        <v>4195</v>
      </c>
      <c r="E4243">
        <v>5</v>
      </c>
      <c r="AK4243">
        <v>1</v>
      </c>
    </row>
    <row r="4244" spans="1:37">
      <c r="A4244" s="3" t="s">
        <v>4196</v>
      </c>
      <c r="E4244">
        <v>5</v>
      </c>
      <c r="AK4244">
        <v>1</v>
      </c>
    </row>
    <row r="4245" spans="1:37">
      <c r="A4245" s="3" t="s">
        <v>4197</v>
      </c>
      <c r="E4245">
        <v>5</v>
      </c>
      <c r="AK4245">
        <v>1</v>
      </c>
    </row>
    <row r="4246" spans="1:37">
      <c r="A4246" s="3" t="s">
        <v>4198</v>
      </c>
      <c r="E4246">
        <v>5</v>
      </c>
      <c r="AK4246">
        <v>1</v>
      </c>
    </row>
    <row r="4247" spans="1:37">
      <c r="A4247" s="3" t="s">
        <v>4199</v>
      </c>
      <c r="E4247">
        <v>5</v>
      </c>
      <c r="AK4247">
        <v>1</v>
      </c>
    </row>
    <row r="4248" spans="1:37">
      <c r="A4248" s="3" t="s">
        <v>4200</v>
      </c>
      <c r="E4248">
        <v>5</v>
      </c>
      <c r="AK4248">
        <v>1</v>
      </c>
    </row>
    <row r="4249" spans="1:37">
      <c r="A4249" s="3" t="s">
        <v>4201</v>
      </c>
      <c r="E4249">
        <v>5</v>
      </c>
      <c r="AK4249">
        <v>1</v>
      </c>
    </row>
    <row r="4250" spans="1:37">
      <c r="A4250" s="3" t="s">
        <v>4202</v>
      </c>
      <c r="E4250">
        <v>5</v>
      </c>
      <c r="AK4250">
        <v>1</v>
      </c>
    </row>
    <row r="4251" spans="1:37">
      <c r="A4251" s="3" t="s">
        <v>4203</v>
      </c>
      <c r="E4251">
        <v>5</v>
      </c>
      <c r="AK4251">
        <v>1</v>
      </c>
    </row>
    <row r="4252" spans="1:37">
      <c r="A4252" s="3" t="s">
        <v>4204</v>
      </c>
      <c r="E4252">
        <v>5</v>
      </c>
      <c r="AK4252">
        <v>1</v>
      </c>
    </row>
    <row r="4253" spans="1:37">
      <c r="A4253" s="3" t="s">
        <v>4205</v>
      </c>
      <c r="E4253">
        <v>5</v>
      </c>
      <c r="AK4253">
        <v>1</v>
      </c>
    </row>
    <row r="4254" spans="1:37">
      <c r="A4254" s="3" t="s">
        <v>4206</v>
      </c>
      <c r="E4254">
        <v>5</v>
      </c>
      <c r="AK4254">
        <v>1</v>
      </c>
    </row>
    <row r="4255" spans="1:37">
      <c r="A4255" s="3" t="s">
        <v>4207</v>
      </c>
      <c r="E4255">
        <v>5</v>
      </c>
      <c r="AK4255">
        <v>1</v>
      </c>
    </row>
    <row r="4256" spans="1:37">
      <c r="A4256" s="3" t="s">
        <v>4208</v>
      </c>
      <c r="E4256">
        <v>5</v>
      </c>
      <c r="AK4256">
        <v>1</v>
      </c>
    </row>
    <row r="4257" spans="1:37">
      <c r="A4257" s="3" t="s">
        <v>4209</v>
      </c>
      <c r="E4257">
        <v>5</v>
      </c>
      <c r="AK4257">
        <v>1</v>
      </c>
    </row>
    <row r="4258" spans="1:37">
      <c r="A4258" s="3" t="s">
        <v>4210</v>
      </c>
      <c r="E4258">
        <v>5</v>
      </c>
      <c r="AK4258">
        <v>1</v>
      </c>
    </row>
    <row r="4259" spans="1:37">
      <c r="A4259" s="3" t="s">
        <v>4211</v>
      </c>
      <c r="E4259">
        <v>5</v>
      </c>
      <c r="AK4259">
        <v>1</v>
      </c>
    </row>
    <row r="4260" spans="1:37">
      <c r="A4260" s="3" t="s">
        <v>4212</v>
      </c>
      <c r="E4260">
        <v>5</v>
      </c>
      <c r="AK4260">
        <v>1</v>
      </c>
    </row>
    <row r="4261" spans="1:37">
      <c r="A4261" s="3" t="s">
        <v>4213</v>
      </c>
      <c r="E4261">
        <v>5</v>
      </c>
      <c r="AK4261">
        <v>1</v>
      </c>
    </row>
    <row r="4262" spans="1:37">
      <c r="A4262" s="3" t="s">
        <v>4214</v>
      </c>
      <c r="E4262">
        <v>5</v>
      </c>
      <c r="AK4262">
        <v>1</v>
      </c>
    </row>
    <row r="4263" spans="1:37">
      <c r="A4263" s="3" t="s">
        <v>4215</v>
      </c>
      <c r="E4263">
        <v>5</v>
      </c>
      <c r="AK4263">
        <v>1</v>
      </c>
    </row>
    <row r="4264" spans="1:37">
      <c r="A4264" s="3" t="s">
        <v>4216</v>
      </c>
      <c r="E4264">
        <v>5</v>
      </c>
      <c r="AK4264">
        <v>1</v>
      </c>
    </row>
    <row r="4265" spans="1:37">
      <c r="A4265" s="3" t="s">
        <v>4217</v>
      </c>
      <c r="E4265">
        <v>5</v>
      </c>
      <c r="AK4265">
        <v>1</v>
      </c>
    </row>
    <row r="4266" spans="1:37">
      <c r="A4266" s="3" t="s">
        <v>4218</v>
      </c>
      <c r="E4266">
        <v>5</v>
      </c>
      <c r="AK4266">
        <v>1</v>
      </c>
    </row>
    <row r="4267" spans="1:37">
      <c r="A4267" s="3" t="s">
        <v>4219</v>
      </c>
      <c r="E4267">
        <v>5</v>
      </c>
      <c r="AK4267">
        <v>1</v>
      </c>
    </row>
    <row r="4268" spans="1:37">
      <c r="A4268" s="3" t="s">
        <v>4220</v>
      </c>
      <c r="E4268">
        <v>5</v>
      </c>
      <c r="AK4268">
        <v>1</v>
      </c>
    </row>
    <row r="4269" spans="1:37">
      <c r="A4269" s="3" t="s">
        <v>4221</v>
      </c>
      <c r="E4269">
        <v>5</v>
      </c>
      <c r="AK4269">
        <v>1</v>
      </c>
    </row>
    <row r="4270" spans="1:37">
      <c r="A4270" s="3" t="s">
        <v>4222</v>
      </c>
      <c r="E4270">
        <v>5</v>
      </c>
      <c r="AK4270">
        <v>1</v>
      </c>
    </row>
    <row r="4271" spans="1:37">
      <c r="A4271" s="3" t="s">
        <v>4223</v>
      </c>
      <c r="E4271">
        <v>5</v>
      </c>
      <c r="AK4271">
        <v>1</v>
      </c>
    </row>
    <row r="4272" spans="1:37">
      <c r="A4272" s="3" t="s">
        <v>4224</v>
      </c>
      <c r="E4272">
        <v>5</v>
      </c>
      <c r="AK4272">
        <v>1</v>
      </c>
    </row>
    <row r="4273" spans="1:37">
      <c r="A4273" s="3" t="s">
        <v>4225</v>
      </c>
      <c r="E4273">
        <v>5</v>
      </c>
      <c r="AK4273">
        <v>1</v>
      </c>
    </row>
    <row r="4274" spans="1:37">
      <c r="A4274" s="3" t="s">
        <v>4226</v>
      </c>
      <c r="E4274">
        <v>5</v>
      </c>
      <c r="AK4274">
        <v>1</v>
      </c>
    </row>
    <row r="4275" spans="1:37">
      <c r="A4275" s="3" t="s">
        <v>4227</v>
      </c>
      <c r="E4275">
        <v>5</v>
      </c>
      <c r="AK4275">
        <v>1</v>
      </c>
    </row>
    <row r="4276" spans="1:37">
      <c r="A4276" s="3" t="s">
        <v>4228</v>
      </c>
      <c r="E4276">
        <v>5</v>
      </c>
      <c r="AK4276">
        <v>1</v>
      </c>
    </row>
    <row r="4277" spans="1:37">
      <c r="A4277" s="3" t="s">
        <v>4229</v>
      </c>
      <c r="E4277">
        <v>5</v>
      </c>
      <c r="AK4277">
        <v>1</v>
      </c>
    </row>
    <row r="4278" spans="1:37">
      <c r="A4278" s="3" t="s">
        <v>4230</v>
      </c>
      <c r="E4278">
        <v>5</v>
      </c>
      <c r="AK4278">
        <v>1</v>
      </c>
    </row>
    <row r="4279" spans="1:37">
      <c r="A4279" s="3" t="s">
        <v>4231</v>
      </c>
      <c r="E4279">
        <v>5</v>
      </c>
      <c r="AK4279">
        <v>1</v>
      </c>
    </row>
    <row r="4280" spans="1:37">
      <c r="A4280" s="3" t="s">
        <v>4232</v>
      </c>
      <c r="E4280">
        <v>5</v>
      </c>
      <c r="AK4280">
        <v>1</v>
      </c>
    </row>
    <row r="4281" spans="1:37">
      <c r="A4281" s="3" t="s">
        <v>4233</v>
      </c>
      <c r="E4281">
        <v>5</v>
      </c>
      <c r="AK4281">
        <v>1</v>
      </c>
    </row>
    <row r="4282" spans="1:37">
      <c r="A4282" s="3" t="s">
        <v>4234</v>
      </c>
      <c r="E4282">
        <v>5</v>
      </c>
      <c r="AK4282">
        <v>1</v>
      </c>
    </row>
    <row r="4283" spans="1:37">
      <c r="A4283" s="3" t="s">
        <v>4235</v>
      </c>
      <c r="E4283">
        <v>5</v>
      </c>
      <c r="AK4283">
        <v>1</v>
      </c>
    </row>
    <row r="4284" spans="1:37">
      <c r="A4284" s="3" t="s">
        <v>4236</v>
      </c>
      <c r="E4284">
        <v>5</v>
      </c>
      <c r="AK4284">
        <v>1</v>
      </c>
    </row>
    <row r="4285" spans="1:37">
      <c r="A4285" s="3" t="s">
        <v>4237</v>
      </c>
      <c r="E4285">
        <v>5</v>
      </c>
      <c r="AK4285">
        <v>1</v>
      </c>
    </row>
    <row r="4286" spans="1:37">
      <c r="A4286" s="3" t="s">
        <v>4238</v>
      </c>
      <c r="E4286">
        <v>5</v>
      </c>
      <c r="AK4286">
        <v>1</v>
      </c>
    </row>
    <row r="4287" spans="1:37">
      <c r="A4287" s="3" t="s">
        <v>4239</v>
      </c>
      <c r="E4287">
        <v>5</v>
      </c>
      <c r="AK4287">
        <v>1</v>
      </c>
    </row>
    <row r="4288" spans="1:37">
      <c r="A4288" s="3" t="s">
        <v>4240</v>
      </c>
      <c r="E4288">
        <v>5</v>
      </c>
      <c r="AK4288">
        <v>1</v>
      </c>
    </row>
    <row r="4289" spans="1:37">
      <c r="A4289" s="3" t="s">
        <v>4241</v>
      </c>
      <c r="E4289">
        <v>5</v>
      </c>
      <c r="AK4289">
        <v>1</v>
      </c>
    </row>
    <row r="4290" spans="1:37">
      <c r="A4290" s="3" t="s">
        <v>4242</v>
      </c>
      <c r="E4290">
        <v>5</v>
      </c>
      <c r="AK4290">
        <v>1</v>
      </c>
    </row>
    <row r="4291" spans="1:37">
      <c r="A4291" s="3" t="s">
        <v>4243</v>
      </c>
      <c r="E4291">
        <v>5</v>
      </c>
      <c r="AK4291">
        <v>1</v>
      </c>
    </row>
    <row r="4292" spans="1:37">
      <c r="A4292" s="3" t="s">
        <v>4244</v>
      </c>
      <c r="E4292">
        <v>5</v>
      </c>
      <c r="AK4292">
        <v>1</v>
      </c>
    </row>
    <row r="4293" spans="1:37">
      <c r="A4293" s="3" t="s">
        <v>4245</v>
      </c>
      <c r="E4293">
        <v>5</v>
      </c>
      <c r="AK4293">
        <v>1</v>
      </c>
    </row>
    <row r="4294" spans="1:37">
      <c r="A4294" s="3" t="s">
        <v>4246</v>
      </c>
      <c r="E4294">
        <v>5</v>
      </c>
      <c r="AK4294">
        <v>1</v>
      </c>
    </row>
    <row r="4295" spans="1:37">
      <c r="A4295" s="3" t="s">
        <v>4247</v>
      </c>
      <c r="E4295">
        <v>5</v>
      </c>
      <c r="AK4295">
        <v>1</v>
      </c>
    </row>
    <row r="4296" spans="1:37">
      <c r="A4296" s="3" t="s">
        <v>4248</v>
      </c>
      <c r="E4296">
        <v>5</v>
      </c>
      <c r="AK4296">
        <v>1</v>
      </c>
    </row>
    <row r="4297" spans="1:37">
      <c r="A4297" s="3" t="s">
        <v>4249</v>
      </c>
      <c r="E4297">
        <v>5</v>
      </c>
      <c r="AK4297">
        <v>1</v>
      </c>
    </row>
    <row r="4298" spans="1:37">
      <c r="A4298" s="3" t="s">
        <v>4250</v>
      </c>
      <c r="E4298">
        <v>5</v>
      </c>
      <c r="AK4298">
        <v>1</v>
      </c>
    </row>
    <row r="4299" spans="1:37">
      <c r="A4299" s="3" t="s">
        <v>4251</v>
      </c>
      <c r="E4299">
        <v>5</v>
      </c>
      <c r="AK4299">
        <v>1</v>
      </c>
    </row>
    <row r="4300" spans="1:37">
      <c r="A4300" s="3" t="s">
        <v>4252</v>
      </c>
      <c r="E4300">
        <v>5</v>
      </c>
      <c r="AK4300">
        <v>1</v>
      </c>
    </row>
    <row r="4301" spans="1:37">
      <c r="A4301" s="3" t="s">
        <v>4253</v>
      </c>
      <c r="E4301">
        <v>5</v>
      </c>
      <c r="AK4301">
        <v>1</v>
      </c>
    </row>
    <row r="4302" spans="1:37">
      <c r="A4302" s="3" t="s">
        <v>4254</v>
      </c>
      <c r="E4302">
        <v>5</v>
      </c>
      <c r="AK4302">
        <v>1</v>
      </c>
    </row>
    <row r="4303" spans="1:37">
      <c r="A4303" s="3" t="s">
        <v>4255</v>
      </c>
      <c r="E4303">
        <v>5</v>
      </c>
      <c r="AK4303">
        <v>1</v>
      </c>
    </row>
    <row r="4304" spans="1:37">
      <c r="A4304" s="3" t="s">
        <v>4256</v>
      </c>
      <c r="E4304">
        <v>5</v>
      </c>
      <c r="AK4304">
        <v>1</v>
      </c>
    </row>
    <row r="4305" spans="1:37">
      <c r="A4305" s="3" t="s">
        <v>4257</v>
      </c>
      <c r="E4305">
        <v>5</v>
      </c>
      <c r="AK4305">
        <v>1</v>
      </c>
    </row>
    <row r="4306" spans="1:37">
      <c r="A4306" s="3" t="s">
        <v>4258</v>
      </c>
      <c r="E4306">
        <v>5</v>
      </c>
      <c r="AK4306">
        <v>1</v>
      </c>
    </row>
    <row r="4307" spans="1:37">
      <c r="A4307" s="3" t="s">
        <v>4259</v>
      </c>
      <c r="E4307">
        <v>5</v>
      </c>
      <c r="AK4307">
        <v>1</v>
      </c>
    </row>
    <row r="4308" spans="1:37">
      <c r="A4308" s="3" t="s">
        <v>4260</v>
      </c>
      <c r="E4308">
        <v>5</v>
      </c>
      <c r="AK4308">
        <v>1</v>
      </c>
    </row>
    <row r="4309" spans="1:37">
      <c r="A4309" s="3" t="s">
        <v>4261</v>
      </c>
      <c r="E4309">
        <v>5</v>
      </c>
      <c r="AK4309">
        <v>1</v>
      </c>
    </row>
    <row r="4310" spans="1:37">
      <c r="A4310" s="3" t="s">
        <v>4262</v>
      </c>
      <c r="E4310">
        <v>5</v>
      </c>
      <c r="AK4310">
        <v>1</v>
      </c>
    </row>
    <row r="4311" spans="1:37">
      <c r="A4311" s="3" t="s">
        <v>4263</v>
      </c>
      <c r="E4311">
        <v>5</v>
      </c>
      <c r="AK4311">
        <v>1</v>
      </c>
    </row>
    <row r="4312" spans="1:37">
      <c r="A4312" s="3" t="s">
        <v>4264</v>
      </c>
      <c r="E4312">
        <v>5</v>
      </c>
      <c r="AK4312">
        <v>1</v>
      </c>
    </row>
    <row r="4313" spans="1:37">
      <c r="A4313" s="3" t="s">
        <v>4265</v>
      </c>
      <c r="E4313">
        <v>5</v>
      </c>
      <c r="AK4313">
        <v>1</v>
      </c>
    </row>
    <row r="4314" spans="1:37">
      <c r="A4314" s="3" t="s">
        <v>4266</v>
      </c>
      <c r="E4314">
        <v>5</v>
      </c>
      <c r="AK4314">
        <v>1</v>
      </c>
    </row>
    <row r="4315" spans="1:37">
      <c r="A4315" s="3" t="s">
        <v>4267</v>
      </c>
      <c r="E4315">
        <v>5</v>
      </c>
      <c r="AK4315">
        <v>1</v>
      </c>
    </row>
    <row r="4316" spans="1:37">
      <c r="A4316" s="3" t="s">
        <v>4268</v>
      </c>
      <c r="E4316">
        <v>5</v>
      </c>
      <c r="AK4316">
        <v>1</v>
      </c>
    </row>
    <row r="4317" spans="1:37">
      <c r="A4317" s="3" t="s">
        <v>4269</v>
      </c>
      <c r="E4317">
        <v>5</v>
      </c>
      <c r="AK4317">
        <v>1</v>
      </c>
    </row>
    <row r="4318" spans="1:37">
      <c r="A4318" s="3" t="s">
        <v>4270</v>
      </c>
      <c r="E4318">
        <v>5</v>
      </c>
      <c r="AK4318">
        <v>1</v>
      </c>
    </row>
    <row r="4319" spans="1:37">
      <c r="A4319" s="3" t="s">
        <v>4271</v>
      </c>
      <c r="E4319">
        <v>5</v>
      </c>
      <c r="AK4319">
        <v>1</v>
      </c>
    </row>
    <row r="4320" spans="1:37">
      <c r="A4320" s="3" t="s">
        <v>4272</v>
      </c>
      <c r="E4320">
        <v>5</v>
      </c>
      <c r="AK4320">
        <v>1</v>
      </c>
    </row>
    <row r="4321" spans="1:37">
      <c r="A4321" s="3" t="s">
        <v>4273</v>
      </c>
      <c r="E4321">
        <v>5</v>
      </c>
      <c r="AK4321">
        <v>1</v>
      </c>
    </row>
    <row r="4322" spans="1:37">
      <c r="A4322" s="3" t="s">
        <v>4274</v>
      </c>
      <c r="E4322">
        <v>5</v>
      </c>
      <c r="AK4322">
        <v>1</v>
      </c>
    </row>
    <row r="4323" spans="1:37">
      <c r="A4323" s="3" t="s">
        <v>4275</v>
      </c>
      <c r="E4323">
        <v>5</v>
      </c>
      <c r="AK4323">
        <v>1</v>
      </c>
    </row>
    <row r="4324" spans="1:37">
      <c r="A4324" s="3" t="s">
        <v>4276</v>
      </c>
      <c r="E4324">
        <v>5</v>
      </c>
      <c r="AK4324">
        <v>1</v>
      </c>
    </row>
    <row r="4325" spans="1:37">
      <c r="A4325" s="3" t="s">
        <v>4277</v>
      </c>
      <c r="E4325">
        <v>5</v>
      </c>
      <c r="AK4325">
        <v>1</v>
      </c>
    </row>
    <row r="4326" spans="1:37">
      <c r="A4326" s="3" t="s">
        <v>4278</v>
      </c>
      <c r="E4326">
        <v>5</v>
      </c>
      <c r="AK4326">
        <v>1</v>
      </c>
    </row>
    <row r="4327" spans="1:37">
      <c r="A4327" s="3" t="s">
        <v>4279</v>
      </c>
      <c r="E4327">
        <v>5</v>
      </c>
      <c r="AK4327">
        <v>1</v>
      </c>
    </row>
    <row r="4328" spans="1:37">
      <c r="A4328" s="3" t="s">
        <v>4280</v>
      </c>
      <c r="E4328">
        <v>5</v>
      </c>
      <c r="AK4328">
        <v>1</v>
      </c>
    </row>
    <row r="4329" spans="1:37">
      <c r="A4329" s="3" t="s">
        <v>4281</v>
      </c>
      <c r="E4329">
        <v>5</v>
      </c>
      <c r="AK4329">
        <v>1</v>
      </c>
    </row>
    <row r="4330" spans="1:37">
      <c r="A4330" s="3" t="s">
        <v>4282</v>
      </c>
      <c r="E4330">
        <v>5</v>
      </c>
      <c r="AK4330">
        <v>1</v>
      </c>
    </row>
    <row r="4331" spans="1:37">
      <c r="A4331" s="3" t="s">
        <v>4283</v>
      </c>
      <c r="E4331">
        <v>5</v>
      </c>
      <c r="AK4331">
        <v>1</v>
      </c>
    </row>
    <row r="4332" spans="1:37">
      <c r="A4332" s="3" t="s">
        <v>4284</v>
      </c>
      <c r="E4332">
        <v>5</v>
      </c>
      <c r="AK4332">
        <v>1</v>
      </c>
    </row>
    <row r="4333" spans="1:37">
      <c r="A4333" s="3" t="s">
        <v>4285</v>
      </c>
      <c r="E4333">
        <v>5</v>
      </c>
      <c r="AK4333">
        <v>1</v>
      </c>
    </row>
    <row r="4334" spans="1:37">
      <c r="A4334" s="3" t="s">
        <v>4286</v>
      </c>
      <c r="E4334">
        <v>5</v>
      </c>
      <c r="AK4334">
        <v>1</v>
      </c>
    </row>
    <row r="4335" spans="1:37">
      <c r="A4335" s="3" t="s">
        <v>4287</v>
      </c>
      <c r="E4335">
        <v>5</v>
      </c>
      <c r="AK4335">
        <v>1</v>
      </c>
    </row>
    <row r="4336" spans="1:37">
      <c r="A4336" s="3" t="s">
        <v>4288</v>
      </c>
      <c r="E4336">
        <v>5</v>
      </c>
      <c r="AK4336">
        <v>1</v>
      </c>
    </row>
    <row r="4337" spans="1:37">
      <c r="A4337" s="3" t="s">
        <v>4289</v>
      </c>
      <c r="E4337">
        <v>5</v>
      </c>
      <c r="AK4337">
        <v>1</v>
      </c>
    </row>
    <row r="4338" spans="1:37">
      <c r="A4338" s="3" t="s">
        <v>4290</v>
      </c>
      <c r="E4338">
        <v>5</v>
      </c>
      <c r="AK4338">
        <v>1</v>
      </c>
    </row>
    <row r="4339" spans="1:37">
      <c r="A4339" s="3" t="s">
        <v>4291</v>
      </c>
      <c r="E4339">
        <v>5</v>
      </c>
      <c r="AK4339">
        <v>1</v>
      </c>
    </row>
    <row r="4340" spans="1:37">
      <c r="A4340" s="3" t="s">
        <v>4292</v>
      </c>
      <c r="E4340">
        <v>5</v>
      </c>
      <c r="AK4340">
        <v>1</v>
      </c>
    </row>
    <row r="4341" spans="1:37">
      <c r="A4341" s="3" t="s">
        <v>4293</v>
      </c>
      <c r="E4341">
        <v>5</v>
      </c>
      <c r="AK4341">
        <v>1</v>
      </c>
    </row>
    <row r="4342" spans="1:37">
      <c r="A4342" s="3" t="s">
        <v>4294</v>
      </c>
      <c r="E4342">
        <v>5</v>
      </c>
      <c r="AK4342">
        <v>1</v>
      </c>
    </row>
    <row r="4343" spans="1:37">
      <c r="A4343" s="3" t="s">
        <v>4295</v>
      </c>
      <c r="E4343">
        <v>5</v>
      </c>
      <c r="AK4343">
        <v>1</v>
      </c>
    </row>
    <row r="4344" spans="1:37">
      <c r="A4344" s="3" t="s">
        <v>4296</v>
      </c>
      <c r="E4344">
        <v>5</v>
      </c>
      <c r="AK4344">
        <v>1</v>
      </c>
    </row>
    <row r="4345" spans="1:37">
      <c r="A4345" s="3" t="s">
        <v>4297</v>
      </c>
      <c r="E4345">
        <v>5</v>
      </c>
      <c r="AK4345">
        <v>1</v>
      </c>
    </row>
    <row r="4346" spans="1:37">
      <c r="A4346" s="3" t="s">
        <v>4298</v>
      </c>
      <c r="E4346">
        <v>5</v>
      </c>
      <c r="AK4346">
        <v>1</v>
      </c>
    </row>
    <row r="4347" spans="1:37">
      <c r="A4347" s="3" t="s">
        <v>4299</v>
      </c>
      <c r="E4347">
        <v>5</v>
      </c>
      <c r="AK4347">
        <v>1</v>
      </c>
    </row>
    <row r="4348" spans="1:37">
      <c r="A4348" s="3" t="s">
        <v>4300</v>
      </c>
      <c r="E4348">
        <v>5</v>
      </c>
      <c r="AK4348">
        <v>1</v>
      </c>
    </row>
    <row r="4349" spans="1:37">
      <c r="A4349" s="3" t="s">
        <v>4301</v>
      </c>
      <c r="E4349">
        <v>5</v>
      </c>
      <c r="AK4349">
        <v>1</v>
      </c>
    </row>
    <row r="4350" spans="1:37">
      <c r="A4350" s="3" t="s">
        <v>4302</v>
      </c>
      <c r="E4350">
        <v>5</v>
      </c>
      <c r="AK4350">
        <v>1</v>
      </c>
    </row>
    <row r="4351" spans="1:37">
      <c r="A4351" s="3" t="s">
        <v>4303</v>
      </c>
      <c r="E4351">
        <v>5</v>
      </c>
      <c r="AK4351">
        <v>1</v>
      </c>
    </row>
    <row r="4352" spans="1:37">
      <c r="A4352" s="3" t="s">
        <v>4304</v>
      </c>
      <c r="E4352">
        <v>5</v>
      </c>
      <c r="AK4352">
        <v>1</v>
      </c>
    </row>
    <row r="4353" spans="1:37">
      <c r="A4353" s="3" t="s">
        <v>4305</v>
      </c>
      <c r="E4353">
        <v>5</v>
      </c>
      <c r="AK4353">
        <v>1</v>
      </c>
    </row>
    <row r="4354" spans="1:37">
      <c r="A4354" s="3" t="s">
        <v>4306</v>
      </c>
      <c r="E4354">
        <v>5</v>
      </c>
      <c r="AK4354">
        <v>1</v>
      </c>
    </row>
    <row r="4355" spans="1:37">
      <c r="A4355" s="3" t="s">
        <v>4307</v>
      </c>
      <c r="E4355">
        <v>5</v>
      </c>
      <c r="AK4355">
        <v>1</v>
      </c>
    </row>
    <row r="4356" spans="1:37">
      <c r="A4356" s="3" t="s">
        <v>4308</v>
      </c>
      <c r="E4356">
        <v>5</v>
      </c>
      <c r="AK4356">
        <v>1</v>
      </c>
    </row>
    <row r="4357" spans="1:37">
      <c r="A4357" s="3" t="s">
        <v>4309</v>
      </c>
      <c r="E4357">
        <v>5</v>
      </c>
      <c r="AK4357">
        <v>1</v>
      </c>
    </row>
    <row r="4358" spans="1:37">
      <c r="A4358" s="3" t="s">
        <v>4310</v>
      </c>
      <c r="E4358">
        <v>5</v>
      </c>
      <c r="AK4358">
        <v>1</v>
      </c>
    </row>
    <row r="4359" spans="1:37">
      <c r="A4359" s="3" t="s">
        <v>4311</v>
      </c>
      <c r="E4359">
        <v>5</v>
      </c>
      <c r="AK4359">
        <v>1</v>
      </c>
    </row>
    <row r="4360" spans="1:37">
      <c r="A4360" s="3" t="s">
        <v>4312</v>
      </c>
      <c r="E4360">
        <v>5</v>
      </c>
      <c r="AK4360">
        <v>1</v>
      </c>
    </row>
    <row r="4361" spans="1:37">
      <c r="A4361" s="3" t="s">
        <v>4313</v>
      </c>
      <c r="E4361">
        <v>5</v>
      </c>
      <c r="AK4361">
        <v>1</v>
      </c>
    </row>
    <row r="4362" spans="1:37">
      <c r="A4362" s="3" t="s">
        <v>4314</v>
      </c>
      <c r="E4362">
        <v>5</v>
      </c>
      <c r="AK4362">
        <v>1</v>
      </c>
    </row>
    <row r="4363" spans="1:37">
      <c r="A4363" s="3" t="s">
        <v>4315</v>
      </c>
      <c r="E4363">
        <v>5</v>
      </c>
      <c r="AK4363">
        <v>1</v>
      </c>
    </row>
    <row r="4364" spans="1:37">
      <c r="A4364" s="3" t="s">
        <v>4316</v>
      </c>
      <c r="E4364">
        <v>5</v>
      </c>
      <c r="AK4364">
        <v>1</v>
      </c>
    </row>
    <row r="4365" spans="1:37">
      <c r="A4365" s="3" t="s">
        <v>4317</v>
      </c>
      <c r="E4365">
        <v>5</v>
      </c>
      <c r="AK4365">
        <v>1</v>
      </c>
    </row>
    <row r="4366" spans="1:37">
      <c r="A4366" s="3" t="s">
        <v>4318</v>
      </c>
      <c r="E4366">
        <v>5</v>
      </c>
      <c r="AK4366">
        <v>1</v>
      </c>
    </row>
    <row r="4367" spans="1:37">
      <c r="A4367" s="3" t="s">
        <v>4319</v>
      </c>
      <c r="E4367">
        <v>5</v>
      </c>
      <c r="AK4367">
        <v>1</v>
      </c>
    </row>
    <row r="4368" spans="1:37">
      <c r="A4368" s="3" t="s">
        <v>4320</v>
      </c>
      <c r="E4368">
        <v>5</v>
      </c>
      <c r="AK4368">
        <v>1</v>
      </c>
    </row>
    <row r="4369" spans="1:37">
      <c r="A4369" s="3" t="s">
        <v>4321</v>
      </c>
      <c r="E4369">
        <v>5</v>
      </c>
      <c r="AK4369">
        <v>1</v>
      </c>
    </row>
    <row r="4370" spans="1:37">
      <c r="A4370" s="3" t="s">
        <v>4322</v>
      </c>
      <c r="E4370">
        <v>5</v>
      </c>
      <c r="AK4370">
        <v>1</v>
      </c>
    </row>
    <row r="4371" spans="1:37">
      <c r="A4371" s="3" t="s">
        <v>4323</v>
      </c>
      <c r="E4371">
        <v>5</v>
      </c>
      <c r="AK4371">
        <v>1</v>
      </c>
    </row>
    <row r="4372" spans="1:37">
      <c r="A4372" s="3" t="s">
        <v>4324</v>
      </c>
      <c r="E4372">
        <v>5</v>
      </c>
      <c r="AK4372">
        <v>1</v>
      </c>
    </row>
    <row r="4373" spans="1:37">
      <c r="A4373" s="3" t="s">
        <v>4325</v>
      </c>
      <c r="E4373">
        <v>5</v>
      </c>
      <c r="AK4373">
        <v>1</v>
      </c>
    </row>
    <row r="4374" spans="1:37">
      <c r="A4374" s="3" t="s">
        <v>4326</v>
      </c>
      <c r="E4374">
        <v>5</v>
      </c>
      <c r="AK4374">
        <v>1</v>
      </c>
    </row>
    <row r="4375" spans="1:37">
      <c r="A4375" s="3" t="s">
        <v>4327</v>
      </c>
      <c r="E4375">
        <v>5</v>
      </c>
      <c r="AK4375">
        <v>1</v>
      </c>
    </row>
    <row r="4376" spans="1:37">
      <c r="A4376" s="3" t="s">
        <v>4328</v>
      </c>
      <c r="E4376">
        <v>5</v>
      </c>
      <c r="AK4376">
        <v>1</v>
      </c>
    </row>
    <row r="4377" spans="1:37">
      <c r="A4377" s="3" t="s">
        <v>4329</v>
      </c>
      <c r="E4377">
        <v>5</v>
      </c>
      <c r="AK4377">
        <v>1</v>
      </c>
    </row>
    <row r="4378" spans="1:37">
      <c r="A4378" s="3" t="s">
        <v>4330</v>
      </c>
      <c r="E4378">
        <v>5</v>
      </c>
      <c r="AK4378">
        <v>1</v>
      </c>
    </row>
    <row r="4379" spans="1:37">
      <c r="A4379" s="3" t="s">
        <v>4331</v>
      </c>
      <c r="E4379">
        <v>5</v>
      </c>
      <c r="AK4379">
        <v>1</v>
      </c>
    </row>
    <row r="4380" spans="1:37">
      <c r="A4380" s="3" t="s">
        <v>4332</v>
      </c>
      <c r="E4380">
        <v>5</v>
      </c>
      <c r="AK4380">
        <v>1</v>
      </c>
    </row>
    <row r="4381" spans="1:37">
      <c r="A4381" s="3" t="s">
        <v>4333</v>
      </c>
      <c r="E4381">
        <v>5</v>
      </c>
      <c r="AK4381">
        <v>1</v>
      </c>
    </row>
    <row r="4382" spans="1:37">
      <c r="A4382" s="3" t="s">
        <v>4334</v>
      </c>
      <c r="E4382">
        <v>5</v>
      </c>
      <c r="AK4382">
        <v>1</v>
      </c>
    </row>
    <row r="4383" spans="1:37">
      <c r="A4383" s="3" t="s">
        <v>4335</v>
      </c>
      <c r="E4383">
        <v>5</v>
      </c>
      <c r="AK4383">
        <v>1</v>
      </c>
    </row>
    <row r="4384" spans="1:37">
      <c r="A4384" s="3" t="s">
        <v>4336</v>
      </c>
      <c r="E4384">
        <v>5</v>
      </c>
      <c r="AK4384">
        <v>1</v>
      </c>
    </row>
    <row r="4385" spans="1:37">
      <c r="A4385" s="3" t="s">
        <v>4337</v>
      </c>
      <c r="E4385">
        <v>5</v>
      </c>
      <c r="AK4385">
        <v>1</v>
      </c>
    </row>
    <row r="4386" spans="1:37">
      <c r="A4386" s="3" t="s">
        <v>4338</v>
      </c>
      <c r="E4386">
        <v>5</v>
      </c>
      <c r="AK4386">
        <v>1</v>
      </c>
    </row>
    <row r="4387" spans="1:37">
      <c r="A4387" s="3" t="s">
        <v>4339</v>
      </c>
      <c r="E4387">
        <v>5</v>
      </c>
      <c r="AK4387">
        <v>1</v>
      </c>
    </row>
    <row r="4388" spans="1:37">
      <c r="A4388" s="3" t="s">
        <v>4340</v>
      </c>
      <c r="E4388">
        <v>5</v>
      </c>
      <c r="AK4388">
        <v>1</v>
      </c>
    </row>
    <row r="4389" spans="1:37">
      <c r="A4389" s="3" t="s">
        <v>4341</v>
      </c>
      <c r="E4389">
        <v>5</v>
      </c>
      <c r="AK4389">
        <v>1</v>
      </c>
    </row>
    <row r="4390" spans="1:37">
      <c r="A4390" s="3" t="s">
        <v>4342</v>
      </c>
      <c r="E4390">
        <v>5</v>
      </c>
      <c r="AK4390">
        <v>1</v>
      </c>
    </row>
    <row r="4391" spans="1:37">
      <c r="A4391" s="3" t="s">
        <v>4343</v>
      </c>
      <c r="E4391">
        <v>5</v>
      </c>
      <c r="AK4391">
        <v>1</v>
      </c>
    </row>
    <row r="4392" spans="1:37">
      <c r="A4392" s="3" t="s">
        <v>4344</v>
      </c>
      <c r="E4392">
        <v>5</v>
      </c>
      <c r="AK4392">
        <v>1</v>
      </c>
    </row>
    <row r="4393" spans="1:37">
      <c r="A4393" s="3" t="s">
        <v>4345</v>
      </c>
      <c r="E4393">
        <v>5</v>
      </c>
      <c r="AK4393">
        <v>1</v>
      </c>
    </row>
    <row r="4394" spans="1:37">
      <c r="A4394" s="3" t="s">
        <v>4346</v>
      </c>
      <c r="E4394">
        <v>5</v>
      </c>
      <c r="AK4394">
        <v>1</v>
      </c>
    </row>
    <row r="4395" spans="1:37">
      <c r="A4395" s="3" t="s">
        <v>4347</v>
      </c>
      <c r="E4395">
        <v>5</v>
      </c>
      <c r="AK4395">
        <v>1</v>
      </c>
    </row>
    <row r="4396" spans="1:37">
      <c r="A4396" s="3" t="s">
        <v>4348</v>
      </c>
      <c r="E4396">
        <v>5</v>
      </c>
      <c r="AK4396">
        <v>1</v>
      </c>
    </row>
    <row r="4397" spans="1:37">
      <c r="A4397" s="3" t="s">
        <v>4349</v>
      </c>
      <c r="E4397">
        <v>5</v>
      </c>
      <c r="AK4397">
        <v>1</v>
      </c>
    </row>
    <row r="4398" spans="1:37">
      <c r="A4398" s="3" t="s">
        <v>4350</v>
      </c>
      <c r="E4398">
        <v>5</v>
      </c>
      <c r="AK4398">
        <v>1</v>
      </c>
    </row>
    <row r="4399" spans="1:37">
      <c r="A4399" s="3" t="s">
        <v>4351</v>
      </c>
      <c r="E4399">
        <v>5</v>
      </c>
      <c r="AK4399">
        <v>1</v>
      </c>
    </row>
    <row r="4400" spans="1:37">
      <c r="A4400" s="3" t="s">
        <v>4352</v>
      </c>
      <c r="E4400">
        <v>5</v>
      </c>
      <c r="AK4400">
        <v>1</v>
      </c>
    </row>
    <row r="4401" spans="1:37">
      <c r="A4401" s="3" t="s">
        <v>4353</v>
      </c>
      <c r="E4401">
        <v>5</v>
      </c>
      <c r="AK4401">
        <v>1</v>
      </c>
    </row>
    <row r="4402" spans="1:37">
      <c r="A4402" s="3" t="s">
        <v>4354</v>
      </c>
      <c r="E4402">
        <v>5</v>
      </c>
      <c r="AK4402">
        <v>1</v>
      </c>
    </row>
    <row r="4403" spans="1:37">
      <c r="A4403" s="3" t="s">
        <v>4355</v>
      </c>
      <c r="E4403">
        <v>5</v>
      </c>
      <c r="AK4403">
        <v>1</v>
      </c>
    </row>
    <row r="4404" spans="1:37">
      <c r="A4404" s="3" t="s">
        <v>4356</v>
      </c>
      <c r="E4404">
        <v>5</v>
      </c>
      <c r="AK4404">
        <v>1</v>
      </c>
    </row>
    <row r="4405" spans="1:37">
      <c r="A4405" s="3" t="s">
        <v>4357</v>
      </c>
      <c r="E4405">
        <v>5</v>
      </c>
      <c r="AK4405">
        <v>1</v>
      </c>
    </row>
    <row r="4406" spans="1:37">
      <c r="A4406" s="3" t="s">
        <v>4358</v>
      </c>
      <c r="E4406">
        <v>5</v>
      </c>
      <c r="AK4406">
        <v>1</v>
      </c>
    </row>
    <row r="4407" spans="1:37">
      <c r="A4407" s="3" t="s">
        <v>4359</v>
      </c>
      <c r="E4407">
        <v>5</v>
      </c>
      <c r="AK4407">
        <v>1</v>
      </c>
    </row>
    <row r="4408" spans="1:37">
      <c r="A4408" s="3" t="s">
        <v>4360</v>
      </c>
      <c r="E4408">
        <v>5</v>
      </c>
      <c r="AK4408">
        <v>1</v>
      </c>
    </row>
    <row r="4409" spans="1:37">
      <c r="A4409" s="3" t="s">
        <v>4361</v>
      </c>
      <c r="E4409">
        <v>5</v>
      </c>
      <c r="AK4409">
        <v>1</v>
      </c>
    </row>
    <row r="4410" spans="1:37">
      <c r="A4410" s="3" t="s">
        <v>4362</v>
      </c>
      <c r="E4410">
        <v>5</v>
      </c>
      <c r="AK4410">
        <v>1</v>
      </c>
    </row>
    <row r="4411" spans="1:37">
      <c r="A4411" s="3" t="s">
        <v>4363</v>
      </c>
      <c r="E4411">
        <v>5</v>
      </c>
      <c r="AK4411">
        <v>1</v>
      </c>
    </row>
    <row r="4412" spans="1:37">
      <c r="A4412" s="3" t="s">
        <v>4364</v>
      </c>
      <c r="E4412">
        <v>5</v>
      </c>
      <c r="AK4412">
        <v>1</v>
      </c>
    </row>
    <row r="4413" spans="1:37">
      <c r="A4413" s="3" t="s">
        <v>4365</v>
      </c>
      <c r="E4413">
        <v>5</v>
      </c>
      <c r="AK4413">
        <v>1</v>
      </c>
    </row>
    <row r="4414" spans="1:37">
      <c r="A4414" s="3" t="s">
        <v>4366</v>
      </c>
      <c r="E4414">
        <v>5</v>
      </c>
      <c r="AK4414">
        <v>1</v>
      </c>
    </row>
    <row r="4415" spans="1:37">
      <c r="A4415" s="3" t="s">
        <v>4367</v>
      </c>
      <c r="E4415">
        <v>5</v>
      </c>
      <c r="AK4415">
        <v>1</v>
      </c>
    </row>
    <row r="4416" spans="1:37">
      <c r="A4416" s="3" t="s">
        <v>4368</v>
      </c>
      <c r="E4416">
        <v>5</v>
      </c>
      <c r="AK4416">
        <v>1</v>
      </c>
    </row>
    <row r="4417" spans="1:37">
      <c r="A4417" s="3" t="s">
        <v>4369</v>
      </c>
      <c r="E4417">
        <v>5</v>
      </c>
      <c r="AK4417">
        <v>1</v>
      </c>
    </row>
    <row r="4418" spans="1:37">
      <c r="A4418" s="3" t="s">
        <v>4370</v>
      </c>
      <c r="E4418">
        <v>5</v>
      </c>
      <c r="AK4418">
        <v>1</v>
      </c>
    </row>
    <row r="4419" spans="1:37">
      <c r="A4419" s="3" t="s">
        <v>4371</v>
      </c>
      <c r="E4419">
        <v>5</v>
      </c>
      <c r="AK4419">
        <v>1</v>
      </c>
    </row>
    <row r="4420" spans="1:37">
      <c r="A4420" s="3" t="s">
        <v>4372</v>
      </c>
      <c r="E4420">
        <v>5</v>
      </c>
      <c r="AK4420">
        <v>1</v>
      </c>
    </row>
    <row r="4421" spans="1:37">
      <c r="A4421" s="3" t="s">
        <v>4373</v>
      </c>
      <c r="E4421">
        <v>5</v>
      </c>
      <c r="AK4421">
        <v>1</v>
      </c>
    </row>
    <row r="4422" spans="1:37">
      <c r="A4422" s="3" t="s">
        <v>4374</v>
      </c>
      <c r="E4422">
        <v>5</v>
      </c>
      <c r="AK4422">
        <v>1</v>
      </c>
    </row>
    <row r="4423" spans="1:37">
      <c r="A4423" s="3" t="s">
        <v>4375</v>
      </c>
      <c r="E4423">
        <v>5</v>
      </c>
      <c r="AK4423">
        <v>1</v>
      </c>
    </row>
    <row r="4424" spans="1:37">
      <c r="A4424" s="3" t="s">
        <v>4376</v>
      </c>
      <c r="E4424">
        <v>5</v>
      </c>
      <c r="AK4424">
        <v>1</v>
      </c>
    </row>
    <row r="4425" spans="1:37">
      <c r="A4425" s="3" t="s">
        <v>4377</v>
      </c>
      <c r="E4425">
        <v>5</v>
      </c>
      <c r="AK4425">
        <v>1</v>
      </c>
    </row>
    <row r="4426" spans="1:37">
      <c r="A4426" s="3" t="s">
        <v>4378</v>
      </c>
      <c r="E4426">
        <v>5</v>
      </c>
      <c r="AK4426">
        <v>1</v>
      </c>
    </row>
    <row r="4427" spans="1:37">
      <c r="A4427" s="3" t="s">
        <v>4379</v>
      </c>
      <c r="E4427">
        <v>5</v>
      </c>
      <c r="AK4427">
        <v>1</v>
      </c>
    </row>
    <row r="4428" spans="1:37">
      <c r="A4428" s="3" t="s">
        <v>4380</v>
      </c>
      <c r="E4428">
        <v>5</v>
      </c>
      <c r="AK4428">
        <v>1</v>
      </c>
    </row>
    <row r="4429" spans="1:37">
      <c r="A4429" s="3" t="s">
        <v>4381</v>
      </c>
      <c r="E4429">
        <v>5</v>
      </c>
      <c r="AK4429">
        <v>1</v>
      </c>
    </row>
    <row r="4430" spans="1:37">
      <c r="A4430" s="3" t="s">
        <v>4382</v>
      </c>
      <c r="E4430">
        <v>5</v>
      </c>
      <c r="AK4430">
        <v>1</v>
      </c>
    </row>
    <row r="4431" spans="1:37">
      <c r="A4431" s="3" t="s">
        <v>4383</v>
      </c>
      <c r="E4431">
        <v>5</v>
      </c>
      <c r="AK4431">
        <v>1</v>
      </c>
    </row>
    <row r="4432" spans="1:37">
      <c r="A4432" s="3" t="s">
        <v>4384</v>
      </c>
      <c r="E4432">
        <v>5</v>
      </c>
      <c r="AK4432">
        <v>1</v>
      </c>
    </row>
    <row r="4433" spans="1:37">
      <c r="A4433" s="3" t="s">
        <v>4385</v>
      </c>
      <c r="E4433">
        <v>5</v>
      </c>
      <c r="AK4433">
        <v>1</v>
      </c>
    </row>
    <row r="4434" spans="1:37">
      <c r="A4434" s="3" t="s">
        <v>4386</v>
      </c>
      <c r="E4434">
        <v>5</v>
      </c>
      <c r="AK4434">
        <v>1</v>
      </c>
    </row>
    <row r="4435" spans="1:37">
      <c r="A4435" s="3" t="s">
        <v>4387</v>
      </c>
      <c r="E4435">
        <v>5</v>
      </c>
      <c r="AK4435">
        <v>1</v>
      </c>
    </row>
    <row r="4436" spans="1:37">
      <c r="A4436" s="3" t="s">
        <v>4388</v>
      </c>
      <c r="E4436">
        <v>5</v>
      </c>
      <c r="AK4436">
        <v>1</v>
      </c>
    </row>
    <row r="4437" spans="1:37">
      <c r="A4437" s="3" t="s">
        <v>4389</v>
      </c>
      <c r="E4437">
        <v>5</v>
      </c>
      <c r="AK4437">
        <v>1</v>
      </c>
    </row>
    <row r="4438" spans="1:37">
      <c r="A4438" s="3" t="s">
        <v>4390</v>
      </c>
      <c r="E4438">
        <v>5</v>
      </c>
      <c r="AK4438">
        <v>1</v>
      </c>
    </row>
    <row r="4439" spans="1:37">
      <c r="A4439" s="3" t="s">
        <v>4391</v>
      </c>
      <c r="E4439">
        <v>5</v>
      </c>
      <c r="AK4439">
        <v>1</v>
      </c>
    </row>
    <row r="4440" spans="1:37">
      <c r="A4440" s="3" t="s">
        <v>4392</v>
      </c>
      <c r="E4440">
        <v>5</v>
      </c>
      <c r="AK4440">
        <v>1</v>
      </c>
    </row>
    <row r="4441" spans="1:37">
      <c r="A4441" s="3" t="s">
        <v>4393</v>
      </c>
      <c r="E4441">
        <v>5</v>
      </c>
      <c r="AK4441">
        <v>1</v>
      </c>
    </row>
    <row r="4442" spans="1:37">
      <c r="A4442" s="3" t="s">
        <v>4394</v>
      </c>
      <c r="E4442">
        <v>5</v>
      </c>
      <c r="AK4442">
        <v>1</v>
      </c>
    </row>
    <row r="4443" spans="1:37">
      <c r="A4443" s="3" t="s">
        <v>4395</v>
      </c>
      <c r="E4443">
        <v>5</v>
      </c>
      <c r="AK4443">
        <v>1</v>
      </c>
    </row>
    <row r="4444" spans="1:37">
      <c r="A4444" s="3" t="s">
        <v>4396</v>
      </c>
      <c r="E4444">
        <v>5</v>
      </c>
      <c r="AK4444">
        <v>1</v>
      </c>
    </row>
    <row r="4445" spans="1:37">
      <c r="A4445" s="3" t="s">
        <v>4397</v>
      </c>
      <c r="E4445">
        <v>5</v>
      </c>
      <c r="AK4445">
        <v>1</v>
      </c>
    </row>
    <row r="4446" spans="1:37">
      <c r="A4446" s="3" t="s">
        <v>4398</v>
      </c>
      <c r="E4446">
        <v>5</v>
      </c>
      <c r="AK4446">
        <v>1</v>
      </c>
    </row>
    <row r="4447" spans="1:37">
      <c r="A4447" s="3" t="s">
        <v>4399</v>
      </c>
      <c r="E4447">
        <v>5</v>
      </c>
      <c r="AK4447">
        <v>1</v>
      </c>
    </row>
    <row r="4448" spans="1:37">
      <c r="A4448" s="3" t="s">
        <v>4400</v>
      </c>
      <c r="E4448">
        <v>5</v>
      </c>
      <c r="AK4448">
        <v>1</v>
      </c>
    </row>
    <row r="4449" spans="1:37">
      <c r="A4449" s="3" t="s">
        <v>4401</v>
      </c>
      <c r="E4449">
        <v>5</v>
      </c>
      <c r="AK4449">
        <v>1</v>
      </c>
    </row>
    <row r="4450" spans="1:37">
      <c r="A4450" s="3" t="s">
        <v>4402</v>
      </c>
      <c r="E4450">
        <v>5</v>
      </c>
      <c r="AK4450">
        <v>1</v>
      </c>
    </row>
    <row r="4451" spans="1:37">
      <c r="A4451" s="3" t="s">
        <v>4403</v>
      </c>
      <c r="E4451">
        <v>5</v>
      </c>
      <c r="AK4451">
        <v>1</v>
      </c>
    </row>
    <row r="4452" spans="1:37">
      <c r="A4452" s="3" t="s">
        <v>4404</v>
      </c>
      <c r="E4452">
        <v>5</v>
      </c>
      <c r="AK4452">
        <v>1</v>
      </c>
    </row>
    <row r="4453" spans="1:37">
      <c r="A4453" s="3" t="s">
        <v>4405</v>
      </c>
      <c r="E4453">
        <v>5</v>
      </c>
      <c r="AK4453">
        <v>1</v>
      </c>
    </row>
    <row r="4454" spans="1:37">
      <c r="A4454" s="3" t="s">
        <v>4406</v>
      </c>
      <c r="E4454">
        <v>5</v>
      </c>
      <c r="AK4454">
        <v>1</v>
      </c>
    </row>
    <row r="4455" spans="1:37">
      <c r="A4455" s="3" t="s">
        <v>4407</v>
      </c>
      <c r="E4455">
        <v>5</v>
      </c>
      <c r="AK4455">
        <v>1</v>
      </c>
    </row>
    <row r="4456" spans="1:37">
      <c r="A4456" s="3" t="s">
        <v>4408</v>
      </c>
      <c r="E4456">
        <v>5</v>
      </c>
      <c r="AK4456">
        <v>1</v>
      </c>
    </row>
    <row r="4457" spans="1:37">
      <c r="A4457" s="3" t="s">
        <v>4409</v>
      </c>
      <c r="E4457">
        <v>5</v>
      </c>
      <c r="AK4457">
        <v>1</v>
      </c>
    </row>
    <row r="4458" spans="1:37">
      <c r="A4458" s="3" t="s">
        <v>4410</v>
      </c>
      <c r="E4458">
        <v>5</v>
      </c>
      <c r="AK4458">
        <v>1</v>
      </c>
    </row>
    <row r="4459" spans="1:37">
      <c r="A4459" s="3" t="s">
        <v>4411</v>
      </c>
      <c r="E4459">
        <v>5</v>
      </c>
      <c r="AK4459">
        <v>1</v>
      </c>
    </row>
    <row r="4460" spans="1:37">
      <c r="A4460" s="3" t="s">
        <v>4412</v>
      </c>
      <c r="E4460">
        <v>5</v>
      </c>
      <c r="AK4460">
        <v>1</v>
      </c>
    </row>
    <row r="4461" spans="1:37">
      <c r="A4461" s="3" t="s">
        <v>4413</v>
      </c>
      <c r="E4461">
        <v>5</v>
      </c>
      <c r="AK4461">
        <v>1</v>
      </c>
    </row>
    <row r="4462" spans="1:37">
      <c r="A4462" s="3" t="s">
        <v>4414</v>
      </c>
      <c r="E4462">
        <v>5</v>
      </c>
      <c r="AK4462">
        <v>1</v>
      </c>
    </row>
    <row r="4463" spans="1:37">
      <c r="A4463" s="3" t="s">
        <v>4415</v>
      </c>
      <c r="E4463">
        <v>5</v>
      </c>
      <c r="AK4463">
        <v>1</v>
      </c>
    </row>
    <row r="4464" spans="1:37">
      <c r="A4464" s="3" t="s">
        <v>4416</v>
      </c>
      <c r="E4464">
        <v>5</v>
      </c>
      <c r="AK4464">
        <v>1</v>
      </c>
    </row>
    <row r="4465" spans="1:37">
      <c r="A4465" s="3" t="s">
        <v>4417</v>
      </c>
      <c r="E4465">
        <v>5</v>
      </c>
      <c r="AK4465">
        <v>1</v>
      </c>
    </row>
    <row r="4466" spans="1:37">
      <c r="A4466" s="3" t="s">
        <v>4418</v>
      </c>
      <c r="E4466">
        <v>5</v>
      </c>
      <c r="AK4466">
        <v>1</v>
      </c>
    </row>
    <row r="4467" spans="1:37">
      <c r="A4467" s="3" t="s">
        <v>4419</v>
      </c>
      <c r="E4467">
        <v>5</v>
      </c>
      <c r="AK4467">
        <v>1</v>
      </c>
    </row>
    <row r="4468" spans="1:37">
      <c r="A4468" s="3" t="s">
        <v>4420</v>
      </c>
      <c r="E4468">
        <v>5</v>
      </c>
      <c r="AK4468">
        <v>1</v>
      </c>
    </row>
    <row r="4469" spans="1:37">
      <c r="A4469" s="3" t="s">
        <v>4421</v>
      </c>
      <c r="E4469">
        <v>5</v>
      </c>
      <c r="AK4469">
        <v>1</v>
      </c>
    </row>
    <row r="4470" spans="1:37">
      <c r="A4470" s="3" t="s">
        <v>4422</v>
      </c>
      <c r="E4470">
        <v>5</v>
      </c>
      <c r="AK4470">
        <v>1</v>
      </c>
    </row>
    <row r="4471" spans="1:37">
      <c r="A4471" s="3" t="s">
        <v>4423</v>
      </c>
      <c r="E4471">
        <v>5</v>
      </c>
      <c r="AK4471">
        <v>1</v>
      </c>
    </row>
    <row r="4472" spans="1:37">
      <c r="A4472" s="3" t="s">
        <v>4424</v>
      </c>
      <c r="E4472">
        <v>5</v>
      </c>
      <c r="AK4472">
        <v>1</v>
      </c>
    </row>
    <row r="4473" spans="1:37">
      <c r="A4473" s="3" t="s">
        <v>4425</v>
      </c>
      <c r="E4473">
        <v>5</v>
      </c>
      <c r="AK4473">
        <v>1</v>
      </c>
    </row>
    <row r="4474" spans="1:37">
      <c r="A4474" s="3" t="s">
        <v>4426</v>
      </c>
      <c r="E4474">
        <v>5</v>
      </c>
      <c r="AK4474">
        <v>1</v>
      </c>
    </row>
    <row r="4475" spans="1:37">
      <c r="A4475" s="3" t="s">
        <v>4427</v>
      </c>
      <c r="E4475">
        <v>5</v>
      </c>
      <c r="AK4475">
        <v>1</v>
      </c>
    </row>
    <row r="4476" spans="1:37">
      <c r="A4476" s="3" t="s">
        <v>4428</v>
      </c>
      <c r="E4476">
        <v>5</v>
      </c>
      <c r="AJ4476">
        <v>3</v>
      </c>
    </row>
    <row r="4477" spans="1:37">
      <c r="A4477" s="3" t="s">
        <v>4429</v>
      </c>
      <c r="E4477">
        <v>5</v>
      </c>
      <c r="AJ4477">
        <v>3</v>
      </c>
    </row>
    <row r="4478" spans="1:37">
      <c r="A4478" s="3" t="s">
        <v>4430</v>
      </c>
      <c r="E4478">
        <v>5</v>
      </c>
      <c r="AJ4478">
        <v>3</v>
      </c>
    </row>
    <row r="4479" spans="1:37">
      <c r="A4479" s="3" t="s">
        <v>4431</v>
      </c>
      <c r="E4479">
        <v>5</v>
      </c>
      <c r="AJ4479">
        <v>3</v>
      </c>
    </row>
    <row r="4480" spans="1:37">
      <c r="A4480" s="3" t="s">
        <v>4432</v>
      </c>
      <c r="E4480">
        <v>5</v>
      </c>
      <c r="AJ4480">
        <v>3</v>
      </c>
    </row>
    <row r="4481" spans="1:36">
      <c r="A4481" s="3" t="s">
        <v>4433</v>
      </c>
      <c r="E4481">
        <v>5</v>
      </c>
      <c r="AJ4481">
        <v>3</v>
      </c>
    </row>
    <row r="4482" spans="1:36">
      <c r="A4482" s="3" t="s">
        <v>4434</v>
      </c>
      <c r="E4482">
        <v>5</v>
      </c>
      <c r="AJ4482">
        <v>3</v>
      </c>
    </row>
    <row r="4483" spans="1:36">
      <c r="A4483" s="3" t="s">
        <v>4435</v>
      </c>
      <c r="E4483">
        <v>5</v>
      </c>
      <c r="AJ4483">
        <v>3</v>
      </c>
    </row>
    <row r="4484" spans="1:36">
      <c r="A4484" s="3" t="s">
        <v>4436</v>
      </c>
      <c r="E4484">
        <v>5</v>
      </c>
      <c r="AJ4484">
        <v>3</v>
      </c>
    </row>
    <row r="4485" spans="1:36">
      <c r="A4485" s="3" t="s">
        <v>4437</v>
      </c>
      <c r="E4485">
        <v>5</v>
      </c>
      <c r="AJ4485">
        <v>3</v>
      </c>
    </row>
    <row r="4486" spans="1:36">
      <c r="A4486" s="3" t="s">
        <v>4438</v>
      </c>
      <c r="E4486">
        <v>5</v>
      </c>
      <c r="AJ4486">
        <v>3</v>
      </c>
    </row>
    <row r="4487" spans="1:36">
      <c r="A4487" s="3" t="s">
        <v>4439</v>
      </c>
      <c r="E4487">
        <v>5</v>
      </c>
      <c r="AJ4487">
        <v>3</v>
      </c>
    </row>
    <row r="4488" spans="1:36">
      <c r="A4488" s="3" t="s">
        <v>4440</v>
      </c>
      <c r="E4488">
        <v>5</v>
      </c>
      <c r="AJ4488">
        <v>3</v>
      </c>
    </row>
    <row r="4489" spans="1:36">
      <c r="A4489" s="3" t="s">
        <v>4441</v>
      </c>
      <c r="E4489">
        <v>5</v>
      </c>
      <c r="AJ4489">
        <v>3</v>
      </c>
    </row>
    <row r="4490" spans="1:36">
      <c r="A4490" s="3" t="s">
        <v>4442</v>
      </c>
      <c r="E4490">
        <v>5</v>
      </c>
      <c r="AJ4490">
        <v>3</v>
      </c>
    </row>
    <row r="4491" spans="1:36">
      <c r="A4491" s="3" t="s">
        <v>4443</v>
      </c>
      <c r="E4491">
        <v>5</v>
      </c>
      <c r="AJ4491">
        <v>3</v>
      </c>
    </row>
    <row r="4492" spans="1:36">
      <c r="A4492" s="3" t="s">
        <v>4444</v>
      </c>
      <c r="E4492">
        <v>5</v>
      </c>
      <c r="AJ4492">
        <v>3</v>
      </c>
    </row>
    <row r="4493" spans="1:36">
      <c r="A4493" s="3" t="s">
        <v>4445</v>
      </c>
      <c r="E4493">
        <v>5</v>
      </c>
      <c r="AJ4493">
        <v>3</v>
      </c>
    </row>
    <row r="4494" spans="1:36">
      <c r="A4494" s="3" t="s">
        <v>4446</v>
      </c>
      <c r="E4494">
        <v>5</v>
      </c>
      <c r="AJ4494">
        <v>3</v>
      </c>
    </row>
    <row r="4495" spans="1:36">
      <c r="A4495" s="3" t="s">
        <v>4447</v>
      </c>
      <c r="E4495">
        <v>5</v>
      </c>
      <c r="AJ4495">
        <v>3</v>
      </c>
    </row>
    <row r="4496" spans="1:36">
      <c r="A4496" s="3" t="s">
        <v>4448</v>
      </c>
      <c r="E4496">
        <v>5</v>
      </c>
      <c r="AJ4496">
        <v>3</v>
      </c>
    </row>
    <row r="4497" spans="1:36">
      <c r="A4497" s="3" t="s">
        <v>4449</v>
      </c>
      <c r="E4497">
        <v>5</v>
      </c>
      <c r="AJ4497">
        <v>3</v>
      </c>
    </row>
    <row r="4498" spans="1:36">
      <c r="A4498" s="3" t="s">
        <v>4450</v>
      </c>
      <c r="E4498">
        <v>5</v>
      </c>
      <c r="AJ4498">
        <v>3</v>
      </c>
    </row>
    <row r="4499" spans="1:36">
      <c r="A4499" s="3" t="s">
        <v>4451</v>
      </c>
      <c r="E4499">
        <v>5</v>
      </c>
      <c r="AJ4499">
        <v>3</v>
      </c>
    </row>
    <row r="4500" spans="1:36">
      <c r="A4500" s="3" t="s">
        <v>4452</v>
      </c>
      <c r="E4500">
        <v>5</v>
      </c>
      <c r="AJ4500">
        <v>3</v>
      </c>
    </row>
    <row r="4501" spans="1:36">
      <c r="A4501" s="3" t="s">
        <v>4453</v>
      </c>
      <c r="E4501">
        <v>5</v>
      </c>
      <c r="AJ4501">
        <v>3</v>
      </c>
    </row>
    <row r="4502" spans="1:36">
      <c r="A4502" s="3" t="s">
        <v>4454</v>
      </c>
      <c r="E4502">
        <v>5</v>
      </c>
      <c r="AJ4502">
        <v>3</v>
      </c>
    </row>
    <row r="4503" spans="1:36">
      <c r="A4503" s="3" t="s">
        <v>4455</v>
      </c>
      <c r="E4503">
        <v>5</v>
      </c>
      <c r="AJ4503">
        <v>3</v>
      </c>
    </row>
    <row r="4504" spans="1:36">
      <c r="A4504" s="3" t="s">
        <v>4456</v>
      </c>
      <c r="E4504">
        <v>5</v>
      </c>
      <c r="AJ4504">
        <v>3</v>
      </c>
    </row>
    <row r="4505" spans="1:36">
      <c r="A4505" s="3" t="s">
        <v>4457</v>
      </c>
      <c r="E4505">
        <v>5</v>
      </c>
      <c r="AJ4505">
        <v>3</v>
      </c>
    </row>
    <row r="4506" spans="1:36">
      <c r="A4506" s="3" t="s">
        <v>4458</v>
      </c>
      <c r="E4506">
        <v>5</v>
      </c>
      <c r="AJ4506">
        <v>3</v>
      </c>
    </row>
    <row r="4507" spans="1:36">
      <c r="A4507" s="3" t="s">
        <v>4459</v>
      </c>
      <c r="E4507">
        <v>5</v>
      </c>
      <c r="AJ4507">
        <v>3</v>
      </c>
    </row>
    <row r="4508" spans="1:36">
      <c r="A4508" s="3" t="s">
        <v>4460</v>
      </c>
      <c r="E4508">
        <v>5</v>
      </c>
      <c r="AJ4508">
        <v>3</v>
      </c>
    </row>
    <row r="4509" spans="1:36">
      <c r="A4509" s="3" t="s">
        <v>4461</v>
      </c>
      <c r="E4509">
        <v>5</v>
      </c>
      <c r="AJ4509">
        <v>3</v>
      </c>
    </row>
    <row r="4510" spans="1:36">
      <c r="A4510" s="3" t="s">
        <v>4462</v>
      </c>
      <c r="E4510">
        <v>5</v>
      </c>
      <c r="AJ4510">
        <v>3</v>
      </c>
    </row>
    <row r="4511" spans="1:36">
      <c r="A4511" s="3" t="s">
        <v>4463</v>
      </c>
      <c r="E4511">
        <v>5</v>
      </c>
      <c r="AJ4511">
        <v>3</v>
      </c>
    </row>
    <row r="4512" spans="1:36">
      <c r="A4512" s="3" t="s">
        <v>4464</v>
      </c>
      <c r="E4512">
        <v>5</v>
      </c>
      <c r="AJ4512">
        <v>3</v>
      </c>
    </row>
    <row r="4513" spans="1:36">
      <c r="A4513" s="3" t="s">
        <v>4465</v>
      </c>
      <c r="E4513">
        <v>5</v>
      </c>
      <c r="AJ4513">
        <v>3</v>
      </c>
    </row>
    <row r="4514" spans="1:36">
      <c r="A4514" s="3" t="s">
        <v>4466</v>
      </c>
      <c r="E4514">
        <v>5</v>
      </c>
      <c r="AJ4514">
        <v>3</v>
      </c>
    </row>
    <row r="4515" spans="1:36">
      <c r="A4515" s="3" t="s">
        <v>4467</v>
      </c>
      <c r="E4515">
        <v>5</v>
      </c>
      <c r="AJ4515">
        <v>3</v>
      </c>
    </row>
    <row r="4516" spans="1:36">
      <c r="A4516" s="3" t="s">
        <v>4468</v>
      </c>
      <c r="E4516">
        <v>5</v>
      </c>
      <c r="AJ4516">
        <v>3</v>
      </c>
    </row>
    <row r="4517" spans="1:36">
      <c r="A4517" s="3" t="s">
        <v>4469</v>
      </c>
      <c r="E4517">
        <v>5</v>
      </c>
      <c r="AJ4517">
        <v>3</v>
      </c>
    </row>
    <row r="4518" spans="1:36">
      <c r="A4518" s="3" t="s">
        <v>4470</v>
      </c>
      <c r="E4518">
        <v>5</v>
      </c>
      <c r="AJ4518">
        <v>3</v>
      </c>
    </row>
    <row r="4519" spans="1:36">
      <c r="A4519" s="3" t="s">
        <v>4471</v>
      </c>
      <c r="E4519">
        <v>5</v>
      </c>
      <c r="AJ4519">
        <v>3</v>
      </c>
    </row>
    <row r="4520" spans="1:36">
      <c r="A4520" s="3" t="s">
        <v>4472</v>
      </c>
      <c r="E4520">
        <v>5</v>
      </c>
      <c r="AJ4520">
        <v>3</v>
      </c>
    </row>
    <row r="4521" spans="1:36">
      <c r="A4521" s="3" t="s">
        <v>4473</v>
      </c>
      <c r="E4521">
        <v>5</v>
      </c>
      <c r="AJ4521">
        <v>3</v>
      </c>
    </row>
    <row r="4522" spans="1:36">
      <c r="A4522" s="3" t="s">
        <v>4474</v>
      </c>
      <c r="E4522">
        <v>5</v>
      </c>
      <c r="AJ4522">
        <v>3</v>
      </c>
    </row>
    <row r="4523" spans="1:36">
      <c r="A4523" s="3" t="s">
        <v>4475</v>
      </c>
      <c r="E4523">
        <v>5</v>
      </c>
      <c r="AJ4523">
        <v>3</v>
      </c>
    </row>
    <row r="4524" spans="1:36">
      <c r="A4524" s="3" t="s">
        <v>4476</v>
      </c>
      <c r="E4524">
        <v>5</v>
      </c>
      <c r="AJ4524">
        <v>3</v>
      </c>
    </row>
    <row r="4525" spans="1:36">
      <c r="A4525" s="3" t="s">
        <v>4477</v>
      </c>
      <c r="E4525">
        <v>5</v>
      </c>
      <c r="AJ4525">
        <v>3</v>
      </c>
    </row>
    <row r="4526" spans="1:36">
      <c r="A4526" s="3" t="s">
        <v>4478</v>
      </c>
      <c r="E4526">
        <v>5</v>
      </c>
      <c r="AJ4526">
        <v>3</v>
      </c>
    </row>
    <row r="4527" spans="1:36">
      <c r="A4527" s="3" t="s">
        <v>4479</v>
      </c>
      <c r="E4527">
        <v>5</v>
      </c>
      <c r="AJ4527">
        <v>3</v>
      </c>
    </row>
    <row r="4528" spans="1:36">
      <c r="A4528" s="3" t="s">
        <v>4480</v>
      </c>
      <c r="E4528">
        <v>5</v>
      </c>
      <c r="AJ4528">
        <v>3</v>
      </c>
    </row>
    <row r="4529" spans="1:36">
      <c r="A4529" s="3" t="s">
        <v>4481</v>
      </c>
      <c r="E4529">
        <v>5</v>
      </c>
      <c r="AJ4529">
        <v>3</v>
      </c>
    </row>
    <row r="4530" spans="1:36">
      <c r="A4530" s="3" t="s">
        <v>4482</v>
      </c>
      <c r="E4530">
        <v>5</v>
      </c>
      <c r="AJ4530">
        <v>3</v>
      </c>
    </row>
    <row r="4531" spans="1:36">
      <c r="A4531" s="3" t="s">
        <v>4483</v>
      </c>
      <c r="E4531">
        <v>5</v>
      </c>
      <c r="AJ4531">
        <v>3</v>
      </c>
    </row>
    <row r="4532" spans="1:36">
      <c r="A4532" s="3" t="s">
        <v>4484</v>
      </c>
      <c r="E4532">
        <v>5</v>
      </c>
      <c r="J4532">
        <v>55</v>
      </c>
    </row>
    <row r="4533" spans="1:36">
      <c r="A4533" s="3" t="s">
        <v>4485</v>
      </c>
      <c r="E4533">
        <v>5</v>
      </c>
      <c r="J4533">
        <v>55</v>
      </c>
    </row>
    <row r="4534" spans="1:36">
      <c r="A4534" s="3" t="s">
        <v>4486</v>
      </c>
      <c r="E4534">
        <v>5</v>
      </c>
      <c r="J4534">
        <v>55</v>
      </c>
    </row>
    <row r="4535" spans="1:36">
      <c r="A4535" s="3" t="s">
        <v>4487</v>
      </c>
      <c r="E4535">
        <v>5</v>
      </c>
      <c r="J4535">
        <v>55</v>
      </c>
    </row>
    <row r="4536" spans="1:36">
      <c r="A4536" s="3" t="s">
        <v>4488</v>
      </c>
      <c r="E4536">
        <v>5</v>
      </c>
      <c r="J4536">
        <v>55</v>
      </c>
    </row>
    <row r="4537" spans="1:36">
      <c r="A4537" s="3" t="s">
        <v>4489</v>
      </c>
      <c r="E4537">
        <v>5</v>
      </c>
      <c r="J4537">
        <v>55</v>
      </c>
    </row>
    <row r="4538" spans="1:36">
      <c r="A4538" s="3" t="s">
        <v>4490</v>
      </c>
      <c r="E4538">
        <v>5</v>
      </c>
      <c r="J4538">
        <v>55</v>
      </c>
    </row>
    <row r="4539" spans="1:36">
      <c r="A4539" s="3" t="s">
        <v>4491</v>
      </c>
      <c r="E4539">
        <v>5</v>
      </c>
      <c r="J4539">
        <v>55</v>
      </c>
    </row>
    <row r="4540" spans="1:36">
      <c r="A4540" s="3" t="s">
        <v>4492</v>
      </c>
      <c r="E4540">
        <v>5</v>
      </c>
      <c r="J4540">
        <v>55</v>
      </c>
    </row>
    <row r="4541" spans="1:36">
      <c r="A4541" s="3" t="s">
        <v>4493</v>
      </c>
      <c r="E4541">
        <v>5</v>
      </c>
      <c r="J4541">
        <v>55</v>
      </c>
    </row>
    <row r="4542" spans="1:36">
      <c r="A4542" s="3" t="s">
        <v>4494</v>
      </c>
      <c r="E4542">
        <v>5</v>
      </c>
      <c r="J4542">
        <v>55</v>
      </c>
    </row>
    <row r="4543" spans="1:36">
      <c r="A4543" s="3" t="s">
        <v>4495</v>
      </c>
      <c r="E4543">
        <v>5</v>
      </c>
      <c r="J4543">
        <v>55</v>
      </c>
    </row>
    <row r="4544" spans="1:36">
      <c r="A4544" s="3" t="s">
        <v>4496</v>
      </c>
      <c r="E4544">
        <v>5</v>
      </c>
      <c r="J4544">
        <v>55</v>
      </c>
    </row>
    <row r="4545" spans="1:10">
      <c r="A4545" s="3" t="s">
        <v>4497</v>
      </c>
      <c r="E4545">
        <v>5</v>
      </c>
      <c r="J4545">
        <v>55</v>
      </c>
    </row>
    <row r="4546" spans="1:10">
      <c r="A4546" s="3" t="s">
        <v>4498</v>
      </c>
      <c r="E4546">
        <v>5</v>
      </c>
      <c r="J4546">
        <v>55</v>
      </c>
    </row>
    <row r="4547" spans="1:10">
      <c r="A4547" s="3" t="s">
        <v>4499</v>
      </c>
      <c r="E4547">
        <v>5</v>
      </c>
      <c r="J4547">
        <v>55</v>
      </c>
    </row>
    <row r="4548" spans="1:10">
      <c r="A4548" s="3" t="s">
        <v>4500</v>
      </c>
      <c r="E4548">
        <v>5</v>
      </c>
      <c r="J4548">
        <v>55</v>
      </c>
    </row>
    <row r="4549" spans="1:10">
      <c r="A4549" s="3" t="s">
        <v>4501</v>
      </c>
      <c r="E4549">
        <v>5</v>
      </c>
      <c r="J4549">
        <v>55</v>
      </c>
    </row>
    <row r="4550" spans="1:10">
      <c r="A4550" s="3" t="s">
        <v>4502</v>
      </c>
      <c r="E4550">
        <v>5</v>
      </c>
      <c r="J4550">
        <v>55</v>
      </c>
    </row>
    <row r="4551" spans="1:10">
      <c r="A4551" s="3" t="s">
        <v>4503</v>
      </c>
      <c r="E4551">
        <v>5</v>
      </c>
      <c r="J4551">
        <v>55</v>
      </c>
    </row>
    <row r="4552" spans="1:10">
      <c r="A4552" s="3" t="s">
        <v>4504</v>
      </c>
      <c r="E4552">
        <v>5</v>
      </c>
      <c r="J4552">
        <v>55</v>
      </c>
    </row>
    <row r="4553" spans="1:10">
      <c r="A4553" s="3" t="s">
        <v>4505</v>
      </c>
      <c r="E4553">
        <v>5</v>
      </c>
      <c r="J4553">
        <v>55</v>
      </c>
    </row>
    <row r="4554" spans="1:10">
      <c r="A4554" s="3" t="s">
        <v>4506</v>
      </c>
      <c r="E4554">
        <v>5</v>
      </c>
      <c r="J4554">
        <v>55</v>
      </c>
    </row>
    <row r="4555" spans="1:10">
      <c r="A4555" s="3" t="s">
        <v>4507</v>
      </c>
      <c r="E4555">
        <v>5</v>
      </c>
      <c r="J4555">
        <v>55</v>
      </c>
    </row>
    <row r="4556" spans="1:10">
      <c r="A4556" s="3" t="s">
        <v>4508</v>
      </c>
      <c r="E4556">
        <v>5</v>
      </c>
      <c r="J4556">
        <v>55</v>
      </c>
    </row>
    <row r="4557" spans="1:10">
      <c r="A4557" s="3" t="s">
        <v>4509</v>
      </c>
      <c r="E4557">
        <v>5</v>
      </c>
      <c r="J4557">
        <v>55</v>
      </c>
    </row>
    <row r="4558" spans="1:10">
      <c r="A4558" s="3" t="s">
        <v>4510</v>
      </c>
      <c r="E4558">
        <v>5</v>
      </c>
      <c r="J4558">
        <v>55</v>
      </c>
    </row>
    <row r="4559" spans="1:10">
      <c r="A4559" s="3" t="s">
        <v>4511</v>
      </c>
      <c r="E4559">
        <v>5</v>
      </c>
      <c r="J4559">
        <v>55</v>
      </c>
    </row>
    <row r="4560" spans="1:10">
      <c r="A4560" s="3" t="s">
        <v>4512</v>
      </c>
      <c r="E4560">
        <v>5</v>
      </c>
      <c r="J4560">
        <v>55</v>
      </c>
    </row>
    <row r="4561" spans="1:10">
      <c r="A4561" s="3" t="s">
        <v>4513</v>
      </c>
      <c r="E4561">
        <v>5</v>
      </c>
      <c r="J4561">
        <v>55</v>
      </c>
    </row>
    <row r="4562" spans="1:10">
      <c r="A4562" s="3" t="s">
        <v>4514</v>
      </c>
      <c r="E4562">
        <v>5</v>
      </c>
      <c r="J4562">
        <v>55</v>
      </c>
    </row>
    <row r="4563" spans="1:10">
      <c r="A4563" s="3" t="s">
        <v>4515</v>
      </c>
      <c r="E4563">
        <v>5</v>
      </c>
      <c r="J4563">
        <v>55</v>
      </c>
    </row>
    <row r="4564" spans="1:10">
      <c r="A4564" s="3" t="s">
        <v>4516</v>
      </c>
      <c r="E4564">
        <v>5</v>
      </c>
      <c r="J4564">
        <v>55</v>
      </c>
    </row>
    <row r="4565" spans="1:10">
      <c r="A4565" s="3" t="s">
        <v>4517</v>
      </c>
      <c r="E4565">
        <v>5</v>
      </c>
      <c r="J4565">
        <v>55</v>
      </c>
    </row>
    <row r="4566" spans="1:10">
      <c r="A4566" s="3" t="s">
        <v>4518</v>
      </c>
      <c r="E4566">
        <v>5</v>
      </c>
      <c r="J4566">
        <v>55</v>
      </c>
    </row>
    <row r="4567" spans="1:10">
      <c r="A4567" s="3" t="s">
        <v>4519</v>
      </c>
      <c r="E4567">
        <v>5</v>
      </c>
      <c r="J4567">
        <v>55</v>
      </c>
    </row>
    <row r="4568" spans="1:10">
      <c r="A4568" s="3" t="s">
        <v>4520</v>
      </c>
      <c r="E4568">
        <v>5</v>
      </c>
      <c r="J4568">
        <v>55</v>
      </c>
    </row>
    <row r="4569" spans="1:10">
      <c r="A4569" s="3" t="s">
        <v>4521</v>
      </c>
      <c r="E4569">
        <v>5</v>
      </c>
      <c r="J4569">
        <v>55</v>
      </c>
    </row>
    <row r="4570" spans="1:10">
      <c r="A4570" s="3" t="s">
        <v>4522</v>
      </c>
      <c r="E4570">
        <v>5</v>
      </c>
      <c r="J4570">
        <v>55</v>
      </c>
    </row>
    <row r="4571" spans="1:10">
      <c r="A4571" s="3" t="s">
        <v>4523</v>
      </c>
      <c r="E4571">
        <v>5</v>
      </c>
      <c r="J4571">
        <v>55</v>
      </c>
    </row>
    <row r="4572" spans="1:10">
      <c r="A4572" s="3" t="s">
        <v>4524</v>
      </c>
      <c r="E4572">
        <v>5</v>
      </c>
      <c r="J4572">
        <v>55</v>
      </c>
    </row>
    <row r="4573" spans="1:10">
      <c r="A4573" s="3" t="s">
        <v>4525</v>
      </c>
      <c r="E4573">
        <v>5</v>
      </c>
      <c r="J4573">
        <v>55</v>
      </c>
    </row>
    <row r="4574" spans="1:10">
      <c r="A4574" s="3" t="s">
        <v>4526</v>
      </c>
      <c r="E4574">
        <v>5</v>
      </c>
      <c r="J4574">
        <v>55</v>
      </c>
    </row>
    <row r="4575" spans="1:10">
      <c r="A4575" s="3" t="s">
        <v>4527</v>
      </c>
      <c r="E4575">
        <v>5</v>
      </c>
      <c r="J4575">
        <v>55</v>
      </c>
    </row>
    <row r="4576" spans="1:10">
      <c r="A4576" s="3" t="s">
        <v>4528</v>
      </c>
      <c r="E4576">
        <v>5</v>
      </c>
      <c r="J4576">
        <v>55</v>
      </c>
    </row>
    <row r="4577" spans="1:10">
      <c r="A4577" s="3" t="s">
        <v>4529</v>
      </c>
      <c r="D4577">
        <v>5</v>
      </c>
      <c r="E4577">
        <v>5</v>
      </c>
      <c r="J4577">
        <v>55</v>
      </c>
    </row>
    <row r="4578" spans="1:10">
      <c r="A4578" s="3" t="s">
        <v>4530</v>
      </c>
      <c r="D4578">
        <v>5</v>
      </c>
      <c r="E4578">
        <v>5</v>
      </c>
      <c r="J4578">
        <v>55</v>
      </c>
    </row>
    <row r="4579" spans="1:10">
      <c r="A4579" s="3" t="s">
        <v>4531</v>
      </c>
      <c r="D4579">
        <v>5</v>
      </c>
      <c r="E4579">
        <v>5</v>
      </c>
      <c r="J4579">
        <v>55</v>
      </c>
    </row>
    <row r="4580" spans="1:10">
      <c r="A4580" s="3" t="s">
        <v>4532</v>
      </c>
      <c r="D4580">
        <v>5</v>
      </c>
      <c r="E4580">
        <v>5</v>
      </c>
      <c r="J4580">
        <v>55</v>
      </c>
    </row>
    <row r="4581" spans="1:10">
      <c r="A4581" s="3" t="s">
        <v>4533</v>
      </c>
      <c r="D4581">
        <v>5</v>
      </c>
      <c r="E4581">
        <v>5</v>
      </c>
      <c r="J4581">
        <v>55</v>
      </c>
    </row>
    <row r="4582" spans="1:10">
      <c r="A4582" s="3" t="s">
        <v>4534</v>
      </c>
      <c r="D4582">
        <v>5</v>
      </c>
      <c r="E4582">
        <v>5</v>
      </c>
      <c r="J4582">
        <v>55</v>
      </c>
    </row>
    <row r="4583" spans="1:10">
      <c r="A4583" s="3" t="s">
        <v>4535</v>
      </c>
      <c r="D4583">
        <v>5</v>
      </c>
      <c r="E4583">
        <v>5</v>
      </c>
      <c r="J4583">
        <v>55</v>
      </c>
    </row>
    <row r="4584" spans="1:10">
      <c r="A4584" s="3" t="s">
        <v>4536</v>
      </c>
      <c r="D4584">
        <v>5</v>
      </c>
      <c r="J4584">
        <v>55</v>
      </c>
    </row>
    <row r="4585" spans="1:10">
      <c r="A4585" s="3" t="s">
        <v>4537</v>
      </c>
      <c r="D4585">
        <v>5</v>
      </c>
      <c r="J4585">
        <v>55</v>
      </c>
    </row>
    <row r="4586" spans="1:10">
      <c r="A4586" s="3" t="s">
        <v>4538</v>
      </c>
      <c r="D4586">
        <v>5</v>
      </c>
      <c r="J4586">
        <v>55</v>
      </c>
    </row>
    <row r="4587" spans="1:10">
      <c r="A4587" s="3" t="s">
        <v>4539</v>
      </c>
      <c r="D4587">
        <v>5</v>
      </c>
      <c r="J4587">
        <v>55</v>
      </c>
    </row>
    <row r="4588" spans="1:10">
      <c r="A4588" s="3" t="s">
        <v>4540</v>
      </c>
      <c r="D4588">
        <v>5</v>
      </c>
      <c r="J4588">
        <v>55</v>
      </c>
    </row>
    <row r="4589" spans="1:10">
      <c r="A4589" s="3" t="s">
        <v>4541</v>
      </c>
      <c r="D4589">
        <v>5</v>
      </c>
      <c r="J4589">
        <v>55</v>
      </c>
    </row>
    <row r="4590" spans="1:10">
      <c r="A4590" s="3" t="s">
        <v>4542</v>
      </c>
      <c r="D4590">
        <v>5</v>
      </c>
      <c r="J4590">
        <v>55</v>
      </c>
    </row>
    <row r="4591" spans="1:10">
      <c r="A4591" s="3" t="s">
        <v>4543</v>
      </c>
      <c r="D4591">
        <v>5</v>
      </c>
      <c r="J4591">
        <v>55</v>
      </c>
    </row>
    <row r="4592" spans="1:10">
      <c r="A4592" s="3" t="s">
        <v>4544</v>
      </c>
      <c r="D4592">
        <v>5</v>
      </c>
      <c r="J4592">
        <v>55</v>
      </c>
    </row>
    <row r="4593" spans="1:32">
      <c r="A4593" s="3" t="s">
        <v>4545</v>
      </c>
      <c r="D4593">
        <v>5</v>
      </c>
      <c r="J4593">
        <v>55</v>
      </c>
    </row>
    <row r="4594" spans="1:32">
      <c r="A4594" s="3" t="s">
        <v>4546</v>
      </c>
      <c r="D4594">
        <v>5</v>
      </c>
      <c r="J4594">
        <v>55</v>
      </c>
    </row>
    <row r="4595" spans="1:32">
      <c r="A4595" s="3" t="s">
        <v>4547</v>
      </c>
      <c r="D4595">
        <v>5</v>
      </c>
      <c r="J4595">
        <v>55</v>
      </c>
    </row>
    <row r="4596" spans="1:32">
      <c r="A4596" s="3" t="s">
        <v>4548</v>
      </c>
      <c r="D4596">
        <v>5</v>
      </c>
      <c r="J4596">
        <v>55</v>
      </c>
    </row>
    <row r="4597" spans="1:32">
      <c r="A4597" s="3" t="s">
        <v>4549</v>
      </c>
      <c r="D4597">
        <v>5</v>
      </c>
      <c r="J4597">
        <v>55</v>
      </c>
    </row>
    <row r="4598" spans="1:32">
      <c r="A4598" s="3" t="s">
        <v>4550</v>
      </c>
      <c r="D4598">
        <v>5</v>
      </c>
      <c r="J4598">
        <v>55</v>
      </c>
    </row>
    <row r="4599" spans="1:32">
      <c r="A4599" s="3" t="s">
        <v>4551</v>
      </c>
      <c r="D4599">
        <v>5</v>
      </c>
      <c r="J4599">
        <v>55</v>
      </c>
    </row>
    <row r="4600" spans="1:32">
      <c r="A4600" s="3" t="s">
        <v>4552</v>
      </c>
      <c r="D4600">
        <v>5</v>
      </c>
      <c r="AF4600">
        <v>2</v>
      </c>
    </row>
    <row r="4601" spans="1:32">
      <c r="A4601" s="3" t="s">
        <v>4553</v>
      </c>
      <c r="D4601">
        <v>5</v>
      </c>
      <c r="AF4601">
        <v>2</v>
      </c>
    </row>
    <row r="4602" spans="1:32">
      <c r="A4602" s="3" t="s">
        <v>4554</v>
      </c>
      <c r="D4602">
        <v>5</v>
      </c>
      <c r="AF4602">
        <v>2</v>
      </c>
    </row>
    <row r="4603" spans="1:32">
      <c r="A4603" s="3" t="s">
        <v>4555</v>
      </c>
      <c r="D4603">
        <v>5</v>
      </c>
      <c r="AF4603">
        <v>2</v>
      </c>
    </row>
    <row r="4604" spans="1:32">
      <c r="A4604" s="3" t="s">
        <v>4556</v>
      </c>
      <c r="D4604">
        <v>5</v>
      </c>
      <c r="AF4604">
        <v>2</v>
      </c>
    </row>
    <row r="4605" spans="1:32">
      <c r="A4605" s="3" t="s">
        <v>4557</v>
      </c>
      <c r="D4605">
        <v>5</v>
      </c>
      <c r="AF4605">
        <v>2</v>
      </c>
    </row>
    <row r="4606" spans="1:32">
      <c r="A4606" s="3" t="s">
        <v>4558</v>
      </c>
      <c r="D4606">
        <v>5</v>
      </c>
      <c r="AF4606">
        <v>2</v>
      </c>
    </row>
    <row r="4607" spans="1:32">
      <c r="A4607" s="3" t="s">
        <v>4559</v>
      </c>
      <c r="D4607">
        <v>5</v>
      </c>
      <c r="AF4607">
        <v>2</v>
      </c>
    </row>
    <row r="4608" spans="1:32">
      <c r="A4608" s="3" t="s">
        <v>4560</v>
      </c>
      <c r="D4608">
        <v>5</v>
      </c>
      <c r="AF4608">
        <v>2</v>
      </c>
    </row>
    <row r="4609" spans="1:33">
      <c r="A4609" s="3" t="s">
        <v>4561</v>
      </c>
      <c r="D4609">
        <v>5</v>
      </c>
      <c r="AF4609">
        <v>2</v>
      </c>
    </row>
    <row r="4610" spans="1:33">
      <c r="A4610" s="3" t="s">
        <v>4562</v>
      </c>
      <c r="D4610">
        <v>5</v>
      </c>
      <c r="AF4610">
        <v>2</v>
      </c>
    </row>
    <row r="4611" spans="1:33">
      <c r="A4611" s="3" t="s">
        <v>4563</v>
      </c>
      <c r="D4611">
        <v>5</v>
      </c>
      <c r="AF4611">
        <v>2</v>
      </c>
    </row>
    <row r="4612" spans="1:33">
      <c r="A4612" s="3" t="s">
        <v>4564</v>
      </c>
      <c r="D4612">
        <v>5</v>
      </c>
      <c r="AF4612">
        <v>2</v>
      </c>
    </row>
    <row r="4613" spans="1:33">
      <c r="A4613" s="3" t="s">
        <v>4565</v>
      </c>
      <c r="D4613">
        <v>5</v>
      </c>
      <c r="AF4613">
        <v>2</v>
      </c>
    </row>
    <row r="4614" spans="1:33">
      <c r="A4614" s="3" t="s">
        <v>4566</v>
      </c>
      <c r="D4614">
        <v>5</v>
      </c>
      <c r="AF4614">
        <v>2</v>
      </c>
    </row>
    <row r="4615" spans="1:33">
      <c r="A4615" s="3" t="s">
        <v>4567</v>
      </c>
      <c r="D4615">
        <v>5</v>
      </c>
      <c r="AF4615">
        <v>2</v>
      </c>
    </row>
    <row r="4616" spans="1:33">
      <c r="A4616" s="3" t="s">
        <v>4568</v>
      </c>
      <c r="D4616">
        <v>5</v>
      </c>
      <c r="AF4616">
        <v>2</v>
      </c>
    </row>
    <row r="4617" spans="1:33">
      <c r="A4617" s="3" t="s">
        <v>4569</v>
      </c>
      <c r="D4617">
        <v>5</v>
      </c>
      <c r="AF4617">
        <v>2</v>
      </c>
    </row>
    <row r="4618" spans="1:33">
      <c r="A4618" s="3" t="s">
        <v>4570</v>
      </c>
      <c r="D4618">
        <v>5</v>
      </c>
      <c r="AF4618">
        <v>2</v>
      </c>
    </row>
    <row r="4619" spans="1:33">
      <c r="A4619" s="3" t="s">
        <v>4571</v>
      </c>
      <c r="D4619">
        <v>5</v>
      </c>
      <c r="AF4619">
        <v>2</v>
      </c>
    </row>
    <row r="4620" spans="1:33">
      <c r="A4620" s="3" t="s">
        <v>4572</v>
      </c>
      <c r="D4620">
        <v>5</v>
      </c>
      <c r="AF4620">
        <v>2</v>
      </c>
    </row>
    <row r="4621" spans="1:33">
      <c r="A4621" s="3" t="s">
        <v>4573</v>
      </c>
      <c r="D4621">
        <v>5</v>
      </c>
      <c r="AG4621">
        <v>1</v>
      </c>
    </row>
    <row r="4622" spans="1:33">
      <c r="A4622" s="3" t="s">
        <v>4574</v>
      </c>
      <c r="D4622">
        <v>5</v>
      </c>
      <c r="AG4622">
        <v>1</v>
      </c>
    </row>
    <row r="4623" spans="1:33">
      <c r="A4623" s="3" t="s">
        <v>4575</v>
      </c>
      <c r="D4623">
        <v>5</v>
      </c>
      <c r="AG4623">
        <v>1</v>
      </c>
    </row>
    <row r="4624" spans="1:33">
      <c r="A4624" s="3" t="s">
        <v>4576</v>
      </c>
      <c r="D4624">
        <v>5</v>
      </c>
      <c r="AG4624">
        <v>1</v>
      </c>
    </row>
    <row r="4625" spans="1:33">
      <c r="A4625" s="3" t="s">
        <v>4577</v>
      </c>
      <c r="D4625">
        <v>5</v>
      </c>
      <c r="AG4625">
        <v>1</v>
      </c>
    </row>
    <row r="4626" spans="1:33">
      <c r="A4626" s="3" t="s">
        <v>4578</v>
      </c>
      <c r="D4626">
        <v>5</v>
      </c>
      <c r="AG4626">
        <v>1</v>
      </c>
    </row>
    <row r="4627" spans="1:33">
      <c r="A4627" s="3" t="s">
        <v>4579</v>
      </c>
      <c r="D4627">
        <v>5</v>
      </c>
      <c r="AG4627">
        <v>1</v>
      </c>
    </row>
    <row r="4628" spans="1:33">
      <c r="A4628" s="3" t="s">
        <v>4580</v>
      </c>
      <c r="D4628">
        <v>5</v>
      </c>
      <c r="AG4628">
        <v>1</v>
      </c>
    </row>
    <row r="4629" spans="1:33">
      <c r="A4629" s="3" t="s">
        <v>4581</v>
      </c>
      <c r="D4629">
        <v>5</v>
      </c>
      <c r="AG4629">
        <v>1</v>
      </c>
    </row>
    <row r="4630" spans="1:33">
      <c r="A4630" s="3" t="s">
        <v>4582</v>
      </c>
      <c r="D4630">
        <v>5</v>
      </c>
      <c r="AG4630">
        <v>1</v>
      </c>
    </row>
    <row r="4631" spans="1:33">
      <c r="A4631" s="3" t="s">
        <v>4583</v>
      </c>
      <c r="D4631">
        <v>5</v>
      </c>
      <c r="AG4631">
        <v>1</v>
      </c>
    </row>
    <row r="4632" spans="1:33">
      <c r="A4632" s="3" t="s">
        <v>4584</v>
      </c>
      <c r="D4632">
        <v>5</v>
      </c>
      <c r="AG4632">
        <v>1</v>
      </c>
    </row>
    <row r="4633" spans="1:33">
      <c r="A4633" s="3" t="s">
        <v>4585</v>
      </c>
      <c r="D4633">
        <v>5</v>
      </c>
      <c r="AG4633">
        <v>1</v>
      </c>
    </row>
    <row r="4634" spans="1:33">
      <c r="A4634" s="3" t="s">
        <v>4586</v>
      </c>
      <c r="D4634">
        <v>5</v>
      </c>
      <c r="AG4634">
        <v>1</v>
      </c>
    </row>
    <row r="4635" spans="1:33">
      <c r="A4635" s="3" t="s">
        <v>4587</v>
      </c>
      <c r="D4635">
        <v>5</v>
      </c>
      <c r="AG4635">
        <v>1</v>
      </c>
    </row>
    <row r="4636" spans="1:33">
      <c r="A4636" s="3" t="s">
        <v>4588</v>
      </c>
      <c r="D4636">
        <v>5</v>
      </c>
      <c r="AG4636">
        <v>1</v>
      </c>
    </row>
    <row r="4637" spans="1:33">
      <c r="A4637" s="3" t="s">
        <v>4589</v>
      </c>
      <c r="D4637">
        <v>5</v>
      </c>
      <c r="AG4637">
        <v>1</v>
      </c>
    </row>
    <row r="4638" spans="1:33">
      <c r="A4638" s="3" t="s">
        <v>4590</v>
      </c>
      <c r="D4638">
        <v>5</v>
      </c>
      <c r="AG4638">
        <v>1</v>
      </c>
    </row>
    <row r="4639" spans="1:33">
      <c r="A4639" s="3" t="s">
        <v>4591</v>
      </c>
      <c r="D4639">
        <v>5</v>
      </c>
      <c r="AG4639">
        <v>1</v>
      </c>
    </row>
    <row r="4640" spans="1:33">
      <c r="A4640" s="3" t="s">
        <v>4592</v>
      </c>
      <c r="D4640">
        <v>5</v>
      </c>
      <c r="AG4640">
        <v>1</v>
      </c>
    </row>
    <row r="4641" spans="1:33">
      <c r="A4641" s="3" t="s">
        <v>4593</v>
      </c>
      <c r="D4641">
        <v>5</v>
      </c>
      <c r="AG4641">
        <v>1</v>
      </c>
    </row>
    <row r="4642" spans="1:33">
      <c r="A4642" s="3" t="s">
        <v>4594</v>
      </c>
      <c r="D4642">
        <v>5</v>
      </c>
      <c r="AG4642">
        <v>1</v>
      </c>
    </row>
    <row r="4643" spans="1:33">
      <c r="A4643" s="3" t="s">
        <v>4595</v>
      </c>
      <c r="D4643">
        <v>5</v>
      </c>
      <c r="AG4643">
        <v>1</v>
      </c>
    </row>
    <row r="4644" spans="1:33">
      <c r="A4644" s="3" t="s">
        <v>4596</v>
      </c>
      <c r="D4644">
        <v>5</v>
      </c>
      <c r="AG4644">
        <v>1</v>
      </c>
    </row>
    <row r="4645" spans="1:33">
      <c r="A4645" s="3" t="s">
        <v>4597</v>
      </c>
      <c r="D4645">
        <v>5</v>
      </c>
      <c r="AG4645">
        <v>1</v>
      </c>
    </row>
    <row r="4646" spans="1:33">
      <c r="A4646" s="3" t="s">
        <v>4598</v>
      </c>
      <c r="D4646">
        <v>5</v>
      </c>
      <c r="AG4646">
        <v>1</v>
      </c>
    </row>
    <row r="4647" spans="1:33">
      <c r="A4647" s="3" t="s">
        <v>4599</v>
      </c>
      <c r="D4647">
        <v>5</v>
      </c>
      <c r="AG4647">
        <v>1</v>
      </c>
    </row>
    <row r="4648" spans="1:33">
      <c r="A4648" s="3" t="s">
        <v>4600</v>
      </c>
      <c r="D4648">
        <v>5</v>
      </c>
      <c r="AG4648">
        <v>1</v>
      </c>
    </row>
    <row r="4649" spans="1:33">
      <c r="A4649" s="3" t="s">
        <v>4601</v>
      </c>
      <c r="D4649">
        <v>5</v>
      </c>
      <c r="AG4649">
        <v>1</v>
      </c>
    </row>
    <row r="4650" spans="1:33">
      <c r="A4650" s="3" t="s">
        <v>4602</v>
      </c>
      <c r="D4650">
        <v>5</v>
      </c>
      <c r="AG4650">
        <v>1</v>
      </c>
    </row>
    <row r="4651" spans="1:33">
      <c r="A4651" s="3" t="s">
        <v>4603</v>
      </c>
      <c r="D4651">
        <v>5</v>
      </c>
      <c r="AG4651">
        <v>1</v>
      </c>
    </row>
    <row r="4652" spans="1:33">
      <c r="A4652" s="3" t="s">
        <v>4604</v>
      </c>
      <c r="D4652">
        <v>5</v>
      </c>
      <c r="AG4652">
        <v>1</v>
      </c>
    </row>
    <row r="4653" spans="1:33">
      <c r="A4653" s="3" t="s">
        <v>4605</v>
      </c>
      <c r="D4653">
        <v>5</v>
      </c>
      <c r="AG4653">
        <v>1</v>
      </c>
    </row>
    <row r="4654" spans="1:33">
      <c r="A4654" s="3" t="s">
        <v>4606</v>
      </c>
      <c r="D4654">
        <v>5</v>
      </c>
      <c r="AG4654">
        <v>1</v>
      </c>
    </row>
    <row r="4655" spans="1:33">
      <c r="A4655" s="3" t="s">
        <v>4607</v>
      </c>
      <c r="D4655">
        <v>5</v>
      </c>
      <c r="AG4655">
        <v>1</v>
      </c>
    </row>
    <row r="4656" spans="1:33">
      <c r="A4656" s="3" t="s">
        <v>4608</v>
      </c>
      <c r="D4656">
        <v>5</v>
      </c>
      <c r="AG4656">
        <v>1</v>
      </c>
    </row>
    <row r="4657" spans="1:33">
      <c r="A4657" s="3" t="s">
        <v>4609</v>
      </c>
      <c r="D4657">
        <v>5</v>
      </c>
      <c r="AG4657">
        <v>1</v>
      </c>
    </row>
    <row r="4658" spans="1:33">
      <c r="A4658" s="3" t="s">
        <v>4610</v>
      </c>
      <c r="D4658">
        <v>5</v>
      </c>
      <c r="AG4658">
        <v>1</v>
      </c>
    </row>
    <row r="4659" spans="1:33">
      <c r="A4659" s="3" t="s">
        <v>4611</v>
      </c>
      <c r="D4659">
        <v>5</v>
      </c>
      <c r="AG4659">
        <v>1</v>
      </c>
    </row>
    <row r="4660" spans="1:33">
      <c r="A4660" s="3" t="s">
        <v>4612</v>
      </c>
      <c r="D4660">
        <v>5</v>
      </c>
      <c r="AG4660">
        <v>1</v>
      </c>
    </row>
    <row r="4661" spans="1:33">
      <c r="A4661" s="3" t="s">
        <v>4613</v>
      </c>
      <c r="D4661">
        <v>5</v>
      </c>
      <c r="AG4661">
        <v>1</v>
      </c>
    </row>
    <row r="4662" spans="1:33">
      <c r="A4662" s="3" t="s">
        <v>4614</v>
      </c>
      <c r="D4662">
        <v>5</v>
      </c>
      <c r="AG4662">
        <v>1</v>
      </c>
    </row>
    <row r="4663" spans="1:33">
      <c r="A4663" s="3" t="s">
        <v>4615</v>
      </c>
      <c r="D4663">
        <v>5</v>
      </c>
      <c r="AG4663">
        <v>1</v>
      </c>
    </row>
    <row r="4664" spans="1:33">
      <c r="A4664" s="3" t="s">
        <v>4616</v>
      </c>
      <c r="D4664">
        <v>5</v>
      </c>
      <c r="AG4664">
        <v>1</v>
      </c>
    </row>
    <row r="4665" spans="1:33">
      <c r="A4665" s="3" t="s">
        <v>4617</v>
      </c>
      <c r="D4665">
        <v>5</v>
      </c>
      <c r="AG4665">
        <v>1</v>
      </c>
    </row>
    <row r="4666" spans="1:33">
      <c r="A4666" s="3" t="s">
        <v>4618</v>
      </c>
      <c r="D4666">
        <v>5</v>
      </c>
      <c r="AG4666">
        <v>1</v>
      </c>
    </row>
    <row r="4667" spans="1:33">
      <c r="A4667" s="3" t="s">
        <v>4619</v>
      </c>
      <c r="D4667">
        <v>5</v>
      </c>
      <c r="AG4667">
        <v>1</v>
      </c>
    </row>
    <row r="4668" spans="1:33">
      <c r="A4668" s="3" t="s">
        <v>4620</v>
      </c>
      <c r="D4668">
        <v>5</v>
      </c>
      <c r="AG4668">
        <v>1</v>
      </c>
    </row>
    <row r="4669" spans="1:33">
      <c r="A4669" s="3" t="s">
        <v>4621</v>
      </c>
      <c r="D4669">
        <v>5</v>
      </c>
      <c r="AG4669">
        <v>1</v>
      </c>
    </row>
    <row r="4670" spans="1:33">
      <c r="A4670" s="3" t="s">
        <v>4622</v>
      </c>
      <c r="D4670">
        <v>5</v>
      </c>
      <c r="AG4670">
        <v>1</v>
      </c>
    </row>
    <row r="4671" spans="1:33">
      <c r="A4671" s="3" t="s">
        <v>4623</v>
      </c>
      <c r="D4671">
        <v>5</v>
      </c>
      <c r="AG4671">
        <v>1</v>
      </c>
    </row>
    <row r="4672" spans="1:33">
      <c r="A4672" s="3" t="s">
        <v>4624</v>
      </c>
      <c r="D4672">
        <v>5</v>
      </c>
      <c r="AG4672">
        <v>1</v>
      </c>
    </row>
    <row r="4673" spans="1:33">
      <c r="A4673" s="3" t="s">
        <v>4625</v>
      </c>
      <c r="D4673">
        <v>5</v>
      </c>
      <c r="AG4673">
        <v>1</v>
      </c>
    </row>
    <row r="4674" spans="1:33">
      <c r="A4674" s="3" t="s">
        <v>4626</v>
      </c>
      <c r="D4674">
        <v>5</v>
      </c>
      <c r="AG4674">
        <v>1</v>
      </c>
    </row>
    <row r="4675" spans="1:33">
      <c r="A4675" s="3" t="s">
        <v>4627</v>
      </c>
      <c r="D4675">
        <v>5</v>
      </c>
      <c r="AG4675">
        <v>1</v>
      </c>
    </row>
    <row r="4676" spans="1:33">
      <c r="A4676" s="3" t="s">
        <v>4628</v>
      </c>
      <c r="D4676">
        <v>5</v>
      </c>
      <c r="AG4676">
        <v>1</v>
      </c>
    </row>
    <row r="4677" spans="1:33">
      <c r="A4677" s="3" t="s">
        <v>4629</v>
      </c>
      <c r="D4677">
        <v>5</v>
      </c>
      <c r="AG4677">
        <v>1</v>
      </c>
    </row>
    <row r="4678" spans="1:33">
      <c r="A4678" s="3" t="s">
        <v>4630</v>
      </c>
      <c r="D4678">
        <v>5</v>
      </c>
      <c r="AG4678">
        <v>1</v>
      </c>
    </row>
    <row r="4679" spans="1:33">
      <c r="A4679" s="3" t="s">
        <v>4631</v>
      </c>
      <c r="D4679">
        <v>5</v>
      </c>
      <c r="AG4679">
        <v>1</v>
      </c>
    </row>
    <row r="4680" spans="1:33">
      <c r="A4680" s="3" t="s">
        <v>4632</v>
      </c>
      <c r="D4680">
        <v>5</v>
      </c>
      <c r="AG4680">
        <v>1</v>
      </c>
    </row>
    <row r="4681" spans="1:33">
      <c r="A4681" s="3" t="s">
        <v>4633</v>
      </c>
      <c r="D4681">
        <v>5</v>
      </c>
      <c r="AG4681">
        <v>1</v>
      </c>
    </row>
    <row r="4682" spans="1:33">
      <c r="A4682" s="3" t="s">
        <v>4634</v>
      </c>
      <c r="D4682">
        <v>5</v>
      </c>
      <c r="AG4682">
        <v>1</v>
      </c>
    </row>
    <row r="4683" spans="1:33">
      <c r="A4683" s="3" t="s">
        <v>4635</v>
      </c>
      <c r="D4683">
        <v>5</v>
      </c>
      <c r="AG4683">
        <v>1</v>
      </c>
    </row>
    <row r="4684" spans="1:33">
      <c r="A4684" s="3" t="s">
        <v>4636</v>
      </c>
      <c r="D4684">
        <v>5</v>
      </c>
      <c r="AG4684">
        <v>1</v>
      </c>
    </row>
    <row r="4685" spans="1:33">
      <c r="A4685" s="3" t="s">
        <v>4637</v>
      </c>
      <c r="D4685">
        <v>5</v>
      </c>
      <c r="AG4685">
        <v>1</v>
      </c>
    </row>
    <row r="4686" spans="1:33">
      <c r="A4686" s="3" t="s">
        <v>4638</v>
      </c>
      <c r="D4686">
        <v>5</v>
      </c>
      <c r="AG4686">
        <v>1</v>
      </c>
    </row>
    <row r="4687" spans="1:33">
      <c r="A4687" s="3" t="s">
        <v>4639</v>
      </c>
      <c r="D4687">
        <v>5</v>
      </c>
      <c r="AG4687">
        <v>1</v>
      </c>
    </row>
    <row r="4688" spans="1:33">
      <c r="A4688" s="3" t="s">
        <v>4640</v>
      </c>
      <c r="D4688">
        <v>5</v>
      </c>
      <c r="AG4688">
        <v>1</v>
      </c>
    </row>
    <row r="4689" spans="1:33">
      <c r="A4689" s="3" t="s">
        <v>4641</v>
      </c>
      <c r="D4689">
        <v>5</v>
      </c>
      <c r="AG4689">
        <v>1</v>
      </c>
    </row>
    <row r="4690" spans="1:33">
      <c r="A4690" s="3" t="s">
        <v>4642</v>
      </c>
      <c r="D4690">
        <v>5</v>
      </c>
      <c r="AG4690">
        <v>1</v>
      </c>
    </row>
    <row r="4691" spans="1:33">
      <c r="A4691" s="3" t="s">
        <v>4643</v>
      </c>
      <c r="D4691">
        <v>5</v>
      </c>
      <c r="AG4691">
        <v>1</v>
      </c>
    </row>
    <row r="4692" spans="1:33">
      <c r="A4692" s="3" t="s">
        <v>4644</v>
      </c>
      <c r="D4692">
        <v>5</v>
      </c>
      <c r="AG4692">
        <v>1</v>
      </c>
    </row>
    <row r="4693" spans="1:33">
      <c r="A4693" s="3" t="s">
        <v>4645</v>
      </c>
      <c r="D4693">
        <v>5</v>
      </c>
      <c r="AG4693">
        <v>1</v>
      </c>
    </row>
    <row r="4694" spans="1:33">
      <c r="A4694" s="3" t="s">
        <v>4646</v>
      </c>
      <c r="D4694">
        <v>5</v>
      </c>
      <c r="AG4694">
        <v>1</v>
      </c>
    </row>
    <row r="4695" spans="1:33">
      <c r="A4695" s="3" t="s">
        <v>4647</v>
      </c>
      <c r="D4695">
        <v>5</v>
      </c>
      <c r="AG4695">
        <v>1</v>
      </c>
    </row>
    <row r="4696" spans="1:33">
      <c r="A4696" s="3" t="s">
        <v>4648</v>
      </c>
      <c r="D4696">
        <v>5</v>
      </c>
      <c r="AG4696">
        <v>1</v>
      </c>
    </row>
    <row r="4697" spans="1:33">
      <c r="A4697" s="3" t="s">
        <v>4649</v>
      </c>
      <c r="D4697">
        <v>5</v>
      </c>
      <c r="AG4697">
        <v>1</v>
      </c>
    </row>
    <row r="4698" spans="1:33">
      <c r="A4698" s="3" t="s">
        <v>4650</v>
      </c>
      <c r="D4698">
        <v>5</v>
      </c>
      <c r="AG4698">
        <v>1</v>
      </c>
    </row>
    <row r="4699" spans="1:33">
      <c r="A4699" s="3" t="s">
        <v>4651</v>
      </c>
      <c r="D4699">
        <v>5</v>
      </c>
      <c r="AG4699">
        <v>1</v>
      </c>
    </row>
    <row r="4700" spans="1:33">
      <c r="A4700" s="3" t="s">
        <v>4652</v>
      </c>
      <c r="D4700">
        <v>5</v>
      </c>
      <c r="AG4700">
        <v>1</v>
      </c>
    </row>
    <row r="4701" spans="1:33">
      <c r="A4701" s="3" t="s">
        <v>4653</v>
      </c>
      <c r="D4701">
        <v>5</v>
      </c>
      <c r="AG4701">
        <v>1</v>
      </c>
    </row>
    <row r="4702" spans="1:33">
      <c r="A4702" s="3" t="s">
        <v>4654</v>
      </c>
      <c r="D4702">
        <v>5</v>
      </c>
      <c r="AG4702">
        <v>1</v>
      </c>
    </row>
    <row r="4703" spans="1:33">
      <c r="A4703" s="3" t="s">
        <v>4655</v>
      </c>
      <c r="D4703">
        <v>5</v>
      </c>
      <c r="AG4703">
        <v>1</v>
      </c>
    </row>
    <row r="4704" spans="1:33">
      <c r="A4704" s="3" t="s">
        <v>4656</v>
      </c>
      <c r="D4704">
        <v>5</v>
      </c>
      <c r="AG4704">
        <v>1</v>
      </c>
    </row>
    <row r="4705" spans="1:33">
      <c r="A4705" s="3" t="s">
        <v>4657</v>
      </c>
      <c r="D4705">
        <v>5</v>
      </c>
      <c r="AG4705">
        <v>1</v>
      </c>
    </row>
    <row r="4706" spans="1:33">
      <c r="A4706" s="3" t="s">
        <v>4658</v>
      </c>
      <c r="D4706">
        <v>5</v>
      </c>
      <c r="AG4706">
        <v>1</v>
      </c>
    </row>
    <row r="4707" spans="1:33">
      <c r="A4707" s="3" t="s">
        <v>4659</v>
      </c>
      <c r="D4707">
        <v>5</v>
      </c>
      <c r="AG4707">
        <v>1</v>
      </c>
    </row>
    <row r="4708" spans="1:33">
      <c r="A4708" s="3" t="s">
        <v>4660</v>
      </c>
      <c r="D4708">
        <v>5</v>
      </c>
      <c r="AG4708">
        <v>1</v>
      </c>
    </row>
    <row r="4709" spans="1:33">
      <c r="A4709" s="3" t="s">
        <v>4661</v>
      </c>
      <c r="D4709">
        <v>5</v>
      </c>
      <c r="AG4709">
        <v>1</v>
      </c>
    </row>
    <row r="4710" spans="1:33">
      <c r="A4710" s="3" t="s">
        <v>4662</v>
      </c>
      <c r="D4710">
        <v>5</v>
      </c>
      <c r="AG4710">
        <v>1</v>
      </c>
    </row>
    <row r="4711" spans="1:33">
      <c r="A4711" s="3" t="s">
        <v>4663</v>
      </c>
      <c r="D4711">
        <v>5</v>
      </c>
      <c r="AG4711">
        <v>1</v>
      </c>
    </row>
    <row r="4712" spans="1:33">
      <c r="A4712" s="3" t="s">
        <v>4664</v>
      </c>
      <c r="D4712">
        <v>5</v>
      </c>
      <c r="AG4712">
        <v>1</v>
      </c>
    </row>
    <row r="4713" spans="1:33">
      <c r="A4713" s="3" t="s">
        <v>4665</v>
      </c>
      <c r="D4713">
        <v>5</v>
      </c>
      <c r="AG4713">
        <v>1</v>
      </c>
    </row>
    <row r="4714" spans="1:33">
      <c r="A4714" s="3" t="s">
        <v>4666</v>
      </c>
      <c r="D4714">
        <v>5</v>
      </c>
      <c r="AG4714">
        <v>1</v>
      </c>
    </row>
    <row r="4715" spans="1:33">
      <c r="A4715" s="3" t="s">
        <v>4667</v>
      </c>
      <c r="D4715">
        <v>5</v>
      </c>
      <c r="AG4715">
        <v>1</v>
      </c>
    </row>
    <row r="4716" spans="1:33">
      <c r="A4716" s="3" t="s">
        <v>4668</v>
      </c>
      <c r="D4716">
        <v>5</v>
      </c>
      <c r="AG4716">
        <v>1</v>
      </c>
    </row>
    <row r="4717" spans="1:33">
      <c r="A4717" s="3" t="s">
        <v>4669</v>
      </c>
      <c r="D4717">
        <v>5</v>
      </c>
      <c r="AG4717">
        <v>1</v>
      </c>
    </row>
    <row r="4718" spans="1:33">
      <c r="A4718" s="3" t="s">
        <v>4670</v>
      </c>
      <c r="D4718">
        <v>5</v>
      </c>
      <c r="AG4718">
        <v>1</v>
      </c>
    </row>
    <row r="4719" spans="1:33">
      <c r="A4719" s="3" t="s">
        <v>4671</v>
      </c>
      <c r="D4719">
        <v>5</v>
      </c>
      <c r="AG4719">
        <v>1</v>
      </c>
    </row>
    <row r="4720" spans="1:33">
      <c r="A4720" s="3" t="s">
        <v>4672</v>
      </c>
      <c r="D4720">
        <v>5</v>
      </c>
      <c r="AG4720">
        <v>1</v>
      </c>
    </row>
    <row r="4721" spans="1:33">
      <c r="A4721" s="3" t="s">
        <v>4673</v>
      </c>
      <c r="D4721">
        <v>5</v>
      </c>
      <c r="AG4721">
        <v>1</v>
      </c>
    </row>
    <row r="4722" spans="1:33">
      <c r="A4722" s="3" t="s">
        <v>4674</v>
      </c>
      <c r="D4722">
        <v>5</v>
      </c>
      <c r="AG4722">
        <v>1</v>
      </c>
    </row>
    <row r="4723" spans="1:33">
      <c r="A4723" s="3" t="s">
        <v>4675</v>
      </c>
      <c r="D4723">
        <v>5</v>
      </c>
      <c r="AG4723">
        <v>1</v>
      </c>
    </row>
    <row r="4724" spans="1:33">
      <c r="A4724" s="3" t="s">
        <v>4676</v>
      </c>
      <c r="D4724">
        <v>5</v>
      </c>
      <c r="AG4724">
        <v>1</v>
      </c>
    </row>
    <row r="4725" spans="1:33">
      <c r="A4725" s="3" t="s">
        <v>4677</v>
      </c>
      <c r="D4725">
        <v>5</v>
      </c>
      <c r="AG4725">
        <v>1</v>
      </c>
    </row>
    <row r="4726" spans="1:33">
      <c r="A4726" s="3" t="s">
        <v>4678</v>
      </c>
      <c r="D4726">
        <v>5</v>
      </c>
      <c r="AG4726">
        <v>1</v>
      </c>
    </row>
    <row r="4727" spans="1:33">
      <c r="A4727" s="3" t="s">
        <v>4679</v>
      </c>
      <c r="D4727">
        <v>5</v>
      </c>
      <c r="AG4727">
        <v>1</v>
      </c>
    </row>
    <row r="4728" spans="1:33">
      <c r="A4728" s="3" t="s">
        <v>4680</v>
      </c>
      <c r="D4728">
        <v>5</v>
      </c>
      <c r="AG4728">
        <v>1</v>
      </c>
    </row>
    <row r="4729" spans="1:33">
      <c r="A4729" s="3" t="s">
        <v>4681</v>
      </c>
      <c r="D4729">
        <v>5</v>
      </c>
      <c r="AG4729">
        <v>1</v>
      </c>
    </row>
    <row r="4730" spans="1:33">
      <c r="A4730" s="3" t="s">
        <v>4682</v>
      </c>
      <c r="D4730">
        <v>5</v>
      </c>
      <c r="AG4730">
        <v>1</v>
      </c>
    </row>
    <row r="4731" spans="1:33">
      <c r="A4731" s="3" t="s">
        <v>4683</v>
      </c>
      <c r="D4731">
        <v>5</v>
      </c>
      <c r="AG4731">
        <v>1</v>
      </c>
    </row>
    <row r="4732" spans="1:33">
      <c r="A4732" s="3" t="s">
        <v>4684</v>
      </c>
      <c r="D4732">
        <v>5</v>
      </c>
      <c r="AG4732">
        <v>1</v>
      </c>
    </row>
    <row r="4733" spans="1:33">
      <c r="A4733" s="3" t="s">
        <v>4685</v>
      </c>
      <c r="D4733">
        <v>5</v>
      </c>
      <c r="AG4733">
        <v>1</v>
      </c>
    </row>
    <row r="4734" spans="1:33">
      <c r="A4734" s="3" t="s">
        <v>4686</v>
      </c>
      <c r="D4734">
        <v>5</v>
      </c>
      <c r="AG4734">
        <v>1</v>
      </c>
    </row>
    <row r="4735" spans="1:33">
      <c r="A4735" s="3" t="s">
        <v>4687</v>
      </c>
      <c r="D4735">
        <v>5</v>
      </c>
      <c r="AG4735">
        <v>1</v>
      </c>
    </row>
    <row r="4736" spans="1:33">
      <c r="A4736" s="3" t="s">
        <v>4688</v>
      </c>
      <c r="D4736">
        <v>5</v>
      </c>
      <c r="AG4736">
        <v>1</v>
      </c>
    </row>
    <row r="4737" spans="1:33">
      <c r="A4737" s="3" t="s">
        <v>4689</v>
      </c>
      <c r="D4737">
        <v>5</v>
      </c>
      <c r="AG4737">
        <v>1</v>
      </c>
    </row>
    <row r="4738" spans="1:33">
      <c r="A4738" s="3" t="s">
        <v>4690</v>
      </c>
      <c r="D4738">
        <v>5</v>
      </c>
      <c r="AG4738">
        <v>1</v>
      </c>
    </row>
    <row r="4739" spans="1:33">
      <c r="A4739" s="3" t="s">
        <v>4691</v>
      </c>
      <c r="D4739">
        <v>5</v>
      </c>
      <c r="AG4739">
        <v>1</v>
      </c>
    </row>
    <row r="4740" spans="1:33">
      <c r="A4740" s="3" t="s">
        <v>4692</v>
      </c>
      <c r="D4740">
        <v>5</v>
      </c>
      <c r="AG4740">
        <v>1</v>
      </c>
    </row>
    <row r="4741" spans="1:33">
      <c r="A4741" s="3" t="s">
        <v>4693</v>
      </c>
      <c r="D4741">
        <v>5</v>
      </c>
      <c r="AG4741">
        <v>1</v>
      </c>
    </row>
    <row r="4742" spans="1:33">
      <c r="A4742" s="3" t="s">
        <v>4694</v>
      </c>
      <c r="D4742">
        <v>5</v>
      </c>
      <c r="AG4742">
        <v>1</v>
      </c>
    </row>
    <row r="4743" spans="1:33">
      <c r="A4743" s="3" t="s">
        <v>4695</v>
      </c>
      <c r="D4743">
        <v>5</v>
      </c>
      <c r="AG4743">
        <v>1</v>
      </c>
    </row>
    <row r="4744" spans="1:33">
      <c r="A4744" s="3" t="s">
        <v>4696</v>
      </c>
      <c r="D4744">
        <v>5</v>
      </c>
      <c r="AG4744">
        <v>1</v>
      </c>
    </row>
    <row r="4745" spans="1:33">
      <c r="A4745" s="3" t="s">
        <v>4697</v>
      </c>
      <c r="D4745">
        <v>5</v>
      </c>
      <c r="AG4745">
        <v>1</v>
      </c>
    </row>
    <row r="4746" spans="1:33">
      <c r="A4746" s="3" t="s">
        <v>4698</v>
      </c>
      <c r="D4746">
        <v>5</v>
      </c>
      <c r="AG4746">
        <v>1</v>
      </c>
    </row>
    <row r="4747" spans="1:33">
      <c r="A4747" s="3" t="s">
        <v>4699</v>
      </c>
      <c r="D4747">
        <v>5</v>
      </c>
      <c r="AG4747">
        <v>1</v>
      </c>
    </row>
    <row r="4748" spans="1:33">
      <c r="A4748" s="3" t="s">
        <v>4700</v>
      </c>
      <c r="D4748">
        <v>5</v>
      </c>
      <c r="AG4748">
        <v>1</v>
      </c>
    </row>
    <row r="4749" spans="1:33">
      <c r="A4749" s="3" t="s">
        <v>4701</v>
      </c>
      <c r="D4749">
        <v>5</v>
      </c>
      <c r="AG4749">
        <v>1</v>
      </c>
    </row>
    <row r="4750" spans="1:33">
      <c r="A4750" s="3" t="s">
        <v>4702</v>
      </c>
      <c r="D4750">
        <v>5</v>
      </c>
      <c r="AG4750">
        <v>1</v>
      </c>
    </row>
    <row r="4751" spans="1:33">
      <c r="A4751" s="3" t="s">
        <v>4703</v>
      </c>
      <c r="D4751">
        <v>5</v>
      </c>
      <c r="AG4751">
        <v>1</v>
      </c>
    </row>
    <row r="4752" spans="1:33">
      <c r="A4752" s="3" t="s">
        <v>4704</v>
      </c>
      <c r="D4752">
        <v>5</v>
      </c>
      <c r="AG4752">
        <v>1</v>
      </c>
    </row>
    <row r="4753" spans="1:33">
      <c r="A4753" s="3" t="s">
        <v>4705</v>
      </c>
      <c r="D4753">
        <v>5</v>
      </c>
      <c r="AG4753">
        <v>1</v>
      </c>
    </row>
    <row r="4754" spans="1:33">
      <c r="A4754" s="3" t="s">
        <v>4706</v>
      </c>
      <c r="D4754">
        <v>5</v>
      </c>
      <c r="AG4754">
        <v>1</v>
      </c>
    </row>
    <row r="4755" spans="1:33">
      <c r="A4755" s="3" t="s">
        <v>4707</v>
      </c>
      <c r="D4755">
        <v>5</v>
      </c>
      <c r="AG4755">
        <v>1</v>
      </c>
    </row>
    <row r="4756" spans="1:33">
      <c r="A4756" s="3" t="s">
        <v>4708</v>
      </c>
      <c r="D4756">
        <v>5</v>
      </c>
      <c r="AG4756">
        <v>1</v>
      </c>
    </row>
    <row r="4757" spans="1:33">
      <c r="A4757" s="3" t="s">
        <v>4709</v>
      </c>
      <c r="D4757">
        <v>5</v>
      </c>
      <c r="AG4757">
        <v>1</v>
      </c>
    </row>
    <row r="4758" spans="1:33">
      <c r="A4758" s="3" t="s">
        <v>4710</v>
      </c>
      <c r="D4758">
        <v>5</v>
      </c>
      <c r="AG4758">
        <v>1</v>
      </c>
    </row>
    <row r="4759" spans="1:33">
      <c r="A4759" s="3" t="s">
        <v>4711</v>
      </c>
      <c r="D4759">
        <v>5</v>
      </c>
      <c r="AG4759">
        <v>1</v>
      </c>
    </row>
    <row r="4760" spans="1:33">
      <c r="A4760" s="3" t="s">
        <v>4712</v>
      </c>
      <c r="D4760">
        <v>5</v>
      </c>
      <c r="AG4760">
        <v>1</v>
      </c>
    </row>
    <row r="4761" spans="1:33">
      <c r="A4761" s="3" t="s">
        <v>4713</v>
      </c>
      <c r="D4761">
        <v>5</v>
      </c>
      <c r="AG4761">
        <v>1</v>
      </c>
    </row>
    <row r="4762" spans="1:33">
      <c r="A4762" s="3" t="s">
        <v>4714</v>
      </c>
      <c r="D4762">
        <v>5</v>
      </c>
      <c r="AG4762">
        <v>1</v>
      </c>
    </row>
    <row r="4763" spans="1:33">
      <c r="A4763" s="3" t="s">
        <v>4715</v>
      </c>
      <c r="D4763">
        <v>5</v>
      </c>
      <c r="AG4763">
        <v>1</v>
      </c>
    </row>
    <row r="4764" spans="1:33">
      <c r="A4764" s="3" t="s">
        <v>4716</v>
      </c>
      <c r="D4764">
        <v>5</v>
      </c>
      <c r="J4764">
        <v>56</v>
      </c>
    </row>
    <row r="4765" spans="1:33">
      <c r="A4765" s="3" t="s">
        <v>4717</v>
      </c>
      <c r="D4765">
        <v>5</v>
      </c>
      <c r="J4765">
        <v>56</v>
      </c>
    </row>
    <row r="4766" spans="1:33">
      <c r="A4766" s="3" t="s">
        <v>4718</v>
      </c>
      <c r="D4766">
        <v>5</v>
      </c>
      <c r="J4766">
        <v>56</v>
      </c>
    </row>
    <row r="4767" spans="1:33">
      <c r="A4767" s="3" t="s">
        <v>4719</v>
      </c>
      <c r="D4767">
        <v>5</v>
      </c>
      <c r="J4767">
        <v>56</v>
      </c>
    </row>
    <row r="4768" spans="1:33">
      <c r="A4768" s="3" t="s">
        <v>4720</v>
      </c>
      <c r="D4768">
        <v>5</v>
      </c>
      <c r="J4768">
        <v>56</v>
      </c>
    </row>
    <row r="4769" spans="1:10">
      <c r="A4769" s="3" t="s">
        <v>4721</v>
      </c>
      <c r="D4769">
        <v>5</v>
      </c>
      <c r="J4769">
        <v>56</v>
      </c>
    </row>
    <row r="4770" spans="1:10">
      <c r="A4770" s="3" t="s">
        <v>4722</v>
      </c>
      <c r="D4770">
        <v>5</v>
      </c>
      <c r="J4770">
        <v>56</v>
      </c>
    </row>
    <row r="4771" spans="1:10">
      <c r="A4771" s="3" t="s">
        <v>4723</v>
      </c>
      <c r="D4771">
        <v>5</v>
      </c>
      <c r="J4771">
        <v>56</v>
      </c>
    </row>
    <row r="4772" spans="1:10">
      <c r="A4772" s="3" t="s">
        <v>4724</v>
      </c>
      <c r="D4772">
        <v>5</v>
      </c>
      <c r="J4772">
        <v>56</v>
      </c>
    </row>
    <row r="4773" spans="1:10">
      <c r="A4773" s="3" t="s">
        <v>4725</v>
      </c>
      <c r="D4773">
        <v>5</v>
      </c>
      <c r="J4773">
        <v>56</v>
      </c>
    </row>
    <row r="4774" spans="1:10">
      <c r="A4774" s="3" t="s">
        <v>4726</v>
      </c>
      <c r="D4774">
        <v>5</v>
      </c>
      <c r="J4774">
        <v>56</v>
      </c>
    </row>
    <row r="4775" spans="1:10">
      <c r="A4775" s="3" t="s">
        <v>4727</v>
      </c>
      <c r="D4775">
        <v>5</v>
      </c>
      <c r="J4775">
        <v>56</v>
      </c>
    </row>
    <row r="4776" spans="1:10">
      <c r="A4776" s="3" t="s">
        <v>4728</v>
      </c>
      <c r="D4776">
        <v>5</v>
      </c>
      <c r="J4776">
        <v>56</v>
      </c>
    </row>
    <row r="4777" spans="1:10">
      <c r="A4777" s="3" t="s">
        <v>4729</v>
      </c>
      <c r="D4777">
        <v>5</v>
      </c>
      <c r="J4777">
        <v>56</v>
      </c>
    </row>
    <row r="4778" spans="1:10">
      <c r="A4778" s="3" t="s">
        <v>4730</v>
      </c>
      <c r="D4778">
        <v>5</v>
      </c>
      <c r="J4778">
        <v>56</v>
      </c>
    </row>
    <row r="4779" spans="1:10">
      <c r="A4779" s="3" t="s">
        <v>4731</v>
      </c>
      <c r="D4779">
        <v>5</v>
      </c>
      <c r="J4779">
        <v>56</v>
      </c>
    </row>
    <row r="4780" spans="1:10">
      <c r="A4780" s="3" t="s">
        <v>4732</v>
      </c>
      <c r="D4780">
        <v>5</v>
      </c>
      <c r="J4780">
        <v>56</v>
      </c>
    </row>
    <row r="4781" spans="1:10">
      <c r="A4781" s="3" t="s">
        <v>4733</v>
      </c>
      <c r="D4781">
        <v>5</v>
      </c>
      <c r="J4781">
        <v>56</v>
      </c>
    </row>
    <row r="4782" spans="1:10">
      <c r="A4782" s="3" t="s">
        <v>4734</v>
      </c>
      <c r="D4782">
        <v>5</v>
      </c>
      <c r="J4782">
        <v>56</v>
      </c>
    </row>
    <row r="4783" spans="1:10">
      <c r="A4783" s="3" t="s">
        <v>4735</v>
      </c>
      <c r="D4783">
        <v>5</v>
      </c>
      <c r="J4783">
        <v>56</v>
      </c>
    </row>
    <row r="4784" spans="1:10">
      <c r="A4784" s="3" t="s">
        <v>4736</v>
      </c>
      <c r="D4784">
        <v>5</v>
      </c>
      <c r="J4784">
        <v>56</v>
      </c>
    </row>
    <row r="4785" spans="1:10">
      <c r="A4785" s="3" t="s">
        <v>4737</v>
      </c>
      <c r="D4785">
        <v>5</v>
      </c>
      <c r="J4785">
        <v>56</v>
      </c>
    </row>
    <row r="4786" spans="1:10">
      <c r="A4786" s="3" t="s">
        <v>4738</v>
      </c>
      <c r="D4786">
        <v>5</v>
      </c>
      <c r="J4786">
        <v>56</v>
      </c>
    </row>
    <row r="4787" spans="1:10">
      <c r="A4787" s="3" t="s">
        <v>4739</v>
      </c>
      <c r="D4787">
        <v>5</v>
      </c>
      <c r="J4787">
        <v>56</v>
      </c>
    </row>
    <row r="4788" spans="1:10">
      <c r="A4788" s="3" t="s">
        <v>4740</v>
      </c>
      <c r="D4788">
        <v>5</v>
      </c>
      <c r="J4788">
        <v>56</v>
      </c>
    </row>
    <row r="4789" spans="1:10">
      <c r="A4789" s="3" t="s">
        <v>4741</v>
      </c>
      <c r="D4789">
        <v>5</v>
      </c>
      <c r="J4789">
        <v>56</v>
      </c>
    </row>
    <row r="4790" spans="1:10">
      <c r="A4790" s="3" t="s">
        <v>4742</v>
      </c>
      <c r="D4790">
        <v>5</v>
      </c>
      <c r="J4790">
        <v>56</v>
      </c>
    </row>
    <row r="4791" spans="1:10">
      <c r="A4791" s="3" t="s">
        <v>4743</v>
      </c>
      <c r="D4791">
        <v>5</v>
      </c>
      <c r="J4791">
        <v>56</v>
      </c>
    </row>
    <row r="4792" spans="1:10">
      <c r="A4792" s="3" t="s">
        <v>4744</v>
      </c>
      <c r="D4792">
        <v>5</v>
      </c>
      <c r="J4792">
        <v>56</v>
      </c>
    </row>
    <row r="4793" spans="1:10">
      <c r="A4793" s="3" t="s">
        <v>4745</v>
      </c>
      <c r="D4793">
        <v>5</v>
      </c>
      <c r="J4793">
        <v>56</v>
      </c>
    </row>
    <row r="4794" spans="1:10">
      <c r="A4794" s="3" t="s">
        <v>4746</v>
      </c>
      <c r="D4794">
        <v>5</v>
      </c>
      <c r="J4794">
        <v>56</v>
      </c>
    </row>
    <row r="4795" spans="1:10">
      <c r="A4795" s="3" t="s">
        <v>4747</v>
      </c>
      <c r="D4795">
        <v>5</v>
      </c>
      <c r="J4795">
        <v>56</v>
      </c>
    </row>
    <row r="4796" spans="1:10">
      <c r="A4796" s="3" t="s">
        <v>4748</v>
      </c>
      <c r="D4796">
        <v>5</v>
      </c>
      <c r="J4796">
        <v>56</v>
      </c>
    </row>
    <row r="4797" spans="1:10">
      <c r="A4797" s="3" t="s">
        <v>4749</v>
      </c>
      <c r="D4797">
        <v>5</v>
      </c>
      <c r="J4797">
        <v>56</v>
      </c>
    </row>
    <row r="4798" spans="1:10">
      <c r="A4798" s="3" t="s">
        <v>4750</v>
      </c>
      <c r="D4798">
        <v>5</v>
      </c>
      <c r="J4798">
        <v>56</v>
      </c>
    </row>
    <row r="4799" spans="1:10">
      <c r="A4799" s="3" t="s">
        <v>4751</v>
      </c>
      <c r="D4799">
        <v>5</v>
      </c>
      <c r="J4799">
        <v>56</v>
      </c>
    </row>
    <row r="4800" spans="1:10">
      <c r="A4800" s="3" t="s">
        <v>4752</v>
      </c>
      <c r="D4800">
        <v>5</v>
      </c>
      <c r="J4800">
        <v>56</v>
      </c>
    </row>
    <row r="4801" spans="1:10">
      <c r="A4801" s="3" t="s">
        <v>4753</v>
      </c>
      <c r="D4801">
        <v>5</v>
      </c>
      <c r="J4801">
        <v>56</v>
      </c>
    </row>
    <row r="4802" spans="1:10">
      <c r="A4802" s="3" t="s">
        <v>4754</v>
      </c>
      <c r="D4802">
        <v>5</v>
      </c>
      <c r="J4802">
        <v>56</v>
      </c>
    </row>
    <row r="4803" spans="1:10">
      <c r="A4803" s="3" t="s">
        <v>4755</v>
      </c>
      <c r="D4803">
        <v>5</v>
      </c>
      <c r="J4803">
        <v>56</v>
      </c>
    </row>
    <row r="4804" spans="1:10">
      <c r="A4804" s="3" t="s">
        <v>4756</v>
      </c>
      <c r="D4804">
        <v>5</v>
      </c>
      <c r="J4804">
        <v>56</v>
      </c>
    </row>
    <row r="4805" spans="1:10">
      <c r="A4805" s="3" t="s">
        <v>4757</v>
      </c>
      <c r="D4805">
        <v>5</v>
      </c>
      <c r="J4805">
        <v>56</v>
      </c>
    </row>
    <row r="4806" spans="1:10">
      <c r="A4806" s="3" t="s">
        <v>4758</v>
      </c>
      <c r="D4806">
        <v>5</v>
      </c>
      <c r="J4806">
        <v>56</v>
      </c>
    </row>
    <row r="4807" spans="1:10">
      <c r="A4807" s="3" t="s">
        <v>4759</v>
      </c>
      <c r="D4807">
        <v>5</v>
      </c>
      <c r="J4807">
        <v>56</v>
      </c>
    </row>
    <row r="4808" spans="1:10">
      <c r="A4808" s="3" t="s">
        <v>4760</v>
      </c>
      <c r="D4808">
        <v>5</v>
      </c>
      <c r="J4808">
        <v>56</v>
      </c>
    </row>
    <row r="4809" spans="1:10">
      <c r="A4809" s="3" t="s">
        <v>4761</v>
      </c>
      <c r="D4809">
        <v>5</v>
      </c>
      <c r="J4809">
        <v>56</v>
      </c>
    </row>
    <row r="4810" spans="1:10">
      <c r="A4810" s="3" t="s">
        <v>4762</v>
      </c>
      <c r="D4810">
        <v>5</v>
      </c>
      <c r="J4810">
        <v>56</v>
      </c>
    </row>
    <row r="4811" spans="1:10">
      <c r="A4811" s="3" t="s">
        <v>4763</v>
      </c>
      <c r="D4811">
        <v>5</v>
      </c>
      <c r="J4811">
        <v>56</v>
      </c>
    </row>
    <row r="4812" spans="1:10">
      <c r="A4812" s="3" t="s">
        <v>4764</v>
      </c>
      <c r="D4812">
        <v>5</v>
      </c>
      <c r="J4812">
        <v>56</v>
      </c>
    </row>
    <row r="4813" spans="1:10">
      <c r="A4813" s="3" t="s">
        <v>4765</v>
      </c>
      <c r="D4813">
        <v>5</v>
      </c>
      <c r="J4813">
        <v>56</v>
      </c>
    </row>
    <row r="4814" spans="1:10">
      <c r="A4814" s="3" t="s">
        <v>4766</v>
      </c>
      <c r="D4814">
        <v>5</v>
      </c>
      <c r="J4814">
        <v>56</v>
      </c>
    </row>
    <row r="4815" spans="1:10">
      <c r="A4815" s="3" t="s">
        <v>4767</v>
      </c>
      <c r="D4815">
        <v>5</v>
      </c>
      <c r="J4815">
        <v>56</v>
      </c>
    </row>
    <row r="4816" spans="1:10">
      <c r="A4816" s="3" t="s">
        <v>4768</v>
      </c>
      <c r="D4816">
        <v>5</v>
      </c>
      <c r="J4816">
        <v>56</v>
      </c>
    </row>
    <row r="4817" spans="1:10">
      <c r="A4817" s="3" t="s">
        <v>4769</v>
      </c>
      <c r="D4817">
        <v>5</v>
      </c>
      <c r="J4817">
        <v>56</v>
      </c>
    </row>
    <row r="4818" spans="1:10">
      <c r="A4818" s="3" t="s">
        <v>4770</v>
      </c>
      <c r="D4818">
        <v>5</v>
      </c>
      <c r="J4818">
        <v>56</v>
      </c>
    </row>
    <row r="4819" spans="1:10">
      <c r="A4819" s="3" t="s">
        <v>4771</v>
      </c>
      <c r="D4819">
        <v>5</v>
      </c>
      <c r="J4819">
        <v>56</v>
      </c>
    </row>
    <row r="4820" spans="1:10">
      <c r="A4820" s="3" t="s">
        <v>4772</v>
      </c>
      <c r="D4820">
        <v>5</v>
      </c>
      <c r="J4820">
        <v>56</v>
      </c>
    </row>
    <row r="4821" spans="1:10">
      <c r="A4821" s="3" t="s">
        <v>4773</v>
      </c>
      <c r="D4821">
        <v>5</v>
      </c>
      <c r="J4821">
        <v>56</v>
      </c>
    </row>
    <row r="4822" spans="1:10">
      <c r="A4822" s="3" t="s">
        <v>4774</v>
      </c>
      <c r="D4822">
        <v>5</v>
      </c>
      <c r="J4822">
        <v>56</v>
      </c>
    </row>
    <row r="4823" spans="1:10">
      <c r="A4823" s="3" t="s">
        <v>4775</v>
      </c>
      <c r="D4823">
        <v>5</v>
      </c>
      <c r="J4823">
        <v>56</v>
      </c>
    </row>
    <row r="4824" spans="1:10">
      <c r="A4824" s="3" t="s">
        <v>4776</v>
      </c>
      <c r="D4824">
        <v>5</v>
      </c>
      <c r="J4824">
        <v>56</v>
      </c>
    </row>
    <row r="4825" spans="1:10">
      <c r="A4825" s="3" t="s">
        <v>4777</v>
      </c>
      <c r="D4825">
        <v>5</v>
      </c>
      <c r="J4825">
        <v>56</v>
      </c>
    </row>
    <row r="4826" spans="1:10">
      <c r="A4826" s="3" t="s">
        <v>4778</v>
      </c>
      <c r="D4826">
        <v>5</v>
      </c>
      <c r="J4826">
        <v>56</v>
      </c>
    </row>
    <row r="4827" spans="1:10">
      <c r="A4827" s="3" t="s">
        <v>4779</v>
      </c>
      <c r="D4827">
        <v>5</v>
      </c>
      <c r="J4827">
        <v>56</v>
      </c>
    </row>
    <row r="4828" spans="1:10">
      <c r="A4828" s="3" t="s">
        <v>4780</v>
      </c>
      <c r="D4828">
        <v>5</v>
      </c>
      <c r="J4828">
        <v>56</v>
      </c>
    </row>
    <row r="4829" spans="1:10">
      <c r="A4829" s="3" t="s">
        <v>4781</v>
      </c>
      <c r="D4829">
        <v>5</v>
      </c>
      <c r="J4829">
        <v>56</v>
      </c>
    </row>
    <row r="4830" spans="1:10">
      <c r="A4830" s="3" t="s">
        <v>4782</v>
      </c>
      <c r="D4830">
        <v>5</v>
      </c>
      <c r="J4830">
        <v>56</v>
      </c>
    </row>
    <row r="4831" spans="1:10">
      <c r="A4831" s="3" t="s">
        <v>4783</v>
      </c>
      <c r="D4831">
        <v>5</v>
      </c>
      <c r="J4831">
        <v>56</v>
      </c>
    </row>
    <row r="4832" spans="1:10">
      <c r="A4832" s="3" t="s">
        <v>4784</v>
      </c>
      <c r="D4832">
        <v>5</v>
      </c>
      <c r="J4832">
        <v>56</v>
      </c>
    </row>
    <row r="4833" spans="1:10">
      <c r="A4833" s="3" t="s">
        <v>4785</v>
      </c>
      <c r="D4833">
        <v>5</v>
      </c>
      <c r="J4833">
        <v>56</v>
      </c>
    </row>
    <row r="4834" spans="1:10">
      <c r="A4834" s="3" t="s">
        <v>4786</v>
      </c>
      <c r="D4834">
        <v>5</v>
      </c>
      <c r="J4834">
        <v>56</v>
      </c>
    </row>
    <row r="4835" spans="1:10">
      <c r="A4835" s="3" t="s">
        <v>4787</v>
      </c>
      <c r="D4835">
        <v>5</v>
      </c>
      <c r="J4835">
        <v>56</v>
      </c>
    </row>
    <row r="4836" spans="1:10">
      <c r="A4836" s="3" t="s">
        <v>4788</v>
      </c>
      <c r="D4836">
        <v>5</v>
      </c>
      <c r="J4836">
        <v>56</v>
      </c>
    </row>
    <row r="4837" spans="1:10">
      <c r="A4837" s="3" t="s">
        <v>4789</v>
      </c>
      <c r="D4837">
        <v>5</v>
      </c>
      <c r="J4837">
        <v>56</v>
      </c>
    </row>
    <row r="4838" spans="1:10">
      <c r="A4838" s="3" t="s">
        <v>4790</v>
      </c>
      <c r="D4838">
        <v>5</v>
      </c>
      <c r="J4838">
        <v>56</v>
      </c>
    </row>
    <row r="4839" spans="1:10">
      <c r="A4839" s="3" t="s">
        <v>4791</v>
      </c>
      <c r="D4839">
        <v>5</v>
      </c>
      <c r="J4839">
        <v>56</v>
      </c>
    </row>
    <row r="4840" spans="1:10">
      <c r="A4840" s="3" t="s">
        <v>4792</v>
      </c>
      <c r="D4840">
        <v>5</v>
      </c>
      <c r="J4840">
        <v>56</v>
      </c>
    </row>
    <row r="4841" spans="1:10">
      <c r="A4841" s="3" t="s">
        <v>4793</v>
      </c>
      <c r="D4841">
        <v>5</v>
      </c>
      <c r="J4841">
        <v>56</v>
      </c>
    </row>
    <row r="4842" spans="1:10">
      <c r="A4842" s="3" t="s">
        <v>4794</v>
      </c>
      <c r="D4842">
        <v>5</v>
      </c>
      <c r="J4842">
        <v>56</v>
      </c>
    </row>
    <row r="4843" spans="1:10">
      <c r="A4843" s="3" t="s">
        <v>4795</v>
      </c>
      <c r="D4843">
        <v>5</v>
      </c>
      <c r="J4843">
        <v>56</v>
      </c>
    </row>
    <row r="4844" spans="1:10">
      <c r="A4844" s="3" t="s">
        <v>4796</v>
      </c>
      <c r="D4844">
        <v>5</v>
      </c>
      <c r="J4844">
        <v>56</v>
      </c>
    </row>
    <row r="4845" spans="1:10">
      <c r="A4845" s="3" t="s">
        <v>4797</v>
      </c>
      <c r="D4845">
        <v>5</v>
      </c>
      <c r="J4845">
        <v>56</v>
      </c>
    </row>
    <row r="4846" spans="1:10">
      <c r="A4846" s="3" t="s">
        <v>4798</v>
      </c>
      <c r="D4846">
        <v>5</v>
      </c>
      <c r="J4846">
        <v>56</v>
      </c>
    </row>
    <row r="4847" spans="1:10">
      <c r="A4847" s="3" t="s">
        <v>4799</v>
      </c>
      <c r="D4847">
        <v>5</v>
      </c>
      <c r="J4847">
        <v>56</v>
      </c>
    </row>
    <row r="4848" spans="1:10">
      <c r="A4848" s="3" t="s">
        <v>4800</v>
      </c>
      <c r="D4848">
        <v>5</v>
      </c>
      <c r="J4848">
        <v>56</v>
      </c>
    </row>
    <row r="4849" spans="1:10">
      <c r="A4849" s="3" t="s">
        <v>4801</v>
      </c>
      <c r="C4849">
        <v>5</v>
      </c>
      <c r="D4849">
        <v>5</v>
      </c>
      <c r="J4849">
        <v>56</v>
      </c>
    </row>
    <row r="4850" spans="1:10">
      <c r="A4850" s="3" t="s">
        <v>4802</v>
      </c>
      <c r="C4850">
        <v>5</v>
      </c>
      <c r="D4850">
        <v>5</v>
      </c>
      <c r="J4850">
        <v>56</v>
      </c>
    </row>
    <row r="4851" spans="1:10">
      <c r="A4851" s="3" t="s">
        <v>4803</v>
      </c>
      <c r="C4851">
        <v>5</v>
      </c>
      <c r="D4851">
        <v>5</v>
      </c>
      <c r="J4851">
        <v>56</v>
      </c>
    </row>
    <row r="4852" spans="1:10">
      <c r="A4852" s="3" t="s">
        <v>4804</v>
      </c>
      <c r="C4852">
        <v>5</v>
      </c>
      <c r="D4852">
        <v>5</v>
      </c>
      <c r="J4852">
        <v>56</v>
      </c>
    </row>
    <row r="4853" spans="1:10">
      <c r="A4853" s="3" t="s">
        <v>4805</v>
      </c>
      <c r="C4853">
        <v>5</v>
      </c>
      <c r="D4853">
        <v>5</v>
      </c>
      <c r="J4853">
        <v>56</v>
      </c>
    </row>
    <row r="4854" spans="1:10">
      <c r="A4854" s="3" t="s">
        <v>4806</v>
      </c>
      <c r="C4854">
        <v>5</v>
      </c>
      <c r="D4854">
        <v>5</v>
      </c>
      <c r="J4854">
        <v>56</v>
      </c>
    </row>
    <row r="4855" spans="1:10">
      <c r="A4855" s="3" t="s">
        <v>4807</v>
      </c>
      <c r="C4855">
        <v>5</v>
      </c>
      <c r="D4855">
        <v>5</v>
      </c>
      <c r="J4855">
        <v>56</v>
      </c>
    </row>
    <row r="4856" spans="1:10">
      <c r="A4856" s="3" t="s">
        <v>4808</v>
      </c>
      <c r="C4856">
        <v>5</v>
      </c>
      <c r="D4856">
        <v>5</v>
      </c>
      <c r="J4856">
        <v>56</v>
      </c>
    </row>
    <row r="4857" spans="1:10">
      <c r="A4857" s="3" t="s">
        <v>4809</v>
      </c>
      <c r="C4857">
        <v>5</v>
      </c>
      <c r="D4857">
        <v>5</v>
      </c>
      <c r="J4857">
        <v>56</v>
      </c>
    </row>
    <row r="4858" spans="1:10">
      <c r="A4858" s="3" t="s">
        <v>4810</v>
      </c>
      <c r="C4858">
        <v>5</v>
      </c>
      <c r="D4858">
        <v>5</v>
      </c>
      <c r="J4858">
        <v>56</v>
      </c>
    </row>
    <row r="4859" spans="1:10">
      <c r="A4859" s="3" t="s">
        <v>4811</v>
      </c>
      <c r="C4859">
        <v>5</v>
      </c>
      <c r="D4859">
        <v>5</v>
      </c>
      <c r="J4859">
        <v>56</v>
      </c>
    </row>
    <row r="4860" spans="1:10">
      <c r="A4860" s="3" t="s">
        <v>4812</v>
      </c>
      <c r="C4860">
        <v>5</v>
      </c>
      <c r="J4860">
        <v>56</v>
      </c>
    </row>
    <row r="4861" spans="1:10">
      <c r="A4861" s="3" t="s">
        <v>4813</v>
      </c>
      <c r="C4861">
        <v>5</v>
      </c>
      <c r="J4861">
        <v>56</v>
      </c>
    </row>
    <row r="4862" spans="1:10">
      <c r="A4862" s="3" t="s">
        <v>4814</v>
      </c>
      <c r="C4862">
        <v>5</v>
      </c>
      <c r="J4862">
        <v>56</v>
      </c>
    </row>
    <row r="4863" spans="1:10">
      <c r="A4863" s="3" t="s">
        <v>4815</v>
      </c>
      <c r="C4863">
        <v>5</v>
      </c>
      <c r="J4863">
        <v>56</v>
      </c>
    </row>
    <row r="4864" spans="1:10">
      <c r="A4864" s="3" t="s">
        <v>4816</v>
      </c>
      <c r="C4864">
        <v>5</v>
      </c>
      <c r="J4864">
        <v>56</v>
      </c>
    </row>
    <row r="4865" spans="1:24">
      <c r="A4865" s="3" t="s">
        <v>4817</v>
      </c>
      <c r="C4865">
        <v>5</v>
      </c>
      <c r="J4865">
        <v>56</v>
      </c>
    </row>
    <row r="4866" spans="1:24">
      <c r="A4866" s="3" t="s">
        <v>4818</v>
      </c>
      <c r="C4866">
        <v>5</v>
      </c>
      <c r="X4866">
        <v>1</v>
      </c>
    </row>
    <row r="4867" spans="1:24">
      <c r="A4867" s="3" t="s">
        <v>4819</v>
      </c>
      <c r="C4867">
        <v>5</v>
      </c>
      <c r="X4867">
        <v>1</v>
      </c>
    </row>
    <row r="4868" spans="1:24">
      <c r="A4868" s="3" t="s">
        <v>4820</v>
      </c>
      <c r="C4868">
        <v>5</v>
      </c>
      <c r="X4868">
        <v>1</v>
      </c>
    </row>
    <row r="4869" spans="1:24">
      <c r="A4869" s="3" t="s">
        <v>4821</v>
      </c>
      <c r="C4869">
        <v>5</v>
      </c>
      <c r="X4869">
        <v>1</v>
      </c>
    </row>
    <row r="4870" spans="1:24">
      <c r="A4870" s="3" t="s">
        <v>4822</v>
      </c>
      <c r="C4870">
        <v>5</v>
      </c>
      <c r="X4870">
        <v>1</v>
      </c>
    </row>
    <row r="4871" spans="1:24">
      <c r="A4871" s="3" t="s">
        <v>4823</v>
      </c>
      <c r="C4871">
        <v>5</v>
      </c>
      <c r="X4871">
        <v>1</v>
      </c>
    </row>
    <row r="4872" spans="1:24">
      <c r="A4872" s="3" t="s">
        <v>4824</v>
      </c>
      <c r="C4872">
        <v>5</v>
      </c>
      <c r="X4872">
        <v>1</v>
      </c>
    </row>
    <row r="4873" spans="1:24">
      <c r="A4873" s="3" t="s">
        <v>4825</v>
      </c>
      <c r="C4873">
        <v>5</v>
      </c>
      <c r="X4873">
        <v>1</v>
      </c>
    </row>
    <row r="4874" spans="1:24">
      <c r="A4874" s="3" t="s">
        <v>4826</v>
      </c>
      <c r="C4874">
        <v>5</v>
      </c>
      <c r="X4874">
        <v>1</v>
      </c>
    </row>
    <row r="4875" spans="1:24">
      <c r="A4875" s="3" t="s">
        <v>4827</v>
      </c>
      <c r="C4875">
        <v>5</v>
      </c>
      <c r="X4875">
        <v>1</v>
      </c>
    </row>
    <row r="4876" spans="1:24">
      <c r="A4876" s="3" t="s">
        <v>4828</v>
      </c>
      <c r="C4876">
        <v>5</v>
      </c>
      <c r="X4876">
        <v>1</v>
      </c>
    </row>
    <row r="4877" spans="1:24">
      <c r="A4877" s="3" t="s">
        <v>4829</v>
      </c>
      <c r="C4877">
        <v>5</v>
      </c>
      <c r="X4877">
        <v>1</v>
      </c>
    </row>
    <row r="4878" spans="1:24">
      <c r="A4878" s="3" t="s">
        <v>4830</v>
      </c>
      <c r="C4878">
        <v>5</v>
      </c>
      <c r="X4878">
        <v>1</v>
      </c>
    </row>
    <row r="4879" spans="1:24">
      <c r="A4879" s="3" t="s">
        <v>4831</v>
      </c>
      <c r="C4879">
        <v>5</v>
      </c>
      <c r="X4879">
        <v>1</v>
      </c>
    </row>
    <row r="4880" spans="1:24">
      <c r="A4880" s="3" t="s">
        <v>4832</v>
      </c>
      <c r="C4880">
        <v>5</v>
      </c>
      <c r="X4880">
        <v>1</v>
      </c>
    </row>
    <row r="4881" spans="1:25">
      <c r="A4881" s="3" t="s">
        <v>4833</v>
      </c>
      <c r="C4881">
        <v>5</v>
      </c>
      <c r="X4881">
        <v>1</v>
      </c>
    </row>
    <row r="4882" spans="1:25">
      <c r="A4882" s="3" t="s">
        <v>4834</v>
      </c>
      <c r="C4882">
        <v>5</v>
      </c>
      <c r="X4882">
        <v>1</v>
      </c>
    </row>
    <row r="4883" spans="1:25">
      <c r="A4883" s="3" t="s">
        <v>4835</v>
      </c>
      <c r="C4883">
        <v>5</v>
      </c>
      <c r="Y4883">
        <v>1</v>
      </c>
    </row>
    <row r="4884" spans="1:25">
      <c r="A4884" s="3" t="s">
        <v>4836</v>
      </c>
      <c r="C4884">
        <v>5</v>
      </c>
      <c r="Y4884">
        <v>1</v>
      </c>
    </row>
    <row r="4885" spans="1:25">
      <c r="A4885" s="3" t="s">
        <v>4837</v>
      </c>
      <c r="C4885">
        <v>5</v>
      </c>
      <c r="Y4885">
        <v>1</v>
      </c>
    </row>
    <row r="4886" spans="1:25">
      <c r="A4886" s="3" t="s">
        <v>4838</v>
      </c>
      <c r="C4886">
        <v>5</v>
      </c>
      <c r="Y4886">
        <v>1</v>
      </c>
    </row>
    <row r="4887" spans="1:25">
      <c r="A4887" s="3" t="s">
        <v>4839</v>
      </c>
      <c r="C4887">
        <v>5</v>
      </c>
      <c r="Y4887">
        <v>1</v>
      </c>
    </row>
    <row r="4888" spans="1:25">
      <c r="A4888" s="3" t="s">
        <v>4840</v>
      </c>
      <c r="C4888">
        <v>5</v>
      </c>
      <c r="Y4888">
        <v>1</v>
      </c>
    </row>
    <row r="4889" spans="1:25">
      <c r="A4889" s="3" t="s">
        <v>4841</v>
      </c>
      <c r="C4889">
        <v>5</v>
      </c>
      <c r="Y4889">
        <v>1</v>
      </c>
    </row>
    <row r="4890" spans="1:25">
      <c r="A4890" s="3" t="s">
        <v>4842</v>
      </c>
      <c r="C4890">
        <v>5</v>
      </c>
      <c r="Y4890">
        <v>1</v>
      </c>
    </row>
    <row r="4891" spans="1:25">
      <c r="A4891" s="3" t="s">
        <v>4843</v>
      </c>
      <c r="C4891">
        <v>5</v>
      </c>
      <c r="Y4891">
        <v>1</v>
      </c>
    </row>
    <row r="4892" spans="1:25">
      <c r="A4892" s="3" t="s">
        <v>4844</v>
      </c>
      <c r="C4892">
        <v>5</v>
      </c>
      <c r="Y4892">
        <v>1</v>
      </c>
    </row>
    <row r="4893" spans="1:25">
      <c r="A4893" s="3" t="s">
        <v>4845</v>
      </c>
      <c r="C4893">
        <v>5</v>
      </c>
      <c r="Y4893">
        <v>1</v>
      </c>
    </row>
    <row r="4894" spans="1:25">
      <c r="A4894" s="3" t="s">
        <v>4846</v>
      </c>
      <c r="C4894">
        <v>5</v>
      </c>
      <c r="Y4894">
        <v>1</v>
      </c>
    </row>
    <row r="4895" spans="1:25">
      <c r="A4895" s="3" t="s">
        <v>4847</v>
      </c>
      <c r="C4895">
        <v>5</v>
      </c>
      <c r="Y4895">
        <v>1</v>
      </c>
    </row>
    <row r="4896" spans="1:25">
      <c r="A4896" s="3" t="s">
        <v>4848</v>
      </c>
      <c r="C4896">
        <v>5</v>
      </c>
      <c r="Y4896">
        <v>1</v>
      </c>
    </row>
    <row r="4897" spans="1:25">
      <c r="A4897" s="3" t="s">
        <v>4849</v>
      </c>
      <c r="C4897">
        <v>5</v>
      </c>
      <c r="Y4897">
        <v>1</v>
      </c>
    </row>
    <row r="4898" spans="1:25">
      <c r="A4898" s="3" t="s">
        <v>4850</v>
      </c>
      <c r="C4898">
        <v>5</v>
      </c>
      <c r="Y4898">
        <v>1</v>
      </c>
    </row>
    <row r="4899" spans="1:25">
      <c r="A4899" s="3" t="s">
        <v>4851</v>
      </c>
      <c r="C4899">
        <v>5</v>
      </c>
      <c r="Y4899">
        <v>1</v>
      </c>
    </row>
    <row r="4900" spans="1:25">
      <c r="A4900" s="3" t="s">
        <v>4852</v>
      </c>
      <c r="C4900">
        <v>5</v>
      </c>
      <c r="Y4900">
        <v>1</v>
      </c>
    </row>
    <row r="4901" spans="1:25">
      <c r="A4901" s="3" t="s">
        <v>4853</v>
      </c>
      <c r="C4901">
        <v>5</v>
      </c>
      <c r="Y4901">
        <v>1</v>
      </c>
    </row>
    <row r="4902" spans="1:25">
      <c r="A4902" s="3" t="s">
        <v>4854</v>
      </c>
      <c r="C4902">
        <v>5</v>
      </c>
      <c r="Y4902">
        <v>1</v>
      </c>
    </row>
    <row r="4903" spans="1:25">
      <c r="A4903" s="3" t="s">
        <v>4855</v>
      </c>
      <c r="C4903">
        <v>5</v>
      </c>
      <c r="Y4903">
        <v>1</v>
      </c>
    </row>
    <row r="4904" spans="1:25">
      <c r="A4904" s="3" t="s">
        <v>4856</v>
      </c>
      <c r="C4904">
        <v>5</v>
      </c>
      <c r="Y4904">
        <v>1</v>
      </c>
    </row>
    <row r="4905" spans="1:25">
      <c r="A4905" s="3" t="s">
        <v>4857</v>
      </c>
      <c r="C4905">
        <v>5</v>
      </c>
      <c r="Y4905">
        <v>1</v>
      </c>
    </row>
    <row r="4906" spans="1:25">
      <c r="A4906" s="3" t="s">
        <v>4858</v>
      </c>
      <c r="C4906">
        <v>5</v>
      </c>
      <c r="Y4906">
        <v>1</v>
      </c>
    </row>
    <row r="4907" spans="1:25">
      <c r="A4907" s="3" t="s">
        <v>4859</v>
      </c>
      <c r="C4907">
        <v>5</v>
      </c>
      <c r="Y4907">
        <v>1</v>
      </c>
    </row>
    <row r="4908" spans="1:25">
      <c r="A4908" s="3" t="s">
        <v>4860</v>
      </c>
      <c r="C4908">
        <v>5</v>
      </c>
      <c r="Y4908">
        <v>1</v>
      </c>
    </row>
    <row r="4909" spans="1:25">
      <c r="A4909" s="3" t="s">
        <v>4861</v>
      </c>
      <c r="C4909">
        <v>5</v>
      </c>
      <c r="Y4909">
        <v>1</v>
      </c>
    </row>
    <row r="4910" spans="1:25">
      <c r="A4910" s="3" t="s">
        <v>4862</v>
      </c>
      <c r="C4910">
        <v>5</v>
      </c>
      <c r="Y4910">
        <v>1</v>
      </c>
    </row>
    <row r="4911" spans="1:25">
      <c r="A4911" s="3" t="s">
        <v>4863</v>
      </c>
      <c r="C4911">
        <v>5</v>
      </c>
      <c r="Y4911">
        <v>1</v>
      </c>
    </row>
    <row r="4912" spans="1:25">
      <c r="A4912" s="3" t="s">
        <v>4864</v>
      </c>
      <c r="C4912">
        <v>5</v>
      </c>
      <c r="Y4912">
        <v>1</v>
      </c>
    </row>
    <row r="4913" spans="1:25">
      <c r="A4913" s="3" t="s">
        <v>4865</v>
      </c>
      <c r="C4913">
        <v>5</v>
      </c>
      <c r="Y4913">
        <v>1</v>
      </c>
    </row>
    <row r="4914" spans="1:25">
      <c r="A4914" s="3" t="s">
        <v>4866</v>
      </c>
      <c r="C4914">
        <v>5</v>
      </c>
      <c r="Y4914">
        <v>1</v>
      </c>
    </row>
    <row r="4915" spans="1:25">
      <c r="A4915" s="3" t="s">
        <v>4867</v>
      </c>
      <c r="C4915">
        <v>5</v>
      </c>
      <c r="Y4915">
        <v>1</v>
      </c>
    </row>
    <row r="4916" spans="1:25">
      <c r="A4916" s="3" t="s">
        <v>4868</v>
      </c>
      <c r="C4916">
        <v>5</v>
      </c>
      <c r="Y4916">
        <v>1</v>
      </c>
    </row>
    <row r="4917" spans="1:25">
      <c r="A4917" s="3" t="s">
        <v>4869</v>
      </c>
      <c r="C4917">
        <v>5</v>
      </c>
      <c r="Y4917">
        <v>1</v>
      </c>
    </row>
    <row r="4918" spans="1:25">
      <c r="A4918" s="3" t="s">
        <v>4870</v>
      </c>
      <c r="C4918">
        <v>5</v>
      </c>
      <c r="Y4918">
        <v>1</v>
      </c>
    </row>
    <row r="4919" spans="1:25">
      <c r="A4919" s="3" t="s">
        <v>4871</v>
      </c>
      <c r="C4919">
        <v>5</v>
      </c>
      <c r="Y4919">
        <v>1</v>
      </c>
    </row>
    <row r="4920" spans="1:25">
      <c r="A4920" s="3" t="s">
        <v>4872</v>
      </c>
      <c r="C4920">
        <v>5</v>
      </c>
      <c r="Y4920">
        <v>1</v>
      </c>
    </row>
    <row r="4921" spans="1:25">
      <c r="A4921" s="3" t="s">
        <v>4873</v>
      </c>
      <c r="C4921">
        <v>5</v>
      </c>
      <c r="Y4921">
        <v>1</v>
      </c>
    </row>
    <row r="4922" spans="1:25">
      <c r="A4922" s="3" t="s">
        <v>4874</v>
      </c>
      <c r="C4922">
        <v>5</v>
      </c>
      <c r="Y4922">
        <v>1</v>
      </c>
    </row>
    <row r="4923" spans="1:25">
      <c r="A4923" s="3" t="s">
        <v>4875</v>
      </c>
      <c r="C4923">
        <v>5</v>
      </c>
      <c r="Y4923">
        <v>1</v>
      </c>
    </row>
    <row r="4924" spans="1:25">
      <c r="A4924" s="3" t="s">
        <v>4876</v>
      </c>
      <c r="C4924">
        <v>5</v>
      </c>
      <c r="Y4924">
        <v>1</v>
      </c>
    </row>
    <row r="4925" spans="1:25">
      <c r="A4925" s="3" t="s">
        <v>4877</v>
      </c>
      <c r="C4925">
        <v>5</v>
      </c>
      <c r="Y4925">
        <v>1</v>
      </c>
    </row>
    <row r="4926" spans="1:25">
      <c r="A4926" s="3" t="s">
        <v>4878</v>
      </c>
      <c r="C4926">
        <v>5</v>
      </c>
      <c r="Y4926">
        <v>1</v>
      </c>
    </row>
    <row r="4927" spans="1:25">
      <c r="A4927" s="3" t="s">
        <v>4879</v>
      </c>
      <c r="C4927">
        <v>5</v>
      </c>
      <c r="Y4927">
        <v>1</v>
      </c>
    </row>
    <row r="4928" spans="1:25">
      <c r="A4928" s="3" t="s">
        <v>4880</v>
      </c>
      <c r="C4928">
        <v>5</v>
      </c>
      <c r="Y4928">
        <v>1</v>
      </c>
    </row>
    <row r="4929" spans="1:25">
      <c r="A4929" s="3" t="s">
        <v>4881</v>
      </c>
      <c r="C4929">
        <v>5</v>
      </c>
      <c r="Y4929">
        <v>1</v>
      </c>
    </row>
    <row r="4930" spans="1:25">
      <c r="A4930" s="3" t="s">
        <v>4882</v>
      </c>
      <c r="C4930">
        <v>5</v>
      </c>
      <c r="Y4930">
        <v>1</v>
      </c>
    </row>
    <row r="4931" spans="1:25">
      <c r="A4931" s="3" t="s">
        <v>4883</v>
      </c>
      <c r="C4931">
        <v>5</v>
      </c>
      <c r="Y4931">
        <v>1</v>
      </c>
    </row>
    <row r="4932" spans="1:25">
      <c r="A4932" s="3" t="s">
        <v>4884</v>
      </c>
      <c r="C4932">
        <v>5</v>
      </c>
      <c r="Y4932">
        <v>1</v>
      </c>
    </row>
    <row r="4933" spans="1:25">
      <c r="A4933" s="3" t="s">
        <v>4885</v>
      </c>
      <c r="C4933">
        <v>5</v>
      </c>
      <c r="Y4933">
        <v>1</v>
      </c>
    </row>
    <row r="4934" spans="1:25">
      <c r="A4934" s="3" t="s">
        <v>4886</v>
      </c>
      <c r="C4934">
        <v>5</v>
      </c>
      <c r="Y4934">
        <v>1</v>
      </c>
    </row>
    <row r="4935" spans="1:25">
      <c r="A4935" s="3" t="s">
        <v>4887</v>
      </c>
      <c r="C4935">
        <v>5</v>
      </c>
      <c r="Y4935">
        <v>1</v>
      </c>
    </row>
    <row r="4936" spans="1:25">
      <c r="A4936" s="3" t="s">
        <v>4888</v>
      </c>
      <c r="C4936">
        <v>5</v>
      </c>
      <c r="Y4936">
        <v>1</v>
      </c>
    </row>
    <row r="4937" spans="1:25">
      <c r="A4937" s="3" t="s">
        <v>4889</v>
      </c>
      <c r="C4937">
        <v>5</v>
      </c>
      <c r="Y4937">
        <v>1</v>
      </c>
    </row>
    <row r="4938" spans="1:25">
      <c r="A4938" s="3" t="s">
        <v>4890</v>
      </c>
      <c r="C4938">
        <v>5</v>
      </c>
      <c r="Y4938">
        <v>1</v>
      </c>
    </row>
    <row r="4939" spans="1:25">
      <c r="A4939" s="3" t="s">
        <v>4891</v>
      </c>
      <c r="C4939">
        <v>5</v>
      </c>
      <c r="Y4939">
        <v>1</v>
      </c>
    </row>
    <row r="4940" spans="1:25">
      <c r="A4940" s="3" t="s">
        <v>4892</v>
      </c>
      <c r="C4940">
        <v>5</v>
      </c>
      <c r="Y4940">
        <v>1</v>
      </c>
    </row>
    <row r="4941" spans="1:25">
      <c r="A4941" s="3" t="s">
        <v>4893</v>
      </c>
      <c r="C4941">
        <v>5</v>
      </c>
      <c r="Y4941">
        <v>1</v>
      </c>
    </row>
    <row r="4942" spans="1:25">
      <c r="A4942" s="3" t="s">
        <v>4894</v>
      </c>
      <c r="C4942">
        <v>5</v>
      </c>
      <c r="Y4942">
        <v>1</v>
      </c>
    </row>
    <row r="4943" spans="1:25">
      <c r="A4943" s="3" t="s">
        <v>4895</v>
      </c>
      <c r="C4943">
        <v>5</v>
      </c>
      <c r="Y4943">
        <v>1</v>
      </c>
    </row>
    <row r="4944" spans="1:25">
      <c r="A4944" s="3" t="s">
        <v>4896</v>
      </c>
      <c r="C4944">
        <v>5</v>
      </c>
      <c r="Y4944">
        <v>1</v>
      </c>
    </row>
    <row r="4945" spans="1:25">
      <c r="A4945" s="3" t="s">
        <v>4897</v>
      </c>
      <c r="C4945">
        <v>5</v>
      </c>
      <c r="Y4945">
        <v>1</v>
      </c>
    </row>
    <row r="4946" spans="1:25">
      <c r="A4946" s="3" t="s">
        <v>4898</v>
      </c>
      <c r="C4946">
        <v>5</v>
      </c>
      <c r="Y4946">
        <v>1</v>
      </c>
    </row>
    <row r="4947" spans="1:25">
      <c r="A4947" s="3" t="s">
        <v>4899</v>
      </c>
      <c r="C4947">
        <v>5</v>
      </c>
      <c r="Y4947">
        <v>1</v>
      </c>
    </row>
    <row r="4948" spans="1:25">
      <c r="A4948" s="3" t="s">
        <v>4900</v>
      </c>
      <c r="C4948">
        <v>5</v>
      </c>
      <c r="Y4948">
        <v>1</v>
      </c>
    </row>
    <row r="4949" spans="1:25">
      <c r="A4949" s="3" t="s">
        <v>4901</v>
      </c>
      <c r="C4949">
        <v>5</v>
      </c>
      <c r="Y4949">
        <v>1</v>
      </c>
    </row>
    <row r="4950" spans="1:25">
      <c r="A4950" s="3" t="s">
        <v>4902</v>
      </c>
      <c r="C4950">
        <v>5</v>
      </c>
      <c r="Y4950">
        <v>1</v>
      </c>
    </row>
    <row r="4951" spans="1:25">
      <c r="A4951" s="3" t="s">
        <v>4903</v>
      </c>
      <c r="C4951">
        <v>5</v>
      </c>
      <c r="Y4951">
        <v>1</v>
      </c>
    </row>
    <row r="4952" spans="1:25">
      <c r="A4952" s="3" t="s">
        <v>4904</v>
      </c>
      <c r="C4952">
        <v>5</v>
      </c>
      <c r="Y4952">
        <v>1</v>
      </c>
    </row>
    <row r="4953" spans="1:25">
      <c r="A4953" s="3" t="s">
        <v>4905</v>
      </c>
      <c r="C4953">
        <v>5</v>
      </c>
      <c r="Y4953">
        <v>1</v>
      </c>
    </row>
    <row r="4954" spans="1:25">
      <c r="A4954" s="3" t="s">
        <v>4906</v>
      </c>
      <c r="C4954">
        <v>5</v>
      </c>
      <c r="Y4954">
        <v>1</v>
      </c>
    </row>
    <row r="4955" spans="1:25">
      <c r="A4955" s="3" t="s">
        <v>4907</v>
      </c>
      <c r="C4955">
        <v>5</v>
      </c>
      <c r="Y4955">
        <v>1</v>
      </c>
    </row>
    <row r="4956" spans="1:25">
      <c r="A4956" s="3" t="s">
        <v>4908</v>
      </c>
      <c r="C4956">
        <v>5</v>
      </c>
      <c r="Y4956">
        <v>1</v>
      </c>
    </row>
    <row r="4957" spans="1:25">
      <c r="A4957" s="3" t="s">
        <v>4909</v>
      </c>
      <c r="C4957">
        <v>5</v>
      </c>
      <c r="Y4957">
        <v>1</v>
      </c>
    </row>
    <row r="4958" spans="1:25">
      <c r="A4958" s="3" t="s">
        <v>4910</v>
      </c>
      <c r="C4958">
        <v>5</v>
      </c>
      <c r="Y4958">
        <v>1</v>
      </c>
    </row>
    <row r="4959" spans="1:25">
      <c r="A4959" s="3" t="s">
        <v>4911</v>
      </c>
      <c r="C4959">
        <v>5</v>
      </c>
      <c r="Y4959">
        <v>1</v>
      </c>
    </row>
    <row r="4960" spans="1:25">
      <c r="A4960" s="3" t="s">
        <v>4912</v>
      </c>
      <c r="C4960">
        <v>5</v>
      </c>
      <c r="Y4960">
        <v>1</v>
      </c>
    </row>
    <row r="4961" spans="1:25">
      <c r="A4961" s="3" t="s">
        <v>4913</v>
      </c>
      <c r="C4961">
        <v>5</v>
      </c>
      <c r="Y4961">
        <v>1</v>
      </c>
    </row>
    <row r="4962" spans="1:25">
      <c r="A4962" s="3" t="s">
        <v>4914</v>
      </c>
      <c r="C4962">
        <v>5</v>
      </c>
      <c r="Y4962">
        <v>1</v>
      </c>
    </row>
    <row r="4963" spans="1:25">
      <c r="A4963" s="3" t="s">
        <v>4915</v>
      </c>
      <c r="C4963">
        <v>5</v>
      </c>
      <c r="Y4963">
        <v>1</v>
      </c>
    </row>
    <row r="4964" spans="1:25">
      <c r="A4964" s="3" t="s">
        <v>4916</v>
      </c>
      <c r="C4964">
        <v>5</v>
      </c>
      <c r="Y4964">
        <v>1</v>
      </c>
    </row>
    <row r="4965" spans="1:25">
      <c r="A4965" s="3" t="s">
        <v>4917</v>
      </c>
      <c r="C4965">
        <v>5</v>
      </c>
      <c r="Y4965">
        <v>1</v>
      </c>
    </row>
    <row r="4966" spans="1:25">
      <c r="A4966" s="3" t="s">
        <v>4918</v>
      </c>
      <c r="C4966">
        <v>5</v>
      </c>
      <c r="Y4966">
        <v>1</v>
      </c>
    </row>
    <row r="4967" spans="1:25">
      <c r="A4967" s="3" t="s">
        <v>4919</v>
      </c>
      <c r="C4967">
        <v>5</v>
      </c>
      <c r="Y4967">
        <v>1</v>
      </c>
    </row>
    <row r="4968" spans="1:25">
      <c r="A4968" s="3" t="s">
        <v>4920</v>
      </c>
      <c r="C4968">
        <v>5</v>
      </c>
      <c r="Y4968">
        <v>1</v>
      </c>
    </row>
    <row r="4969" spans="1:25">
      <c r="A4969" s="3" t="s">
        <v>4921</v>
      </c>
      <c r="C4969">
        <v>5</v>
      </c>
      <c r="Y4969">
        <v>1</v>
      </c>
    </row>
    <row r="4970" spans="1:25">
      <c r="A4970" s="3" t="s">
        <v>4922</v>
      </c>
      <c r="C4970">
        <v>5</v>
      </c>
      <c r="Y4970">
        <v>1</v>
      </c>
    </row>
    <row r="4971" spans="1:25">
      <c r="A4971" s="3" t="s">
        <v>4923</v>
      </c>
      <c r="C4971">
        <v>5</v>
      </c>
      <c r="Y4971">
        <v>1</v>
      </c>
    </row>
    <row r="4972" spans="1:25">
      <c r="A4972" s="3" t="s">
        <v>4924</v>
      </c>
      <c r="C4972">
        <v>5</v>
      </c>
      <c r="Y4972">
        <v>1</v>
      </c>
    </row>
    <row r="4973" spans="1:25">
      <c r="A4973" s="3" t="s">
        <v>4925</v>
      </c>
      <c r="C4973">
        <v>5</v>
      </c>
      <c r="Y4973">
        <v>1</v>
      </c>
    </row>
    <row r="4974" spans="1:25">
      <c r="A4974" s="3" t="s">
        <v>4926</v>
      </c>
      <c r="C4974">
        <v>5</v>
      </c>
      <c r="Y4974">
        <v>1</v>
      </c>
    </row>
    <row r="4975" spans="1:25">
      <c r="A4975" s="3" t="s">
        <v>4927</v>
      </c>
      <c r="C4975">
        <v>5</v>
      </c>
      <c r="Y4975">
        <v>1</v>
      </c>
    </row>
    <row r="4976" spans="1:25">
      <c r="A4976" s="3" t="s">
        <v>4928</v>
      </c>
      <c r="C4976">
        <v>5</v>
      </c>
      <c r="Y4976">
        <v>1</v>
      </c>
    </row>
    <row r="4977" spans="1:25">
      <c r="A4977" s="3" t="s">
        <v>4929</v>
      </c>
      <c r="C4977">
        <v>5</v>
      </c>
      <c r="Y4977">
        <v>1</v>
      </c>
    </row>
    <row r="4978" spans="1:25">
      <c r="A4978" s="3" t="s">
        <v>4930</v>
      </c>
      <c r="C4978">
        <v>5</v>
      </c>
      <c r="Y4978">
        <v>1</v>
      </c>
    </row>
    <row r="4979" spans="1:25">
      <c r="A4979" s="3" t="s">
        <v>4931</v>
      </c>
      <c r="C4979">
        <v>5</v>
      </c>
      <c r="Y4979">
        <v>1</v>
      </c>
    </row>
    <row r="4980" spans="1:25">
      <c r="A4980" s="3" t="s">
        <v>4932</v>
      </c>
      <c r="C4980">
        <v>5</v>
      </c>
      <c r="Y4980">
        <v>1</v>
      </c>
    </row>
    <row r="4981" spans="1:25">
      <c r="A4981" s="3" t="s">
        <v>4933</v>
      </c>
      <c r="C4981">
        <v>5</v>
      </c>
      <c r="Y4981">
        <v>1</v>
      </c>
    </row>
    <row r="4982" spans="1:25">
      <c r="A4982" s="3" t="s">
        <v>4934</v>
      </c>
      <c r="C4982">
        <v>5</v>
      </c>
      <c r="Y4982">
        <v>1</v>
      </c>
    </row>
    <row r="4983" spans="1:25">
      <c r="A4983" s="3" t="s">
        <v>4935</v>
      </c>
      <c r="C4983">
        <v>5</v>
      </c>
      <c r="Y4983">
        <v>1</v>
      </c>
    </row>
    <row r="4984" spans="1:25">
      <c r="A4984" s="3" t="s">
        <v>4936</v>
      </c>
      <c r="C4984">
        <v>5</v>
      </c>
      <c r="Y4984">
        <v>1</v>
      </c>
    </row>
    <row r="4985" spans="1:25">
      <c r="A4985" s="3" t="s">
        <v>4937</v>
      </c>
      <c r="C4985">
        <v>5</v>
      </c>
      <c r="Y4985">
        <v>1</v>
      </c>
    </row>
    <row r="4986" spans="1:25">
      <c r="A4986" s="3" t="s">
        <v>4938</v>
      </c>
      <c r="C4986">
        <v>5</v>
      </c>
      <c r="Y4986">
        <v>1</v>
      </c>
    </row>
    <row r="4987" spans="1:25">
      <c r="A4987" s="3" t="s">
        <v>4939</v>
      </c>
      <c r="C4987">
        <v>5</v>
      </c>
      <c r="Y4987">
        <v>1</v>
      </c>
    </row>
    <row r="4988" spans="1:25">
      <c r="A4988" s="3" t="s">
        <v>4940</v>
      </c>
      <c r="C4988">
        <v>5</v>
      </c>
      <c r="Y4988">
        <v>1</v>
      </c>
    </row>
    <row r="4989" spans="1:25">
      <c r="A4989" s="3" t="s">
        <v>4941</v>
      </c>
      <c r="C4989">
        <v>5</v>
      </c>
      <c r="Y4989">
        <v>1</v>
      </c>
    </row>
    <row r="4990" spans="1:25">
      <c r="A4990" s="3" t="s">
        <v>4942</v>
      </c>
      <c r="C4990">
        <v>5</v>
      </c>
      <c r="Y4990">
        <v>1</v>
      </c>
    </row>
    <row r="4991" spans="1:25">
      <c r="A4991" s="3" t="s">
        <v>4943</v>
      </c>
      <c r="C4991">
        <v>5</v>
      </c>
      <c r="Y4991">
        <v>1</v>
      </c>
    </row>
    <row r="4992" spans="1:25">
      <c r="A4992" s="3" t="s">
        <v>4944</v>
      </c>
      <c r="C4992">
        <v>5</v>
      </c>
      <c r="Y4992">
        <v>1</v>
      </c>
    </row>
    <row r="4993" spans="1:25">
      <c r="A4993" s="3" t="s">
        <v>4945</v>
      </c>
      <c r="C4993">
        <v>5</v>
      </c>
      <c r="Y4993">
        <v>1</v>
      </c>
    </row>
    <row r="4994" spans="1:25">
      <c r="A4994" s="3" t="s">
        <v>4946</v>
      </c>
      <c r="C4994">
        <v>5</v>
      </c>
      <c r="Y4994">
        <v>1</v>
      </c>
    </row>
    <row r="4995" spans="1:25">
      <c r="A4995" s="3" t="s">
        <v>4947</v>
      </c>
      <c r="C4995">
        <v>5</v>
      </c>
      <c r="Y4995">
        <v>1</v>
      </c>
    </row>
    <row r="4996" spans="1:25">
      <c r="A4996" s="3" t="s">
        <v>4948</v>
      </c>
      <c r="C4996">
        <v>5</v>
      </c>
      <c r="Y4996">
        <v>1</v>
      </c>
    </row>
    <row r="4997" spans="1:25">
      <c r="A4997" s="3" t="s">
        <v>4949</v>
      </c>
      <c r="C4997">
        <v>5</v>
      </c>
      <c r="Y4997">
        <v>1</v>
      </c>
    </row>
    <row r="4998" spans="1:25">
      <c r="A4998" s="3" t="s">
        <v>4950</v>
      </c>
      <c r="C4998">
        <v>5</v>
      </c>
      <c r="Y4998">
        <v>1</v>
      </c>
    </row>
    <row r="4999" spans="1:25">
      <c r="A4999" s="3" t="s">
        <v>4951</v>
      </c>
      <c r="C4999">
        <v>5</v>
      </c>
      <c r="Y4999">
        <v>1</v>
      </c>
    </row>
    <row r="5000" spans="1:25">
      <c r="A5000" s="3" t="s">
        <v>4952</v>
      </c>
      <c r="C5000">
        <v>5</v>
      </c>
      <c r="Y5000">
        <v>1</v>
      </c>
    </row>
    <row r="5001" spans="1:25">
      <c r="A5001" s="3" t="s">
        <v>4953</v>
      </c>
      <c r="C5001">
        <v>5</v>
      </c>
      <c r="Y5001">
        <v>1</v>
      </c>
    </row>
    <row r="5002" spans="1:25">
      <c r="A5002" s="3" t="s">
        <v>4954</v>
      </c>
      <c r="C5002">
        <v>5</v>
      </c>
      <c r="Y5002">
        <v>1</v>
      </c>
    </row>
    <row r="5003" spans="1:25">
      <c r="A5003" s="3" t="s">
        <v>4955</v>
      </c>
      <c r="C5003">
        <v>5</v>
      </c>
      <c r="Y5003">
        <v>1</v>
      </c>
    </row>
    <row r="5004" spans="1:25">
      <c r="A5004" s="3" t="s">
        <v>4956</v>
      </c>
      <c r="C5004">
        <v>5</v>
      </c>
      <c r="Y5004">
        <v>1</v>
      </c>
    </row>
    <row r="5005" spans="1:25">
      <c r="A5005" s="3" t="s">
        <v>4957</v>
      </c>
      <c r="C5005">
        <v>5</v>
      </c>
      <c r="Y5005">
        <v>1</v>
      </c>
    </row>
    <row r="5006" spans="1:25">
      <c r="A5006" s="3" t="s">
        <v>4958</v>
      </c>
      <c r="C5006">
        <v>5</v>
      </c>
      <c r="Y5006">
        <v>1</v>
      </c>
    </row>
    <row r="5007" spans="1:25">
      <c r="A5007" s="3" t="s">
        <v>4959</v>
      </c>
      <c r="C5007">
        <v>5</v>
      </c>
      <c r="Y5007">
        <v>1</v>
      </c>
    </row>
    <row r="5008" spans="1:25">
      <c r="A5008" s="3" t="s">
        <v>4960</v>
      </c>
      <c r="C5008">
        <v>5</v>
      </c>
      <c r="Y5008">
        <v>1</v>
      </c>
    </row>
    <row r="5009" spans="1:25">
      <c r="A5009" s="3" t="s">
        <v>4961</v>
      </c>
      <c r="C5009">
        <v>5</v>
      </c>
      <c r="Y5009">
        <v>1</v>
      </c>
    </row>
    <row r="5010" spans="1:25">
      <c r="A5010" s="3" t="s">
        <v>4962</v>
      </c>
      <c r="C5010">
        <v>5</v>
      </c>
      <c r="Y5010">
        <v>1</v>
      </c>
    </row>
    <row r="5011" spans="1:25">
      <c r="A5011" s="3" t="s">
        <v>4963</v>
      </c>
      <c r="C5011">
        <v>5</v>
      </c>
      <c r="Y5011">
        <v>1</v>
      </c>
    </row>
    <row r="5012" spans="1:25">
      <c r="A5012" s="3" t="s">
        <v>4964</v>
      </c>
      <c r="C5012">
        <v>5</v>
      </c>
      <c r="Y5012">
        <v>1</v>
      </c>
    </row>
    <row r="5013" spans="1:25">
      <c r="A5013" s="3" t="s">
        <v>4965</v>
      </c>
      <c r="C5013">
        <v>5</v>
      </c>
      <c r="Y5013">
        <v>1</v>
      </c>
    </row>
    <row r="5014" spans="1:25">
      <c r="A5014" s="3" t="s">
        <v>4966</v>
      </c>
      <c r="C5014">
        <v>5</v>
      </c>
      <c r="Y5014">
        <v>1</v>
      </c>
    </row>
    <row r="5015" spans="1:25">
      <c r="A5015" s="3" t="s">
        <v>4967</v>
      </c>
      <c r="C5015">
        <v>5</v>
      </c>
      <c r="Y5015">
        <v>1</v>
      </c>
    </row>
    <row r="5016" spans="1:25">
      <c r="A5016" s="3" t="s">
        <v>4968</v>
      </c>
      <c r="C5016">
        <v>5</v>
      </c>
      <c r="Y5016">
        <v>1</v>
      </c>
    </row>
    <row r="5017" spans="1:25">
      <c r="A5017" s="3" t="s">
        <v>4969</v>
      </c>
      <c r="C5017">
        <v>5</v>
      </c>
      <c r="Y5017">
        <v>1</v>
      </c>
    </row>
    <row r="5018" spans="1:25">
      <c r="A5018" s="3" t="s">
        <v>4970</v>
      </c>
      <c r="C5018">
        <v>5</v>
      </c>
      <c r="Y5018">
        <v>1</v>
      </c>
    </row>
    <row r="5019" spans="1:25">
      <c r="A5019" s="3" t="s">
        <v>4971</v>
      </c>
      <c r="C5019">
        <v>5</v>
      </c>
      <c r="Y5019">
        <v>1</v>
      </c>
    </row>
    <row r="5020" spans="1:25">
      <c r="A5020" s="3" t="s">
        <v>4972</v>
      </c>
      <c r="C5020">
        <v>5</v>
      </c>
      <c r="Y5020">
        <v>1</v>
      </c>
    </row>
    <row r="5021" spans="1:25">
      <c r="A5021" s="3" t="s">
        <v>4973</v>
      </c>
      <c r="C5021">
        <v>5</v>
      </c>
      <c r="Y5021">
        <v>1</v>
      </c>
    </row>
    <row r="5022" spans="1:25">
      <c r="A5022" s="3" t="s">
        <v>4974</v>
      </c>
      <c r="C5022">
        <v>5</v>
      </c>
      <c r="Y5022">
        <v>1</v>
      </c>
    </row>
    <row r="5023" spans="1:25">
      <c r="A5023" s="3" t="s">
        <v>4975</v>
      </c>
      <c r="C5023">
        <v>5</v>
      </c>
      <c r="Y5023">
        <v>1</v>
      </c>
    </row>
    <row r="5024" spans="1:25">
      <c r="A5024" s="3" t="s">
        <v>4976</v>
      </c>
      <c r="C5024">
        <v>5</v>
      </c>
      <c r="Y5024">
        <v>1</v>
      </c>
    </row>
    <row r="5025" spans="1:25">
      <c r="A5025" s="3" t="s">
        <v>4977</v>
      </c>
      <c r="C5025">
        <v>5</v>
      </c>
      <c r="Y5025">
        <v>1</v>
      </c>
    </row>
    <row r="5026" spans="1:25">
      <c r="A5026" s="3" t="s">
        <v>4978</v>
      </c>
      <c r="C5026">
        <v>5</v>
      </c>
      <c r="Y5026">
        <v>1</v>
      </c>
    </row>
    <row r="5027" spans="1:25">
      <c r="A5027" s="3" t="s">
        <v>4979</v>
      </c>
      <c r="C5027">
        <v>5</v>
      </c>
      <c r="Y5027">
        <v>1</v>
      </c>
    </row>
    <row r="5028" spans="1:25">
      <c r="A5028" s="3" t="s">
        <v>4980</v>
      </c>
      <c r="C5028">
        <v>5</v>
      </c>
      <c r="Y5028">
        <v>1</v>
      </c>
    </row>
    <row r="5029" spans="1:25">
      <c r="A5029" s="3" t="s">
        <v>4981</v>
      </c>
      <c r="C5029">
        <v>5</v>
      </c>
      <c r="Y5029">
        <v>1</v>
      </c>
    </row>
    <row r="5030" spans="1:25">
      <c r="A5030" s="3" t="s">
        <v>4982</v>
      </c>
      <c r="C5030">
        <v>5</v>
      </c>
      <c r="Y5030">
        <v>1</v>
      </c>
    </row>
    <row r="5031" spans="1:25">
      <c r="A5031" s="3" t="s">
        <v>4983</v>
      </c>
      <c r="C5031">
        <v>5</v>
      </c>
      <c r="Y5031">
        <v>1</v>
      </c>
    </row>
    <row r="5032" spans="1:25">
      <c r="A5032" s="3" t="s">
        <v>4984</v>
      </c>
      <c r="C5032">
        <v>5</v>
      </c>
      <c r="Y5032">
        <v>1</v>
      </c>
    </row>
    <row r="5033" spans="1:25">
      <c r="A5033" s="3" t="s">
        <v>4985</v>
      </c>
      <c r="C5033">
        <v>5</v>
      </c>
      <c r="Y5033">
        <v>1</v>
      </c>
    </row>
    <row r="5034" spans="1:25">
      <c r="A5034" s="3" t="s">
        <v>4986</v>
      </c>
      <c r="C5034">
        <v>5</v>
      </c>
      <c r="Y5034">
        <v>1</v>
      </c>
    </row>
    <row r="5035" spans="1:25">
      <c r="A5035" s="3" t="s">
        <v>4987</v>
      </c>
      <c r="C5035">
        <v>5</v>
      </c>
      <c r="Y5035">
        <v>1</v>
      </c>
    </row>
    <row r="5036" spans="1:25">
      <c r="A5036" s="3" t="s">
        <v>4988</v>
      </c>
      <c r="C5036">
        <v>5</v>
      </c>
      <c r="Y5036">
        <v>1</v>
      </c>
    </row>
    <row r="5037" spans="1:25">
      <c r="A5037" s="3" t="s">
        <v>4989</v>
      </c>
      <c r="C5037">
        <v>5</v>
      </c>
      <c r="Y5037">
        <v>1</v>
      </c>
    </row>
    <row r="5038" spans="1:25">
      <c r="A5038" s="3" t="s">
        <v>4990</v>
      </c>
      <c r="C5038">
        <v>5</v>
      </c>
      <c r="Y5038">
        <v>1</v>
      </c>
    </row>
    <row r="5039" spans="1:25">
      <c r="A5039" s="3" t="s">
        <v>4991</v>
      </c>
      <c r="C5039">
        <v>5</v>
      </c>
      <c r="Y5039">
        <v>1</v>
      </c>
    </row>
    <row r="5040" spans="1:25">
      <c r="A5040" s="3" t="s">
        <v>4992</v>
      </c>
      <c r="C5040">
        <v>5</v>
      </c>
      <c r="Y5040">
        <v>1</v>
      </c>
    </row>
    <row r="5041" spans="1:25">
      <c r="A5041" s="3" t="s">
        <v>4993</v>
      </c>
      <c r="C5041">
        <v>5</v>
      </c>
      <c r="Y5041">
        <v>1</v>
      </c>
    </row>
    <row r="5042" spans="1:25">
      <c r="A5042" s="3" t="s">
        <v>4994</v>
      </c>
      <c r="C5042">
        <v>5</v>
      </c>
      <c r="Y5042">
        <v>1</v>
      </c>
    </row>
    <row r="5043" spans="1:25">
      <c r="A5043" s="3" t="s">
        <v>4995</v>
      </c>
      <c r="C5043">
        <v>5</v>
      </c>
      <c r="Y5043">
        <v>1</v>
      </c>
    </row>
    <row r="5044" spans="1:25">
      <c r="A5044" s="3" t="s">
        <v>4996</v>
      </c>
      <c r="C5044">
        <v>5</v>
      </c>
      <c r="Y5044">
        <v>1</v>
      </c>
    </row>
    <row r="5045" spans="1:25">
      <c r="A5045" s="3" t="s">
        <v>4997</v>
      </c>
      <c r="C5045">
        <v>5</v>
      </c>
      <c r="Y5045">
        <v>1</v>
      </c>
    </row>
    <row r="5046" spans="1:25">
      <c r="A5046" s="3" t="s">
        <v>4998</v>
      </c>
      <c r="C5046">
        <v>5</v>
      </c>
      <c r="Y5046">
        <v>1</v>
      </c>
    </row>
    <row r="5047" spans="1:25">
      <c r="A5047" s="3" t="s">
        <v>4999</v>
      </c>
      <c r="C5047">
        <v>5</v>
      </c>
      <c r="Y5047">
        <v>1</v>
      </c>
    </row>
    <row r="5048" spans="1:25">
      <c r="A5048" s="3" t="s">
        <v>5000</v>
      </c>
      <c r="C5048">
        <v>5</v>
      </c>
      <c r="Y5048">
        <v>1</v>
      </c>
    </row>
    <row r="5049" spans="1:25">
      <c r="A5049" s="3" t="s">
        <v>5001</v>
      </c>
      <c r="C5049">
        <v>5</v>
      </c>
      <c r="Y5049">
        <v>1</v>
      </c>
    </row>
    <row r="5050" spans="1:25">
      <c r="A5050" s="3" t="s">
        <v>5002</v>
      </c>
      <c r="C5050">
        <v>5</v>
      </c>
      <c r="Y5050">
        <v>1</v>
      </c>
    </row>
    <row r="5051" spans="1:25">
      <c r="A5051" s="3" t="s">
        <v>5003</v>
      </c>
      <c r="C5051">
        <v>5</v>
      </c>
      <c r="Y5051">
        <v>1</v>
      </c>
    </row>
    <row r="5052" spans="1:25">
      <c r="A5052" s="3" t="s">
        <v>5004</v>
      </c>
      <c r="C5052">
        <v>5</v>
      </c>
      <c r="Y5052">
        <v>1</v>
      </c>
    </row>
    <row r="5053" spans="1:25">
      <c r="A5053" s="3" t="s">
        <v>5005</v>
      </c>
      <c r="C5053">
        <v>5</v>
      </c>
      <c r="Y5053">
        <v>1</v>
      </c>
    </row>
    <row r="5054" spans="1:25">
      <c r="A5054" s="3" t="s">
        <v>5006</v>
      </c>
      <c r="C5054">
        <v>5</v>
      </c>
      <c r="Y5054">
        <v>1</v>
      </c>
    </row>
    <row r="5055" spans="1:25">
      <c r="A5055" s="3" t="s">
        <v>5007</v>
      </c>
      <c r="C5055">
        <v>5</v>
      </c>
      <c r="Y5055">
        <v>1</v>
      </c>
    </row>
    <row r="5056" spans="1:25">
      <c r="A5056" s="3" t="s">
        <v>5008</v>
      </c>
      <c r="C5056">
        <v>5</v>
      </c>
      <c r="Y5056">
        <v>1</v>
      </c>
    </row>
    <row r="5057" spans="1:25">
      <c r="A5057" s="3" t="s">
        <v>5009</v>
      </c>
      <c r="C5057">
        <v>5</v>
      </c>
      <c r="Y5057">
        <v>1</v>
      </c>
    </row>
    <row r="5058" spans="1:25">
      <c r="A5058" s="3" t="s">
        <v>5010</v>
      </c>
      <c r="C5058">
        <v>5</v>
      </c>
      <c r="Y5058">
        <v>1</v>
      </c>
    </row>
    <row r="5059" spans="1:25">
      <c r="A5059" s="3" t="s">
        <v>5011</v>
      </c>
      <c r="C5059">
        <v>5</v>
      </c>
      <c r="Y5059">
        <v>1</v>
      </c>
    </row>
    <row r="5060" spans="1:25">
      <c r="A5060" s="3" t="s">
        <v>5012</v>
      </c>
      <c r="C5060">
        <v>5</v>
      </c>
      <c r="Y5060">
        <v>1</v>
      </c>
    </row>
    <row r="5061" spans="1:25">
      <c r="A5061" s="3" t="s">
        <v>5013</v>
      </c>
      <c r="C5061">
        <v>5</v>
      </c>
      <c r="Y5061">
        <v>1</v>
      </c>
    </row>
    <row r="5062" spans="1:25">
      <c r="A5062" s="3" t="s">
        <v>5014</v>
      </c>
      <c r="C5062">
        <v>5</v>
      </c>
      <c r="V5062">
        <v>1</v>
      </c>
    </row>
    <row r="5063" spans="1:25">
      <c r="A5063" s="3" t="s">
        <v>5015</v>
      </c>
      <c r="C5063">
        <v>5</v>
      </c>
      <c r="V5063">
        <v>1</v>
      </c>
    </row>
    <row r="5064" spans="1:25">
      <c r="A5064" s="3" t="s">
        <v>5016</v>
      </c>
      <c r="C5064">
        <v>5</v>
      </c>
      <c r="V5064">
        <v>1</v>
      </c>
    </row>
    <row r="5065" spans="1:25">
      <c r="A5065" s="3" t="s">
        <v>5017</v>
      </c>
      <c r="C5065">
        <v>5</v>
      </c>
      <c r="V5065">
        <v>1</v>
      </c>
    </row>
    <row r="5066" spans="1:25">
      <c r="A5066" s="3" t="s">
        <v>5018</v>
      </c>
      <c r="C5066">
        <v>5</v>
      </c>
      <c r="V5066">
        <v>1</v>
      </c>
    </row>
    <row r="5067" spans="1:25">
      <c r="A5067" s="3" t="s">
        <v>5019</v>
      </c>
      <c r="C5067">
        <v>5</v>
      </c>
      <c r="V5067">
        <v>1</v>
      </c>
    </row>
    <row r="5068" spans="1:25">
      <c r="A5068" s="3" t="s">
        <v>5020</v>
      </c>
      <c r="C5068">
        <v>5</v>
      </c>
      <c r="V5068">
        <v>1</v>
      </c>
    </row>
    <row r="5069" spans="1:25">
      <c r="A5069" s="3" t="s">
        <v>5021</v>
      </c>
      <c r="C5069">
        <v>5</v>
      </c>
      <c r="V5069">
        <v>1</v>
      </c>
    </row>
    <row r="5070" spans="1:25">
      <c r="A5070" s="3" t="s">
        <v>5022</v>
      </c>
      <c r="C5070">
        <v>5</v>
      </c>
      <c r="V5070">
        <v>1</v>
      </c>
    </row>
    <row r="5071" spans="1:25">
      <c r="A5071" s="3" t="s">
        <v>5023</v>
      </c>
      <c r="C5071">
        <v>5</v>
      </c>
      <c r="V5071">
        <v>1</v>
      </c>
    </row>
    <row r="5072" spans="1:25">
      <c r="A5072" s="3" t="s">
        <v>5024</v>
      </c>
      <c r="C5072">
        <v>5</v>
      </c>
      <c r="V5072">
        <v>1</v>
      </c>
    </row>
    <row r="5073" spans="1:22">
      <c r="A5073" s="3" t="s">
        <v>5025</v>
      </c>
      <c r="C5073">
        <v>5</v>
      </c>
      <c r="V5073">
        <v>1</v>
      </c>
    </row>
    <row r="5074" spans="1:22">
      <c r="A5074" s="3" t="s">
        <v>5026</v>
      </c>
      <c r="C5074">
        <v>5</v>
      </c>
      <c r="V5074">
        <v>1</v>
      </c>
    </row>
    <row r="5075" spans="1:22">
      <c r="A5075" s="3" t="s">
        <v>5027</v>
      </c>
      <c r="C5075">
        <v>5</v>
      </c>
      <c r="V5075">
        <v>1</v>
      </c>
    </row>
    <row r="5076" spans="1:22">
      <c r="A5076" s="3" t="s">
        <v>5028</v>
      </c>
      <c r="C5076">
        <v>5</v>
      </c>
      <c r="V5076">
        <v>1</v>
      </c>
    </row>
    <row r="5077" spans="1:22">
      <c r="A5077" s="3" t="s">
        <v>5029</v>
      </c>
      <c r="C5077">
        <v>5</v>
      </c>
      <c r="V5077">
        <v>1</v>
      </c>
    </row>
    <row r="5078" spans="1:22">
      <c r="A5078" s="3" t="s">
        <v>5030</v>
      </c>
      <c r="C5078">
        <v>5</v>
      </c>
      <c r="V5078">
        <v>1</v>
      </c>
    </row>
    <row r="5079" spans="1:22">
      <c r="A5079" s="3" t="s">
        <v>5031</v>
      </c>
      <c r="C5079">
        <v>5</v>
      </c>
      <c r="V5079">
        <v>1</v>
      </c>
    </row>
    <row r="5080" spans="1:22">
      <c r="A5080" s="3" t="s">
        <v>5032</v>
      </c>
      <c r="C5080">
        <v>5</v>
      </c>
      <c r="V5080">
        <v>1</v>
      </c>
    </row>
    <row r="5081" spans="1:22">
      <c r="A5081" s="3" t="s">
        <v>5033</v>
      </c>
      <c r="C5081">
        <v>5</v>
      </c>
      <c r="V5081">
        <v>1</v>
      </c>
    </row>
    <row r="5082" spans="1:22">
      <c r="A5082" s="3" t="s">
        <v>5034</v>
      </c>
      <c r="C5082">
        <v>5</v>
      </c>
      <c r="V5082">
        <v>1</v>
      </c>
    </row>
    <row r="5083" spans="1:22">
      <c r="A5083" s="3" t="s">
        <v>5035</v>
      </c>
      <c r="C5083">
        <v>5</v>
      </c>
      <c r="V5083">
        <v>1</v>
      </c>
    </row>
    <row r="5084" spans="1:22">
      <c r="A5084" s="3" t="s">
        <v>5036</v>
      </c>
      <c r="C5084">
        <v>5</v>
      </c>
      <c r="V5084">
        <v>1</v>
      </c>
    </row>
    <row r="5085" spans="1:22">
      <c r="A5085" s="3" t="s">
        <v>5037</v>
      </c>
      <c r="C5085">
        <v>5</v>
      </c>
      <c r="V5085">
        <v>1</v>
      </c>
    </row>
    <row r="5086" spans="1:22">
      <c r="A5086" s="3" t="s">
        <v>5038</v>
      </c>
      <c r="C5086">
        <v>5</v>
      </c>
      <c r="V5086">
        <v>1</v>
      </c>
    </row>
    <row r="5087" spans="1:22">
      <c r="A5087" s="3" t="s">
        <v>5039</v>
      </c>
      <c r="C5087">
        <v>5</v>
      </c>
      <c r="V5087">
        <v>1</v>
      </c>
    </row>
    <row r="5088" spans="1:22">
      <c r="A5088" s="3" t="s">
        <v>5040</v>
      </c>
      <c r="C5088">
        <v>5</v>
      </c>
      <c r="V5088">
        <v>1</v>
      </c>
    </row>
    <row r="5089" spans="1:22">
      <c r="A5089" s="3" t="s">
        <v>5041</v>
      </c>
      <c r="C5089">
        <v>5</v>
      </c>
      <c r="V5089">
        <v>1</v>
      </c>
    </row>
    <row r="5090" spans="1:22">
      <c r="A5090" s="3" t="s">
        <v>5042</v>
      </c>
      <c r="C5090">
        <v>5</v>
      </c>
      <c r="V5090">
        <v>1</v>
      </c>
    </row>
    <row r="5091" spans="1:22">
      <c r="A5091" s="3" t="s">
        <v>5043</v>
      </c>
      <c r="C5091">
        <v>5</v>
      </c>
      <c r="V5091">
        <v>1</v>
      </c>
    </row>
    <row r="5092" spans="1:22">
      <c r="A5092" s="3" t="s">
        <v>5044</v>
      </c>
      <c r="C5092">
        <v>5</v>
      </c>
      <c r="V5092">
        <v>1</v>
      </c>
    </row>
    <row r="5093" spans="1:22">
      <c r="A5093" s="3" t="s">
        <v>5045</v>
      </c>
      <c r="C5093">
        <v>5</v>
      </c>
      <c r="V5093">
        <v>1</v>
      </c>
    </row>
    <row r="5094" spans="1:22">
      <c r="A5094" s="3" t="s">
        <v>5046</v>
      </c>
      <c r="C5094">
        <v>5</v>
      </c>
      <c r="V5094">
        <v>1</v>
      </c>
    </row>
    <row r="5095" spans="1:22">
      <c r="A5095" s="3" t="s">
        <v>5047</v>
      </c>
      <c r="C5095">
        <v>5</v>
      </c>
      <c r="V5095">
        <v>1</v>
      </c>
    </row>
    <row r="5096" spans="1:22">
      <c r="A5096" s="3" t="s">
        <v>5048</v>
      </c>
      <c r="C5096">
        <v>5</v>
      </c>
      <c r="V5096">
        <v>1</v>
      </c>
    </row>
    <row r="5097" spans="1:22">
      <c r="A5097" s="3" t="s">
        <v>5049</v>
      </c>
      <c r="C5097">
        <v>5</v>
      </c>
      <c r="V5097">
        <v>1</v>
      </c>
    </row>
    <row r="5098" spans="1:22">
      <c r="A5098" s="3" t="s">
        <v>5050</v>
      </c>
      <c r="C5098">
        <v>5</v>
      </c>
      <c r="V5098">
        <v>1</v>
      </c>
    </row>
    <row r="5099" spans="1:22">
      <c r="A5099" s="3" t="s">
        <v>5051</v>
      </c>
      <c r="C5099">
        <v>5</v>
      </c>
      <c r="V5099">
        <v>1</v>
      </c>
    </row>
    <row r="5100" spans="1:22">
      <c r="A5100" s="3" t="s">
        <v>5052</v>
      </c>
      <c r="C5100">
        <v>5</v>
      </c>
      <c r="V5100">
        <v>1</v>
      </c>
    </row>
    <row r="5101" spans="1:22">
      <c r="A5101" s="3" t="s">
        <v>5053</v>
      </c>
      <c r="C5101">
        <v>5</v>
      </c>
      <c r="V5101">
        <v>1</v>
      </c>
    </row>
    <row r="5102" spans="1:22">
      <c r="A5102" s="3" t="s">
        <v>5054</v>
      </c>
      <c r="C5102">
        <v>5</v>
      </c>
      <c r="V5102">
        <v>1</v>
      </c>
    </row>
    <row r="5103" spans="1:22">
      <c r="A5103" s="3" t="s">
        <v>5055</v>
      </c>
      <c r="C5103">
        <v>5</v>
      </c>
      <c r="V5103">
        <v>1</v>
      </c>
    </row>
    <row r="5104" spans="1:22">
      <c r="A5104" s="3" t="s">
        <v>5056</v>
      </c>
      <c r="C5104">
        <v>5</v>
      </c>
      <c r="J5104">
        <v>57</v>
      </c>
    </row>
    <row r="5105" spans="1:23">
      <c r="A5105" s="3" t="s">
        <v>5057</v>
      </c>
      <c r="C5105">
        <v>5</v>
      </c>
      <c r="J5105">
        <v>57</v>
      </c>
    </row>
    <row r="5106" spans="1:23">
      <c r="A5106" s="3" t="s">
        <v>5058</v>
      </c>
      <c r="C5106">
        <v>5</v>
      </c>
      <c r="J5106">
        <v>57</v>
      </c>
    </row>
    <row r="5107" spans="1:23">
      <c r="A5107" s="3" t="s">
        <v>5059</v>
      </c>
      <c r="C5107">
        <v>5</v>
      </c>
      <c r="J5107">
        <v>57</v>
      </c>
    </row>
    <row r="5108" spans="1:23">
      <c r="A5108" s="3" t="s">
        <v>5060</v>
      </c>
      <c r="C5108">
        <v>5</v>
      </c>
      <c r="J5108">
        <v>57</v>
      </c>
    </row>
    <row r="5109" spans="1:23">
      <c r="A5109" s="3" t="s">
        <v>5061</v>
      </c>
      <c r="C5109">
        <v>5</v>
      </c>
      <c r="J5109">
        <v>57</v>
      </c>
    </row>
    <row r="5110" spans="1:23">
      <c r="A5110" s="3" t="s">
        <v>5062</v>
      </c>
      <c r="C5110">
        <v>5</v>
      </c>
      <c r="J5110">
        <v>57</v>
      </c>
    </row>
    <row r="5111" spans="1:23">
      <c r="A5111" s="3" t="s">
        <v>5063</v>
      </c>
      <c r="C5111">
        <v>5</v>
      </c>
      <c r="J5111">
        <v>57</v>
      </c>
    </row>
    <row r="5112" spans="1:23">
      <c r="A5112" s="3" t="s">
        <v>5064</v>
      </c>
      <c r="C5112">
        <v>5</v>
      </c>
      <c r="J5112">
        <v>57</v>
      </c>
    </row>
    <row r="5113" spans="1:23">
      <c r="A5113" s="3" t="s">
        <v>5065</v>
      </c>
      <c r="C5113">
        <v>5</v>
      </c>
      <c r="J5113">
        <v>57</v>
      </c>
    </row>
    <row r="5114" spans="1:23">
      <c r="A5114" s="3" t="s">
        <v>5066</v>
      </c>
      <c r="C5114">
        <v>5</v>
      </c>
      <c r="J5114">
        <v>57</v>
      </c>
    </row>
    <row r="5115" spans="1:23">
      <c r="A5115" s="3" t="s">
        <v>5067</v>
      </c>
      <c r="C5115">
        <v>5</v>
      </c>
      <c r="J5115">
        <v>57</v>
      </c>
    </row>
    <row r="5116" spans="1:23">
      <c r="A5116" s="3" t="s">
        <v>5068</v>
      </c>
      <c r="C5116">
        <v>5</v>
      </c>
      <c r="J5116">
        <v>57</v>
      </c>
    </row>
    <row r="5117" spans="1:23">
      <c r="A5117" s="3" t="s">
        <v>5069</v>
      </c>
      <c r="C5117">
        <v>5</v>
      </c>
      <c r="J5117">
        <v>57</v>
      </c>
    </row>
    <row r="5118" spans="1:23">
      <c r="A5118" s="3" t="s">
        <v>5070</v>
      </c>
      <c r="C5118">
        <v>5</v>
      </c>
      <c r="J5118">
        <v>57</v>
      </c>
    </row>
    <row r="5119" spans="1:23">
      <c r="A5119" s="3" t="s">
        <v>5071</v>
      </c>
      <c r="C5119">
        <v>5</v>
      </c>
      <c r="J5119">
        <v>57</v>
      </c>
    </row>
    <row r="5120" spans="1:23">
      <c r="A5120" s="3" t="s">
        <v>5072</v>
      </c>
      <c r="C5120">
        <v>5</v>
      </c>
      <c r="W5120">
        <v>1</v>
      </c>
    </row>
    <row r="5121" spans="1:23">
      <c r="A5121" s="3" t="s">
        <v>5073</v>
      </c>
      <c r="C5121">
        <v>5</v>
      </c>
      <c r="W5121">
        <v>1</v>
      </c>
    </row>
    <row r="5122" spans="1:23">
      <c r="A5122" s="3" t="s">
        <v>5074</v>
      </c>
      <c r="C5122">
        <v>5</v>
      </c>
      <c r="W5122">
        <v>1</v>
      </c>
    </row>
    <row r="5123" spans="1:23">
      <c r="A5123" s="3" t="s">
        <v>5075</v>
      </c>
      <c r="C5123">
        <v>5</v>
      </c>
      <c r="W5123">
        <v>1</v>
      </c>
    </row>
    <row r="5124" spans="1:23">
      <c r="A5124" s="3" t="s">
        <v>5076</v>
      </c>
      <c r="C5124">
        <v>5</v>
      </c>
      <c r="W5124">
        <v>1</v>
      </c>
    </row>
    <row r="5125" spans="1:23">
      <c r="A5125" s="3" t="s">
        <v>5077</v>
      </c>
      <c r="C5125">
        <v>5</v>
      </c>
      <c r="W5125">
        <v>1</v>
      </c>
    </row>
    <row r="5126" spans="1:23">
      <c r="A5126" s="3" t="s">
        <v>5078</v>
      </c>
      <c r="C5126">
        <v>5</v>
      </c>
      <c r="W5126">
        <v>1</v>
      </c>
    </row>
    <row r="5127" spans="1:23">
      <c r="A5127" s="3" t="s">
        <v>5079</v>
      </c>
      <c r="C5127">
        <v>5</v>
      </c>
      <c r="W5127">
        <v>1</v>
      </c>
    </row>
    <row r="5128" spans="1:23">
      <c r="A5128" s="3" t="s">
        <v>5080</v>
      </c>
      <c r="C5128">
        <v>5</v>
      </c>
      <c r="W5128">
        <v>1</v>
      </c>
    </row>
    <row r="5129" spans="1:23">
      <c r="A5129" s="3" t="s">
        <v>5081</v>
      </c>
      <c r="C5129">
        <v>5</v>
      </c>
      <c r="W5129">
        <v>1</v>
      </c>
    </row>
    <row r="5130" spans="1:23">
      <c r="A5130" s="3" t="s">
        <v>5082</v>
      </c>
      <c r="C5130">
        <v>5</v>
      </c>
      <c r="W5130">
        <v>1</v>
      </c>
    </row>
    <row r="5131" spans="1:23">
      <c r="A5131" s="3" t="s">
        <v>5083</v>
      </c>
      <c r="C5131">
        <v>5</v>
      </c>
      <c r="W5131">
        <v>1</v>
      </c>
    </row>
    <row r="5132" spans="1:23">
      <c r="A5132" s="3" t="s">
        <v>5084</v>
      </c>
      <c r="C5132">
        <v>5</v>
      </c>
      <c r="W5132">
        <v>1</v>
      </c>
    </row>
    <row r="5133" spans="1:23">
      <c r="A5133" s="3" t="s">
        <v>5085</v>
      </c>
      <c r="C5133">
        <v>5</v>
      </c>
      <c r="W5133">
        <v>1</v>
      </c>
    </row>
    <row r="5134" spans="1:23">
      <c r="A5134" s="3" t="s">
        <v>5086</v>
      </c>
      <c r="C5134">
        <v>5</v>
      </c>
      <c r="W5134">
        <v>1</v>
      </c>
    </row>
    <row r="5135" spans="1:23">
      <c r="A5135" s="3" t="s">
        <v>5087</v>
      </c>
      <c r="C5135">
        <v>5</v>
      </c>
      <c r="W5135">
        <v>1</v>
      </c>
    </row>
    <row r="5136" spans="1:23">
      <c r="A5136" s="3" t="s">
        <v>5088</v>
      </c>
      <c r="C5136">
        <v>5</v>
      </c>
      <c r="W5136">
        <v>1</v>
      </c>
    </row>
    <row r="5137" spans="1:23">
      <c r="A5137" s="3" t="s">
        <v>5089</v>
      </c>
      <c r="C5137">
        <v>5</v>
      </c>
      <c r="W5137">
        <v>1</v>
      </c>
    </row>
    <row r="5138" spans="1:23">
      <c r="A5138" s="3" t="s">
        <v>5090</v>
      </c>
      <c r="C5138">
        <v>5</v>
      </c>
      <c r="W5138">
        <v>1</v>
      </c>
    </row>
    <row r="5139" spans="1:23">
      <c r="A5139" s="3" t="s">
        <v>5091</v>
      </c>
      <c r="C5139">
        <v>5</v>
      </c>
      <c r="W5139">
        <v>1</v>
      </c>
    </row>
    <row r="5140" spans="1:23">
      <c r="A5140" s="3" t="s">
        <v>5092</v>
      </c>
      <c r="C5140">
        <v>5</v>
      </c>
      <c r="W5140">
        <v>1</v>
      </c>
    </row>
    <row r="5141" spans="1:23">
      <c r="A5141" s="3" t="s">
        <v>5093</v>
      </c>
      <c r="C5141">
        <v>5</v>
      </c>
      <c r="W5141">
        <v>1</v>
      </c>
    </row>
    <row r="5142" spans="1:23">
      <c r="A5142" s="3" t="s">
        <v>5094</v>
      </c>
      <c r="C5142">
        <v>5</v>
      </c>
      <c r="W5142">
        <v>1</v>
      </c>
    </row>
    <row r="5143" spans="1:23">
      <c r="A5143" s="3" t="s">
        <v>5095</v>
      </c>
      <c r="C5143">
        <v>5</v>
      </c>
      <c r="W5143">
        <v>1</v>
      </c>
    </row>
    <row r="5144" spans="1:23">
      <c r="A5144" s="3" t="s">
        <v>5096</v>
      </c>
      <c r="C5144">
        <v>5</v>
      </c>
      <c r="W5144">
        <v>1</v>
      </c>
    </row>
    <row r="5145" spans="1:23">
      <c r="A5145" s="3" t="s">
        <v>5097</v>
      </c>
      <c r="C5145">
        <v>5</v>
      </c>
      <c r="W5145">
        <v>1</v>
      </c>
    </row>
    <row r="5146" spans="1:23">
      <c r="A5146" s="3" t="s">
        <v>5098</v>
      </c>
      <c r="C5146">
        <v>5</v>
      </c>
      <c r="W5146">
        <v>1</v>
      </c>
    </row>
    <row r="5147" spans="1:23">
      <c r="A5147" s="3" t="s">
        <v>5099</v>
      </c>
      <c r="C5147">
        <v>5</v>
      </c>
      <c r="W5147">
        <v>1</v>
      </c>
    </row>
    <row r="5148" spans="1:23">
      <c r="A5148" s="3" t="s">
        <v>5100</v>
      </c>
      <c r="C5148">
        <v>5</v>
      </c>
      <c r="W5148">
        <v>1</v>
      </c>
    </row>
    <row r="5149" spans="1:23">
      <c r="A5149" s="3" t="s">
        <v>5101</v>
      </c>
      <c r="C5149">
        <v>5</v>
      </c>
      <c r="W5149">
        <v>1</v>
      </c>
    </row>
    <row r="5150" spans="1:23">
      <c r="A5150" s="3" t="s">
        <v>5102</v>
      </c>
      <c r="C5150">
        <v>5</v>
      </c>
      <c r="W5150">
        <v>1</v>
      </c>
    </row>
    <row r="5151" spans="1:23">
      <c r="A5151" s="3" t="s">
        <v>5103</v>
      </c>
      <c r="C5151">
        <v>5</v>
      </c>
      <c r="W5151">
        <v>1</v>
      </c>
    </row>
    <row r="5152" spans="1:23">
      <c r="A5152" s="3" t="s">
        <v>5104</v>
      </c>
      <c r="C5152">
        <v>5</v>
      </c>
      <c r="W5152">
        <v>1</v>
      </c>
    </row>
    <row r="5153" spans="1:23">
      <c r="A5153" s="3" t="s">
        <v>5105</v>
      </c>
      <c r="C5153">
        <v>5</v>
      </c>
      <c r="W5153">
        <v>1</v>
      </c>
    </row>
    <row r="5154" spans="1:23">
      <c r="A5154" s="3" t="s">
        <v>5106</v>
      </c>
      <c r="C5154">
        <v>5</v>
      </c>
      <c r="W5154">
        <v>1</v>
      </c>
    </row>
    <row r="5155" spans="1:23">
      <c r="A5155" s="3" t="s">
        <v>5107</v>
      </c>
      <c r="C5155">
        <v>5</v>
      </c>
      <c r="W5155">
        <v>1</v>
      </c>
    </row>
    <row r="5156" spans="1:23">
      <c r="A5156" s="3" t="s">
        <v>5108</v>
      </c>
      <c r="C5156">
        <v>5</v>
      </c>
      <c r="W5156">
        <v>1</v>
      </c>
    </row>
    <row r="5157" spans="1:23">
      <c r="A5157" s="3" t="s">
        <v>5109</v>
      </c>
      <c r="C5157">
        <v>5</v>
      </c>
      <c r="W5157">
        <v>1</v>
      </c>
    </row>
    <row r="5158" spans="1:23">
      <c r="A5158" s="3" t="s">
        <v>5110</v>
      </c>
      <c r="C5158">
        <v>5</v>
      </c>
      <c r="W5158">
        <v>1</v>
      </c>
    </row>
    <row r="5159" spans="1:23">
      <c r="A5159" s="3" t="s">
        <v>5111</v>
      </c>
      <c r="C5159">
        <v>5</v>
      </c>
      <c r="W5159">
        <v>1</v>
      </c>
    </row>
    <row r="5160" spans="1:23">
      <c r="A5160" s="3" t="s">
        <v>5112</v>
      </c>
      <c r="C5160">
        <v>5</v>
      </c>
      <c r="W5160">
        <v>1</v>
      </c>
    </row>
    <row r="5161" spans="1:23">
      <c r="A5161" s="3" t="s">
        <v>5113</v>
      </c>
      <c r="C5161">
        <v>5</v>
      </c>
      <c r="W5161">
        <v>1</v>
      </c>
    </row>
    <row r="5162" spans="1:23">
      <c r="A5162" s="3" t="s">
        <v>5114</v>
      </c>
      <c r="C5162">
        <v>5</v>
      </c>
      <c r="W5162">
        <v>1</v>
      </c>
    </row>
    <row r="5163" spans="1:23">
      <c r="A5163" s="3" t="s">
        <v>5115</v>
      </c>
      <c r="C5163">
        <v>5</v>
      </c>
      <c r="W5163">
        <v>1</v>
      </c>
    </row>
    <row r="5164" spans="1:23">
      <c r="A5164" s="3" t="s">
        <v>5116</v>
      </c>
      <c r="C5164">
        <v>5</v>
      </c>
      <c r="W5164">
        <v>1</v>
      </c>
    </row>
    <row r="5165" spans="1:23">
      <c r="A5165" s="3" t="s">
        <v>5117</v>
      </c>
      <c r="C5165">
        <v>5</v>
      </c>
      <c r="W5165">
        <v>1</v>
      </c>
    </row>
    <row r="5166" spans="1:23">
      <c r="A5166" s="3" t="s">
        <v>5118</v>
      </c>
      <c r="C5166">
        <v>5</v>
      </c>
      <c r="W5166">
        <v>1</v>
      </c>
    </row>
    <row r="5167" spans="1:23">
      <c r="A5167" s="3" t="s">
        <v>5119</v>
      </c>
      <c r="C5167">
        <v>5</v>
      </c>
      <c r="W5167">
        <v>1</v>
      </c>
    </row>
    <row r="5168" spans="1:23">
      <c r="A5168" s="3" t="s">
        <v>5120</v>
      </c>
      <c r="C5168">
        <v>5</v>
      </c>
      <c r="W5168">
        <v>1</v>
      </c>
    </row>
    <row r="5169" spans="1:23">
      <c r="A5169" s="3" t="s">
        <v>5121</v>
      </c>
      <c r="C5169">
        <v>5</v>
      </c>
      <c r="W5169">
        <v>1</v>
      </c>
    </row>
    <row r="5170" spans="1:23">
      <c r="A5170" s="3" t="s">
        <v>5122</v>
      </c>
      <c r="C5170">
        <v>5</v>
      </c>
      <c r="W5170">
        <v>1</v>
      </c>
    </row>
    <row r="5171" spans="1:23">
      <c r="A5171" s="3" t="s">
        <v>5123</v>
      </c>
      <c r="C5171">
        <v>5</v>
      </c>
      <c r="W5171">
        <v>1</v>
      </c>
    </row>
    <row r="5172" spans="1:23">
      <c r="A5172" s="3" t="s">
        <v>5124</v>
      </c>
      <c r="C5172">
        <v>5</v>
      </c>
      <c r="W5172">
        <v>1</v>
      </c>
    </row>
    <row r="5173" spans="1:23">
      <c r="A5173" s="3" t="s">
        <v>5125</v>
      </c>
      <c r="C5173">
        <v>5</v>
      </c>
      <c r="W5173">
        <v>1</v>
      </c>
    </row>
    <row r="5174" spans="1:23">
      <c r="A5174" s="3" t="s">
        <v>5126</v>
      </c>
      <c r="C5174">
        <v>5</v>
      </c>
      <c r="W5174">
        <v>1</v>
      </c>
    </row>
    <row r="5175" spans="1:23">
      <c r="A5175" s="3" t="s">
        <v>5127</v>
      </c>
      <c r="C5175">
        <v>5</v>
      </c>
      <c r="W5175">
        <v>1</v>
      </c>
    </row>
    <row r="5176" spans="1:23">
      <c r="A5176" s="3" t="s">
        <v>5128</v>
      </c>
      <c r="C5176">
        <v>5</v>
      </c>
      <c r="W5176">
        <v>1</v>
      </c>
    </row>
    <row r="5177" spans="1:23">
      <c r="A5177" s="3" t="s">
        <v>5129</v>
      </c>
      <c r="C5177">
        <v>5</v>
      </c>
      <c r="W5177">
        <v>1</v>
      </c>
    </row>
    <row r="5178" spans="1:23">
      <c r="A5178" s="3" t="s">
        <v>5130</v>
      </c>
      <c r="C5178">
        <v>5</v>
      </c>
      <c r="W5178">
        <v>1</v>
      </c>
    </row>
    <row r="5179" spans="1:23">
      <c r="A5179" s="3" t="s">
        <v>5131</v>
      </c>
      <c r="C5179">
        <v>5</v>
      </c>
      <c r="W5179">
        <v>1</v>
      </c>
    </row>
    <row r="5180" spans="1:23">
      <c r="A5180" s="3" t="s">
        <v>5132</v>
      </c>
      <c r="C5180">
        <v>5</v>
      </c>
      <c r="W5180">
        <v>1</v>
      </c>
    </row>
    <row r="5181" spans="1:23">
      <c r="A5181" s="3" t="s">
        <v>5133</v>
      </c>
      <c r="C5181">
        <v>5</v>
      </c>
      <c r="W5181">
        <v>1</v>
      </c>
    </row>
    <row r="5182" spans="1:23">
      <c r="A5182" s="3" t="s">
        <v>5134</v>
      </c>
      <c r="C5182">
        <v>5</v>
      </c>
      <c r="W5182">
        <v>1</v>
      </c>
    </row>
    <row r="5183" spans="1:23">
      <c r="A5183" s="3" t="s">
        <v>5135</v>
      </c>
      <c r="C5183">
        <v>5</v>
      </c>
      <c r="W5183">
        <v>1</v>
      </c>
    </row>
    <row r="5184" spans="1:23">
      <c r="A5184" s="3" t="s">
        <v>5136</v>
      </c>
      <c r="C5184">
        <v>5</v>
      </c>
      <c r="W5184">
        <v>1</v>
      </c>
    </row>
    <row r="5185" spans="1:23">
      <c r="A5185" s="3" t="s">
        <v>5137</v>
      </c>
      <c r="C5185">
        <v>5</v>
      </c>
      <c r="W5185">
        <v>1</v>
      </c>
    </row>
    <row r="5186" spans="1:23">
      <c r="A5186" s="3" t="s">
        <v>5138</v>
      </c>
      <c r="C5186">
        <v>5</v>
      </c>
      <c r="W5186">
        <v>1</v>
      </c>
    </row>
    <row r="5187" spans="1:23">
      <c r="A5187" s="3" t="s">
        <v>5139</v>
      </c>
      <c r="C5187">
        <v>5</v>
      </c>
      <c r="W5187">
        <v>1</v>
      </c>
    </row>
    <row r="5188" spans="1:23">
      <c r="A5188" s="3" t="s">
        <v>5140</v>
      </c>
      <c r="C5188">
        <v>5</v>
      </c>
      <c r="W5188">
        <v>1</v>
      </c>
    </row>
    <row r="5189" spans="1:23">
      <c r="A5189" s="3" t="s">
        <v>5141</v>
      </c>
      <c r="C5189">
        <v>5</v>
      </c>
      <c r="W5189">
        <v>1</v>
      </c>
    </row>
    <row r="5190" spans="1:23">
      <c r="A5190" s="3" t="s">
        <v>5142</v>
      </c>
      <c r="C5190">
        <v>5</v>
      </c>
      <c r="W5190">
        <v>1</v>
      </c>
    </row>
    <row r="5191" spans="1:23">
      <c r="A5191" s="3" t="s">
        <v>5143</v>
      </c>
      <c r="C5191">
        <v>5</v>
      </c>
      <c r="W5191">
        <v>1</v>
      </c>
    </row>
    <row r="5192" spans="1:23">
      <c r="A5192" s="3" t="s">
        <v>5144</v>
      </c>
      <c r="C5192">
        <v>5</v>
      </c>
      <c r="W5192">
        <v>1</v>
      </c>
    </row>
    <row r="5193" spans="1:23">
      <c r="A5193" s="3" t="s">
        <v>5145</v>
      </c>
      <c r="C5193">
        <v>5</v>
      </c>
      <c r="W5193">
        <v>1</v>
      </c>
    </row>
    <row r="5194" spans="1:23">
      <c r="A5194" s="3" t="s">
        <v>5146</v>
      </c>
      <c r="C5194">
        <v>5</v>
      </c>
      <c r="W5194">
        <v>1</v>
      </c>
    </row>
    <row r="5195" spans="1:23">
      <c r="A5195" s="3" t="s">
        <v>5147</v>
      </c>
      <c r="C5195">
        <v>5</v>
      </c>
      <c r="W5195">
        <v>1</v>
      </c>
    </row>
    <row r="5196" spans="1:23">
      <c r="A5196" s="3" t="s">
        <v>5148</v>
      </c>
      <c r="C5196">
        <v>5</v>
      </c>
      <c r="W5196">
        <v>1</v>
      </c>
    </row>
    <row r="5197" spans="1:23">
      <c r="A5197" s="3" t="s">
        <v>5149</v>
      </c>
      <c r="C5197">
        <v>5</v>
      </c>
      <c r="W5197">
        <v>1</v>
      </c>
    </row>
    <row r="5198" spans="1:23">
      <c r="A5198" s="3" t="s">
        <v>5150</v>
      </c>
      <c r="C5198">
        <v>5</v>
      </c>
      <c r="W5198">
        <v>1</v>
      </c>
    </row>
    <row r="5199" spans="1:23">
      <c r="A5199" s="3" t="s">
        <v>5151</v>
      </c>
      <c r="C5199">
        <v>5</v>
      </c>
      <c r="W5199">
        <v>1</v>
      </c>
    </row>
    <row r="5200" spans="1:23">
      <c r="A5200" s="3" t="s">
        <v>5152</v>
      </c>
      <c r="C5200">
        <v>5</v>
      </c>
      <c r="W5200">
        <v>1</v>
      </c>
    </row>
    <row r="5201" spans="1:23">
      <c r="A5201" s="3" t="s">
        <v>5153</v>
      </c>
      <c r="C5201">
        <v>5</v>
      </c>
      <c r="W5201">
        <v>1</v>
      </c>
    </row>
    <row r="5202" spans="1:23">
      <c r="A5202" s="3" t="s">
        <v>5154</v>
      </c>
      <c r="C5202">
        <v>5</v>
      </c>
      <c r="W5202">
        <v>1</v>
      </c>
    </row>
    <row r="5203" spans="1:23">
      <c r="A5203" s="3" t="s">
        <v>5155</v>
      </c>
      <c r="C5203">
        <v>5</v>
      </c>
      <c r="W5203">
        <v>1</v>
      </c>
    </row>
    <row r="5204" spans="1:23">
      <c r="A5204" s="3" t="s">
        <v>5156</v>
      </c>
      <c r="C5204">
        <v>5</v>
      </c>
      <c r="W5204">
        <v>1</v>
      </c>
    </row>
    <row r="5205" spans="1:23">
      <c r="A5205" s="3" t="s">
        <v>5157</v>
      </c>
      <c r="C5205">
        <v>5</v>
      </c>
      <c r="W5205">
        <v>1</v>
      </c>
    </row>
    <row r="5206" spans="1:23">
      <c r="A5206" s="3" t="s">
        <v>5158</v>
      </c>
      <c r="C5206">
        <v>5</v>
      </c>
      <c r="W5206">
        <v>1</v>
      </c>
    </row>
    <row r="5207" spans="1:23">
      <c r="A5207" s="3" t="s">
        <v>5159</v>
      </c>
      <c r="C5207">
        <v>5</v>
      </c>
      <c r="W5207">
        <v>1</v>
      </c>
    </row>
    <row r="5208" spans="1:23">
      <c r="A5208" s="3" t="s">
        <v>5160</v>
      </c>
      <c r="C5208">
        <v>5</v>
      </c>
      <c r="W5208">
        <v>1</v>
      </c>
    </row>
    <row r="5209" spans="1:23">
      <c r="A5209" s="3" t="s">
        <v>5161</v>
      </c>
      <c r="C5209">
        <v>5</v>
      </c>
      <c r="W5209">
        <v>1</v>
      </c>
    </row>
    <row r="5210" spans="1:23">
      <c r="A5210" s="3" t="s">
        <v>5162</v>
      </c>
      <c r="C5210">
        <v>5</v>
      </c>
      <c r="W5210">
        <v>1</v>
      </c>
    </row>
    <row r="5211" spans="1:23">
      <c r="A5211" s="3" t="s">
        <v>5163</v>
      </c>
      <c r="C5211">
        <v>5</v>
      </c>
      <c r="W5211">
        <v>1</v>
      </c>
    </row>
    <row r="5212" spans="1:23">
      <c r="A5212" s="3" t="s">
        <v>5164</v>
      </c>
      <c r="C5212">
        <v>5</v>
      </c>
      <c r="W5212">
        <v>1</v>
      </c>
    </row>
    <row r="5213" spans="1:23">
      <c r="A5213" s="3" t="s">
        <v>5165</v>
      </c>
      <c r="C5213">
        <v>5</v>
      </c>
      <c r="W5213">
        <v>1</v>
      </c>
    </row>
    <row r="5214" spans="1:23">
      <c r="A5214" s="3" t="s">
        <v>5166</v>
      </c>
      <c r="C5214">
        <v>5</v>
      </c>
      <c r="W5214">
        <v>1</v>
      </c>
    </row>
    <row r="5215" spans="1:23">
      <c r="A5215" s="3" t="s">
        <v>5167</v>
      </c>
      <c r="C5215">
        <v>5</v>
      </c>
      <c r="W5215">
        <v>1</v>
      </c>
    </row>
    <row r="5216" spans="1:23">
      <c r="A5216" s="3" t="s">
        <v>5168</v>
      </c>
      <c r="C5216">
        <v>5</v>
      </c>
      <c r="W5216">
        <v>1</v>
      </c>
    </row>
    <row r="5217" spans="1:23">
      <c r="A5217" s="3" t="s">
        <v>5169</v>
      </c>
      <c r="C5217">
        <v>5</v>
      </c>
      <c r="W5217">
        <v>1</v>
      </c>
    </row>
    <row r="5218" spans="1:23">
      <c r="A5218" s="3" t="s">
        <v>5170</v>
      </c>
      <c r="C5218">
        <v>5</v>
      </c>
      <c r="W5218">
        <v>1</v>
      </c>
    </row>
    <row r="5219" spans="1:23">
      <c r="A5219" s="3" t="s">
        <v>5171</v>
      </c>
      <c r="C5219">
        <v>5</v>
      </c>
      <c r="W5219">
        <v>1</v>
      </c>
    </row>
    <row r="5220" spans="1:23">
      <c r="A5220" s="3" t="s">
        <v>5172</v>
      </c>
      <c r="C5220">
        <v>5</v>
      </c>
      <c r="W5220">
        <v>1</v>
      </c>
    </row>
    <row r="5221" spans="1:23">
      <c r="A5221" s="3" t="s">
        <v>5173</v>
      </c>
      <c r="C5221">
        <v>5</v>
      </c>
      <c r="W5221">
        <v>1</v>
      </c>
    </row>
    <row r="5222" spans="1:23">
      <c r="A5222" s="3" t="s">
        <v>5174</v>
      </c>
      <c r="C5222">
        <v>5</v>
      </c>
      <c r="W5222">
        <v>1</v>
      </c>
    </row>
    <row r="5223" spans="1:23">
      <c r="A5223" s="3" t="s">
        <v>5175</v>
      </c>
      <c r="C5223">
        <v>5</v>
      </c>
      <c r="W5223">
        <v>1</v>
      </c>
    </row>
    <row r="5224" spans="1:23">
      <c r="A5224" s="3" t="s">
        <v>5176</v>
      </c>
      <c r="C5224">
        <v>5</v>
      </c>
      <c r="W5224">
        <v>1</v>
      </c>
    </row>
    <row r="5225" spans="1:23">
      <c r="A5225" s="3" t="s">
        <v>5177</v>
      </c>
      <c r="C5225">
        <v>5</v>
      </c>
      <c r="W5225">
        <v>1</v>
      </c>
    </row>
    <row r="5226" spans="1:23">
      <c r="A5226" s="3" t="s">
        <v>5178</v>
      </c>
      <c r="C5226">
        <v>5</v>
      </c>
      <c r="W5226">
        <v>1</v>
      </c>
    </row>
    <row r="5227" spans="1:23">
      <c r="A5227" s="3" t="s">
        <v>5179</v>
      </c>
      <c r="C5227">
        <v>5</v>
      </c>
      <c r="W5227">
        <v>1</v>
      </c>
    </row>
    <row r="5228" spans="1:23">
      <c r="A5228" s="3" t="s">
        <v>5180</v>
      </c>
      <c r="C5228">
        <v>5</v>
      </c>
      <c r="W5228">
        <v>1</v>
      </c>
    </row>
    <row r="5229" spans="1:23">
      <c r="A5229" s="3" t="s">
        <v>5181</v>
      </c>
      <c r="C5229">
        <v>5</v>
      </c>
      <c r="W5229">
        <v>1</v>
      </c>
    </row>
    <row r="5230" spans="1:23">
      <c r="A5230" s="3" t="s">
        <v>5182</v>
      </c>
      <c r="C5230">
        <v>5</v>
      </c>
      <c r="W5230">
        <v>1</v>
      </c>
    </row>
    <row r="5231" spans="1:23">
      <c r="A5231" s="3" t="s">
        <v>5183</v>
      </c>
      <c r="C5231">
        <v>5</v>
      </c>
      <c r="W5231">
        <v>1</v>
      </c>
    </row>
    <row r="5232" spans="1:23">
      <c r="A5232" s="3" t="s">
        <v>5184</v>
      </c>
      <c r="C5232">
        <v>5</v>
      </c>
      <c r="W5232">
        <v>1</v>
      </c>
    </row>
    <row r="5233" spans="1:23">
      <c r="A5233" s="3" t="s">
        <v>5185</v>
      </c>
      <c r="C5233">
        <v>5</v>
      </c>
      <c r="W5233">
        <v>1</v>
      </c>
    </row>
    <row r="5234" spans="1:23">
      <c r="A5234" s="3" t="s">
        <v>5186</v>
      </c>
      <c r="C5234">
        <v>5</v>
      </c>
      <c r="W5234">
        <v>1</v>
      </c>
    </row>
    <row r="5235" spans="1:23">
      <c r="A5235" s="3" t="s">
        <v>5187</v>
      </c>
      <c r="C5235">
        <v>5</v>
      </c>
      <c r="W5235">
        <v>1</v>
      </c>
    </row>
    <row r="5236" spans="1:23">
      <c r="A5236" s="3" t="s">
        <v>5188</v>
      </c>
      <c r="C5236">
        <v>5</v>
      </c>
      <c r="W5236">
        <v>1</v>
      </c>
    </row>
    <row r="5237" spans="1:23">
      <c r="A5237" s="3" t="s">
        <v>5189</v>
      </c>
      <c r="C5237">
        <v>5</v>
      </c>
      <c r="W5237">
        <v>1</v>
      </c>
    </row>
    <row r="5238" spans="1:23">
      <c r="A5238" s="3" t="s">
        <v>5190</v>
      </c>
      <c r="C5238">
        <v>5</v>
      </c>
      <c r="W5238">
        <v>1</v>
      </c>
    </row>
    <row r="5239" spans="1:23">
      <c r="A5239" s="3" t="s">
        <v>5191</v>
      </c>
      <c r="C5239">
        <v>5</v>
      </c>
      <c r="W5239">
        <v>1</v>
      </c>
    </row>
    <row r="5240" spans="1:23">
      <c r="A5240" s="3" t="s">
        <v>5192</v>
      </c>
      <c r="C5240">
        <v>5</v>
      </c>
      <c r="W5240">
        <v>1</v>
      </c>
    </row>
    <row r="5241" spans="1:23">
      <c r="A5241" s="3" t="s">
        <v>5193</v>
      </c>
      <c r="C5241">
        <v>5</v>
      </c>
      <c r="W5241">
        <v>1</v>
      </c>
    </row>
    <row r="5242" spans="1:23">
      <c r="A5242" s="3" t="s">
        <v>5194</v>
      </c>
      <c r="C5242">
        <v>5</v>
      </c>
      <c r="W5242">
        <v>1</v>
      </c>
    </row>
    <row r="5243" spans="1:23">
      <c r="A5243" s="3" t="s">
        <v>5195</v>
      </c>
      <c r="C5243">
        <v>5</v>
      </c>
      <c r="W5243">
        <v>1</v>
      </c>
    </row>
    <row r="5244" spans="1:23">
      <c r="A5244" s="3" t="s">
        <v>5196</v>
      </c>
      <c r="C5244">
        <v>5</v>
      </c>
      <c r="W5244">
        <v>1</v>
      </c>
    </row>
    <row r="5245" spans="1:23">
      <c r="A5245" s="3" t="s">
        <v>5197</v>
      </c>
      <c r="C5245">
        <v>5</v>
      </c>
      <c r="W5245">
        <v>1</v>
      </c>
    </row>
    <row r="5246" spans="1:23">
      <c r="A5246" s="3" t="s">
        <v>5198</v>
      </c>
      <c r="C5246">
        <v>5</v>
      </c>
      <c r="W5246">
        <v>1</v>
      </c>
    </row>
    <row r="5247" spans="1:23">
      <c r="A5247" s="3" t="s">
        <v>5199</v>
      </c>
      <c r="C5247">
        <v>5</v>
      </c>
      <c r="W5247">
        <v>1</v>
      </c>
    </row>
    <row r="5248" spans="1:23">
      <c r="A5248" s="3" t="s">
        <v>5200</v>
      </c>
      <c r="C5248">
        <v>5</v>
      </c>
      <c r="W5248">
        <v>1</v>
      </c>
    </row>
    <row r="5249" spans="1:23">
      <c r="A5249" s="3" t="s">
        <v>5201</v>
      </c>
      <c r="C5249">
        <v>5</v>
      </c>
      <c r="W5249">
        <v>1</v>
      </c>
    </row>
    <row r="5250" spans="1:23">
      <c r="A5250" s="3" t="s">
        <v>5202</v>
      </c>
      <c r="C5250">
        <v>5</v>
      </c>
      <c r="W5250">
        <v>1</v>
      </c>
    </row>
    <row r="5251" spans="1:23">
      <c r="A5251" s="3" t="s">
        <v>5203</v>
      </c>
      <c r="C5251">
        <v>5</v>
      </c>
      <c r="W5251">
        <v>1</v>
      </c>
    </row>
    <row r="5252" spans="1:23">
      <c r="A5252" s="3" t="s">
        <v>5204</v>
      </c>
      <c r="C5252">
        <v>5</v>
      </c>
      <c r="W5252">
        <v>1</v>
      </c>
    </row>
    <row r="5253" spans="1:23">
      <c r="A5253" s="3" t="s">
        <v>5205</v>
      </c>
      <c r="C5253">
        <v>5</v>
      </c>
      <c r="W5253">
        <v>1</v>
      </c>
    </row>
    <row r="5254" spans="1:23">
      <c r="A5254" s="3" t="s">
        <v>5206</v>
      </c>
      <c r="C5254">
        <v>5</v>
      </c>
      <c r="W5254">
        <v>1</v>
      </c>
    </row>
    <row r="5255" spans="1:23">
      <c r="A5255" s="3" t="s">
        <v>5207</v>
      </c>
      <c r="C5255">
        <v>5</v>
      </c>
      <c r="W5255">
        <v>1</v>
      </c>
    </row>
    <row r="5256" spans="1:23">
      <c r="A5256" s="3" t="s">
        <v>5208</v>
      </c>
      <c r="C5256">
        <v>5</v>
      </c>
      <c r="W5256">
        <v>1</v>
      </c>
    </row>
    <row r="5257" spans="1:23">
      <c r="A5257" s="3" t="s">
        <v>5209</v>
      </c>
      <c r="C5257">
        <v>5</v>
      </c>
      <c r="W5257">
        <v>1</v>
      </c>
    </row>
    <row r="5258" spans="1:23">
      <c r="A5258" s="3" t="s">
        <v>5210</v>
      </c>
      <c r="C5258">
        <v>5</v>
      </c>
      <c r="W5258">
        <v>1</v>
      </c>
    </row>
    <row r="5259" spans="1:23">
      <c r="A5259" s="3" t="s">
        <v>5211</v>
      </c>
      <c r="C5259">
        <v>5</v>
      </c>
      <c r="W5259">
        <v>1</v>
      </c>
    </row>
    <row r="5260" spans="1:23">
      <c r="A5260" s="3" t="s">
        <v>5212</v>
      </c>
      <c r="C5260">
        <v>5</v>
      </c>
      <c r="W5260">
        <v>1</v>
      </c>
    </row>
    <row r="5261" spans="1:23">
      <c r="A5261" s="3" t="s">
        <v>5213</v>
      </c>
      <c r="C5261">
        <v>5</v>
      </c>
      <c r="W5261">
        <v>1</v>
      </c>
    </row>
    <row r="5262" spans="1:23">
      <c r="A5262" s="3" t="s">
        <v>5214</v>
      </c>
      <c r="C5262">
        <v>5</v>
      </c>
      <c r="W5262">
        <v>1</v>
      </c>
    </row>
    <row r="5263" spans="1:23">
      <c r="A5263" s="3" t="s">
        <v>5215</v>
      </c>
      <c r="C5263">
        <v>5</v>
      </c>
      <c r="W5263">
        <v>1</v>
      </c>
    </row>
    <row r="5264" spans="1:23">
      <c r="A5264" s="3" t="s">
        <v>5216</v>
      </c>
      <c r="C5264">
        <v>5</v>
      </c>
      <c r="W5264">
        <v>1</v>
      </c>
    </row>
    <row r="5265" spans="1:23">
      <c r="A5265" s="3" t="s">
        <v>5217</v>
      </c>
      <c r="C5265">
        <v>5</v>
      </c>
      <c r="W5265">
        <v>1</v>
      </c>
    </row>
    <row r="5266" spans="1:23">
      <c r="A5266" s="3" t="s">
        <v>5218</v>
      </c>
      <c r="C5266">
        <v>5</v>
      </c>
      <c r="W5266">
        <v>1</v>
      </c>
    </row>
    <row r="5267" spans="1:23">
      <c r="A5267" s="3" t="s">
        <v>5219</v>
      </c>
      <c r="C5267">
        <v>5</v>
      </c>
      <c r="W5267">
        <v>1</v>
      </c>
    </row>
    <row r="5268" spans="1:23">
      <c r="A5268" s="3" t="s">
        <v>5220</v>
      </c>
      <c r="C5268">
        <v>5</v>
      </c>
      <c r="W5268">
        <v>1</v>
      </c>
    </row>
    <row r="5269" spans="1:23">
      <c r="A5269" s="3" t="s">
        <v>5221</v>
      </c>
      <c r="C5269">
        <v>5</v>
      </c>
      <c r="W5269">
        <v>1</v>
      </c>
    </row>
    <row r="5270" spans="1:23">
      <c r="A5270" s="3" t="s">
        <v>5222</v>
      </c>
      <c r="C5270">
        <v>5</v>
      </c>
      <c r="W5270">
        <v>1</v>
      </c>
    </row>
    <row r="5271" spans="1:23">
      <c r="A5271" s="3" t="s">
        <v>5223</v>
      </c>
      <c r="C5271">
        <v>5</v>
      </c>
      <c r="W5271">
        <v>1</v>
      </c>
    </row>
    <row r="5272" spans="1:23">
      <c r="A5272" s="3" t="s">
        <v>5224</v>
      </c>
      <c r="C5272">
        <v>5</v>
      </c>
      <c r="W5272">
        <v>1</v>
      </c>
    </row>
    <row r="5273" spans="1:23">
      <c r="A5273" s="3" t="s">
        <v>5225</v>
      </c>
      <c r="C5273">
        <v>5</v>
      </c>
      <c r="W5273">
        <v>1</v>
      </c>
    </row>
    <row r="5274" spans="1:23">
      <c r="A5274" s="3" t="s">
        <v>5226</v>
      </c>
      <c r="C5274">
        <v>5</v>
      </c>
      <c r="W5274">
        <v>1</v>
      </c>
    </row>
    <row r="5275" spans="1:23">
      <c r="A5275" s="3" t="s">
        <v>5227</v>
      </c>
      <c r="C5275">
        <v>5</v>
      </c>
      <c r="W5275">
        <v>1</v>
      </c>
    </row>
    <row r="5276" spans="1:23">
      <c r="A5276" s="3" t="s">
        <v>5228</v>
      </c>
      <c r="C5276">
        <v>5</v>
      </c>
      <c r="W5276">
        <v>1</v>
      </c>
    </row>
    <row r="5277" spans="1:23">
      <c r="A5277" s="3" t="s">
        <v>5229</v>
      </c>
      <c r="C5277">
        <v>5</v>
      </c>
      <c r="W5277">
        <v>1</v>
      </c>
    </row>
    <row r="5278" spans="1:23">
      <c r="A5278" s="3" t="s">
        <v>5230</v>
      </c>
      <c r="C5278">
        <v>5</v>
      </c>
      <c r="W5278">
        <v>1</v>
      </c>
    </row>
    <row r="5279" spans="1:23">
      <c r="A5279" s="3" t="s">
        <v>5231</v>
      </c>
      <c r="C5279">
        <v>5</v>
      </c>
      <c r="W5279">
        <v>1</v>
      </c>
    </row>
    <row r="5280" spans="1:23">
      <c r="A5280" s="3" t="s">
        <v>5232</v>
      </c>
      <c r="C5280">
        <v>5</v>
      </c>
      <c r="W5280">
        <v>1</v>
      </c>
    </row>
    <row r="5281" spans="1:23">
      <c r="A5281" s="3" t="s">
        <v>5233</v>
      </c>
      <c r="C5281">
        <v>5</v>
      </c>
      <c r="W5281">
        <v>1</v>
      </c>
    </row>
    <row r="5282" spans="1:23">
      <c r="A5282" s="3" t="s">
        <v>5234</v>
      </c>
      <c r="C5282">
        <v>5</v>
      </c>
      <c r="W5282">
        <v>1</v>
      </c>
    </row>
    <row r="5283" spans="1:23">
      <c r="A5283" s="3" t="s">
        <v>5235</v>
      </c>
      <c r="C5283">
        <v>5</v>
      </c>
      <c r="W5283">
        <v>1</v>
      </c>
    </row>
    <row r="5284" spans="1:23">
      <c r="A5284" s="3" t="s">
        <v>5236</v>
      </c>
      <c r="C5284">
        <v>5</v>
      </c>
      <c r="W5284">
        <v>1</v>
      </c>
    </row>
    <row r="5285" spans="1:23">
      <c r="A5285" s="3" t="s">
        <v>5237</v>
      </c>
      <c r="C5285">
        <v>5</v>
      </c>
      <c r="W5285">
        <v>1</v>
      </c>
    </row>
    <row r="5286" spans="1:23">
      <c r="A5286" s="3" t="s">
        <v>5238</v>
      </c>
      <c r="C5286">
        <v>5</v>
      </c>
      <c r="W5286">
        <v>1</v>
      </c>
    </row>
    <row r="5287" spans="1:23">
      <c r="A5287" s="3" t="s">
        <v>5239</v>
      </c>
      <c r="C5287">
        <v>5</v>
      </c>
      <c r="W5287">
        <v>1</v>
      </c>
    </row>
    <row r="5288" spans="1:23">
      <c r="A5288" s="3" t="s">
        <v>5240</v>
      </c>
      <c r="C5288">
        <v>5</v>
      </c>
      <c r="J5288">
        <v>58</v>
      </c>
    </row>
    <row r="5289" spans="1:23">
      <c r="A5289" s="3" t="s">
        <v>5241</v>
      </c>
      <c r="C5289">
        <v>5</v>
      </c>
      <c r="J5289">
        <v>58</v>
      </c>
    </row>
    <row r="5290" spans="1:23">
      <c r="A5290" s="3" t="s">
        <v>5242</v>
      </c>
      <c r="C5290">
        <v>5</v>
      </c>
      <c r="J5290">
        <v>58</v>
      </c>
    </row>
    <row r="5291" spans="1:23">
      <c r="A5291" s="3" t="s">
        <v>5243</v>
      </c>
      <c r="C5291">
        <v>5</v>
      </c>
      <c r="J5291">
        <v>58</v>
      </c>
    </row>
    <row r="5292" spans="1:23">
      <c r="A5292" s="3" t="s">
        <v>5244</v>
      </c>
      <c r="C5292">
        <v>5</v>
      </c>
      <c r="J5292">
        <v>58</v>
      </c>
    </row>
    <row r="5293" spans="1:23">
      <c r="A5293" s="3" t="s">
        <v>5245</v>
      </c>
      <c r="C5293">
        <v>5</v>
      </c>
      <c r="J5293">
        <v>58</v>
      </c>
    </row>
    <row r="5294" spans="1:23">
      <c r="A5294" s="3" t="s">
        <v>5246</v>
      </c>
      <c r="C5294">
        <v>5</v>
      </c>
      <c r="J5294">
        <v>58</v>
      </c>
    </row>
    <row r="5295" spans="1:23">
      <c r="A5295" s="3" t="s">
        <v>5247</v>
      </c>
      <c r="C5295">
        <v>5</v>
      </c>
      <c r="J5295">
        <v>58</v>
      </c>
    </row>
    <row r="5296" spans="1:23">
      <c r="A5296" s="3" t="s">
        <v>5248</v>
      </c>
      <c r="C5296">
        <v>5</v>
      </c>
      <c r="J5296">
        <v>58</v>
      </c>
    </row>
    <row r="5297" spans="1:10">
      <c r="A5297" s="3" t="s">
        <v>5249</v>
      </c>
      <c r="C5297">
        <v>5</v>
      </c>
      <c r="J5297">
        <v>58</v>
      </c>
    </row>
    <row r="5298" spans="1:10">
      <c r="A5298" s="3" t="s">
        <v>5250</v>
      </c>
      <c r="C5298">
        <v>5</v>
      </c>
      <c r="J5298">
        <v>58</v>
      </c>
    </row>
    <row r="5299" spans="1:10">
      <c r="A5299" s="3" t="s">
        <v>5251</v>
      </c>
      <c r="C5299">
        <v>5</v>
      </c>
      <c r="J5299">
        <v>58</v>
      </c>
    </row>
    <row r="5300" spans="1:10">
      <c r="A5300" s="3" t="s">
        <v>5252</v>
      </c>
      <c r="C5300">
        <v>5</v>
      </c>
      <c r="J5300">
        <v>58</v>
      </c>
    </row>
    <row r="5301" spans="1:10">
      <c r="A5301" s="3" t="s">
        <v>5253</v>
      </c>
      <c r="C5301">
        <v>5</v>
      </c>
      <c r="J5301">
        <v>58</v>
      </c>
    </row>
    <row r="5302" spans="1:10">
      <c r="A5302" s="3" t="s">
        <v>5254</v>
      </c>
      <c r="C5302">
        <v>5</v>
      </c>
      <c r="J5302">
        <v>58</v>
      </c>
    </row>
    <row r="5303" spans="1:10">
      <c r="A5303" s="3" t="s">
        <v>5255</v>
      </c>
      <c r="C5303">
        <v>5</v>
      </c>
      <c r="J5303">
        <v>58</v>
      </c>
    </row>
    <row r="5304" spans="1:10">
      <c r="A5304" s="3" t="s">
        <v>5256</v>
      </c>
      <c r="C5304">
        <v>5</v>
      </c>
      <c r="J5304">
        <v>58</v>
      </c>
    </row>
    <row r="5305" spans="1:10">
      <c r="A5305" s="3" t="s">
        <v>5257</v>
      </c>
      <c r="C5305">
        <v>5</v>
      </c>
      <c r="J5305">
        <v>58</v>
      </c>
    </row>
    <row r="5306" spans="1:10">
      <c r="A5306" s="3" t="s">
        <v>5258</v>
      </c>
      <c r="C5306">
        <v>5</v>
      </c>
      <c r="J5306">
        <v>58</v>
      </c>
    </row>
    <row r="5307" spans="1:10">
      <c r="A5307" s="3" t="s">
        <v>5259</v>
      </c>
      <c r="C5307">
        <v>5</v>
      </c>
      <c r="J5307">
        <v>58</v>
      </c>
    </row>
    <row r="5308" spans="1:10">
      <c r="A5308" s="3" t="s">
        <v>5260</v>
      </c>
      <c r="C5308">
        <v>5</v>
      </c>
      <c r="J5308">
        <v>58</v>
      </c>
    </row>
    <row r="5309" spans="1:10">
      <c r="A5309" s="3" t="s">
        <v>5261</v>
      </c>
      <c r="C5309">
        <v>5</v>
      </c>
      <c r="J5309">
        <v>58</v>
      </c>
    </row>
    <row r="5310" spans="1:10">
      <c r="A5310" s="3" t="s">
        <v>5262</v>
      </c>
      <c r="C5310">
        <v>5</v>
      </c>
      <c r="J5310">
        <v>58</v>
      </c>
    </row>
    <row r="5311" spans="1:10">
      <c r="A5311" s="3" t="s">
        <v>5263</v>
      </c>
      <c r="C5311">
        <v>5</v>
      </c>
      <c r="J5311">
        <v>58</v>
      </c>
    </row>
    <row r="5312" spans="1:10">
      <c r="A5312" s="3" t="s">
        <v>5264</v>
      </c>
      <c r="C5312">
        <v>5</v>
      </c>
      <c r="J5312">
        <v>58</v>
      </c>
    </row>
    <row r="5313" spans="1:20">
      <c r="A5313" s="3" t="s">
        <v>5265</v>
      </c>
      <c r="C5313">
        <v>5</v>
      </c>
      <c r="J5313">
        <v>58</v>
      </c>
    </row>
    <row r="5314" spans="1:20">
      <c r="A5314" s="3" t="s">
        <v>5266</v>
      </c>
      <c r="C5314">
        <v>5</v>
      </c>
      <c r="J5314">
        <v>58</v>
      </c>
    </row>
    <row r="5315" spans="1:20">
      <c r="A5315" s="3" t="s">
        <v>5267</v>
      </c>
      <c r="C5315">
        <v>5</v>
      </c>
      <c r="J5315">
        <v>58</v>
      </c>
    </row>
    <row r="5316" spans="1:20">
      <c r="A5316" s="3" t="s">
        <v>5268</v>
      </c>
      <c r="C5316">
        <v>5</v>
      </c>
      <c r="J5316">
        <v>58</v>
      </c>
    </row>
    <row r="5317" spans="1:20">
      <c r="A5317" s="3" t="s">
        <v>5269</v>
      </c>
      <c r="C5317">
        <v>5</v>
      </c>
      <c r="J5317">
        <v>58</v>
      </c>
    </row>
    <row r="5318" spans="1:20">
      <c r="A5318" s="3" t="s">
        <v>5270</v>
      </c>
      <c r="C5318">
        <v>5</v>
      </c>
      <c r="J5318">
        <v>58</v>
      </c>
    </row>
    <row r="5319" spans="1:20">
      <c r="A5319" s="3" t="s">
        <v>5271</v>
      </c>
      <c r="C5319">
        <v>5</v>
      </c>
      <c r="J5319">
        <v>58</v>
      </c>
    </row>
    <row r="5320" spans="1:20">
      <c r="A5320" s="3" t="s">
        <v>5272</v>
      </c>
      <c r="C5320">
        <v>5</v>
      </c>
      <c r="T5320">
        <v>1</v>
      </c>
    </row>
    <row r="5321" spans="1:20">
      <c r="A5321" s="3" t="s">
        <v>5273</v>
      </c>
      <c r="C5321">
        <v>5</v>
      </c>
      <c r="T5321">
        <v>1</v>
      </c>
    </row>
    <row r="5322" spans="1:20">
      <c r="A5322" s="3" t="s">
        <v>5274</v>
      </c>
      <c r="C5322">
        <v>5</v>
      </c>
      <c r="T5322">
        <v>1</v>
      </c>
    </row>
    <row r="5323" spans="1:20">
      <c r="A5323" s="3" t="s">
        <v>5275</v>
      </c>
      <c r="C5323">
        <v>5</v>
      </c>
      <c r="T5323">
        <v>1</v>
      </c>
    </row>
    <row r="5324" spans="1:20">
      <c r="A5324" s="3" t="s">
        <v>5276</v>
      </c>
      <c r="C5324">
        <v>5</v>
      </c>
      <c r="T5324">
        <v>1</v>
      </c>
    </row>
    <row r="5325" spans="1:20">
      <c r="A5325" s="3" t="s">
        <v>5277</v>
      </c>
      <c r="C5325">
        <v>5</v>
      </c>
      <c r="T5325">
        <v>1</v>
      </c>
    </row>
    <row r="5326" spans="1:20">
      <c r="A5326" s="3" t="s">
        <v>5278</v>
      </c>
      <c r="C5326">
        <v>5</v>
      </c>
      <c r="T5326">
        <v>1</v>
      </c>
    </row>
    <row r="5327" spans="1:20">
      <c r="A5327" s="3" t="s">
        <v>5279</v>
      </c>
      <c r="C5327">
        <v>5</v>
      </c>
      <c r="T5327">
        <v>1</v>
      </c>
    </row>
    <row r="5328" spans="1:20">
      <c r="A5328" s="3" t="s">
        <v>5280</v>
      </c>
      <c r="C5328">
        <v>5</v>
      </c>
      <c r="T5328">
        <v>1</v>
      </c>
    </row>
    <row r="5329" spans="1:49">
      <c r="A5329" s="3" t="s">
        <v>5281</v>
      </c>
      <c r="C5329">
        <v>5</v>
      </c>
      <c r="T5329">
        <v>1</v>
      </c>
    </row>
    <row r="5330" spans="1:49">
      <c r="A5330" s="3" t="s">
        <v>5282</v>
      </c>
      <c r="C5330">
        <v>5</v>
      </c>
      <c r="T5330">
        <v>1</v>
      </c>
    </row>
    <row r="5331" spans="1:49">
      <c r="A5331" s="3" t="s">
        <v>5283</v>
      </c>
      <c r="C5331">
        <v>5</v>
      </c>
      <c r="T5331">
        <v>1</v>
      </c>
    </row>
    <row r="5332" spans="1:49">
      <c r="A5332" s="3" t="s">
        <v>5284</v>
      </c>
      <c r="C5332">
        <v>5</v>
      </c>
      <c r="T5332">
        <v>1</v>
      </c>
    </row>
    <row r="5333" spans="1:49">
      <c r="A5333" s="3" t="s">
        <v>5285</v>
      </c>
      <c r="C5333">
        <v>5</v>
      </c>
      <c r="T5333">
        <v>1</v>
      </c>
    </row>
    <row r="5334" spans="1:49">
      <c r="A5334" s="3" t="s">
        <v>5286</v>
      </c>
      <c r="C5334">
        <v>5</v>
      </c>
      <c r="T5334">
        <v>1</v>
      </c>
    </row>
    <row r="5335" spans="1:49">
      <c r="A5335" s="3" t="s">
        <v>5287</v>
      </c>
      <c r="C5335">
        <v>5</v>
      </c>
      <c r="T5335">
        <v>1</v>
      </c>
    </row>
    <row r="5336" spans="1:49">
      <c r="A5336" s="3" t="s">
        <v>5288</v>
      </c>
      <c r="C5336">
        <v>5</v>
      </c>
      <c r="T5336">
        <v>1</v>
      </c>
    </row>
    <row r="5337" spans="1:49">
      <c r="A5337" s="3" t="s">
        <v>5289</v>
      </c>
      <c r="C5337">
        <v>5</v>
      </c>
      <c r="T5337">
        <v>1</v>
      </c>
    </row>
    <row r="5338" spans="1:49">
      <c r="A5338" s="3" t="s">
        <v>5290</v>
      </c>
      <c r="C5338">
        <v>5</v>
      </c>
      <c r="T5338">
        <v>1</v>
      </c>
    </row>
    <row r="5339" spans="1:49">
      <c r="A5339" s="3" t="s">
        <v>5291</v>
      </c>
      <c r="C5339">
        <v>5</v>
      </c>
      <c r="AW5339">
        <v>19</v>
      </c>
    </row>
    <row r="5340" spans="1:49">
      <c r="A5340" s="3" t="s">
        <v>5292</v>
      </c>
      <c r="C5340">
        <v>5</v>
      </c>
      <c r="AW5340">
        <v>19</v>
      </c>
    </row>
    <row r="5341" spans="1:49">
      <c r="A5341" s="3" t="s">
        <v>5293</v>
      </c>
      <c r="C5341">
        <v>5</v>
      </c>
      <c r="AW5341">
        <v>19</v>
      </c>
    </row>
    <row r="5342" spans="1:49">
      <c r="A5342" s="3" t="s">
        <v>5294</v>
      </c>
      <c r="C5342">
        <v>5</v>
      </c>
      <c r="AW5342">
        <v>19</v>
      </c>
    </row>
    <row r="5343" spans="1:49">
      <c r="A5343" s="3" t="s">
        <v>5295</v>
      </c>
      <c r="C5343">
        <v>5</v>
      </c>
      <c r="AW5343">
        <v>19</v>
      </c>
    </row>
    <row r="5344" spans="1:49">
      <c r="A5344" s="3" t="s">
        <v>5296</v>
      </c>
      <c r="C5344">
        <v>5</v>
      </c>
      <c r="AW5344">
        <v>19</v>
      </c>
    </row>
    <row r="5345" spans="1:10">
      <c r="A5345" s="3" t="s">
        <v>5297</v>
      </c>
      <c r="C5345">
        <v>5</v>
      </c>
      <c r="J5345">
        <v>59</v>
      </c>
    </row>
    <row r="5346" spans="1:10">
      <c r="A5346" s="3" t="s">
        <v>5298</v>
      </c>
      <c r="C5346">
        <v>5</v>
      </c>
      <c r="J5346">
        <v>59</v>
      </c>
    </row>
    <row r="5347" spans="1:10">
      <c r="A5347" s="3" t="s">
        <v>5299</v>
      </c>
      <c r="C5347">
        <v>5</v>
      </c>
      <c r="J5347">
        <v>59</v>
      </c>
    </row>
    <row r="5348" spans="1:10">
      <c r="A5348" s="3" t="s">
        <v>5300</v>
      </c>
      <c r="C5348">
        <v>5</v>
      </c>
      <c r="J5348">
        <v>59</v>
      </c>
    </row>
    <row r="5349" spans="1:10">
      <c r="A5349" s="3" t="s">
        <v>5301</v>
      </c>
      <c r="C5349">
        <v>5</v>
      </c>
      <c r="J5349">
        <v>59</v>
      </c>
    </row>
    <row r="5350" spans="1:10">
      <c r="A5350" s="3" t="s">
        <v>5302</v>
      </c>
      <c r="C5350">
        <v>5</v>
      </c>
      <c r="J5350">
        <v>59</v>
      </c>
    </row>
    <row r="5351" spans="1:10">
      <c r="A5351" s="3" t="s">
        <v>5303</v>
      </c>
      <c r="C5351">
        <v>5</v>
      </c>
      <c r="J5351">
        <v>59</v>
      </c>
    </row>
    <row r="5352" spans="1:10">
      <c r="A5352" s="3" t="s">
        <v>5304</v>
      </c>
      <c r="C5352">
        <v>5</v>
      </c>
      <c r="J5352">
        <v>59</v>
      </c>
    </row>
    <row r="5353" spans="1:10">
      <c r="A5353" s="3" t="s">
        <v>5305</v>
      </c>
      <c r="C5353">
        <v>5</v>
      </c>
      <c r="J5353">
        <v>59</v>
      </c>
    </row>
    <row r="5354" spans="1:10">
      <c r="A5354" s="3" t="s">
        <v>5306</v>
      </c>
      <c r="C5354">
        <v>5</v>
      </c>
      <c r="J5354">
        <v>59</v>
      </c>
    </row>
    <row r="5355" spans="1:10">
      <c r="A5355" s="3" t="s">
        <v>5307</v>
      </c>
      <c r="C5355">
        <v>5</v>
      </c>
      <c r="J5355">
        <v>59</v>
      </c>
    </row>
    <row r="5356" spans="1:10">
      <c r="A5356" s="3" t="s">
        <v>5308</v>
      </c>
      <c r="C5356">
        <v>5</v>
      </c>
      <c r="J5356">
        <v>59</v>
      </c>
    </row>
    <row r="5357" spans="1:10">
      <c r="A5357" s="3" t="s">
        <v>5309</v>
      </c>
      <c r="C5357">
        <v>5</v>
      </c>
      <c r="J5357">
        <v>59</v>
      </c>
    </row>
    <row r="5358" spans="1:10">
      <c r="A5358" s="3" t="s">
        <v>5310</v>
      </c>
      <c r="C5358">
        <v>5</v>
      </c>
      <c r="J5358">
        <v>59</v>
      </c>
    </row>
    <row r="5359" spans="1:10">
      <c r="A5359" s="3" t="s">
        <v>5311</v>
      </c>
      <c r="C5359">
        <v>5</v>
      </c>
      <c r="J5359">
        <v>59</v>
      </c>
    </row>
    <row r="5360" spans="1:10">
      <c r="A5360" s="3" t="s">
        <v>5312</v>
      </c>
      <c r="C5360">
        <v>5</v>
      </c>
      <c r="J5360">
        <v>59</v>
      </c>
    </row>
    <row r="5361" spans="1:21">
      <c r="A5361" s="3" t="s">
        <v>5313</v>
      </c>
      <c r="C5361">
        <v>5</v>
      </c>
      <c r="J5361">
        <v>59</v>
      </c>
    </row>
    <row r="5362" spans="1:21">
      <c r="A5362" s="3" t="s">
        <v>5314</v>
      </c>
      <c r="C5362">
        <v>5</v>
      </c>
      <c r="J5362">
        <v>59</v>
      </c>
    </row>
    <row r="5363" spans="1:21">
      <c r="A5363" s="3" t="s">
        <v>5315</v>
      </c>
      <c r="B5363">
        <v>6</v>
      </c>
      <c r="C5363">
        <v>5</v>
      </c>
      <c r="J5363">
        <v>59</v>
      </c>
    </row>
    <row r="5364" spans="1:21">
      <c r="A5364" s="3" t="s">
        <v>5316</v>
      </c>
      <c r="B5364">
        <v>6</v>
      </c>
      <c r="C5364">
        <v>5</v>
      </c>
      <c r="J5364">
        <v>59</v>
      </c>
    </row>
    <row r="5365" spans="1:21">
      <c r="A5365" s="3" t="s">
        <v>5317</v>
      </c>
      <c r="B5365">
        <v>6</v>
      </c>
      <c r="C5365">
        <v>5</v>
      </c>
      <c r="J5365">
        <v>59</v>
      </c>
    </row>
    <row r="5366" spans="1:21">
      <c r="A5366" s="3" t="s">
        <v>5318</v>
      </c>
      <c r="B5366">
        <v>6</v>
      </c>
      <c r="C5366">
        <v>5</v>
      </c>
      <c r="J5366">
        <v>59</v>
      </c>
    </row>
    <row r="5367" spans="1:21">
      <c r="A5367" s="3" t="s">
        <v>5319</v>
      </c>
      <c r="B5367">
        <v>6</v>
      </c>
      <c r="C5367">
        <v>5</v>
      </c>
      <c r="J5367">
        <v>59</v>
      </c>
    </row>
    <row r="5368" spans="1:21">
      <c r="A5368" s="3" t="s">
        <v>5320</v>
      </c>
      <c r="B5368">
        <v>6</v>
      </c>
      <c r="C5368">
        <v>5</v>
      </c>
      <c r="J5368">
        <v>59</v>
      </c>
    </row>
    <row r="5369" spans="1:21">
      <c r="A5369" s="3" t="s">
        <v>5321</v>
      </c>
      <c r="B5369">
        <v>6</v>
      </c>
      <c r="C5369">
        <v>5</v>
      </c>
      <c r="J5369">
        <v>59</v>
      </c>
    </row>
    <row r="5370" spans="1:21">
      <c r="A5370" s="3" t="s">
        <v>5322</v>
      </c>
      <c r="B5370">
        <v>6</v>
      </c>
      <c r="C5370">
        <v>5</v>
      </c>
      <c r="J5370">
        <v>59</v>
      </c>
    </row>
    <row r="5371" spans="1:21">
      <c r="A5371" s="3" t="s">
        <v>5323</v>
      </c>
      <c r="B5371">
        <v>6</v>
      </c>
      <c r="J5371">
        <v>59</v>
      </c>
    </row>
    <row r="5372" spans="1:21">
      <c r="A5372" s="3" t="s">
        <v>5324</v>
      </c>
      <c r="B5372">
        <v>6</v>
      </c>
      <c r="U5372">
        <v>1</v>
      </c>
    </row>
    <row r="5373" spans="1:21">
      <c r="A5373" s="3" t="s">
        <v>5325</v>
      </c>
      <c r="B5373">
        <v>6</v>
      </c>
      <c r="U5373">
        <v>1</v>
      </c>
    </row>
    <row r="5374" spans="1:21">
      <c r="A5374" s="3" t="s">
        <v>5326</v>
      </c>
      <c r="B5374">
        <v>6</v>
      </c>
      <c r="U5374">
        <v>1</v>
      </c>
    </row>
    <row r="5375" spans="1:21">
      <c r="A5375" s="3" t="s">
        <v>5327</v>
      </c>
      <c r="B5375">
        <v>6</v>
      </c>
      <c r="U5375">
        <v>1</v>
      </c>
    </row>
    <row r="5376" spans="1:21">
      <c r="A5376" s="3" t="s">
        <v>5328</v>
      </c>
      <c r="B5376">
        <v>6</v>
      </c>
      <c r="U5376">
        <v>1</v>
      </c>
    </row>
    <row r="5377" spans="1:21">
      <c r="A5377" s="3" t="s">
        <v>5329</v>
      </c>
      <c r="B5377">
        <v>6</v>
      </c>
      <c r="U5377">
        <v>1</v>
      </c>
    </row>
    <row r="5378" spans="1:21">
      <c r="A5378" s="3" t="s">
        <v>5330</v>
      </c>
      <c r="B5378">
        <v>6</v>
      </c>
      <c r="U5378">
        <v>1</v>
      </c>
    </row>
    <row r="5379" spans="1:21">
      <c r="A5379" s="3" t="s">
        <v>5331</v>
      </c>
      <c r="B5379">
        <v>6</v>
      </c>
      <c r="U5379">
        <v>1</v>
      </c>
    </row>
    <row r="5380" spans="1:21">
      <c r="A5380" s="3" t="s">
        <v>5332</v>
      </c>
      <c r="B5380">
        <v>6</v>
      </c>
      <c r="U5380">
        <v>1</v>
      </c>
    </row>
    <row r="5381" spans="1:21">
      <c r="A5381" s="3" t="s">
        <v>5333</v>
      </c>
      <c r="B5381">
        <v>6</v>
      </c>
      <c r="U5381">
        <v>1</v>
      </c>
    </row>
    <row r="5382" spans="1:21">
      <c r="A5382" s="3" t="s">
        <v>5334</v>
      </c>
      <c r="B5382">
        <v>6</v>
      </c>
      <c r="U5382">
        <v>1</v>
      </c>
    </row>
    <row r="5383" spans="1:21">
      <c r="A5383" s="3" t="s">
        <v>5335</v>
      </c>
      <c r="B5383">
        <v>6</v>
      </c>
      <c r="U5383">
        <v>1</v>
      </c>
    </row>
    <row r="5384" spans="1:21">
      <c r="A5384" s="3" t="s">
        <v>5336</v>
      </c>
      <c r="B5384">
        <v>6</v>
      </c>
      <c r="U5384">
        <v>1</v>
      </c>
    </row>
    <row r="5385" spans="1:21">
      <c r="A5385" s="3" t="s">
        <v>5337</v>
      </c>
      <c r="B5385">
        <v>6</v>
      </c>
      <c r="U5385">
        <v>1</v>
      </c>
    </row>
    <row r="5386" spans="1:21">
      <c r="A5386" s="3" t="s">
        <v>5338</v>
      </c>
      <c r="B5386">
        <v>6</v>
      </c>
      <c r="U5386">
        <v>1</v>
      </c>
    </row>
    <row r="5387" spans="1:21">
      <c r="A5387" s="3" t="s">
        <v>5339</v>
      </c>
      <c r="B5387">
        <v>6</v>
      </c>
      <c r="U5387">
        <v>1</v>
      </c>
    </row>
    <row r="5388" spans="1:21">
      <c r="A5388" s="3" t="s">
        <v>5340</v>
      </c>
      <c r="B5388">
        <v>6</v>
      </c>
      <c r="U5388">
        <v>1</v>
      </c>
    </row>
    <row r="5389" spans="1:21">
      <c r="A5389" s="3" t="s">
        <v>5341</v>
      </c>
      <c r="B5389">
        <v>6</v>
      </c>
      <c r="U5389">
        <v>1</v>
      </c>
    </row>
    <row r="5390" spans="1:21">
      <c r="A5390" s="3" t="s">
        <v>5342</v>
      </c>
      <c r="B5390">
        <v>6</v>
      </c>
      <c r="U5390">
        <v>1</v>
      </c>
    </row>
    <row r="5391" spans="1:21">
      <c r="A5391" s="3" t="s">
        <v>5343</v>
      </c>
      <c r="B5391">
        <v>6</v>
      </c>
      <c r="U5391">
        <v>1</v>
      </c>
    </row>
    <row r="5392" spans="1:21">
      <c r="A5392" s="3" t="s">
        <v>5344</v>
      </c>
      <c r="B5392">
        <v>6</v>
      </c>
      <c r="U5392">
        <v>1</v>
      </c>
    </row>
    <row r="5393" spans="1:21">
      <c r="A5393" s="3" t="s">
        <v>5345</v>
      </c>
      <c r="B5393">
        <v>6</v>
      </c>
      <c r="U5393">
        <v>1</v>
      </c>
    </row>
    <row r="5394" spans="1:21">
      <c r="A5394" s="3" t="s">
        <v>5346</v>
      </c>
      <c r="B5394">
        <v>6</v>
      </c>
      <c r="U5394">
        <v>1</v>
      </c>
    </row>
    <row r="5395" spans="1:21">
      <c r="A5395" s="3" t="s">
        <v>5347</v>
      </c>
      <c r="B5395">
        <v>6</v>
      </c>
      <c r="U5395">
        <v>1</v>
      </c>
    </row>
    <row r="5396" spans="1:21">
      <c r="A5396" s="3" t="s">
        <v>5348</v>
      </c>
      <c r="B5396">
        <v>6</v>
      </c>
      <c r="U5396">
        <v>1</v>
      </c>
    </row>
    <row r="5397" spans="1:21">
      <c r="A5397" s="3" t="s">
        <v>5349</v>
      </c>
      <c r="B5397">
        <v>6</v>
      </c>
      <c r="U5397">
        <v>1</v>
      </c>
    </row>
    <row r="5398" spans="1:21">
      <c r="A5398" s="3" t="s">
        <v>5350</v>
      </c>
      <c r="B5398">
        <v>6</v>
      </c>
      <c r="U5398">
        <v>1</v>
      </c>
    </row>
    <row r="5399" spans="1:21">
      <c r="A5399" s="3" t="s">
        <v>5351</v>
      </c>
      <c r="B5399">
        <v>6</v>
      </c>
      <c r="U5399">
        <v>1</v>
      </c>
    </row>
    <row r="5400" spans="1:21">
      <c r="A5400" s="3" t="s">
        <v>5352</v>
      </c>
      <c r="B5400">
        <v>6</v>
      </c>
      <c r="U5400">
        <v>1</v>
      </c>
    </row>
    <row r="5401" spans="1:21">
      <c r="A5401" s="3" t="s">
        <v>5353</v>
      </c>
      <c r="B5401">
        <v>6</v>
      </c>
      <c r="U5401">
        <v>1</v>
      </c>
    </row>
    <row r="5402" spans="1:21">
      <c r="A5402" s="3" t="s">
        <v>5354</v>
      </c>
      <c r="B5402">
        <v>6</v>
      </c>
      <c r="U5402">
        <v>1</v>
      </c>
    </row>
    <row r="5403" spans="1:21">
      <c r="A5403" s="3" t="s">
        <v>5355</v>
      </c>
      <c r="B5403">
        <v>6</v>
      </c>
      <c r="U5403">
        <v>1</v>
      </c>
    </row>
    <row r="5404" spans="1:21">
      <c r="A5404" s="3" t="s">
        <v>5356</v>
      </c>
      <c r="B5404">
        <v>6</v>
      </c>
      <c r="U5404">
        <v>1</v>
      </c>
    </row>
    <row r="5405" spans="1:21">
      <c r="A5405" s="3" t="s">
        <v>5357</v>
      </c>
      <c r="B5405">
        <v>6</v>
      </c>
      <c r="U5405">
        <v>1</v>
      </c>
    </row>
    <row r="5406" spans="1:21">
      <c r="A5406" s="3" t="s">
        <v>5358</v>
      </c>
      <c r="B5406">
        <v>6</v>
      </c>
      <c r="U5406">
        <v>1</v>
      </c>
    </row>
    <row r="5407" spans="1:21">
      <c r="A5407" s="3" t="s">
        <v>5359</v>
      </c>
      <c r="B5407">
        <v>6</v>
      </c>
      <c r="U5407">
        <v>1</v>
      </c>
    </row>
    <row r="5408" spans="1:21">
      <c r="A5408" s="3" t="s">
        <v>5360</v>
      </c>
      <c r="B5408">
        <v>6</v>
      </c>
      <c r="U5408">
        <v>1</v>
      </c>
    </row>
    <row r="5409" spans="1:21">
      <c r="A5409" s="3" t="s">
        <v>5361</v>
      </c>
      <c r="B5409">
        <v>6</v>
      </c>
      <c r="U5409">
        <v>1</v>
      </c>
    </row>
    <row r="5410" spans="1:21">
      <c r="A5410" s="3" t="s">
        <v>5362</v>
      </c>
      <c r="B5410">
        <v>6</v>
      </c>
      <c r="U5410">
        <v>1</v>
      </c>
    </row>
    <row r="5411" spans="1:21">
      <c r="A5411" s="3" t="s">
        <v>5363</v>
      </c>
      <c r="B5411">
        <v>6</v>
      </c>
      <c r="U5411">
        <v>1</v>
      </c>
    </row>
    <row r="5412" spans="1:21">
      <c r="A5412" s="3" t="s">
        <v>5364</v>
      </c>
      <c r="B5412">
        <v>6</v>
      </c>
      <c r="U5412">
        <v>1</v>
      </c>
    </row>
    <row r="5413" spans="1:21">
      <c r="A5413" s="3" t="s">
        <v>5365</v>
      </c>
      <c r="B5413">
        <v>6</v>
      </c>
      <c r="U5413">
        <v>1</v>
      </c>
    </row>
    <row r="5414" spans="1:21">
      <c r="A5414" s="3" t="s">
        <v>5366</v>
      </c>
      <c r="B5414">
        <v>6</v>
      </c>
      <c r="U5414">
        <v>1</v>
      </c>
    </row>
    <row r="5415" spans="1:21">
      <c r="A5415" s="3" t="s">
        <v>5367</v>
      </c>
      <c r="B5415">
        <v>6</v>
      </c>
      <c r="U5415">
        <v>1</v>
      </c>
    </row>
    <row r="5416" spans="1:21">
      <c r="A5416" s="3" t="s">
        <v>5368</v>
      </c>
      <c r="B5416">
        <v>6</v>
      </c>
      <c r="U5416">
        <v>1</v>
      </c>
    </row>
    <row r="5417" spans="1:21">
      <c r="A5417" s="3" t="s">
        <v>5369</v>
      </c>
      <c r="B5417">
        <v>6</v>
      </c>
      <c r="U5417">
        <v>1</v>
      </c>
    </row>
    <row r="5418" spans="1:21">
      <c r="A5418" s="3" t="s">
        <v>5370</v>
      </c>
      <c r="B5418">
        <v>6</v>
      </c>
      <c r="U5418">
        <v>1</v>
      </c>
    </row>
    <row r="5419" spans="1:21">
      <c r="A5419" s="3" t="s">
        <v>5371</v>
      </c>
      <c r="B5419">
        <v>6</v>
      </c>
      <c r="U5419">
        <v>1</v>
      </c>
    </row>
    <row r="5420" spans="1:21">
      <c r="A5420" s="3" t="s">
        <v>5372</v>
      </c>
      <c r="B5420">
        <v>6</v>
      </c>
      <c r="U5420">
        <v>1</v>
      </c>
    </row>
    <row r="5421" spans="1:21">
      <c r="A5421" s="3" t="s">
        <v>5373</v>
      </c>
      <c r="B5421">
        <v>6</v>
      </c>
      <c r="U5421">
        <v>1</v>
      </c>
    </row>
    <row r="5422" spans="1:21">
      <c r="A5422" s="3" t="s">
        <v>5374</v>
      </c>
      <c r="B5422">
        <v>6</v>
      </c>
      <c r="U5422">
        <v>1</v>
      </c>
    </row>
    <row r="5423" spans="1:21">
      <c r="A5423" s="3" t="s">
        <v>5375</v>
      </c>
      <c r="B5423">
        <v>6</v>
      </c>
      <c r="U5423">
        <v>1</v>
      </c>
    </row>
    <row r="5424" spans="1:21">
      <c r="A5424" s="3" t="s">
        <v>5376</v>
      </c>
      <c r="B5424">
        <v>6</v>
      </c>
      <c r="U5424">
        <v>1</v>
      </c>
    </row>
    <row r="5425" spans="1:21">
      <c r="A5425" s="3" t="s">
        <v>5377</v>
      </c>
      <c r="B5425">
        <v>6</v>
      </c>
      <c r="U5425">
        <v>1</v>
      </c>
    </row>
    <row r="5426" spans="1:21">
      <c r="A5426" s="3" t="s">
        <v>5378</v>
      </c>
      <c r="B5426">
        <v>6</v>
      </c>
      <c r="U5426">
        <v>1</v>
      </c>
    </row>
    <row r="5427" spans="1:21">
      <c r="A5427" s="3" t="s">
        <v>5379</v>
      </c>
      <c r="B5427">
        <v>6</v>
      </c>
      <c r="U5427">
        <v>1</v>
      </c>
    </row>
    <row r="5428" spans="1:21">
      <c r="A5428" s="3" t="s">
        <v>5380</v>
      </c>
      <c r="B5428">
        <v>6</v>
      </c>
      <c r="U5428">
        <v>1</v>
      </c>
    </row>
    <row r="5429" spans="1:21">
      <c r="A5429" s="3" t="s">
        <v>5381</v>
      </c>
      <c r="B5429">
        <v>6</v>
      </c>
      <c r="U5429">
        <v>1</v>
      </c>
    </row>
    <row r="5430" spans="1:21">
      <c r="A5430" s="3" t="s">
        <v>5382</v>
      </c>
      <c r="B5430">
        <v>6</v>
      </c>
      <c r="U5430">
        <v>1</v>
      </c>
    </row>
    <row r="5431" spans="1:21">
      <c r="A5431" s="3" t="s">
        <v>5383</v>
      </c>
      <c r="B5431">
        <v>6</v>
      </c>
      <c r="U5431">
        <v>1</v>
      </c>
    </row>
    <row r="5432" spans="1:21">
      <c r="A5432" s="3" t="s">
        <v>5384</v>
      </c>
      <c r="B5432">
        <v>6</v>
      </c>
      <c r="U5432">
        <v>1</v>
      </c>
    </row>
    <row r="5433" spans="1:21">
      <c r="A5433" s="3" t="s">
        <v>5385</v>
      </c>
      <c r="B5433">
        <v>6</v>
      </c>
      <c r="U5433">
        <v>1</v>
      </c>
    </row>
    <row r="5434" spans="1:21">
      <c r="A5434" s="3" t="s">
        <v>5386</v>
      </c>
      <c r="B5434">
        <v>6</v>
      </c>
      <c r="U5434">
        <v>1</v>
      </c>
    </row>
    <row r="5435" spans="1:21">
      <c r="A5435" s="3" t="s">
        <v>5387</v>
      </c>
      <c r="B5435">
        <v>6</v>
      </c>
      <c r="U5435">
        <v>1</v>
      </c>
    </row>
    <row r="5436" spans="1:21">
      <c r="A5436" s="3" t="s">
        <v>5388</v>
      </c>
      <c r="B5436">
        <v>6</v>
      </c>
      <c r="U5436">
        <v>1</v>
      </c>
    </row>
    <row r="5437" spans="1:21">
      <c r="A5437" s="3" t="s">
        <v>5389</v>
      </c>
      <c r="B5437">
        <v>6</v>
      </c>
      <c r="U5437">
        <v>1</v>
      </c>
    </row>
    <row r="5438" spans="1:21">
      <c r="A5438" s="3" t="s">
        <v>5390</v>
      </c>
      <c r="B5438">
        <v>6</v>
      </c>
      <c r="U5438">
        <v>1</v>
      </c>
    </row>
    <row r="5439" spans="1:21">
      <c r="A5439" s="3" t="s">
        <v>5391</v>
      </c>
      <c r="B5439">
        <v>6</v>
      </c>
      <c r="U5439">
        <v>1</v>
      </c>
    </row>
    <row r="5440" spans="1:21">
      <c r="A5440" s="3" t="s">
        <v>5392</v>
      </c>
      <c r="B5440">
        <v>6</v>
      </c>
      <c r="U5440">
        <v>1</v>
      </c>
    </row>
    <row r="5441" spans="1:21">
      <c r="A5441" s="3" t="s">
        <v>5393</v>
      </c>
      <c r="B5441">
        <v>6</v>
      </c>
      <c r="U5441">
        <v>1</v>
      </c>
    </row>
    <row r="5442" spans="1:21">
      <c r="A5442" s="3" t="s">
        <v>5394</v>
      </c>
      <c r="B5442">
        <v>6</v>
      </c>
      <c r="U5442">
        <v>1</v>
      </c>
    </row>
    <row r="5443" spans="1:21">
      <c r="A5443" s="3" t="s">
        <v>5395</v>
      </c>
      <c r="B5443">
        <v>6</v>
      </c>
      <c r="U5443">
        <v>1</v>
      </c>
    </row>
    <row r="5444" spans="1:21">
      <c r="A5444" s="3" t="s">
        <v>5396</v>
      </c>
      <c r="B5444">
        <v>6</v>
      </c>
      <c r="U5444">
        <v>1</v>
      </c>
    </row>
    <row r="5445" spans="1:21">
      <c r="A5445" s="3" t="s">
        <v>5397</v>
      </c>
      <c r="B5445">
        <v>6</v>
      </c>
      <c r="U5445">
        <v>1</v>
      </c>
    </row>
    <row r="5446" spans="1:21">
      <c r="A5446" s="3" t="s">
        <v>5398</v>
      </c>
      <c r="B5446">
        <v>6</v>
      </c>
      <c r="U5446">
        <v>1</v>
      </c>
    </row>
    <row r="5447" spans="1:21">
      <c r="A5447" s="3" t="s">
        <v>5399</v>
      </c>
      <c r="B5447">
        <v>6</v>
      </c>
      <c r="U5447">
        <v>1</v>
      </c>
    </row>
    <row r="5448" spans="1:21">
      <c r="A5448" s="3" t="s">
        <v>5400</v>
      </c>
      <c r="B5448">
        <v>6</v>
      </c>
      <c r="U5448">
        <v>1</v>
      </c>
    </row>
    <row r="5449" spans="1:21">
      <c r="A5449" s="3" t="s">
        <v>5401</v>
      </c>
      <c r="B5449">
        <v>6</v>
      </c>
      <c r="U5449">
        <v>1</v>
      </c>
    </row>
    <row r="5450" spans="1:21">
      <c r="A5450" s="3" t="s">
        <v>5402</v>
      </c>
      <c r="B5450">
        <v>6</v>
      </c>
      <c r="U5450">
        <v>1</v>
      </c>
    </row>
    <row r="5451" spans="1:21">
      <c r="A5451" s="3" t="s">
        <v>5403</v>
      </c>
      <c r="B5451">
        <v>6</v>
      </c>
      <c r="U5451">
        <v>1</v>
      </c>
    </row>
    <row r="5452" spans="1:21">
      <c r="A5452" s="3" t="s">
        <v>5404</v>
      </c>
      <c r="B5452">
        <v>6</v>
      </c>
      <c r="U5452">
        <v>1</v>
      </c>
    </row>
    <row r="5453" spans="1:21">
      <c r="A5453" s="3" t="s">
        <v>5405</v>
      </c>
      <c r="B5453">
        <v>6</v>
      </c>
      <c r="U5453">
        <v>1</v>
      </c>
    </row>
    <row r="5454" spans="1:21">
      <c r="A5454" s="3" t="s">
        <v>5406</v>
      </c>
      <c r="B5454">
        <v>6</v>
      </c>
      <c r="U5454">
        <v>1</v>
      </c>
    </row>
    <row r="5455" spans="1:21">
      <c r="A5455" s="3" t="s">
        <v>5407</v>
      </c>
      <c r="B5455">
        <v>6</v>
      </c>
      <c r="U5455">
        <v>1</v>
      </c>
    </row>
    <row r="5456" spans="1:21">
      <c r="A5456" s="3" t="s">
        <v>5408</v>
      </c>
      <c r="B5456">
        <v>6</v>
      </c>
      <c r="U5456">
        <v>1</v>
      </c>
    </row>
    <row r="5457" spans="1:21">
      <c r="A5457" s="3" t="s">
        <v>5409</v>
      </c>
      <c r="B5457">
        <v>6</v>
      </c>
      <c r="U5457">
        <v>1</v>
      </c>
    </row>
    <row r="5458" spans="1:21">
      <c r="A5458" s="3" t="s">
        <v>5410</v>
      </c>
      <c r="B5458">
        <v>6</v>
      </c>
      <c r="U5458">
        <v>1</v>
      </c>
    </row>
    <row r="5459" spans="1:21">
      <c r="A5459" s="3" t="s">
        <v>5411</v>
      </c>
      <c r="B5459">
        <v>6</v>
      </c>
      <c r="U5459">
        <v>1</v>
      </c>
    </row>
    <row r="5460" spans="1:21">
      <c r="A5460" s="3" t="s">
        <v>5412</v>
      </c>
      <c r="B5460">
        <v>6</v>
      </c>
      <c r="U5460">
        <v>1</v>
      </c>
    </row>
    <row r="5461" spans="1:21">
      <c r="A5461" s="3" t="s">
        <v>5413</v>
      </c>
      <c r="B5461">
        <v>6</v>
      </c>
      <c r="U5461">
        <v>1</v>
      </c>
    </row>
    <row r="5462" spans="1:21">
      <c r="A5462" s="3" t="s">
        <v>5414</v>
      </c>
      <c r="B5462">
        <v>6</v>
      </c>
      <c r="U5462">
        <v>1</v>
      </c>
    </row>
    <row r="5463" spans="1:21">
      <c r="A5463" s="3" t="s">
        <v>5415</v>
      </c>
      <c r="B5463">
        <v>6</v>
      </c>
      <c r="U5463">
        <v>1</v>
      </c>
    </row>
    <row r="5464" spans="1:21">
      <c r="A5464" s="3" t="s">
        <v>5416</v>
      </c>
      <c r="B5464">
        <v>6</v>
      </c>
      <c r="U5464">
        <v>1</v>
      </c>
    </row>
    <row r="5465" spans="1:21">
      <c r="A5465" s="3" t="s">
        <v>5417</v>
      </c>
      <c r="B5465">
        <v>6</v>
      </c>
      <c r="U5465">
        <v>1</v>
      </c>
    </row>
    <row r="5466" spans="1:21">
      <c r="A5466" s="3" t="s">
        <v>5418</v>
      </c>
      <c r="B5466">
        <v>6</v>
      </c>
      <c r="U5466">
        <v>1</v>
      </c>
    </row>
    <row r="5467" spans="1:21">
      <c r="A5467" s="3" t="s">
        <v>5419</v>
      </c>
      <c r="B5467">
        <v>6</v>
      </c>
      <c r="U5467">
        <v>1</v>
      </c>
    </row>
    <row r="5468" spans="1:21">
      <c r="A5468" s="3" t="s">
        <v>5420</v>
      </c>
      <c r="B5468">
        <v>6</v>
      </c>
      <c r="U5468">
        <v>1</v>
      </c>
    </row>
    <row r="5469" spans="1:21">
      <c r="A5469" s="3" t="s">
        <v>5421</v>
      </c>
      <c r="B5469">
        <v>6</v>
      </c>
      <c r="U5469">
        <v>1</v>
      </c>
    </row>
    <row r="5470" spans="1:21">
      <c r="A5470" s="3" t="s">
        <v>5422</v>
      </c>
      <c r="B5470">
        <v>6</v>
      </c>
      <c r="U5470">
        <v>1</v>
      </c>
    </row>
    <row r="5471" spans="1:21">
      <c r="A5471" s="3" t="s">
        <v>5423</v>
      </c>
      <c r="B5471">
        <v>6</v>
      </c>
      <c r="U5471">
        <v>1</v>
      </c>
    </row>
    <row r="5472" spans="1:21">
      <c r="A5472" s="3" t="s">
        <v>5424</v>
      </c>
      <c r="B5472">
        <v>6</v>
      </c>
      <c r="U5472">
        <v>1</v>
      </c>
    </row>
    <row r="5473" spans="1:21">
      <c r="A5473" s="3" t="s">
        <v>5425</v>
      </c>
      <c r="B5473">
        <v>6</v>
      </c>
      <c r="U5473">
        <v>1</v>
      </c>
    </row>
    <row r="5474" spans="1:21">
      <c r="A5474" s="3" t="s">
        <v>5426</v>
      </c>
      <c r="B5474">
        <v>6</v>
      </c>
      <c r="U5474">
        <v>1</v>
      </c>
    </row>
    <row r="5475" spans="1:21">
      <c r="A5475" s="3" t="s">
        <v>5427</v>
      </c>
      <c r="B5475">
        <v>6</v>
      </c>
      <c r="U5475">
        <v>1</v>
      </c>
    </row>
    <row r="5476" spans="1:21">
      <c r="A5476" s="3" t="s">
        <v>5428</v>
      </c>
      <c r="B5476">
        <v>6</v>
      </c>
      <c r="U5476">
        <v>1</v>
      </c>
    </row>
    <row r="5477" spans="1:21">
      <c r="A5477" s="3" t="s">
        <v>5429</v>
      </c>
      <c r="B5477">
        <v>6</v>
      </c>
      <c r="U5477">
        <v>1</v>
      </c>
    </row>
    <row r="5478" spans="1:21">
      <c r="A5478" s="3" t="s">
        <v>5430</v>
      </c>
      <c r="B5478">
        <v>6</v>
      </c>
      <c r="U5478">
        <v>1</v>
      </c>
    </row>
    <row r="5479" spans="1:21">
      <c r="A5479" s="3" t="s">
        <v>5431</v>
      </c>
      <c r="B5479">
        <v>6</v>
      </c>
      <c r="U5479">
        <v>1</v>
      </c>
    </row>
    <row r="5480" spans="1:21">
      <c r="A5480" s="3" t="s">
        <v>5432</v>
      </c>
      <c r="B5480">
        <v>6</v>
      </c>
      <c r="U5480">
        <v>1</v>
      </c>
    </row>
    <row r="5481" spans="1:21">
      <c r="A5481" s="3" t="s">
        <v>5433</v>
      </c>
      <c r="B5481">
        <v>6</v>
      </c>
      <c r="U5481">
        <v>1</v>
      </c>
    </row>
    <row r="5482" spans="1:21">
      <c r="A5482" s="3" t="s">
        <v>5434</v>
      </c>
      <c r="B5482">
        <v>6</v>
      </c>
      <c r="U5482">
        <v>1</v>
      </c>
    </row>
    <row r="5483" spans="1:21">
      <c r="A5483" s="3" t="s">
        <v>5435</v>
      </c>
      <c r="B5483">
        <v>6</v>
      </c>
      <c r="U5483">
        <v>1</v>
      </c>
    </row>
    <row r="5484" spans="1:21">
      <c r="A5484" s="3" t="s">
        <v>5436</v>
      </c>
      <c r="B5484">
        <v>6</v>
      </c>
      <c r="U5484">
        <v>1</v>
      </c>
    </row>
    <row r="5485" spans="1:21">
      <c r="A5485" s="3" t="s">
        <v>5437</v>
      </c>
      <c r="B5485">
        <v>6</v>
      </c>
      <c r="U5485">
        <v>1</v>
      </c>
    </row>
    <row r="5486" spans="1:21">
      <c r="A5486" s="3" t="s">
        <v>5438</v>
      </c>
      <c r="B5486">
        <v>6</v>
      </c>
      <c r="U5486">
        <v>1</v>
      </c>
    </row>
    <row r="5487" spans="1:21">
      <c r="A5487" s="3" t="s">
        <v>5439</v>
      </c>
      <c r="B5487">
        <v>6</v>
      </c>
      <c r="U5487">
        <v>1</v>
      </c>
    </row>
    <row r="5488" spans="1:21">
      <c r="A5488" s="3" t="s">
        <v>5440</v>
      </c>
      <c r="B5488">
        <v>6</v>
      </c>
      <c r="U5488">
        <v>1</v>
      </c>
    </row>
    <row r="5489" spans="1:21">
      <c r="A5489" s="3" t="s">
        <v>5441</v>
      </c>
      <c r="B5489">
        <v>6</v>
      </c>
      <c r="U5489">
        <v>1</v>
      </c>
    </row>
    <row r="5490" spans="1:21">
      <c r="A5490" s="3" t="s">
        <v>5442</v>
      </c>
      <c r="B5490">
        <v>6</v>
      </c>
      <c r="U5490">
        <v>1</v>
      </c>
    </row>
    <row r="5491" spans="1:21">
      <c r="A5491" s="3" t="s">
        <v>5443</v>
      </c>
      <c r="B5491">
        <v>6</v>
      </c>
      <c r="U5491">
        <v>1</v>
      </c>
    </row>
    <row r="5492" spans="1:21">
      <c r="A5492" s="3" t="s">
        <v>5444</v>
      </c>
      <c r="B5492">
        <v>6</v>
      </c>
      <c r="U5492">
        <v>1</v>
      </c>
    </row>
    <row r="5493" spans="1:21">
      <c r="A5493" s="3" t="s">
        <v>5445</v>
      </c>
      <c r="B5493">
        <v>6</v>
      </c>
      <c r="U5493">
        <v>1</v>
      </c>
    </row>
    <row r="5494" spans="1:21">
      <c r="A5494" s="3" t="s">
        <v>5446</v>
      </c>
      <c r="B5494">
        <v>6</v>
      </c>
      <c r="U5494">
        <v>1</v>
      </c>
    </row>
    <row r="5495" spans="1:21">
      <c r="A5495" s="3" t="s">
        <v>5447</v>
      </c>
      <c r="B5495">
        <v>6</v>
      </c>
      <c r="U5495">
        <v>1</v>
      </c>
    </row>
    <row r="5496" spans="1:21">
      <c r="A5496" s="3" t="s">
        <v>5448</v>
      </c>
      <c r="B5496">
        <v>6</v>
      </c>
      <c r="U5496">
        <v>1</v>
      </c>
    </row>
    <row r="5497" spans="1:21">
      <c r="A5497" s="3" t="s">
        <v>5449</v>
      </c>
      <c r="B5497">
        <v>6</v>
      </c>
      <c r="U5497">
        <v>1</v>
      </c>
    </row>
    <row r="5498" spans="1:21">
      <c r="A5498" s="3" t="s">
        <v>5450</v>
      </c>
      <c r="B5498">
        <v>6</v>
      </c>
      <c r="U5498">
        <v>1</v>
      </c>
    </row>
    <row r="5499" spans="1:21">
      <c r="A5499" s="3" t="s">
        <v>5451</v>
      </c>
      <c r="B5499">
        <v>6</v>
      </c>
      <c r="U5499">
        <v>1</v>
      </c>
    </row>
    <row r="5500" spans="1:21">
      <c r="A5500" s="3" t="s">
        <v>5452</v>
      </c>
      <c r="B5500">
        <v>6</v>
      </c>
      <c r="U5500">
        <v>1</v>
      </c>
    </row>
    <row r="5501" spans="1:21">
      <c r="A5501" s="3" t="s">
        <v>5453</v>
      </c>
      <c r="B5501">
        <v>6</v>
      </c>
      <c r="U5501">
        <v>1</v>
      </c>
    </row>
    <row r="5502" spans="1:21">
      <c r="A5502" s="3" t="s">
        <v>5454</v>
      </c>
      <c r="B5502">
        <v>6</v>
      </c>
      <c r="U5502">
        <v>1</v>
      </c>
    </row>
    <row r="5503" spans="1:21">
      <c r="A5503" s="3" t="s">
        <v>5455</v>
      </c>
      <c r="B5503">
        <v>6</v>
      </c>
      <c r="U5503">
        <v>1</v>
      </c>
    </row>
    <row r="5504" spans="1:21">
      <c r="A5504" s="3" t="s">
        <v>5456</v>
      </c>
      <c r="B5504">
        <v>6</v>
      </c>
      <c r="U5504">
        <v>1</v>
      </c>
    </row>
    <row r="5505" spans="1:21">
      <c r="A5505" s="3" t="s">
        <v>5457</v>
      </c>
      <c r="B5505">
        <v>6</v>
      </c>
      <c r="U5505">
        <v>1</v>
      </c>
    </row>
    <row r="5506" spans="1:21">
      <c r="A5506" s="3" t="s">
        <v>5458</v>
      </c>
      <c r="B5506">
        <v>6</v>
      </c>
      <c r="U5506">
        <v>1</v>
      </c>
    </row>
    <row r="5507" spans="1:21">
      <c r="A5507" s="3" t="s">
        <v>5459</v>
      </c>
      <c r="B5507">
        <v>6</v>
      </c>
      <c r="U5507">
        <v>1</v>
      </c>
    </row>
    <row r="5508" spans="1:21">
      <c r="A5508" s="3" t="s">
        <v>5460</v>
      </c>
      <c r="B5508">
        <v>6</v>
      </c>
      <c r="U5508">
        <v>1</v>
      </c>
    </row>
    <row r="5509" spans="1:21">
      <c r="A5509" s="3" t="s">
        <v>5461</v>
      </c>
      <c r="B5509">
        <v>6</v>
      </c>
      <c r="U5509">
        <v>1</v>
      </c>
    </row>
    <row r="5510" spans="1:21">
      <c r="A5510" s="3" t="s">
        <v>5462</v>
      </c>
      <c r="B5510">
        <v>6</v>
      </c>
      <c r="U5510">
        <v>1</v>
      </c>
    </row>
    <row r="5511" spans="1:21">
      <c r="A5511" s="3" t="s">
        <v>5463</v>
      </c>
      <c r="B5511">
        <v>6</v>
      </c>
      <c r="U5511">
        <v>1</v>
      </c>
    </row>
    <row r="5512" spans="1:21">
      <c r="A5512" s="3" t="s">
        <v>5464</v>
      </c>
      <c r="B5512">
        <v>6</v>
      </c>
      <c r="U5512">
        <v>1</v>
      </c>
    </row>
    <row r="5513" spans="1:21">
      <c r="A5513" s="3" t="s">
        <v>5465</v>
      </c>
      <c r="B5513">
        <v>6</v>
      </c>
      <c r="U5513">
        <v>1</v>
      </c>
    </row>
    <row r="5514" spans="1:21">
      <c r="A5514" s="3" t="s">
        <v>5466</v>
      </c>
      <c r="B5514">
        <v>6</v>
      </c>
      <c r="U5514">
        <v>1</v>
      </c>
    </row>
    <row r="5515" spans="1:21">
      <c r="A5515" s="3" t="s">
        <v>5467</v>
      </c>
      <c r="B5515">
        <v>6</v>
      </c>
      <c r="U5515">
        <v>1</v>
      </c>
    </row>
    <row r="5516" spans="1:21">
      <c r="A5516" s="3" t="s">
        <v>5468</v>
      </c>
      <c r="B5516">
        <v>6</v>
      </c>
      <c r="U5516">
        <v>1</v>
      </c>
    </row>
    <row r="5517" spans="1:21">
      <c r="A5517" s="3" t="s">
        <v>5469</v>
      </c>
      <c r="B5517">
        <v>6</v>
      </c>
      <c r="U5517">
        <v>1</v>
      </c>
    </row>
    <row r="5518" spans="1:21">
      <c r="A5518" s="3" t="s">
        <v>5470</v>
      </c>
      <c r="B5518">
        <v>6</v>
      </c>
      <c r="U5518">
        <v>1</v>
      </c>
    </row>
    <row r="5519" spans="1:21">
      <c r="A5519" s="3" t="s">
        <v>5471</v>
      </c>
      <c r="B5519">
        <v>6</v>
      </c>
      <c r="U5519">
        <v>1</v>
      </c>
    </row>
    <row r="5520" spans="1:21">
      <c r="A5520" s="3" t="s">
        <v>5472</v>
      </c>
      <c r="B5520">
        <v>6</v>
      </c>
      <c r="U5520">
        <v>1</v>
      </c>
    </row>
    <row r="5521" spans="1:21">
      <c r="A5521" s="3" t="s">
        <v>5473</v>
      </c>
      <c r="B5521">
        <v>6</v>
      </c>
      <c r="U5521">
        <v>1</v>
      </c>
    </row>
    <row r="5522" spans="1:21">
      <c r="A5522" s="3" t="s">
        <v>5474</v>
      </c>
      <c r="B5522">
        <v>6</v>
      </c>
      <c r="U5522">
        <v>1</v>
      </c>
    </row>
    <row r="5523" spans="1:21">
      <c r="A5523" s="3" t="s">
        <v>5475</v>
      </c>
      <c r="B5523">
        <v>6</v>
      </c>
      <c r="U5523">
        <v>1</v>
      </c>
    </row>
    <row r="5524" spans="1:21">
      <c r="A5524" s="3" t="s">
        <v>5476</v>
      </c>
      <c r="B5524">
        <v>6</v>
      </c>
      <c r="U5524">
        <v>1</v>
      </c>
    </row>
    <row r="5525" spans="1:21">
      <c r="A5525" s="3" t="s">
        <v>5477</v>
      </c>
      <c r="B5525">
        <v>6</v>
      </c>
      <c r="K5525">
        <v>5</v>
      </c>
    </row>
    <row r="5526" spans="1:21">
      <c r="A5526" s="3" t="s">
        <v>5478</v>
      </c>
      <c r="B5526">
        <v>6</v>
      </c>
      <c r="K5526">
        <v>5</v>
      </c>
    </row>
    <row r="5527" spans="1:21">
      <c r="A5527" s="3" t="s">
        <v>5479</v>
      </c>
      <c r="B5527">
        <v>6</v>
      </c>
      <c r="K5527">
        <v>5</v>
      </c>
    </row>
    <row r="5528" spans="1:21">
      <c r="A5528" s="3" t="s">
        <v>5480</v>
      </c>
      <c r="B5528">
        <v>6</v>
      </c>
      <c r="K5528">
        <v>5</v>
      </c>
    </row>
    <row r="5529" spans="1:21">
      <c r="A5529" s="3" t="s">
        <v>5481</v>
      </c>
      <c r="B5529">
        <v>6</v>
      </c>
      <c r="K5529">
        <v>5</v>
      </c>
    </row>
    <row r="5530" spans="1:21">
      <c r="A5530" s="3" t="s">
        <v>5482</v>
      </c>
      <c r="B5530">
        <v>6</v>
      </c>
      <c r="K5530">
        <v>5</v>
      </c>
    </row>
    <row r="5531" spans="1:21">
      <c r="A5531" s="3" t="s">
        <v>5483</v>
      </c>
      <c r="B5531">
        <v>6</v>
      </c>
      <c r="K5531">
        <v>5</v>
      </c>
    </row>
    <row r="5532" spans="1:21">
      <c r="A5532" s="3" t="s">
        <v>5484</v>
      </c>
      <c r="B5532">
        <v>6</v>
      </c>
      <c r="K5532">
        <v>5</v>
      </c>
    </row>
    <row r="5533" spans="1:21">
      <c r="A5533" s="3" t="s">
        <v>5485</v>
      </c>
      <c r="B5533">
        <v>6</v>
      </c>
      <c r="K5533">
        <v>5</v>
      </c>
    </row>
    <row r="5534" spans="1:21">
      <c r="A5534" s="3" t="s">
        <v>5486</v>
      </c>
      <c r="B5534">
        <v>6</v>
      </c>
      <c r="K5534">
        <v>5</v>
      </c>
    </row>
    <row r="5535" spans="1:21">
      <c r="A5535" s="3" t="s">
        <v>5487</v>
      </c>
      <c r="B5535">
        <v>6</v>
      </c>
      <c r="K5535">
        <v>5</v>
      </c>
    </row>
    <row r="5536" spans="1:21">
      <c r="A5536" s="3" t="s">
        <v>5488</v>
      </c>
      <c r="B5536">
        <v>6</v>
      </c>
      <c r="K5536">
        <v>5</v>
      </c>
    </row>
    <row r="5537" spans="1:11">
      <c r="A5537" s="3" t="s">
        <v>5489</v>
      </c>
      <c r="B5537">
        <v>6</v>
      </c>
      <c r="K5537">
        <v>5</v>
      </c>
    </row>
    <row r="5538" spans="1:11">
      <c r="A5538" s="3" t="s">
        <v>5490</v>
      </c>
      <c r="B5538">
        <v>6</v>
      </c>
      <c r="K5538">
        <v>5</v>
      </c>
    </row>
    <row r="5539" spans="1:11">
      <c r="A5539" s="3" t="s">
        <v>5491</v>
      </c>
      <c r="B5539">
        <v>6</v>
      </c>
      <c r="K5539">
        <v>5</v>
      </c>
    </row>
    <row r="5540" spans="1:11">
      <c r="A5540" s="3" t="s">
        <v>5492</v>
      </c>
      <c r="B5540">
        <v>6</v>
      </c>
      <c r="K5540">
        <v>5</v>
      </c>
    </row>
    <row r="5541" spans="1:11">
      <c r="A5541" s="3" t="s">
        <v>5493</v>
      </c>
      <c r="B5541">
        <v>6</v>
      </c>
      <c r="K5541">
        <v>5</v>
      </c>
    </row>
    <row r="5542" spans="1:11">
      <c r="A5542" s="3" t="s">
        <v>5494</v>
      </c>
      <c r="B5542">
        <v>6</v>
      </c>
      <c r="K5542">
        <v>5</v>
      </c>
    </row>
    <row r="5543" spans="1:11">
      <c r="A5543" s="3" t="s">
        <v>5495</v>
      </c>
      <c r="B5543">
        <v>6</v>
      </c>
      <c r="K5543">
        <v>5</v>
      </c>
    </row>
    <row r="5544" spans="1:11">
      <c r="A5544" s="3" t="s">
        <v>5496</v>
      </c>
      <c r="B5544">
        <v>6</v>
      </c>
      <c r="K5544">
        <v>5</v>
      </c>
    </row>
    <row r="5545" spans="1:11">
      <c r="A5545" s="3" t="s">
        <v>5497</v>
      </c>
      <c r="B5545">
        <v>6</v>
      </c>
      <c r="K5545">
        <v>5</v>
      </c>
    </row>
    <row r="5546" spans="1:11">
      <c r="A5546" s="3" t="s">
        <v>5498</v>
      </c>
      <c r="B5546">
        <v>6</v>
      </c>
      <c r="K5546">
        <v>5</v>
      </c>
    </row>
    <row r="5547" spans="1:11">
      <c r="A5547" s="3" t="s">
        <v>5499</v>
      </c>
      <c r="B5547">
        <v>6</v>
      </c>
      <c r="K5547">
        <v>5</v>
      </c>
    </row>
    <row r="5548" spans="1:11">
      <c r="A5548" s="3" t="s">
        <v>5500</v>
      </c>
      <c r="B5548">
        <v>6</v>
      </c>
      <c r="K5548">
        <v>5</v>
      </c>
    </row>
    <row r="5549" spans="1:11">
      <c r="A5549" s="3" t="s">
        <v>5501</v>
      </c>
      <c r="B5549">
        <v>6</v>
      </c>
      <c r="K5549">
        <v>5</v>
      </c>
    </row>
    <row r="5550" spans="1:11">
      <c r="A5550" s="3" t="s">
        <v>5502</v>
      </c>
      <c r="B5550">
        <v>6</v>
      </c>
      <c r="K5550">
        <v>5</v>
      </c>
    </row>
    <row r="5551" spans="1:11">
      <c r="A5551" s="3" t="s">
        <v>5503</v>
      </c>
      <c r="B5551">
        <v>6</v>
      </c>
      <c r="K5551">
        <v>5</v>
      </c>
    </row>
    <row r="5552" spans="1:11">
      <c r="A5552" s="3" t="s">
        <v>5504</v>
      </c>
      <c r="B5552">
        <v>6</v>
      </c>
      <c r="K5552">
        <v>5</v>
      </c>
    </row>
    <row r="5553" spans="1:11">
      <c r="A5553" s="3" t="s">
        <v>5505</v>
      </c>
      <c r="B5553">
        <v>6</v>
      </c>
      <c r="K5553">
        <v>5</v>
      </c>
    </row>
    <row r="5554" spans="1:11">
      <c r="A5554" s="3" t="s">
        <v>5506</v>
      </c>
      <c r="B5554">
        <v>6</v>
      </c>
      <c r="K5554">
        <v>5</v>
      </c>
    </row>
    <row r="5555" spans="1:11">
      <c r="A5555" s="3" t="s">
        <v>5507</v>
      </c>
      <c r="B5555">
        <v>6</v>
      </c>
      <c r="K5555">
        <v>5</v>
      </c>
    </row>
    <row r="5556" spans="1:11">
      <c r="A5556" s="3" t="s">
        <v>5508</v>
      </c>
      <c r="B5556">
        <v>6</v>
      </c>
      <c r="K5556">
        <v>5</v>
      </c>
    </row>
    <row r="5557" spans="1:11">
      <c r="A5557" s="3" t="s">
        <v>5509</v>
      </c>
      <c r="B5557">
        <v>6</v>
      </c>
      <c r="K5557">
        <v>5</v>
      </c>
    </row>
    <row r="5558" spans="1:11">
      <c r="A5558" s="3" t="s">
        <v>5510</v>
      </c>
      <c r="B5558">
        <v>6</v>
      </c>
      <c r="K5558">
        <v>5</v>
      </c>
    </row>
    <row r="5559" spans="1:11">
      <c r="A5559" s="3" t="s">
        <v>5511</v>
      </c>
      <c r="B5559">
        <v>6</v>
      </c>
      <c r="K5559">
        <v>5</v>
      </c>
    </row>
    <row r="5560" spans="1:11">
      <c r="A5560" s="3" t="s">
        <v>5512</v>
      </c>
      <c r="B5560">
        <v>6</v>
      </c>
      <c r="K5560">
        <v>5</v>
      </c>
    </row>
    <row r="5561" spans="1:11">
      <c r="A5561" s="3" t="s">
        <v>5513</v>
      </c>
      <c r="B5561">
        <v>6</v>
      </c>
      <c r="K5561">
        <v>5</v>
      </c>
    </row>
    <row r="5562" spans="1:11">
      <c r="A5562" s="3" t="s">
        <v>5514</v>
      </c>
      <c r="B5562">
        <v>6</v>
      </c>
      <c r="K5562">
        <v>5</v>
      </c>
    </row>
    <row r="5563" spans="1:11">
      <c r="A5563" s="3" t="s">
        <v>5515</v>
      </c>
      <c r="B5563">
        <v>6</v>
      </c>
      <c r="K5563">
        <v>5</v>
      </c>
    </row>
    <row r="5564" spans="1:11">
      <c r="A5564" s="3" t="s">
        <v>5516</v>
      </c>
      <c r="B5564">
        <v>6</v>
      </c>
      <c r="K5564">
        <v>5</v>
      </c>
    </row>
    <row r="5565" spans="1:11">
      <c r="A5565" s="3" t="s">
        <v>5517</v>
      </c>
      <c r="B5565">
        <v>6</v>
      </c>
      <c r="K5565">
        <v>5</v>
      </c>
    </row>
    <row r="5566" spans="1:11">
      <c r="A5566" s="3" t="s">
        <v>5518</v>
      </c>
      <c r="B5566">
        <v>6</v>
      </c>
      <c r="K5566">
        <v>5</v>
      </c>
    </row>
    <row r="5567" spans="1:11">
      <c r="A5567" s="3" t="s">
        <v>5519</v>
      </c>
      <c r="B5567">
        <v>6</v>
      </c>
      <c r="K5567">
        <v>5</v>
      </c>
    </row>
    <row r="5568" spans="1:11">
      <c r="A5568" s="3" t="s">
        <v>5520</v>
      </c>
      <c r="B5568">
        <v>6</v>
      </c>
      <c r="K5568">
        <v>5</v>
      </c>
    </row>
    <row r="5569" spans="1:11">
      <c r="A5569" s="3" t="s">
        <v>5521</v>
      </c>
      <c r="B5569">
        <v>6</v>
      </c>
      <c r="K5569">
        <v>5</v>
      </c>
    </row>
    <row r="5570" spans="1:11">
      <c r="A5570" s="3" t="s">
        <v>5522</v>
      </c>
      <c r="B5570">
        <v>6</v>
      </c>
      <c r="K5570">
        <v>5</v>
      </c>
    </row>
    <row r="5571" spans="1:11">
      <c r="A5571" s="3" t="s">
        <v>5523</v>
      </c>
      <c r="B5571">
        <v>6</v>
      </c>
      <c r="K5571">
        <v>5</v>
      </c>
    </row>
    <row r="5572" spans="1:11">
      <c r="A5572" s="3" t="s">
        <v>5524</v>
      </c>
      <c r="B5572">
        <v>6</v>
      </c>
      <c r="K5572">
        <v>5</v>
      </c>
    </row>
    <row r="5573" spans="1:11">
      <c r="A5573" s="3" t="s">
        <v>5525</v>
      </c>
      <c r="B5573">
        <v>6</v>
      </c>
      <c r="K5573">
        <v>5</v>
      </c>
    </row>
    <row r="5574" spans="1:11">
      <c r="A5574" s="3" t="s">
        <v>5526</v>
      </c>
      <c r="B5574">
        <v>6</v>
      </c>
      <c r="K5574">
        <v>5</v>
      </c>
    </row>
    <row r="5575" spans="1:11">
      <c r="A5575" s="3" t="s">
        <v>5527</v>
      </c>
      <c r="B5575">
        <v>6</v>
      </c>
      <c r="K5575">
        <v>5</v>
      </c>
    </row>
    <row r="5576" spans="1:11">
      <c r="A5576" s="3" t="s">
        <v>5528</v>
      </c>
      <c r="B5576">
        <v>6</v>
      </c>
      <c r="K5576">
        <v>5</v>
      </c>
    </row>
    <row r="5577" spans="1:11">
      <c r="A5577" s="3" t="s">
        <v>5529</v>
      </c>
      <c r="B5577">
        <v>6</v>
      </c>
      <c r="K5577">
        <v>5</v>
      </c>
    </row>
    <row r="5578" spans="1:11">
      <c r="A5578" s="3" t="s">
        <v>5530</v>
      </c>
      <c r="B5578">
        <v>6</v>
      </c>
      <c r="K5578">
        <v>5</v>
      </c>
    </row>
    <row r="5579" spans="1:11">
      <c r="A5579" s="3" t="s">
        <v>5531</v>
      </c>
      <c r="B5579">
        <v>6</v>
      </c>
      <c r="K5579">
        <v>5</v>
      </c>
    </row>
    <row r="5580" spans="1:11">
      <c r="A5580" s="3" t="s">
        <v>5532</v>
      </c>
      <c r="B5580">
        <v>6</v>
      </c>
      <c r="K5580">
        <v>5</v>
      </c>
    </row>
    <row r="5581" spans="1:11">
      <c r="A5581" s="3" t="s">
        <v>5533</v>
      </c>
      <c r="B5581">
        <v>6</v>
      </c>
      <c r="K5581">
        <v>5</v>
      </c>
    </row>
    <row r="5582" spans="1:11">
      <c r="A5582" s="3" t="s">
        <v>5534</v>
      </c>
      <c r="B5582">
        <v>6</v>
      </c>
      <c r="K5582">
        <v>5</v>
      </c>
    </row>
    <row r="5583" spans="1:11">
      <c r="A5583" s="3" t="s">
        <v>5535</v>
      </c>
      <c r="B5583">
        <v>6</v>
      </c>
      <c r="K5583">
        <v>5</v>
      </c>
    </row>
    <row r="5584" spans="1:11">
      <c r="A5584" s="3" t="s">
        <v>5536</v>
      </c>
      <c r="B5584">
        <v>6</v>
      </c>
      <c r="K5584">
        <v>5</v>
      </c>
    </row>
    <row r="5585" spans="1:11">
      <c r="A5585" s="3" t="s">
        <v>5537</v>
      </c>
      <c r="B5585">
        <v>6</v>
      </c>
      <c r="K5585">
        <v>5</v>
      </c>
    </row>
    <row r="5586" spans="1:11">
      <c r="A5586" s="3" t="s">
        <v>5538</v>
      </c>
      <c r="B5586">
        <v>6</v>
      </c>
      <c r="K5586">
        <v>5</v>
      </c>
    </row>
    <row r="5587" spans="1:11">
      <c r="A5587" s="3" t="s">
        <v>5539</v>
      </c>
      <c r="B5587">
        <v>6</v>
      </c>
      <c r="K5587">
        <v>5</v>
      </c>
    </row>
    <row r="5588" spans="1:11">
      <c r="A5588" s="3" t="s">
        <v>5540</v>
      </c>
      <c r="B5588">
        <v>6</v>
      </c>
      <c r="K5588">
        <v>5</v>
      </c>
    </row>
    <row r="5589" spans="1:11">
      <c r="A5589" s="3" t="s">
        <v>5541</v>
      </c>
      <c r="B5589">
        <v>6</v>
      </c>
      <c r="K5589">
        <v>5</v>
      </c>
    </row>
    <row r="5590" spans="1:11">
      <c r="A5590" s="3" t="s">
        <v>5542</v>
      </c>
      <c r="B5590">
        <v>6</v>
      </c>
      <c r="K5590">
        <v>5</v>
      </c>
    </row>
    <row r="5591" spans="1:11">
      <c r="A5591" s="3" t="s">
        <v>5543</v>
      </c>
      <c r="B5591">
        <v>6</v>
      </c>
      <c r="K5591">
        <v>5</v>
      </c>
    </row>
    <row r="5592" spans="1:11">
      <c r="A5592" s="3" t="s">
        <v>5544</v>
      </c>
      <c r="B5592">
        <v>6</v>
      </c>
      <c r="K5592">
        <v>5</v>
      </c>
    </row>
    <row r="5593" spans="1:11">
      <c r="A5593" s="3" t="s">
        <v>5545</v>
      </c>
      <c r="B5593">
        <v>6</v>
      </c>
      <c r="K5593">
        <v>5</v>
      </c>
    </row>
    <row r="5594" spans="1:11">
      <c r="A5594" s="3" t="s">
        <v>5546</v>
      </c>
      <c r="B5594">
        <v>6</v>
      </c>
      <c r="K5594">
        <v>5</v>
      </c>
    </row>
    <row r="5595" spans="1:11">
      <c r="A5595" s="3" t="s">
        <v>5547</v>
      </c>
      <c r="B5595">
        <v>6</v>
      </c>
      <c r="K5595">
        <v>5</v>
      </c>
    </row>
    <row r="5596" spans="1:11">
      <c r="A5596" s="3" t="s">
        <v>5548</v>
      </c>
      <c r="B5596">
        <v>6</v>
      </c>
      <c r="K5596">
        <v>5</v>
      </c>
    </row>
    <row r="5597" spans="1:11">
      <c r="A5597" s="3" t="s">
        <v>5549</v>
      </c>
      <c r="B5597">
        <v>6</v>
      </c>
      <c r="K5597">
        <v>5</v>
      </c>
    </row>
    <row r="5598" spans="1:11">
      <c r="A5598" s="3" t="s">
        <v>5550</v>
      </c>
      <c r="B5598">
        <v>6</v>
      </c>
      <c r="K5598">
        <v>5</v>
      </c>
    </row>
    <row r="5599" spans="1:11">
      <c r="A5599" s="3" t="s">
        <v>5551</v>
      </c>
      <c r="B5599">
        <v>6</v>
      </c>
      <c r="K5599">
        <v>5</v>
      </c>
    </row>
    <row r="5600" spans="1:11">
      <c r="A5600" s="3" t="s">
        <v>5552</v>
      </c>
      <c r="B5600">
        <v>6</v>
      </c>
      <c r="K5600">
        <v>5</v>
      </c>
    </row>
    <row r="5601" spans="1:11">
      <c r="A5601" s="3" t="s">
        <v>5553</v>
      </c>
      <c r="B5601">
        <v>6</v>
      </c>
      <c r="K5601">
        <v>5</v>
      </c>
    </row>
    <row r="5602" spans="1:11">
      <c r="A5602" s="3" t="s">
        <v>5554</v>
      </c>
      <c r="B5602">
        <v>6</v>
      </c>
      <c r="K5602">
        <v>5</v>
      </c>
    </row>
    <row r="5603" spans="1:11">
      <c r="A5603" s="3" t="s">
        <v>5555</v>
      </c>
      <c r="B5603">
        <v>6</v>
      </c>
      <c r="K5603">
        <v>5</v>
      </c>
    </row>
    <row r="5604" spans="1:11">
      <c r="A5604" s="3" t="s">
        <v>5556</v>
      </c>
      <c r="B5604">
        <v>6</v>
      </c>
      <c r="J5604">
        <v>60</v>
      </c>
    </row>
    <row r="5605" spans="1:11">
      <c r="A5605" s="3" t="s">
        <v>5557</v>
      </c>
      <c r="B5605">
        <v>6</v>
      </c>
      <c r="J5605">
        <v>60</v>
      </c>
    </row>
    <row r="5606" spans="1:11">
      <c r="A5606" s="3" t="s">
        <v>5558</v>
      </c>
      <c r="B5606">
        <v>6</v>
      </c>
      <c r="J5606">
        <v>60</v>
      </c>
    </row>
    <row r="5607" spans="1:11">
      <c r="A5607" s="3" t="s">
        <v>5559</v>
      </c>
      <c r="B5607">
        <v>6</v>
      </c>
      <c r="J5607">
        <v>60</v>
      </c>
    </row>
    <row r="5608" spans="1:11">
      <c r="A5608" s="3" t="s">
        <v>5560</v>
      </c>
      <c r="B5608">
        <v>6</v>
      </c>
      <c r="J5608">
        <v>60</v>
      </c>
    </row>
    <row r="5609" spans="1:11">
      <c r="A5609" s="3" t="s">
        <v>5561</v>
      </c>
      <c r="B5609">
        <v>6</v>
      </c>
      <c r="J5609">
        <v>60</v>
      </c>
    </row>
    <row r="5610" spans="1:11">
      <c r="A5610" s="3" t="s">
        <v>5562</v>
      </c>
      <c r="B5610">
        <v>6</v>
      </c>
      <c r="J5610">
        <v>60</v>
      </c>
    </row>
    <row r="5611" spans="1:11">
      <c r="A5611" s="3" t="s">
        <v>5563</v>
      </c>
      <c r="B5611">
        <v>6</v>
      </c>
      <c r="J5611">
        <v>60</v>
      </c>
    </row>
    <row r="5612" spans="1:11">
      <c r="A5612" s="3" t="s">
        <v>5564</v>
      </c>
      <c r="B5612">
        <v>6</v>
      </c>
      <c r="J5612">
        <v>60</v>
      </c>
    </row>
    <row r="5613" spans="1:11">
      <c r="A5613" s="3" t="s">
        <v>5565</v>
      </c>
      <c r="B5613">
        <v>6</v>
      </c>
      <c r="J5613">
        <v>60</v>
      </c>
    </row>
    <row r="5614" spans="1:11">
      <c r="A5614" s="3" t="s">
        <v>5566</v>
      </c>
      <c r="B5614">
        <v>6</v>
      </c>
      <c r="J5614">
        <v>60</v>
      </c>
    </row>
    <row r="5615" spans="1:11">
      <c r="A5615" s="3" t="s">
        <v>5567</v>
      </c>
      <c r="B5615">
        <v>6</v>
      </c>
      <c r="J5615">
        <v>60</v>
      </c>
    </row>
    <row r="5616" spans="1:11">
      <c r="A5616" s="3" t="s">
        <v>5568</v>
      </c>
      <c r="B5616">
        <v>6</v>
      </c>
      <c r="J5616">
        <v>60</v>
      </c>
    </row>
    <row r="5617" spans="1:10">
      <c r="A5617" s="3" t="s">
        <v>5569</v>
      </c>
      <c r="B5617">
        <v>6</v>
      </c>
      <c r="J5617">
        <v>60</v>
      </c>
    </row>
    <row r="5618" spans="1:10">
      <c r="A5618" s="3" t="s">
        <v>5570</v>
      </c>
      <c r="B5618">
        <v>6</v>
      </c>
      <c r="J5618">
        <v>60</v>
      </c>
    </row>
    <row r="5619" spans="1:10">
      <c r="A5619" s="3" t="s">
        <v>5571</v>
      </c>
      <c r="B5619">
        <v>6</v>
      </c>
      <c r="J5619">
        <v>60</v>
      </c>
    </row>
    <row r="5620" spans="1:10">
      <c r="A5620" s="3" t="s">
        <v>5572</v>
      </c>
      <c r="B5620">
        <v>6</v>
      </c>
      <c r="J5620">
        <v>60</v>
      </c>
    </row>
    <row r="5621" spans="1:10">
      <c r="A5621" s="3" t="s">
        <v>5573</v>
      </c>
      <c r="B5621">
        <v>6</v>
      </c>
      <c r="J5621">
        <v>60</v>
      </c>
    </row>
    <row r="5622" spans="1:10">
      <c r="A5622" s="3" t="s">
        <v>5574</v>
      </c>
      <c r="B5622">
        <v>6</v>
      </c>
      <c r="J5622">
        <v>60</v>
      </c>
    </row>
    <row r="5623" spans="1:10">
      <c r="A5623" s="3" t="s">
        <v>5575</v>
      </c>
      <c r="B5623">
        <v>6</v>
      </c>
      <c r="J5623">
        <v>60</v>
      </c>
    </row>
    <row r="5624" spans="1:10">
      <c r="A5624" s="3" t="s">
        <v>5576</v>
      </c>
      <c r="B5624">
        <v>6</v>
      </c>
      <c r="J5624">
        <v>60</v>
      </c>
    </row>
    <row r="5625" spans="1:10">
      <c r="A5625" s="3" t="s">
        <v>5577</v>
      </c>
      <c r="B5625">
        <v>6</v>
      </c>
      <c r="J5625">
        <v>60</v>
      </c>
    </row>
    <row r="5626" spans="1:10">
      <c r="A5626" s="3" t="s">
        <v>5578</v>
      </c>
      <c r="B5626">
        <v>6</v>
      </c>
      <c r="J5626">
        <v>60</v>
      </c>
    </row>
    <row r="5627" spans="1:10">
      <c r="A5627" s="3" t="s">
        <v>5579</v>
      </c>
      <c r="B5627">
        <v>6</v>
      </c>
      <c r="J5627">
        <v>60</v>
      </c>
    </row>
    <row r="5628" spans="1:10">
      <c r="A5628" s="3" t="s">
        <v>5580</v>
      </c>
      <c r="B5628">
        <v>6</v>
      </c>
      <c r="J5628">
        <v>60</v>
      </c>
    </row>
    <row r="5629" spans="1:10">
      <c r="A5629" s="3" t="s">
        <v>5581</v>
      </c>
      <c r="B5629">
        <v>6</v>
      </c>
      <c r="J5629">
        <v>60</v>
      </c>
    </row>
    <row r="5630" spans="1:10">
      <c r="A5630" s="3" t="s">
        <v>5582</v>
      </c>
      <c r="B5630">
        <v>6</v>
      </c>
      <c r="J5630">
        <v>60</v>
      </c>
    </row>
    <row r="5631" spans="1:10">
      <c r="A5631" s="3" t="s">
        <v>5583</v>
      </c>
      <c r="B5631">
        <v>6</v>
      </c>
      <c r="J5631">
        <v>60</v>
      </c>
    </row>
    <row r="5632" spans="1:10">
      <c r="A5632" s="3" t="s">
        <v>5584</v>
      </c>
      <c r="B5632">
        <v>6</v>
      </c>
      <c r="J5632">
        <v>60</v>
      </c>
    </row>
    <row r="5633" spans="1:10">
      <c r="A5633" s="3" t="s">
        <v>5585</v>
      </c>
      <c r="B5633">
        <v>6</v>
      </c>
      <c r="J5633">
        <v>60</v>
      </c>
    </row>
    <row r="5634" spans="1:10">
      <c r="A5634" s="3" t="s">
        <v>5586</v>
      </c>
      <c r="B5634">
        <v>6</v>
      </c>
      <c r="J5634">
        <v>60</v>
      </c>
    </row>
    <row r="5635" spans="1:10">
      <c r="A5635" s="3" t="s">
        <v>5587</v>
      </c>
      <c r="B5635">
        <v>6</v>
      </c>
      <c r="J5635">
        <v>60</v>
      </c>
    </row>
    <row r="5636" spans="1:10">
      <c r="A5636" s="3" t="s">
        <v>5588</v>
      </c>
      <c r="B5636">
        <v>6</v>
      </c>
      <c r="J5636">
        <v>60</v>
      </c>
    </row>
    <row r="5637" spans="1:10">
      <c r="A5637" s="3" t="s">
        <v>5589</v>
      </c>
      <c r="B5637">
        <v>6</v>
      </c>
      <c r="J5637">
        <v>60</v>
      </c>
    </row>
    <row r="5638" spans="1:10">
      <c r="A5638" s="3" t="s">
        <v>5590</v>
      </c>
      <c r="B5638">
        <v>6</v>
      </c>
      <c r="J5638">
        <v>60</v>
      </c>
    </row>
    <row r="5639" spans="1:10">
      <c r="A5639" s="3" t="s">
        <v>5591</v>
      </c>
      <c r="B5639">
        <v>6</v>
      </c>
      <c r="J5639">
        <v>60</v>
      </c>
    </row>
    <row r="5640" spans="1:10">
      <c r="A5640" s="3" t="s">
        <v>5592</v>
      </c>
      <c r="B5640">
        <v>6</v>
      </c>
      <c r="J5640">
        <v>60</v>
      </c>
    </row>
    <row r="5641" spans="1:10">
      <c r="A5641" s="3" t="s">
        <v>5593</v>
      </c>
      <c r="B5641">
        <v>6</v>
      </c>
      <c r="J5641">
        <v>60</v>
      </c>
    </row>
    <row r="5642" spans="1:10">
      <c r="A5642" s="3" t="s">
        <v>5594</v>
      </c>
      <c r="B5642">
        <v>6</v>
      </c>
      <c r="J5642">
        <v>60</v>
      </c>
    </row>
    <row r="5643" spans="1:10">
      <c r="A5643" s="3" t="s">
        <v>5595</v>
      </c>
      <c r="B5643">
        <v>6</v>
      </c>
      <c r="J5643">
        <v>60</v>
      </c>
    </row>
    <row r="5644" spans="1:10">
      <c r="A5644" s="3" t="s">
        <v>5596</v>
      </c>
      <c r="B5644">
        <v>6</v>
      </c>
      <c r="J5644">
        <v>60</v>
      </c>
    </row>
    <row r="5645" spans="1:10">
      <c r="A5645" s="3" t="s">
        <v>5597</v>
      </c>
      <c r="B5645">
        <v>6</v>
      </c>
      <c r="J5645">
        <v>60</v>
      </c>
    </row>
    <row r="5646" spans="1:10">
      <c r="A5646" s="3" t="s">
        <v>5598</v>
      </c>
      <c r="B5646">
        <v>6</v>
      </c>
      <c r="J5646">
        <v>60</v>
      </c>
    </row>
    <row r="5647" spans="1:10">
      <c r="A5647" s="3" t="s">
        <v>5599</v>
      </c>
      <c r="B5647">
        <v>6</v>
      </c>
      <c r="J5647">
        <v>60</v>
      </c>
    </row>
    <row r="5648" spans="1:10">
      <c r="A5648" s="3" t="s">
        <v>5600</v>
      </c>
      <c r="B5648">
        <v>6</v>
      </c>
      <c r="J5648">
        <v>60</v>
      </c>
    </row>
    <row r="5649" spans="1:10">
      <c r="A5649" s="3" t="s">
        <v>5601</v>
      </c>
      <c r="B5649">
        <v>6</v>
      </c>
      <c r="J5649">
        <v>60</v>
      </c>
    </row>
    <row r="5650" spans="1:10">
      <c r="A5650" s="3" t="s">
        <v>5602</v>
      </c>
      <c r="B5650">
        <v>6</v>
      </c>
      <c r="J5650">
        <v>60</v>
      </c>
    </row>
    <row r="5651" spans="1:10">
      <c r="A5651" s="3" t="s">
        <v>5603</v>
      </c>
      <c r="B5651">
        <v>6</v>
      </c>
      <c r="J5651">
        <v>60</v>
      </c>
    </row>
    <row r="5652" spans="1:10">
      <c r="A5652" s="3" t="s">
        <v>5604</v>
      </c>
      <c r="B5652">
        <v>6</v>
      </c>
      <c r="J5652">
        <v>60</v>
      </c>
    </row>
    <row r="5653" spans="1:10">
      <c r="A5653" s="3" t="s">
        <v>5605</v>
      </c>
      <c r="B5653">
        <v>6</v>
      </c>
      <c r="J5653">
        <v>60</v>
      </c>
    </row>
    <row r="5654" spans="1:10">
      <c r="A5654" s="3" t="s">
        <v>5606</v>
      </c>
      <c r="B5654">
        <v>6</v>
      </c>
      <c r="J5654">
        <v>60</v>
      </c>
    </row>
    <row r="5655" spans="1:10">
      <c r="A5655" s="3" t="s">
        <v>5607</v>
      </c>
      <c r="B5655">
        <v>6</v>
      </c>
      <c r="J5655">
        <v>60</v>
      </c>
    </row>
    <row r="5656" spans="1:10">
      <c r="A5656" s="3" t="s">
        <v>5608</v>
      </c>
      <c r="B5656">
        <v>6</v>
      </c>
      <c r="J5656">
        <v>60</v>
      </c>
    </row>
    <row r="5657" spans="1:10">
      <c r="A5657" s="3" t="s">
        <v>5609</v>
      </c>
      <c r="B5657">
        <v>6</v>
      </c>
      <c r="J5657">
        <v>60</v>
      </c>
    </row>
    <row r="5658" spans="1:10">
      <c r="A5658" s="3" t="s">
        <v>5610</v>
      </c>
      <c r="B5658">
        <v>6</v>
      </c>
      <c r="J5658">
        <v>60</v>
      </c>
    </row>
    <row r="5659" spans="1:10">
      <c r="A5659" s="3" t="s">
        <v>5611</v>
      </c>
      <c r="B5659">
        <v>6</v>
      </c>
      <c r="J5659">
        <v>60</v>
      </c>
    </row>
    <row r="5660" spans="1:10">
      <c r="A5660" s="3" t="s">
        <v>5612</v>
      </c>
      <c r="B5660">
        <v>6</v>
      </c>
      <c r="J5660">
        <v>60</v>
      </c>
    </row>
    <row r="5661" spans="1:10">
      <c r="A5661" s="3" t="s">
        <v>5613</v>
      </c>
      <c r="B5661">
        <v>6</v>
      </c>
      <c r="J5661">
        <v>60</v>
      </c>
    </row>
    <row r="5662" spans="1:10">
      <c r="A5662" s="3" t="s">
        <v>5614</v>
      </c>
      <c r="B5662">
        <v>6</v>
      </c>
      <c r="J5662">
        <v>60</v>
      </c>
    </row>
    <row r="5663" spans="1:10">
      <c r="A5663" s="3" t="s">
        <v>5615</v>
      </c>
      <c r="B5663">
        <v>6</v>
      </c>
      <c r="J5663">
        <v>60</v>
      </c>
    </row>
    <row r="5664" spans="1:10">
      <c r="A5664" s="3" t="s">
        <v>5616</v>
      </c>
      <c r="B5664">
        <v>6</v>
      </c>
      <c r="J5664">
        <v>60</v>
      </c>
    </row>
    <row r="5665" spans="1:10">
      <c r="A5665" s="3" t="s">
        <v>5617</v>
      </c>
      <c r="B5665">
        <v>6</v>
      </c>
      <c r="J5665">
        <v>60</v>
      </c>
    </row>
    <row r="5666" spans="1:10">
      <c r="A5666" s="3" t="s">
        <v>5618</v>
      </c>
      <c r="B5666">
        <v>6</v>
      </c>
      <c r="J5666">
        <v>60</v>
      </c>
    </row>
    <row r="5667" spans="1:10">
      <c r="A5667" s="3" t="s">
        <v>5619</v>
      </c>
      <c r="B5667">
        <v>6</v>
      </c>
      <c r="J5667">
        <v>60</v>
      </c>
    </row>
    <row r="5668" spans="1:10">
      <c r="A5668" s="3" t="s">
        <v>5620</v>
      </c>
      <c r="B5668">
        <v>6</v>
      </c>
      <c r="J5668">
        <v>60</v>
      </c>
    </row>
    <row r="5669" spans="1:10">
      <c r="A5669" s="3" t="s">
        <v>5621</v>
      </c>
      <c r="B5669">
        <v>6</v>
      </c>
      <c r="J5669">
        <v>60</v>
      </c>
    </row>
    <row r="5670" spans="1:10">
      <c r="A5670" s="3" t="s">
        <v>5622</v>
      </c>
      <c r="B5670">
        <v>6</v>
      </c>
      <c r="J5670">
        <v>60</v>
      </c>
    </row>
    <row r="5671" spans="1:10">
      <c r="A5671" s="3" t="s">
        <v>5623</v>
      </c>
      <c r="B5671">
        <v>6</v>
      </c>
      <c r="J5671">
        <v>60</v>
      </c>
    </row>
    <row r="5672" spans="1:10">
      <c r="A5672" s="3" t="s">
        <v>5624</v>
      </c>
      <c r="B5672">
        <v>6</v>
      </c>
      <c r="J5672">
        <v>60</v>
      </c>
    </row>
    <row r="5673" spans="1:10">
      <c r="A5673" s="3" t="s">
        <v>5625</v>
      </c>
      <c r="B5673">
        <v>6</v>
      </c>
      <c r="J5673">
        <v>60</v>
      </c>
    </row>
    <row r="5674" spans="1:10">
      <c r="A5674" s="3" t="s">
        <v>5626</v>
      </c>
      <c r="B5674">
        <v>6</v>
      </c>
      <c r="J5674">
        <v>60</v>
      </c>
    </row>
    <row r="5675" spans="1:10">
      <c r="A5675" s="3" t="s">
        <v>5627</v>
      </c>
      <c r="B5675">
        <v>6</v>
      </c>
      <c r="J5675">
        <v>60</v>
      </c>
    </row>
    <row r="5676" spans="1:10">
      <c r="A5676" s="3" t="s">
        <v>5628</v>
      </c>
      <c r="B5676">
        <v>6</v>
      </c>
      <c r="J5676">
        <v>60</v>
      </c>
    </row>
    <row r="5677" spans="1:10">
      <c r="A5677" s="3" t="s">
        <v>5629</v>
      </c>
      <c r="B5677">
        <v>6</v>
      </c>
      <c r="J5677">
        <v>60</v>
      </c>
    </row>
    <row r="5678" spans="1:10">
      <c r="A5678" s="3" t="s">
        <v>5630</v>
      </c>
      <c r="B5678">
        <v>6</v>
      </c>
      <c r="J5678">
        <v>60</v>
      </c>
    </row>
    <row r="5679" spans="1:10">
      <c r="A5679" s="3" t="s">
        <v>5631</v>
      </c>
      <c r="B5679">
        <v>6</v>
      </c>
      <c r="J5679">
        <v>60</v>
      </c>
    </row>
    <row r="5680" spans="1:10">
      <c r="A5680" s="3" t="s">
        <v>5632</v>
      </c>
      <c r="B5680">
        <v>6</v>
      </c>
      <c r="J5680">
        <v>60</v>
      </c>
    </row>
    <row r="5681" spans="1:10">
      <c r="A5681" s="3" t="s">
        <v>5633</v>
      </c>
      <c r="B5681">
        <v>6</v>
      </c>
      <c r="J5681">
        <v>60</v>
      </c>
    </row>
    <row r="5682" spans="1:10">
      <c r="A5682" s="3" t="s">
        <v>5634</v>
      </c>
      <c r="B5682">
        <v>6</v>
      </c>
      <c r="J5682">
        <v>60</v>
      </c>
    </row>
    <row r="5683" spans="1:10">
      <c r="A5683" s="3" t="s">
        <v>5635</v>
      </c>
      <c r="B5683">
        <v>6</v>
      </c>
      <c r="J5683">
        <v>60</v>
      </c>
    </row>
    <row r="5684" spans="1:10">
      <c r="A5684" s="3" t="s">
        <v>5636</v>
      </c>
      <c r="B5684">
        <v>6</v>
      </c>
      <c r="J5684">
        <v>60</v>
      </c>
    </row>
    <row r="5685" spans="1:10">
      <c r="A5685" s="3" t="s">
        <v>5637</v>
      </c>
      <c r="B5685">
        <v>6</v>
      </c>
      <c r="J5685">
        <v>60</v>
      </c>
    </row>
    <row r="5686" spans="1:10">
      <c r="A5686" s="3" t="s">
        <v>5638</v>
      </c>
      <c r="B5686">
        <v>6</v>
      </c>
      <c r="J5686">
        <v>60</v>
      </c>
    </row>
    <row r="5687" spans="1:10">
      <c r="A5687" s="3" t="s">
        <v>5639</v>
      </c>
      <c r="B5687">
        <v>6</v>
      </c>
      <c r="J5687">
        <v>60</v>
      </c>
    </row>
    <row r="5688" spans="1:10">
      <c r="A5688" s="3" t="s">
        <v>5640</v>
      </c>
      <c r="B5688">
        <v>6</v>
      </c>
      <c r="J5688">
        <v>60</v>
      </c>
    </row>
    <row r="5689" spans="1:10">
      <c r="A5689" s="3" t="s">
        <v>5641</v>
      </c>
      <c r="B5689">
        <v>6</v>
      </c>
      <c r="J5689">
        <v>60</v>
      </c>
    </row>
    <row r="5690" spans="1:10">
      <c r="A5690" s="3" t="s">
        <v>5642</v>
      </c>
      <c r="B5690">
        <v>6</v>
      </c>
      <c r="J5690">
        <v>60</v>
      </c>
    </row>
    <row r="5691" spans="1:10">
      <c r="A5691" s="3" t="s">
        <v>5643</v>
      </c>
      <c r="B5691">
        <v>6</v>
      </c>
      <c r="J5691">
        <v>60</v>
      </c>
    </row>
    <row r="5692" spans="1:10">
      <c r="A5692" s="3" t="s">
        <v>5644</v>
      </c>
      <c r="B5692">
        <v>6</v>
      </c>
      <c r="J5692">
        <v>60</v>
      </c>
    </row>
    <row r="5693" spans="1:10">
      <c r="A5693" s="3" t="s">
        <v>5645</v>
      </c>
      <c r="B5693">
        <v>6</v>
      </c>
      <c r="J5693">
        <v>60</v>
      </c>
    </row>
    <row r="5694" spans="1:10">
      <c r="A5694" s="3" t="s">
        <v>5646</v>
      </c>
      <c r="B5694">
        <v>6</v>
      </c>
      <c r="J5694">
        <v>60</v>
      </c>
    </row>
    <row r="5695" spans="1:10">
      <c r="A5695" s="3" t="s">
        <v>5647</v>
      </c>
      <c r="B5695">
        <v>6</v>
      </c>
      <c r="E5695">
        <v>6</v>
      </c>
      <c r="J5695">
        <v>60</v>
      </c>
    </row>
    <row r="5696" spans="1:10">
      <c r="A5696" s="3" t="s">
        <v>5648</v>
      </c>
      <c r="B5696">
        <v>6</v>
      </c>
      <c r="E5696">
        <v>6</v>
      </c>
      <c r="J5696">
        <v>60</v>
      </c>
    </row>
    <row r="5697" spans="1:46">
      <c r="A5697" s="3" t="s">
        <v>5649</v>
      </c>
      <c r="B5697">
        <v>6</v>
      </c>
      <c r="E5697">
        <v>6</v>
      </c>
      <c r="J5697">
        <v>60</v>
      </c>
    </row>
    <row r="5698" spans="1:46">
      <c r="A5698" s="3" t="s">
        <v>5650</v>
      </c>
      <c r="B5698">
        <v>6</v>
      </c>
      <c r="E5698">
        <v>6</v>
      </c>
      <c r="J5698">
        <v>60</v>
      </c>
    </row>
    <row r="5699" spans="1:46">
      <c r="A5699" s="3" t="s">
        <v>5651</v>
      </c>
      <c r="B5699">
        <v>6</v>
      </c>
      <c r="E5699">
        <v>6</v>
      </c>
      <c r="J5699">
        <v>60</v>
      </c>
    </row>
    <row r="5700" spans="1:46">
      <c r="A5700" s="3" t="s">
        <v>5652</v>
      </c>
      <c r="B5700">
        <v>6</v>
      </c>
      <c r="E5700">
        <v>6</v>
      </c>
      <c r="J5700">
        <v>60</v>
      </c>
    </row>
    <row r="5701" spans="1:46">
      <c r="A5701" s="3" t="s">
        <v>5653</v>
      </c>
      <c r="B5701">
        <v>6</v>
      </c>
      <c r="E5701">
        <v>6</v>
      </c>
      <c r="J5701">
        <v>60</v>
      </c>
    </row>
    <row r="5702" spans="1:46">
      <c r="A5702" s="3" t="s">
        <v>5654</v>
      </c>
      <c r="B5702">
        <v>6</v>
      </c>
      <c r="E5702">
        <v>6</v>
      </c>
      <c r="J5702">
        <v>60</v>
      </c>
    </row>
    <row r="5703" spans="1:46">
      <c r="A5703" s="3" t="s">
        <v>5655</v>
      </c>
      <c r="B5703">
        <v>6</v>
      </c>
      <c r="E5703">
        <v>6</v>
      </c>
      <c r="J5703">
        <v>60</v>
      </c>
    </row>
    <row r="5704" spans="1:46">
      <c r="A5704" s="3" t="s">
        <v>5656</v>
      </c>
      <c r="B5704">
        <v>6</v>
      </c>
      <c r="E5704">
        <v>6</v>
      </c>
      <c r="J5704">
        <v>60</v>
      </c>
    </row>
    <row r="5705" spans="1:46">
      <c r="A5705" s="3" t="s">
        <v>5657</v>
      </c>
      <c r="B5705">
        <v>6</v>
      </c>
      <c r="E5705">
        <v>6</v>
      </c>
      <c r="J5705">
        <v>60</v>
      </c>
    </row>
    <row r="5706" spans="1:46">
      <c r="A5706" s="3" t="s">
        <v>5658</v>
      </c>
      <c r="B5706">
        <v>6</v>
      </c>
      <c r="E5706">
        <v>6</v>
      </c>
      <c r="J5706">
        <v>60</v>
      </c>
    </row>
    <row r="5707" spans="1:46">
      <c r="A5707" s="3" t="s">
        <v>5659</v>
      </c>
      <c r="B5707">
        <v>6</v>
      </c>
      <c r="E5707">
        <v>6</v>
      </c>
      <c r="J5707">
        <v>60</v>
      </c>
    </row>
    <row r="5708" spans="1:46">
      <c r="A5708" s="3" t="s">
        <v>5660</v>
      </c>
      <c r="B5708">
        <v>6</v>
      </c>
      <c r="E5708">
        <v>6</v>
      </c>
      <c r="J5708">
        <v>60</v>
      </c>
    </row>
    <row r="5709" spans="1:46">
      <c r="A5709" s="3" t="s">
        <v>5661</v>
      </c>
      <c r="B5709">
        <v>6</v>
      </c>
      <c r="E5709">
        <v>6</v>
      </c>
      <c r="J5709">
        <v>60</v>
      </c>
    </row>
    <row r="5710" spans="1:46">
      <c r="A5710" s="3" t="s">
        <v>5662</v>
      </c>
      <c r="E5710">
        <v>6</v>
      </c>
      <c r="J5710">
        <v>60</v>
      </c>
    </row>
    <row r="5711" spans="1:46">
      <c r="A5711" s="3" t="s">
        <v>5663</v>
      </c>
      <c r="E5711">
        <v>6</v>
      </c>
      <c r="J5711">
        <v>60</v>
      </c>
    </row>
    <row r="5712" spans="1:46">
      <c r="A5712" s="3" t="s">
        <v>5664</v>
      </c>
      <c r="E5712">
        <v>6</v>
      </c>
      <c r="AT5712">
        <v>25</v>
      </c>
    </row>
    <row r="5713" spans="1:46">
      <c r="A5713" s="3" t="s">
        <v>5665</v>
      </c>
      <c r="E5713">
        <v>6</v>
      </c>
      <c r="AT5713">
        <v>25</v>
      </c>
    </row>
    <row r="5714" spans="1:46">
      <c r="A5714" s="3" t="s">
        <v>5666</v>
      </c>
      <c r="E5714">
        <v>6</v>
      </c>
      <c r="AT5714">
        <v>25</v>
      </c>
    </row>
    <row r="5715" spans="1:46">
      <c r="A5715" s="3" t="s">
        <v>5667</v>
      </c>
      <c r="E5715">
        <v>6</v>
      </c>
      <c r="AT5715">
        <v>25</v>
      </c>
    </row>
    <row r="5716" spans="1:46">
      <c r="A5716" s="3" t="s">
        <v>5668</v>
      </c>
      <c r="E5716">
        <v>6</v>
      </c>
      <c r="AT5716">
        <v>25</v>
      </c>
    </row>
    <row r="5717" spans="1:46">
      <c r="A5717" s="3" t="s">
        <v>5669</v>
      </c>
      <c r="E5717">
        <v>6</v>
      </c>
      <c r="AT5717">
        <v>25</v>
      </c>
    </row>
    <row r="5718" spans="1:46">
      <c r="A5718" s="3" t="s">
        <v>5670</v>
      </c>
      <c r="E5718">
        <v>6</v>
      </c>
      <c r="AT5718">
        <v>25</v>
      </c>
    </row>
    <row r="5719" spans="1:46">
      <c r="A5719" s="3" t="s">
        <v>5671</v>
      </c>
      <c r="E5719">
        <v>6</v>
      </c>
      <c r="AT5719">
        <v>25</v>
      </c>
    </row>
    <row r="5720" spans="1:46">
      <c r="A5720" s="3" t="s">
        <v>5672</v>
      </c>
      <c r="E5720">
        <v>6</v>
      </c>
      <c r="AT5720">
        <v>25</v>
      </c>
    </row>
    <row r="5721" spans="1:46">
      <c r="A5721" s="3" t="s">
        <v>5673</v>
      </c>
      <c r="E5721">
        <v>6</v>
      </c>
      <c r="AT5721">
        <v>25</v>
      </c>
    </row>
    <row r="5722" spans="1:46">
      <c r="A5722" s="3" t="s">
        <v>5674</v>
      </c>
      <c r="E5722">
        <v>6</v>
      </c>
      <c r="AT5722">
        <v>25</v>
      </c>
    </row>
    <row r="5723" spans="1:46">
      <c r="A5723" s="3" t="s">
        <v>5675</v>
      </c>
      <c r="E5723">
        <v>6</v>
      </c>
      <c r="AT5723">
        <v>25</v>
      </c>
    </row>
    <row r="5724" spans="1:46">
      <c r="A5724" s="3" t="s">
        <v>5676</v>
      </c>
      <c r="E5724">
        <v>6</v>
      </c>
      <c r="J5724">
        <v>61</v>
      </c>
    </row>
    <row r="5725" spans="1:46">
      <c r="A5725" s="3" t="s">
        <v>5677</v>
      </c>
      <c r="E5725">
        <v>6</v>
      </c>
      <c r="J5725">
        <v>61</v>
      </c>
    </row>
    <row r="5726" spans="1:46">
      <c r="A5726" s="3" t="s">
        <v>5678</v>
      </c>
      <c r="E5726">
        <v>6</v>
      </c>
      <c r="J5726">
        <v>61</v>
      </c>
    </row>
    <row r="5727" spans="1:46">
      <c r="A5727" s="3" t="s">
        <v>5679</v>
      </c>
      <c r="E5727">
        <v>6</v>
      </c>
      <c r="J5727">
        <v>61</v>
      </c>
    </row>
    <row r="5728" spans="1:46">
      <c r="A5728" s="3" t="s">
        <v>5680</v>
      </c>
      <c r="E5728">
        <v>6</v>
      </c>
      <c r="J5728">
        <v>61</v>
      </c>
    </row>
    <row r="5729" spans="1:10">
      <c r="A5729" s="3" t="s">
        <v>5681</v>
      </c>
      <c r="E5729">
        <v>6</v>
      </c>
      <c r="J5729">
        <v>61</v>
      </c>
    </row>
    <row r="5730" spans="1:10">
      <c r="A5730" s="3" t="s">
        <v>5682</v>
      </c>
      <c r="E5730">
        <v>6</v>
      </c>
      <c r="J5730">
        <v>61</v>
      </c>
    </row>
    <row r="5731" spans="1:10">
      <c r="A5731" s="3" t="s">
        <v>5683</v>
      </c>
      <c r="E5731">
        <v>6</v>
      </c>
      <c r="J5731">
        <v>61</v>
      </c>
    </row>
    <row r="5732" spans="1:10">
      <c r="A5732" s="3" t="s">
        <v>5684</v>
      </c>
      <c r="E5732">
        <v>6</v>
      </c>
      <c r="J5732">
        <v>61</v>
      </c>
    </row>
    <row r="5733" spans="1:10">
      <c r="A5733" s="3" t="s">
        <v>5685</v>
      </c>
      <c r="E5733">
        <v>6</v>
      </c>
      <c r="J5733">
        <v>61</v>
      </c>
    </row>
    <row r="5734" spans="1:10">
      <c r="A5734" s="3" t="s">
        <v>5686</v>
      </c>
      <c r="E5734">
        <v>6</v>
      </c>
      <c r="J5734">
        <v>61</v>
      </c>
    </row>
    <row r="5735" spans="1:10">
      <c r="A5735" s="3" t="s">
        <v>5687</v>
      </c>
      <c r="E5735">
        <v>6</v>
      </c>
      <c r="J5735">
        <v>61</v>
      </c>
    </row>
    <row r="5736" spans="1:10">
      <c r="A5736" s="3" t="s">
        <v>5688</v>
      </c>
      <c r="E5736">
        <v>6</v>
      </c>
      <c r="J5736">
        <v>61</v>
      </c>
    </row>
    <row r="5737" spans="1:10">
      <c r="A5737" s="3" t="s">
        <v>5689</v>
      </c>
      <c r="E5737">
        <v>6</v>
      </c>
      <c r="J5737">
        <v>61</v>
      </c>
    </row>
    <row r="5738" spans="1:10">
      <c r="A5738" s="3" t="s">
        <v>5690</v>
      </c>
      <c r="E5738">
        <v>6</v>
      </c>
      <c r="J5738">
        <v>61</v>
      </c>
    </row>
    <row r="5739" spans="1:10">
      <c r="A5739" s="3" t="s">
        <v>5691</v>
      </c>
      <c r="E5739">
        <v>6</v>
      </c>
      <c r="J5739">
        <v>61</v>
      </c>
    </row>
    <row r="5740" spans="1:10">
      <c r="A5740" s="3" t="s">
        <v>5692</v>
      </c>
      <c r="E5740">
        <v>6</v>
      </c>
      <c r="J5740">
        <v>61</v>
      </c>
    </row>
    <row r="5741" spans="1:10">
      <c r="A5741" s="3" t="s">
        <v>5693</v>
      </c>
      <c r="E5741">
        <v>6</v>
      </c>
      <c r="J5741">
        <v>61</v>
      </c>
    </row>
    <row r="5742" spans="1:10">
      <c r="A5742" s="3" t="s">
        <v>5694</v>
      </c>
      <c r="E5742">
        <v>6</v>
      </c>
      <c r="J5742">
        <v>61</v>
      </c>
    </row>
    <row r="5743" spans="1:10">
      <c r="A5743" s="3" t="s">
        <v>5695</v>
      </c>
      <c r="E5743">
        <v>6</v>
      </c>
      <c r="J5743">
        <v>61</v>
      </c>
    </row>
    <row r="5744" spans="1:10">
      <c r="A5744" s="3" t="s">
        <v>5696</v>
      </c>
      <c r="E5744">
        <v>6</v>
      </c>
      <c r="J5744">
        <v>61</v>
      </c>
    </row>
    <row r="5745" spans="1:10">
      <c r="A5745" s="3" t="s">
        <v>5697</v>
      </c>
      <c r="E5745">
        <v>6</v>
      </c>
      <c r="J5745">
        <v>61</v>
      </c>
    </row>
    <row r="5746" spans="1:10">
      <c r="A5746" s="3" t="s">
        <v>5698</v>
      </c>
      <c r="E5746">
        <v>6</v>
      </c>
      <c r="J5746">
        <v>61</v>
      </c>
    </row>
    <row r="5747" spans="1:10">
      <c r="A5747" s="3" t="s">
        <v>5699</v>
      </c>
      <c r="E5747">
        <v>6</v>
      </c>
      <c r="J5747">
        <v>61</v>
      </c>
    </row>
    <row r="5748" spans="1:10">
      <c r="A5748" s="3" t="s">
        <v>5700</v>
      </c>
      <c r="E5748">
        <v>6</v>
      </c>
      <c r="J5748">
        <v>61</v>
      </c>
    </row>
    <row r="5749" spans="1:10">
      <c r="A5749" s="3" t="s">
        <v>5701</v>
      </c>
      <c r="E5749">
        <v>6</v>
      </c>
      <c r="J5749">
        <v>61</v>
      </c>
    </row>
    <row r="5750" spans="1:10">
      <c r="A5750" s="3" t="s">
        <v>5702</v>
      </c>
      <c r="E5750">
        <v>6</v>
      </c>
      <c r="J5750">
        <v>61</v>
      </c>
    </row>
    <row r="5751" spans="1:10">
      <c r="A5751" s="3" t="s">
        <v>5703</v>
      </c>
      <c r="E5751">
        <v>6</v>
      </c>
      <c r="J5751">
        <v>61</v>
      </c>
    </row>
    <row r="5752" spans="1:10">
      <c r="A5752" s="3" t="s">
        <v>5704</v>
      </c>
      <c r="E5752">
        <v>6</v>
      </c>
      <c r="J5752">
        <v>61</v>
      </c>
    </row>
    <row r="5753" spans="1:10">
      <c r="A5753" s="3" t="s">
        <v>5705</v>
      </c>
      <c r="E5753">
        <v>6</v>
      </c>
      <c r="J5753">
        <v>61</v>
      </c>
    </row>
    <row r="5754" spans="1:10">
      <c r="A5754" s="3" t="s">
        <v>5706</v>
      </c>
      <c r="E5754">
        <v>6</v>
      </c>
      <c r="J5754">
        <v>61</v>
      </c>
    </row>
    <row r="5755" spans="1:10">
      <c r="A5755" s="3" t="s">
        <v>5707</v>
      </c>
      <c r="E5755">
        <v>6</v>
      </c>
      <c r="J5755">
        <v>61</v>
      </c>
    </row>
    <row r="5756" spans="1:10">
      <c r="A5756" s="3" t="s">
        <v>5708</v>
      </c>
      <c r="E5756">
        <v>6</v>
      </c>
      <c r="J5756">
        <v>61</v>
      </c>
    </row>
    <row r="5757" spans="1:10">
      <c r="A5757" s="3" t="s">
        <v>5709</v>
      </c>
      <c r="E5757">
        <v>6</v>
      </c>
      <c r="J5757">
        <v>61</v>
      </c>
    </row>
    <row r="5758" spans="1:10">
      <c r="A5758" s="3" t="s">
        <v>5710</v>
      </c>
      <c r="E5758">
        <v>6</v>
      </c>
      <c r="J5758">
        <v>61</v>
      </c>
    </row>
    <row r="5759" spans="1:10">
      <c r="A5759" s="3" t="s">
        <v>5711</v>
      </c>
      <c r="E5759">
        <v>6</v>
      </c>
      <c r="J5759">
        <v>61</v>
      </c>
    </row>
    <row r="5760" spans="1:10">
      <c r="A5760" s="3" t="s">
        <v>5712</v>
      </c>
      <c r="E5760">
        <v>6</v>
      </c>
      <c r="J5760">
        <v>61</v>
      </c>
    </row>
    <row r="5761" spans="1:10">
      <c r="A5761" s="3" t="s">
        <v>5713</v>
      </c>
      <c r="E5761">
        <v>6</v>
      </c>
      <c r="J5761">
        <v>61</v>
      </c>
    </row>
    <row r="5762" spans="1:10">
      <c r="A5762" s="3" t="s">
        <v>5714</v>
      </c>
      <c r="E5762">
        <v>6</v>
      </c>
      <c r="J5762">
        <v>61</v>
      </c>
    </row>
    <row r="5763" spans="1:10">
      <c r="A5763" s="3" t="s">
        <v>5715</v>
      </c>
      <c r="E5763">
        <v>6</v>
      </c>
      <c r="J5763">
        <v>61</v>
      </c>
    </row>
    <row r="5764" spans="1:10">
      <c r="A5764" s="3" t="s">
        <v>5716</v>
      </c>
      <c r="E5764">
        <v>6</v>
      </c>
      <c r="J5764">
        <v>61</v>
      </c>
    </row>
    <row r="5765" spans="1:10">
      <c r="A5765" s="3" t="s">
        <v>5717</v>
      </c>
      <c r="E5765">
        <v>6</v>
      </c>
      <c r="J5765">
        <v>61</v>
      </c>
    </row>
    <row r="5766" spans="1:10">
      <c r="A5766" s="3" t="s">
        <v>5718</v>
      </c>
      <c r="E5766">
        <v>6</v>
      </c>
      <c r="J5766">
        <v>61</v>
      </c>
    </row>
    <row r="5767" spans="1:10">
      <c r="A5767" s="3" t="s">
        <v>5719</v>
      </c>
      <c r="E5767">
        <v>6</v>
      </c>
      <c r="J5767">
        <v>61</v>
      </c>
    </row>
    <row r="5768" spans="1:10">
      <c r="A5768" s="3" t="s">
        <v>5720</v>
      </c>
      <c r="E5768">
        <v>6</v>
      </c>
      <c r="J5768">
        <v>61</v>
      </c>
    </row>
    <row r="5769" spans="1:10">
      <c r="A5769" s="3" t="s">
        <v>5721</v>
      </c>
      <c r="E5769">
        <v>6</v>
      </c>
      <c r="J5769">
        <v>61</v>
      </c>
    </row>
    <row r="5770" spans="1:10">
      <c r="A5770" s="3" t="s">
        <v>5722</v>
      </c>
      <c r="E5770">
        <v>6</v>
      </c>
      <c r="J5770">
        <v>61</v>
      </c>
    </row>
    <row r="5771" spans="1:10">
      <c r="A5771" s="3" t="s">
        <v>5723</v>
      </c>
      <c r="E5771">
        <v>6</v>
      </c>
      <c r="J5771">
        <v>61</v>
      </c>
    </row>
    <row r="5772" spans="1:10">
      <c r="A5772" s="3" t="s">
        <v>5724</v>
      </c>
      <c r="E5772">
        <v>6</v>
      </c>
      <c r="J5772">
        <v>61</v>
      </c>
    </row>
    <row r="5773" spans="1:10">
      <c r="A5773" s="3" t="s">
        <v>5725</v>
      </c>
      <c r="E5773">
        <v>6</v>
      </c>
      <c r="J5773">
        <v>61</v>
      </c>
    </row>
    <row r="5774" spans="1:10">
      <c r="A5774" s="3" t="s">
        <v>5726</v>
      </c>
      <c r="E5774">
        <v>6</v>
      </c>
      <c r="J5774">
        <v>61</v>
      </c>
    </row>
    <row r="5775" spans="1:10">
      <c r="A5775" s="3" t="s">
        <v>5727</v>
      </c>
      <c r="E5775">
        <v>6</v>
      </c>
      <c r="J5775">
        <v>61</v>
      </c>
    </row>
    <row r="5776" spans="1:10">
      <c r="A5776" s="3" t="s">
        <v>5728</v>
      </c>
      <c r="E5776">
        <v>6</v>
      </c>
      <c r="J5776">
        <v>61</v>
      </c>
    </row>
    <row r="5777" spans="1:36">
      <c r="A5777" s="3" t="s">
        <v>5729</v>
      </c>
      <c r="E5777">
        <v>6</v>
      </c>
      <c r="AJ5777">
        <v>4</v>
      </c>
    </row>
    <row r="5778" spans="1:36">
      <c r="A5778" s="3" t="s">
        <v>5730</v>
      </c>
      <c r="E5778">
        <v>6</v>
      </c>
      <c r="AJ5778">
        <v>4</v>
      </c>
    </row>
    <row r="5779" spans="1:36">
      <c r="A5779" s="3" t="s">
        <v>5731</v>
      </c>
      <c r="E5779">
        <v>6</v>
      </c>
      <c r="AJ5779">
        <v>4</v>
      </c>
    </row>
    <row r="5780" spans="1:36">
      <c r="A5780" s="3" t="s">
        <v>5732</v>
      </c>
      <c r="E5780">
        <v>6</v>
      </c>
      <c r="AJ5780">
        <v>4</v>
      </c>
    </row>
    <row r="5781" spans="1:36">
      <c r="A5781" s="3" t="s">
        <v>5733</v>
      </c>
      <c r="E5781">
        <v>6</v>
      </c>
      <c r="AJ5781">
        <v>4</v>
      </c>
    </row>
    <row r="5782" spans="1:36">
      <c r="A5782" s="3" t="s">
        <v>5734</v>
      </c>
      <c r="E5782">
        <v>6</v>
      </c>
      <c r="AJ5782">
        <v>4</v>
      </c>
    </row>
    <row r="5783" spans="1:36">
      <c r="A5783" s="3" t="s">
        <v>5735</v>
      </c>
      <c r="E5783">
        <v>6</v>
      </c>
      <c r="AJ5783">
        <v>4</v>
      </c>
    </row>
    <row r="5784" spans="1:36">
      <c r="A5784" s="3" t="s">
        <v>5736</v>
      </c>
      <c r="E5784">
        <v>6</v>
      </c>
      <c r="AJ5784">
        <v>4</v>
      </c>
    </row>
    <row r="5785" spans="1:36">
      <c r="A5785" s="3" t="s">
        <v>5737</v>
      </c>
      <c r="E5785">
        <v>6</v>
      </c>
      <c r="AJ5785">
        <v>4</v>
      </c>
    </row>
    <row r="5786" spans="1:36">
      <c r="A5786" s="3" t="s">
        <v>5738</v>
      </c>
      <c r="E5786">
        <v>6</v>
      </c>
      <c r="AJ5786">
        <v>4</v>
      </c>
    </row>
    <row r="5787" spans="1:36">
      <c r="A5787" s="3" t="s">
        <v>5739</v>
      </c>
      <c r="E5787">
        <v>6</v>
      </c>
      <c r="AJ5787">
        <v>4</v>
      </c>
    </row>
    <row r="5788" spans="1:36">
      <c r="A5788" s="3" t="s">
        <v>5740</v>
      </c>
      <c r="E5788">
        <v>6</v>
      </c>
      <c r="AJ5788">
        <v>4</v>
      </c>
    </row>
    <row r="5789" spans="1:36">
      <c r="A5789" s="3" t="s">
        <v>5741</v>
      </c>
      <c r="E5789">
        <v>6</v>
      </c>
      <c r="AJ5789">
        <v>4</v>
      </c>
    </row>
    <row r="5790" spans="1:36">
      <c r="A5790" s="3" t="s">
        <v>5742</v>
      </c>
      <c r="E5790">
        <v>6</v>
      </c>
      <c r="AJ5790">
        <v>4</v>
      </c>
    </row>
    <row r="5791" spans="1:36">
      <c r="A5791" s="3" t="s">
        <v>5743</v>
      </c>
      <c r="E5791">
        <v>6</v>
      </c>
      <c r="AJ5791">
        <v>4</v>
      </c>
    </row>
    <row r="5792" spans="1:36">
      <c r="A5792" s="3" t="s">
        <v>5744</v>
      </c>
      <c r="E5792">
        <v>6</v>
      </c>
      <c r="AJ5792">
        <v>4</v>
      </c>
    </row>
    <row r="5793" spans="1:36">
      <c r="A5793" s="3" t="s">
        <v>5745</v>
      </c>
      <c r="E5793">
        <v>6</v>
      </c>
      <c r="AJ5793">
        <v>4</v>
      </c>
    </row>
    <row r="5794" spans="1:36">
      <c r="A5794" s="3" t="s">
        <v>5746</v>
      </c>
      <c r="E5794">
        <v>6</v>
      </c>
      <c r="AJ5794">
        <v>4</v>
      </c>
    </row>
    <row r="5795" spans="1:36">
      <c r="A5795" s="3" t="s">
        <v>5747</v>
      </c>
      <c r="E5795">
        <v>6</v>
      </c>
      <c r="AJ5795">
        <v>4</v>
      </c>
    </row>
    <row r="5796" spans="1:36">
      <c r="A5796" s="3" t="s">
        <v>5748</v>
      </c>
      <c r="E5796">
        <v>6</v>
      </c>
      <c r="AJ5796">
        <v>4</v>
      </c>
    </row>
    <row r="5797" spans="1:36">
      <c r="A5797" s="3" t="s">
        <v>5749</v>
      </c>
      <c r="E5797">
        <v>6</v>
      </c>
      <c r="AJ5797">
        <v>4</v>
      </c>
    </row>
    <row r="5798" spans="1:36">
      <c r="A5798" s="3" t="s">
        <v>5750</v>
      </c>
      <c r="E5798">
        <v>6</v>
      </c>
      <c r="AJ5798">
        <v>4</v>
      </c>
    </row>
    <row r="5799" spans="1:36">
      <c r="A5799" s="3" t="s">
        <v>5751</v>
      </c>
      <c r="E5799">
        <v>6</v>
      </c>
      <c r="AJ5799">
        <v>4</v>
      </c>
    </row>
    <row r="5800" spans="1:36">
      <c r="A5800" s="3" t="s">
        <v>5752</v>
      </c>
      <c r="E5800">
        <v>6</v>
      </c>
      <c r="AJ5800">
        <v>4</v>
      </c>
    </row>
    <row r="5801" spans="1:36">
      <c r="A5801" s="3" t="s">
        <v>5753</v>
      </c>
      <c r="E5801">
        <v>6</v>
      </c>
      <c r="AJ5801">
        <v>4</v>
      </c>
    </row>
    <row r="5802" spans="1:36">
      <c r="A5802" s="3" t="s">
        <v>5754</v>
      </c>
      <c r="E5802">
        <v>6</v>
      </c>
      <c r="AJ5802">
        <v>4</v>
      </c>
    </row>
    <row r="5803" spans="1:36">
      <c r="A5803" s="3" t="s">
        <v>5755</v>
      </c>
      <c r="E5803">
        <v>6</v>
      </c>
      <c r="AJ5803">
        <v>4</v>
      </c>
    </row>
    <row r="5804" spans="1:36">
      <c r="A5804" s="3" t="s">
        <v>5756</v>
      </c>
      <c r="E5804">
        <v>6</v>
      </c>
      <c r="AJ5804">
        <v>4</v>
      </c>
    </row>
    <row r="5805" spans="1:36">
      <c r="A5805" s="3" t="s">
        <v>5757</v>
      </c>
      <c r="E5805">
        <v>6</v>
      </c>
      <c r="AJ5805">
        <v>4</v>
      </c>
    </row>
    <row r="5806" spans="1:36">
      <c r="A5806" s="3" t="s">
        <v>5758</v>
      </c>
      <c r="E5806">
        <v>6</v>
      </c>
      <c r="AJ5806">
        <v>4</v>
      </c>
    </row>
    <row r="5807" spans="1:36">
      <c r="A5807" s="3" t="s">
        <v>5759</v>
      </c>
      <c r="E5807">
        <v>6</v>
      </c>
      <c r="AJ5807">
        <v>4</v>
      </c>
    </row>
    <row r="5808" spans="1:36">
      <c r="A5808" s="3" t="s">
        <v>5760</v>
      </c>
      <c r="E5808">
        <v>6</v>
      </c>
      <c r="AJ5808">
        <v>4</v>
      </c>
    </row>
    <row r="5809" spans="1:36">
      <c r="A5809" s="3" t="s">
        <v>5761</v>
      </c>
      <c r="E5809">
        <v>6</v>
      </c>
      <c r="AJ5809">
        <v>4</v>
      </c>
    </row>
    <row r="5810" spans="1:36">
      <c r="A5810" s="3" t="s">
        <v>5762</v>
      </c>
      <c r="E5810">
        <v>6</v>
      </c>
      <c r="AJ5810">
        <v>4</v>
      </c>
    </row>
    <row r="5811" spans="1:36">
      <c r="A5811" s="3" t="s">
        <v>5763</v>
      </c>
      <c r="E5811">
        <v>6</v>
      </c>
      <c r="AJ5811">
        <v>4</v>
      </c>
    </row>
    <row r="5812" spans="1:36">
      <c r="A5812" s="3" t="s">
        <v>5764</v>
      </c>
      <c r="E5812">
        <v>6</v>
      </c>
      <c r="AJ5812">
        <v>4</v>
      </c>
    </row>
    <row r="5813" spans="1:36">
      <c r="A5813" s="3" t="s">
        <v>5765</v>
      </c>
      <c r="E5813">
        <v>6</v>
      </c>
      <c r="AJ5813">
        <v>4</v>
      </c>
    </row>
    <row r="5814" spans="1:36">
      <c r="A5814" s="3" t="s">
        <v>5766</v>
      </c>
      <c r="E5814">
        <v>6</v>
      </c>
      <c r="AJ5814">
        <v>4</v>
      </c>
    </row>
    <row r="5815" spans="1:36">
      <c r="A5815" s="3" t="s">
        <v>5767</v>
      </c>
      <c r="E5815">
        <v>6</v>
      </c>
      <c r="AJ5815">
        <v>4</v>
      </c>
    </row>
    <row r="5816" spans="1:36">
      <c r="A5816" s="3" t="s">
        <v>5768</v>
      </c>
      <c r="E5816">
        <v>6</v>
      </c>
      <c r="AJ5816">
        <v>4</v>
      </c>
    </row>
    <row r="5817" spans="1:36">
      <c r="A5817" s="3" t="s">
        <v>5769</v>
      </c>
      <c r="E5817">
        <v>6</v>
      </c>
      <c r="AJ5817">
        <v>4</v>
      </c>
    </row>
    <row r="5818" spans="1:36">
      <c r="A5818" s="3" t="s">
        <v>5770</v>
      </c>
      <c r="E5818">
        <v>6</v>
      </c>
      <c r="AJ5818">
        <v>4</v>
      </c>
    </row>
    <row r="5819" spans="1:36">
      <c r="A5819" s="3" t="s">
        <v>5771</v>
      </c>
      <c r="E5819">
        <v>6</v>
      </c>
      <c r="AJ5819">
        <v>4</v>
      </c>
    </row>
    <row r="5820" spans="1:36">
      <c r="A5820" s="3" t="s">
        <v>5772</v>
      </c>
      <c r="E5820">
        <v>6</v>
      </c>
      <c r="AJ5820">
        <v>4</v>
      </c>
    </row>
    <row r="5821" spans="1:36">
      <c r="A5821" s="3" t="s">
        <v>5773</v>
      </c>
      <c r="E5821">
        <v>6</v>
      </c>
      <c r="AJ5821">
        <v>4</v>
      </c>
    </row>
    <row r="5822" spans="1:36">
      <c r="A5822" s="3" t="s">
        <v>5774</v>
      </c>
      <c r="E5822">
        <v>6</v>
      </c>
      <c r="AJ5822">
        <v>4</v>
      </c>
    </row>
    <row r="5823" spans="1:36">
      <c r="A5823" s="3" t="s">
        <v>5775</v>
      </c>
      <c r="E5823">
        <v>6</v>
      </c>
      <c r="AJ5823">
        <v>4</v>
      </c>
    </row>
    <row r="5824" spans="1:36">
      <c r="A5824" s="3" t="s">
        <v>5776</v>
      </c>
      <c r="E5824">
        <v>6</v>
      </c>
      <c r="AJ5824">
        <v>4</v>
      </c>
    </row>
    <row r="5825" spans="1:36">
      <c r="A5825" s="3" t="s">
        <v>5777</v>
      </c>
      <c r="E5825">
        <v>6</v>
      </c>
      <c r="AJ5825">
        <v>4</v>
      </c>
    </row>
    <row r="5826" spans="1:36">
      <c r="A5826" s="3" t="s">
        <v>5778</v>
      </c>
      <c r="E5826">
        <v>6</v>
      </c>
      <c r="AJ5826">
        <v>4</v>
      </c>
    </row>
    <row r="5827" spans="1:36">
      <c r="A5827" s="3" t="s">
        <v>5779</v>
      </c>
      <c r="E5827">
        <v>6</v>
      </c>
      <c r="AJ5827">
        <v>4</v>
      </c>
    </row>
    <row r="5828" spans="1:36">
      <c r="A5828" s="3" t="s">
        <v>5780</v>
      </c>
      <c r="E5828">
        <v>6</v>
      </c>
      <c r="AJ5828">
        <v>4</v>
      </c>
    </row>
    <row r="5829" spans="1:36">
      <c r="A5829" s="3" t="s">
        <v>5781</v>
      </c>
      <c r="E5829">
        <v>6</v>
      </c>
      <c r="AJ5829">
        <v>4</v>
      </c>
    </row>
    <row r="5830" spans="1:36">
      <c r="A5830" s="3" t="s">
        <v>5782</v>
      </c>
      <c r="E5830">
        <v>6</v>
      </c>
      <c r="AJ5830">
        <v>4</v>
      </c>
    </row>
    <row r="5831" spans="1:36">
      <c r="A5831" s="3" t="s">
        <v>5783</v>
      </c>
      <c r="E5831">
        <v>6</v>
      </c>
      <c r="J5831">
        <v>62</v>
      </c>
    </row>
    <row r="5832" spans="1:36">
      <c r="A5832" s="3" t="s">
        <v>5784</v>
      </c>
      <c r="E5832">
        <v>6</v>
      </c>
      <c r="J5832">
        <v>62</v>
      </c>
    </row>
    <row r="5833" spans="1:36">
      <c r="A5833" s="3" t="s">
        <v>5785</v>
      </c>
      <c r="E5833">
        <v>6</v>
      </c>
      <c r="J5833">
        <v>62</v>
      </c>
    </row>
    <row r="5834" spans="1:36">
      <c r="A5834" s="3" t="s">
        <v>5786</v>
      </c>
      <c r="E5834">
        <v>6</v>
      </c>
      <c r="J5834">
        <v>62</v>
      </c>
    </row>
    <row r="5835" spans="1:36">
      <c r="A5835" s="3" t="s">
        <v>5787</v>
      </c>
      <c r="E5835">
        <v>6</v>
      </c>
      <c r="J5835">
        <v>62</v>
      </c>
    </row>
    <row r="5836" spans="1:36">
      <c r="A5836" s="3" t="s">
        <v>5788</v>
      </c>
      <c r="E5836">
        <v>6</v>
      </c>
      <c r="J5836">
        <v>62</v>
      </c>
    </row>
    <row r="5837" spans="1:36">
      <c r="A5837" s="3" t="s">
        <v>5789</v>
      </c>
      <c r="E5837">
        <v>6</v>
      </c>
      <c r="J5837">
        <v>62</v>
      </c>
    </row>
    <row r="5838" spans="1:36">
      <c r="A5838" s="3" t="s">
        <v>5790</v>
      </c>
      <c r="E5838">
        <v>6</v>
      </c>
      <c r="J5838">
        <v>62</v>
      </c>
    </row>
    <row r="5839" spans="1:36">
      <c r="A5839" s="3" t="s">
        <v>5791</v>
      </c>
      <c r="E5839">
        <v>6</v>
      </c>
      <c r="J5839">
        <v>62</v>
      </c>
    </row>
    <row r="5840" spans="1:36">
      <c r="A5840" s="3" t="s">
        <v>5792</v>
      </c>
      <c r="E5840">
        <v>6</v>
      </c>
      <c r="J5840">
        <v>62</v>
      </c>
    </row>
    <row r="5841" spans="1:10">
      <c r="A5841" s="3" t="s">
        <v>5793</v>
      </c>
      <c r="E5841">
        <v>6</v>
      </c>
      <c r="J5841">
        <v>62</v>
      </c>
    </row>
    <row r="5842" spans="1:10">
      <c r="A5842" s="3" t="s">
        <v>5794</v>
      </c>
      <c r="E5842">
        <v>6</v>
      </c>
      <c r="J5842">
        <v>62</v>
      </c>
    </row>
    <row r="5843" spans="1:10">
      <c r="A5843" s="3" t="s">
        <v>5795</v>
      </c>
      <c r="E5843">
        <v>6</v>
      </c>
      <c r="J5843">
        <v>62</v>
      </c>
    </row>
    <row r="5844" spans="1:10">
      <c r="A5844" s="3" t="s">
        <v>5796</v>
      </c>
      <c r="E5844">
        <v>6</v>
      </c>
      <c r="J5844">
        <v>62</v>
      </c>
    </row>
    <row r="5845" spans="1:10">
      <c r="A5845" s="3" t="s">
        <v>5797</v>
      </c>
      <c r="E5845">
        <v>6</v>
      </c>
      <c r="J5845">
        <v>62</v>
      </c>
    </row>
    <row r="5846" spans="1:10">
      <c r="A5846" s="3" t="s">
        <v>5798</v>
      </c>
      <c r="E5846">
        <v>6</v>
      </c>
      <c r="J5846">
        <v>62</v>
      </c>
    </row>
    <row r="5847" spans="1:10">
      <c r="A5847" s="3" t="s">
        <v>5799</v>
      </c>
      <c r="E5847">
        <v>6</v>
      </c>
      <c r="J5847">
        <v>62</v>
      </c>
    </row>
    <row r="5848" spans="1:10">
      <c r="A5848" s="3" t="s">
        <v>5800</v>
      </c>
      <c r="E5848">
        <v>6</v>
      </c>
      <c r="J5848">
        <v>62</v>
      </c>
    </row>
    <row r="5849" spans="1:10">
      <c r="A5849" s="3" t="s">
        <v>5801</v>
      </c>
      <c r="E5849">
        <v>6</v>
      </c>
      <c r="J5849">
        <v>62</v>
      </c>
    </row>
    <row r="5850" spans="1:10">
      <c r="A5850" s="3" t="s">
        <v>5802</v>
      </c>
      <c r="D5850">
        <v>6</v>
      </c>
      <c r="E5850">
        <v>6</v>
      </c>
      <c r="J5850">
        <v>62</v>
      </c>
    </row>
    <row r="5851" spans="1:10">
      <c r="A5851" s="3" t="s">
        <v>5803</v>
      </c>
      <c r="D5851">
        <v>6</v>
      </c>
      <c r="E5851">
        <v>6</v>
      </c>
      <c r="J5851">
        <v>62</v>
      </c>
    </row>
    <row r="5852" spans="1:10">
      <c r="A5852" s="3" t="s">
        <v>5804</v>
      </c>
      <c r="D5852">
        <v>6</v>
      </c>
      <c r="E5852">
        <v>6</v>
      </c>
      <c r="J5852">
        <v>62</v>
      </c>
    </row>
    <row r="5853" spans="1:10">
      <c r="A5853" s="3" t="s">
        <v>5805</v>
      </c>
      <c r="D5853">
        <v>6</v>
      </c>
      <c r="E5853">
        <v>6</v>
      </c>
      <c r="J5853">
        <v>62</v>
      </c>
    </row>
    <row r="5854" spans="1:10">
      <c r="A5854" s="3" t="s">
        <v>5806</v>
      </c>
      <c r="D5854">
        <v>6</v>
      </c>
      <c r="E5854">
        <v>6</v>
      </c>
      <c r="J5854">
        <v>62</v>
      </c>
    </row>
    <row r="5855" spans="1:10">
      <c r="A5855" s="3" t="s">
        <v>5807</v>
      </c>
      <c r="D5855">
        <v>6</v>
      </c>
      <c r="E5855">
        <v>6</v>
      </c>
      <c r="J5855">
        <v>62</v>
      </c>
    </row>
    <row r="5856" spans="1:10">
      <c r="A5856" s="3" t="s">
        <v>5808</v>
      </c>
      <c r="D5856">
        <v>6</v>
      </c>
      <c r="J5856">
        <v>62</v>
      </c>
    </row>
    <row r="5857" spans="1:10">
      <c r="A5857" s="3" t="s">
        <v>5809</v>
      </c>
      <c r="D5857">
        <v>6</v>
      </c>
      <c r="J5857">
        <v>62</v>
      </c>
    </row>
    <row r="5858" spans="1:10">
      <c r="A5858" s="3" t="s">
        <v>5810</v>
      </c>
      <c r="D5858">
        <v>6</v>
      </c>
      <c r="J5858">
        <v>62</v>
      </c>
    </row>
    <row r="5859" spans="1:10">
      <c r="A5859" s="3" t="s">
        <v>5811</v>
      </c>
      <c r="D5859">
        <v>6</v>
      </c>
      <c r="J5859">
        <v>62</v>
      </c>
    </row>
    <row r="5860" spans="1:10">
      <c r="A5860" s="3" t="s">
        <v>5812</v>
      </c>
      <c r="D5860">
        <v>6</v>
      </c>
      <c r="J5860">
        <v>62</v>
      </c>
    </row>
    <row r="5861" spans="1:10">
      <c r="A5861" s="3" t="s">
        <v>5813</v>
      </c>
      <c r="D5861">
        <v>6</v>
      </c>
      <c r="J5861">
        <v>62</v>
      </c>
    </row>
    <row r="5862" spans="1:10">
      <c r="A5862" s="3" t="s">
        <v>5814</v>
      </c>
      <c r="D5862">
        <v>6</v>
      </c>
      <c r="J5862">
        <v>62</v>
      </c>
    </row>
    <row r="5863" spans="1:10">
      <c r="A5863" s="3" t="s">
        <v>5815</v>
      </c>
      <c r="D5863">
        <v>6</v>
      </c>
      <c r="J5863">
        <v>62</v>
      </c>
    </row>
    <row r="5864" spans="1:10">
      <c r="A5864" s="3" t="s">
        <v>5816</v>
      </c>
      <c r="D5864">
        <v>6</v>
      </c>
      <c r="J5864">
        <v>62</v>
      </c>
    </row>
    <row r="5865" spans="1:10">
      <c r="A5865" s="3" t="s">
        <v>5817</v>
      </c>
      <c r="D5865">
        <v>6</v>
      </c>
      <c r="J5865">
        <v>62</v>
      </c>
    </row>
    <row r="5866" spans="1:10">
      <c r="A5866" s="3" t="s">
        <v>5818</v>
      </c>
      <c r="D5866">
        <v>6</v>
      </c>
      <c r="J5866">
        <v>62</v>
      </c>
    </row>
    <row r="5867" spans="1:10">
      <c r="A5867" s="3" t="s">
        <v>5819</v>
      </c>
      <c r="D5867">
        <v>6</v>
      </c>
      <c r="J5867">
        <v>62</v>
      </c>
    </row>
    <row r="5868" spans="1:10">
      <c r="A5868" s="3" t="s">
        <v>5820</v>
      </c>
      <c r="D5868">
        <v>6</v>
      </c>
      <c r="J5868">
        <v>62</v>
      </c>
    </row>
    <row r="5869" spans="1:10">
      <c r="A5869" s="3" t="s">
        <v>5821</v>
      </c>
      <c r="D5869">
        <v>6</v>
      </c>
      <c r="J5869">
        <v>62</v>
      </c>
    </row>
    <row r="5870" spans="1:10">
      <c r="A5870" s="3" t="s">
        <v>5822</v>
      </c>
      <c r="D5870">
        <v>6</v>
      </c>
      <c r="J5870">
        <v>62</v>
      </c>
    </row>
    <row r="5871" spans="1:10">
      <c r="A5871" s="3" t="s">
        <v>5823</v>
      </c>
      <c r="D5871">
        <v>6</v>
      </c>
      <c r="J5871">
        <v>62</v>
      </c>
    </row>
    <row r="5872" spans="1:10">
      <c r="A5872" s="3" t="s">
        <v>5824</v>
      </c>
      <c r="D5872">
        <v>6</v>
      </c>
      <c r="J5872">
        <v>62</v>
      </c>
    </row>
    <row r="5873" spans="1:10">
      <c r="A5873" s="3" t="s">
        <v>5825</v>
      </c>
      <c r="D5873">
        <v>6</v>
      </c>
      <c r="J5873">
        <v>62</v>
      </c>
    </row>
    <row r="5874" spans="1:10">
      <c r="A5874" s="3" t="s">
        <v>5826</v>
      </c>
      <c r="D5874">
        <v>6</v>
      </c>
      <c r="J5874">
        <v>62</v>
      </c>
    </row>
    <row r="5875" spans="1:10">
      <c r="A5875" s="3" t="s">
        <v>5827</v>
      </c>
      <c r="D5875">
        <v>6</v>
      </c>
      <c r="J5875">
        <v>62</v>
      </c>
    </row>
    <row r="5876" spans="1:10">
      <c r="A5876" s="3" t="s">
        <v>5828</v>
      </c>
      <c r="D5876">
        <v>6</v>
      </c>
      <c r="J5876">
        <v>62</v>
      </c>
    </row>
    <row r="5877" spans="1:10">
      <c r="A5877" s="3" t="s">
        <v>5829</v>
      </c>
      <c r="D5877">
        <v>6</v>
      </c>
      <c r="J5877">
        <v>62</v>
      </c>
    </row>
    <row r="5878" spans="1:10">
      <c r="A5878" s="3" t="s">
        <v>5830</v>
      </c>
      <c r="D5878">
        <v>6</v>
      </c>
      <c r="J5878">
        <v>62</v>
      </c>
    </row>
    <row r="5879" spans="1:10">
      <c r="A5879" s="3" t="s">
        <v>5831</v>
      </c>
      <c r="D5879">
        <v>6</v>
      </c>
      <c r="J5879">
        <v>62</v>
      </c>
    </row>
    <row r="5880" spans="1:10">
      <c r="A5880" s="3" t="s">
        <v>5832</v>
      </c>
      <c r="D5880">
        <v>6</v>
      </c>
      <c r="J5880">
        <v>62</v>
      </c>
    </row>
    <row r="5881" spans="1:10">
      <c r="A5881" s="3" t="s">
        <v>5833</v>
      </c>
      <c r="D5881">
        <v>6</v>
      </c>
      <c r="J5881">
        <v>62</v>
      </c>
    </row>
    <row r="5882" spans="1:10">
      <c r="A5882" s="3" t="s">
        <v>5834</v>
      </c>
      <c r="D5882">
        <v>6</v>
      </c>
      <c r="J5882">
        <v>62</v>
      </c>
    </row>
    <row r="5883" spans="1:10">
      <c r="A5883" s="3" t="s">
        <v>5835</v>
      </c>
      <c r="D5883">
        <v>6</v>
      </c>
      <c r="J5883">
        <v>62</v>
      </c>
    </row>
    <row r="5884" spans="1:10">
      <c r="A5884" s="3" t="s">
        <v>5836</v>
      </c>
      <c r="D5884">
        <v>6</v>
      </c>
      <c r="J5884">
        <v>62</v>
      </c>
    </row>
    <row r="5885" spans="1:10">
      <c r="A5885" s="3" t="s">
        <v>5837</v>
      </c>
      <c r="D5885">
        <v>6</v>
      </c>
      <c r="J5885">
        <v>62</v>
      </c>
    </row>
    <row r="5886" spans="1:10">
      <c r="A5886" s="3" t="s">
        <v>5838</v>
      </c>
      <c r="D5886">
        <v>6</v>
      </c>
      <c r="J5886">
        <v>62</v>
      </c>
    </row>
    <row r="5887" spans="1:10">
      <c r="A5887" s="3" t="s">
        <v>5839</v>
      </c>
      <c r="D5887">
        <v>6</v>
      </c>
      <c r="J5887">
        <v>62</v>
      </c>
    </row>
    <row r="5888" spans="1:10">
      <c r="A5888" s="3" t="s">
        <v>5840</v>
      </c>
      <c r="D5888">
        <v>6</v>
      </c>
      <c r="J5888">
        <v>62</v>
      </c>
    </row>
    <row r="5889" spans="1:10">
      <c r="A5889" s="3" t="s">
        <v>5841</v>
      </c>
      <c r="D5889">
        <v>6</v>
      </c>
      <c r="J5889">
        <v>62</v>
      </c>
    </row>
    <row r="5890" spans="1:10">
      <c r="A5890" s="3" t="s">
        <v>5842</v>
      </c>
      <c r="D5890">
        <v>6</v>
      </c>
      <c r="J5890">
        <v>62</v>
      </c>
    </row>
    <row r="5891" spans="1:10">
      <c r="A5891" s="3" t="s">
        <v>5843</v>
      </c>
      <c r="D5891">
        <v>6</v>
      </c>
      <c r="J5891">
        <v>62</v>
      </c>
    </row>
    <row r="5892" spans="1:10">
      <c r="A5892" s="3" t="s">
        <v>5844</v>
      </c>
      <c r="D5892">
        <v>6</v>
      </c>
      <c r="J5892">
        <v>62</v>
      </c>
    </row>
    <row r="5893" spans="1:10">
      <c r="A5893" s="3" t="s">
        <v>5845</v>
      </c>
      <c r="D5893">
        <v>6</v>
      </c>
      <c r="J5893">
        <v>62</v>
      </c>
    </row>
    <row r="5894" spans="1:10">
      <c r="A5894" s="3" t="s">
        <v>5846</v>
      </c>
      <c r="D5894">
        <v>6</v>
      </c>
      <c r="J5894">
        <v>62</v>
      </c>
    </row>
    <row r="5895" spans="1:10">
      <c r="A5895" s="3" t="s">
        <v>5847</v>
      </c>
      <c r="D5895">
        <v>6</v>
      </c>
      <c r="J5895">
        <v>62</v>
      </c>
    </row>
    <row r="5896" spans="1:10">
      <c r="A5896" s="3" t="s">
        <v>5848</v>
      </c>
      <c r="D5896">
        <v>6</v>
      </c>
      <c r="J5896">
        <v>62</v>
      </c>
    </row>
    <row r="5897" spans="1:10">
      <c r="A5897" s="3" t="s">
        <v>5849</v>
      </c>
      <c r="D5897">
        <v>6</v>
      </c>
      <c r="J5897">
        <v>62</v>
      </c>
    </row>
    <row r="5898" spans="1:10">
      <c r="A5898" s="3" t="s">
        <v>5850</v>
      </c>
      <c r="D5898">
        <v>6</v>
      </c>
      <c r="J5898">
        <v>62</v>
      </c>
    </row>
    <row r="5899" spans="1:10">
      <c r="A5899" s="3" t="s">
        <v>5851</v>
      </c>
      <c r="D5899">
        <v>6</v>
      </c>
      <c r="J5899">
        <v>62</v>
      </c>
    </row>
    <row r="5900" spans="1:10">
      <c r="A5900" s="3" t="s">
        <v>5852</v>
      </c>
      <c r="D5900">
        <v>6</v>
      </c>
      <c r="J5900">
        <v>62</v>
      </c>
    </row>
    <row r="5901" spans="1:10">
      <c r="A5901" s="3" t="s">
        <v>5853</v>
      </c>
      <c r="D5901">
        <v>6</v>
      </c>
      <c r="J5901">
        <v>62</v>
      </c>
    </row>
    <row r="5902" spans="1:10">
      <c r="A5902" s="3" t="s">
        <v>5854</v>
      </c>
      <c r="D5902">
        <v>6</v>
      </c>
      <c r="J5902">
        <v>62</v>
      </c>
    </row>
    <row r="5903" spans="1:10">
      <c r="A5903" s="3" t="s">
        <v>5855</v>
      </c>
      <c r="D5903">
        <v>6</v>
      </c>
      <c r="J5903">
        <v>62</v>
      </c>
    </row>
    <row r="5904" spans="1:10">
      <c r="A5904" s="3" t="s">
        <v>5856</v>
      </c>
      <c r="D5904">
        <v>6</v>
      </c>
      <c r="J5904">
        <v>62</v>
      </c>
    </row>
    <row r="5905" spans="1:13">
      <c r="A5905" s="3" t="s">
        <v>5857</v>
      </c>
      <c r="D5905">
        <v>6</v>
      </c>
      <c r="J5905">
        <v>62</v>
      </c>
    </row>
    <row r="5906" spans="1:13">
      <c r="A5906" s="3" t="s">
        <v>5858</v>
      </c>
      <c r="D5906">
        <v>6</v>
      </c>
      <c r="J5906">
        <v>62</v>
      </c>
    </row>
    <row r="5907" spans="1:13">
      <c r="A5907" s="3" t="s">
        <v>5859</v>
      </c>
      <c r="D5907">
        <v>6</v>
      </c>
      <c r="J5907">
        <v>62</v>
      </c>
    </row>
    <row r="5908" spans="1:13">
      <c r="A5908" s="3" t="s">
        <v>5860</v>
      </c>
      <c r="D5908">
        <v>6</v>
      </c>
      <c r="J5908">
        <v>62</v>
      </c>
    </row>
    <row r="5909" spans="1:13">
      <c r="A5909" s="3" t="s">
        <v>5861</v>
      </c>
      <c r="D5909">
        <v>6</v>
      </c>
      <c r="J5909">
        <v>62</v>
      </c>
    </row>
    <row r="5910" spans="1:13">
      <c r="A5910" s="3" t="s">
        <v>5862</v>
      </c>
      <c r="D5910">
        <v>6</v>
      </c>
      <c r="J5910">
        <v>62</v>
      </c>
    </row>
    <row r="5911" spans="1:13">
      <c r="A5911" s="3" t="s">
        <v>5863</v>
      </c>
      <c r="D5911">
        <v>6</v>
      </c>
      <c r="M5911">
        <v>10</v>
      </c>
    </row>
    <row r="5912" spans="1:13">
      <c r="A5912" s="3" t="s">
        <v>5864</v>
      </c>
      <c r="D5912">
        <v>6</v>
      </c>
      <c r="M5912">
        <v>10</v>
      </c>
    </row>
    <row r="5913" spans="1:13">
      <c r="A5913" s="3" t="s">
        <v>5865</v>
      </c>
      <c r="D5913">
        <v>6</v>
      </c>
      <c r="M5913">
        <v>10</v>
      </c>
    </row>
    <row r="5914" spans="1:13">
      <c r="A5914" s="3" t="s">
        <v>5866</v>
      </c>
      <c r="D5914">
        <v>6</v>
      </c>
      <c r="M5914">
        <v>10</v>
      </c>
    </row>
    <row r="5915" spans="1:13">
      <c r="A5915" s="3" t="s">
        <v>5867</v>
      </c>
      <c r="D5915">
        <v>6</v>
      </c>
      <c r="M5915">
        <v>10</v>
      </c>
    </row>
    <row r="5916" spans="1:13">
      <c r="A5916" s="3" t="s">
        <v>5868</v>
      </c>
      <c r="D5916">
        <v>6</v>
      </c>
      <c r="M5916">
        <v>10</v>
      </c>
    </row>
    <row r="5917" spans="1:13">
      <c r="A5917" s="3" t="s">
        <v>5869</v>
      </c>
      <c r="D5917">
        <v>6</v>
      </c>
      <c r="M5917">
        <v>10</v>
      </c>
    </row>
    <row r="5918" spans="1:13">
      <c r="A5918" s="3" t="s">
        <v>5870</v>
      </c>
      <c r="D5918">
        <v>6</v>
      </c>
      <c r="M5918">
        <v>10</v>
      </c>
    </row>
    <row r="5919" spans="1:13">
      <c r="A5919" s="3" t="s">
        <v>5871</v>
      </c>
      <c r="D5919">
        <v>6</v>
      </c>
      <c r="M5919">
        <v>10</v>
      </c>
    </row>
    <row r="5920" spans="1:13">
      <c r="A5920" s="3" t="s">
        <v>5872</v>
      </c>
      <c r="D5920">
        <v>6</v>
      </c>
      <c r="M5920">
        <v>10</v>
      </c>
    </row>
    <row r="5921" spans="1:13">
      <c r="A5921" s="3" t="s">
        <v>5873</v>
      </c>
      <c r="D5921">
        <v>6</v>
      </c>
      <c r="M5921">
        <v>10</v>
      </c>
    </row>
    <row r="5922" spans="1:13">
      <c r="A5922" s="3" t="s">
        <v>5874</v>
      </c>
      <c r="D5922">
        <v>6</v>
      </c>
      <c r="M5922">
        <v>10</v>
      </c>
    </row>
    <row r="5923" spans="1:13">
      <c r="A5923" s="3" t="s">
        <v>5875</v>
      </c>
      <c r="D5923">
        <v>6</v>
      </c>
      <c r="M5923">
        <v>10</v>
      </c>
    </row>
    <row r="5924" spans="1:13">
      <c r="A5924" s="3" t="s">
        <v>5876</v>
      </c>
      <c r="D5924">
        <v>6</v>
      </c>
      <c r="M5924">
        <v>10</v>
      </c>
    </row>
    <row r="5925" spans="1:13">
      <c r="A5925" s="3" t="s">
        <v>5877</v>
      </c>
      <c r="D5925">
        <v>6</v>
      </c>
      <c r="M5925">
        <v>10</v>
      </c>
    </row>
    <row r="5926" spans="1:13">
      <c r="A5926" s="3" t="s">
        <v>5878</v>
      </c>
      <c r="D5926">
        <v>6</v>
      </c>
      <c r="M5926">
        <v>10</v>
      </c>
    </row>
    <row r="5927" spans="1:13">
      <c r="A5927" s="3" t="s">
        <v>5879</v>
      </c>
      <c r="D5927">
        <v>6</v>
      </c>
      <c r="M5927">
        <v>10</v>
      </c>
    </row>
    <row r="5928" spans="1:13">
      <c r="A5928" s="3" t="s">
        <v>5880</v>
      </c>
      <c r="D5928">
        <v>6</v>
      </c>
      <c r="M5928">
        <v>10</v>
      </c>
    </row>
    <row r="5929" spans="1:13">
      <c r="A5929" s="3" t="s">
        <v>5881</v>
      </c>
      <c r="D5929">
        <v>6</v>
      </c>
      <c r="M5929">
        <v>10</v>
      </c>
    </row>
    <row r="5930" spans="1:13">
      <c r="A5930" s="3" t="s">
        <v>5882</v>
      </c>
      <c r="D5930">
        <v>6</v>
      </c>
      <c r="M5930">
        <v>10</v>
      </c>
    </row>
    <row r="5931" spans="1:13">
      <c r="A5931" s="3" t="s">
        <v>5883</v>
      </c>
      <c r="D5931">
        <v>6</v>
      </c>
      <c r="M5931">
        <v>10</v>
      </c>
    </row>
    <row r="5932" spans="1:13">
      <c r="A5932" s="3" t="s">
        <v>5884</v>
      </c>
      <c r="D5932">
        <v>6</v>
      </c>
      <c r="M5932">
        <v>10</v>
      </c>
    </row>
    <row r="5933" spans="1:13">
      <c r="A5933" s="3" t="s">
        <v>5885</v>
      </c>
      <c r="D5933">
        <v>6</v>
      </c>
      <c r="M5933">
        <v>10</v>
      </c>
    </row>
    <row r="5934" spans="1:13">
      <c r="A5934" s="3" t="s">
        <v>5886</v>
      </c>
      <c r="D5934">
        <v>6</v>
      </c>
      <c r="M5934">
        <v>10</v>
      </c>
    </row>
    <row r="5935" spans="1:13">
      <c r="A5935" s="3" t="s">
        <v>5887</v>
      </c>
      <c r="D5935">
        <v>6</v>
      </c>
      <c r="M5935">
        <v>10</v>
      </c>
    </row>
    <row r="5936" spans="1:13">
      <c r="A5936" s="3" t="s">
        <v>5888</v>
      </c>
      <c r="D5936">
        <v>6</v>
      </c>
      <c r="M5936">
        <v>10</v>
      </c>
    </row>
    <row r="5937" spans="1:13">
      <c r="A5937" s="3" t="s">
        <v>5889</v>
      </c>
      <c r="D5937">
        <v>6</v>
      </c>
      <c r="M5937">
        <v>10</v>
      </c>
    </row>
    <row r="5938" spans="1:13">
      <c r="A5938" s="3" t="s">
        <v>5890</v>
      </c>
      <c r="D5938">
        <v>6</v>
      </c>
      <c r="M5938">
        <v>10</v>
      </c>
    </row>
    <row r="5939" spans="1:13">
      <c r="A5939" s="3" t="s">
        <v>5891</v>
      </c>
      <c r="D5939">
        <v>6</v>
      </c>
      <c r="M5939">
        <v>10</v>
      </c>
    </row>
    <row r="5940" spans="1:13">
      <c r="A5940" s="3" t="s">
        <v>5892</v>
      </c>
      <c r="D5940">
        <v>6</v>
      </c>
      <c r="M5940">
        <v>10</v>
      </c>
    </row>
    <row r="5941" spans="1:13">
      <c r="A5941" s="3" t="s">
        <v>5893</v>
      </c>
      <c r="D5941">
        <v>6</v>
      </c>
      <c r="M5941">
        <v>10</v>
      </c>
    </row>
    <row r="5942" spans="1:13">
      <c r="A5942" s="3" t="s">
        <v>5894</v>
      </c>
      <c r="D5942">
        <v>6</v>
      </c>
      <c r="M5942">
        <v>10</v>
      </c>
    </row>
    <row r="5943" spans="1:13">
      <c r="A5943" s="3" t="s">
        <v>5895</v>
      </c>
      <c r="D5943">
        <v>6</v>
      </c>
      <c r="M5943">
        <v>10</v>
      </c>
    </row>
    <row r="5944" spans="1:13">
      <c r="A5944" s="3" t="s">
        <v>5896</v>
      </c>
      <c r="D5944">
        <v>6</v>
      </c>
      <c r="M5944">
        <v>10</v>
      </c>
    </row>
    <row r="5945" spans="1:13">
      <c r="A5945" s="3" t="s">
        <v>5897</v>
      </c>
      <c r="D5945">
        <v>6</v>
      </c>
      <c r="M5945">
        <v>10</v>
      </c>
    </row>
    <row r="5946" spans="1:13">
      <c r="A5946" s="3" t="s">
        <v>5898</v>
      </c>
      <c r="D5946">
        <v>6</v>
      </c>
      <c r="M5946">
        <v>10</v>
      </c>
    </row>
    <row r="5947" spans="1:13">
      <c r="A5947" s="3" t="s">
        <v>5899</v>
      </c>
      <c r="D5947">
        <v>6</v>
      </c>
      <c r="M5947">
        <v>10</v>
      </c>
    </row>
    <row r="5948" spans="1:13">
      <c r="A5948" s="3" t="s">
        <v>5900</v>
      </c>
      <c r="C5948">
        <v>6</v>
      </c>
      <c r="D5948">
        <v>6</v>
      </c>
      <c r="J5948">
        <v>63</v>
      </c>
    </row>
    <row r="5949" spans="1:13">
      <c r="A5949" s="3" t="s">
        <v>5901</v>
      </c>
      <c r="C5949">
        <v>6</v>
      </c>
      <c r="D5949">
        <v>6</v>
      </c>
      <c r="J5949">
        <v>63</v>
      </c>
    </row>
    <row r="5950" spans="1:13">
      <c r="A5950" s="3" t="s">
        <v>5902</v>
      </c>
      <c r="C5950">
        <v>6</v>
      </c>
      <c r="D5950">
        <v>6</v>
      </c>
      <c r="J5950">
        <v>63</v>
      </c>
    </row>
    <row r="5951" spans="1:13">
      <c r="A5951" s="3" t="s">
        <v>5903</v>
      </c>
      <c r="C5951">
        <v>6</v>
      </c>
      <c r="D5951">
        <v>6</v>
      </c>
      <c r="J5951">
        <v>63</v>
      </c>
    </row>
    <row r="5952" spans="1:13">
      <c r="A5952" s="3" t="s">
        <v>5904</v>
      </c>
      <c r="C5952">
        <v>6</v>
      </c>
      <c r="D5952">
        <v>6</v>
      </c>
      <c r="J5952">
        <v>63</v>
      </c>
    </row>
    <row r="5953" spans="1:22">
      <c r="A5953" s="3" t="s">
        <v>5905</v>
      </c>
      <c r="C5953">
        <v>6</v>
      </c>
      <c r="D5953">
        <v>6</v>
      </c>
      <c r="J5953">
        <v>63</v>
      </c>
    </row>
    <row r="5954" spans="1:22">
      <c r="A5954" s="3" t="s">
        <v>5906</v>
      </c>
      <c r="C5954">
        <v>6</v>
      </c>
      <c r="D5954">
        <v>6</v>
      </c>
      <c r="J5954">
        <v>63</v>
      </c>
    </row>
    <row r="5955" spans="1:22">
      <c r="A5955" s="3" t="s">
        <v>5907</v>
      </c>
      <c r="C5955">
        <v>6</v>
      </c>
      <c r="J5955">
        <v>63</v>
      </c>
    </row>
    <row r="5956" spans="1:22">
      <c r="A5956" s="3" t="s">
        <v>5908</v>
      </c>
      <c r="C5956">
        <v>6</v>
      </c>
      <c r="J5956">
        <v>63</v>
      </c>
    </row>
    <row r="5957" spans="1:22">
      <c r="A5957" s="3" t="s">
        <v>5909</v>
      </c>
      <c r="C5957">
        <v>6</v>
      </c>
      <c r="J5957">
        <v>63</v>
      </c>
    </row>
    <row r="5958" spans="1:22">
      <c r="A5958" s="3" t="s">
        <v>5910</v>
      </c>
      <c r="C5958">
        <v>6</v>
      </c>
      <c r="J5958">
        <v>63</v>
      </c>
    </row>
    <row r="5959" spans="1:22">
      <c r="A5959" s="3" t="s">
        <v>5911</v>
      </c>
      <c r="C5959">
        <v>6</v>
      </c>
      <c r="J5959">
        <v>63</v>
      </c>
    </row>
    <row r="5960" spans="1:22">
      <c r="A5960" s="3" t="s">
        <v>5912</v>
      </c>
      <c r="C5960">
        <v>6</v>
      </c>
      <c r="J5960">
        <v>63</v>
      </c>
    </row>
    <row r="5961" spans="1:22">
      <c r="A5961" s="3" t="s">
        <v>5913</v>
      </c>
      <c r="C5961">
        <v>6</v>
      </c>
      <c r="J5961">
        <v>63</v>
      </c>
    </row>
    <row r="5962" spans="1:22">
      <c r="A5962" s="3" t="s">
        <v>5914</v>
      </c>
      <c r="C5962">
        <v>6</v>
      </c>
      <c r="J5962">
        <v>63</v>
      </c>
    </row>
    <row r="5963" spans="1:22">
      <c r="A5963" s="3" t="s">
        <v>5915</v>
      </c>
      <c r="C5963">
        <v>6</v>
      </c>
      <c r="J5963">
        <v>63</v>
      </c>
    </row>
    <row r="5964" spans="1:22">
      <c r="A5964" s="3" t="s">
        <v>5916</v>
      </c>
      <c r="C5964">
        <v>6</v>
      </c>
      <c r="J5964">
        <v>63</v>
      </c>
    </row>
    <row r="5965" spans="1:22">
      <c r="A5965" s="3" t="s">
        <v>5917</v>
      </c>
      <c r="C5965">
        <v>6</v>
      </c>
      <c r="J5965">
        <v>63</v>
      </c>
    </row>
    <row r="5966" spans="1:22">
      <c r="A5966" s="3" t="s">
        <v>5918</v>
      </c>
      <c r="C5966">
        <v>6</v>
      </c>
      <c r="V5966">
        <v>2</v>
      </c>
    </row>
    <row r="5967" spans="1:22">
      <c r="A5967" s="3" t="s">
        <v>5919</v>
      </c>
      <c r="C5967">
        <v>6</v>
      </c>
      <c r="V5967">
        <v>2</v>
      </c>
    </row>
    <row r="5968" spans="1:22">
      <c r="A5968" s="3" t="s">
        <v>5920</v>
      </c>
      <c r="C5968">
        <v>6</v>
      </c>
      <c r="V5968">
        <v>2</v>
      </c>
    </row>
    <row r="5969" spans="1:22">
      <c r="A5969" s="3" t="s">
        <v>5921</v>
      </c>
      <c r="C5969">
        <v>6</v>
      </c>
      <c r="V5969">
        <v>2</v>
      </c>
    </row>
    <row r="5970" spans="1:22">
      <c r="A5970" s="3" t="s">
        <v>5922</v>
      </c>
      <c r="C5970">
        <v>6</v>
      </c>
      <c r="V5970">
        <v>2</v>
      </c>
    </row>
    <row r="5971" spans="1:22">
      <c r="A5971" s="3" t="s">
        <v>5923</v>
      </c>
      <c r="C5971">
        <v>6</v>
      </c>
      <c r="V5971">
        <v>2</v>
      </c>
    </row>
    <row r="5972" spans="1:22">
      <c r="A5972" s="3" t="s">
        <v>5924</v>
      </c>
      <c r="C5972">
        <v>6</v>
      </c>
      <c r="V5972">
        <v>2</v>
      </c>
    </row>
    <row r="5973" spans="1:22">
      <c r="A5973" s="3" t="s">
        <v>5925</v>
      </c>
      <c r="C5973">
        <v>6</v>
      </c>
      <c r="V5973">
        <v>2</v>
      </c>
    </row>
    <row r="5974" spans="1:22">
      <c r="A5974" s="3" t="s">
        <v>5926</v>
      </c>
      <c r="C5974">
        <v>6</v>
      </c>
      <c r="V5974">
        <v>2</v>
      </c>
    </row>
    <row r="5975" spans="1:22">
      <c r="A5975" s="3" t="s">
        <v>5927</v>
      </c>
      <c r="C5975">
        <v>6</v>
      </c>
      <c r="V5975">
        <v>2</v>
      </c>
    </row>
    <row r="5976" spans="1:22">
      <c r="A5976" s="3" t="s">
        <v>5928</v>
      </c>
      <c r="C5976">
        <v>6</v>
      </c>
      <c r="V5976">
        <v>2</v>
      </c>
    </row>
    <row r="5977" spans="1:22">
      <c r="A5977" s="3" t="s">
        <v>5929</v>
      </c>
      <c r="C5977">
        <v>6</v>
      </c>
      <c r="V5977">
        <v>2</v>
      </c>
    </row>
    <row r="5978" spans="1:22">
      <c r="A5978" s="3" t="s">
        <v>5930</v>
      </c>
      <c r="C5978">
        <v>6</v>
      </c>
      <c r="V5978">
        <v>2</v>
      </c>
    </row>
    <row r="5979" spans="1:22">
      <c r="A5979" s="3" t="s">
        <v>5931</v>
      </c>
      <c r="C5979">
        <v>6</v>
      </c>
      <c r="V5979">
        <v>2</v>
      </c>
    </row>
    <row r="5980" spans="1:22">
      <c r="A5980" s="3" t="s">
        <v>5932</v>
      </c>
      <c r="C5980">
        <v>6</v>
      </c>
      <c r="V5980">
        <v>2</v>
      </c>
    </row>
    <row r="5981" spans="1:22">
      <c r="A5981" s="3" t="s">
        <v>5933</v>
      </c>
      <c r="C5981">
        <v>6</v>
      </c>
      <c r="V5981">
        <v>2</v>
      </c>
    </row>
    <row r="5982" spans="1:22">
      <c r="A5982" s="3" t="s">
        <v>5934</v>
      </c>
      <c r="C5982">
        <v>6</v>
      </c>
      <c r="V5982">
        <v>2</v>
      </c>
    </row>
    <row r="5983" spans="1:22">
      <c r="A5983" s="3" t="s">
        <v>5935</v>
      </c>
      <c r="C5983">
        <v>6</v>
      </c>
      <c r="V5983">
        <v>2</v>
      </c>
    </row>
    <row r="5984" spans="1:22">
      <c r="A5984" s="3" t="s">
        <v>5936</v>
      </c>
      <c r="C5984">
        <v>6</v>
      </c>
      <c r="V5984">
        <v>2</v>
      </c>
    </row>
    <row r="5985" spans="1:22">
      <c r="A5985" s="3" t="s">
        <v>5937</v>
      </c>
      <c r="C5985">
        <v>6</v>
      </c>
      <c r="V5985">
        <v>2</v>
      </c>
    </row>
    <row r="5986" spans="1:22">
      <c r="A5986" s="3" t="s">
        <v>5938</v>
      </c>
      <c r="C5986">
        <v>6</v>
      </c>
      <c r="V5986">
        <v>2</v>
      </c>
    </row>
    <row r="5987" spans="1:22">
      <c r="A5987" s="3" t="s">
        <v>5939</v>
      </c>
      <c r="C5987">
        <v>6</v>
      </c>
      <c r="V5987">
        <v>2</v>
      </c>
    </row>
    <row r="5988" spans="1:22">
      <c r="A5988" s="3" t="s">
        <v>5940</v>
      </c>
      <c r="C5988">
        <v>6</v>
      </c>
      <c r="V5988">
        <v>2</v>
      </c>
    </row>
    <row r="5989" spans="1:22">
      <c r="A5989" s="3" t="s">
        <v>5941</v>
      </c>
      <c r="C5989">
        <v>6</v>
      </c>
      <c r="V5989">
        <v>2</v>
      </c>
    </row>
    <row r="5990" spans="1:22">
      <c r="A5990" s="3" t="s">
        <v>5942</v>
      </c>
      <c r="C5990">
        <v>6</v>
      </c>
      <c r="V5990">
        <v>2</v>
      </c>
    </row>
    <row r="5991" spans="1:22">
      <c r="A5991" s="3" t="s">
        <v>5943</v>
      </c>
      <c r="C5991">
        <v>6</v>
      </c>
      <c r="V5991">
        <v>2</v>
      </c>
    </row>
    <row r="5992" spans="1:22">
      <c r="A5992" s="3" t="s">
        <v>5944</v>
      </c>
      <c r="C5992">
        <v>6</v>
      </c>
      <c r="V5992">
        <v>2</v>
      </c>
    </row>
    <row r="5993" spans="1:22">
      <c r="A5993" s="3" t="s">
        <v>5945</v>
      </c>
      <c r="C5993">
        <v>6</v>
      </c>
      <c r="V5993">
        <v>2</v>
      </c>
    </row>
    <row r="5994" spans="1:22">
      <c r="A5994" s="3" t="s">
        <v>5946</v>
      </c>
      <c r="C5994">
        <v>6</v>
      </c>
      <c r="V5994">
        <v>2</v>
      </c>
    </row>
    <row r="5995" spans="1:22">
      <c r="A5995" s="3" t="s">
        <v>5947</v>
      </c>
      <c r="C5995">
        <v>6</v>
      </c>
      <c r="V5995">
        <v>2</v>
      </c>
    </row>
    <row r="5996" spans="1:22">
      <c r="A5996" s="3" t="s">
        <v>5948</v>
      </c>
      <c r="C5996">
        <v>6</v>
      </c>
      <c r="V5996">
        <v>2</v>
      </c>
    </row>
    <row r="5997" spans="1:22">
      <c r="A5997" s="3" t="s">
        <v>5949</v>
      </c>
      <c r="C5997">
        <v>6</v>
      </c>
      <c r="V5997">
        <v>2</v>
      </c>
    </row>
    <row r="5998" spans="1:22">
      <c r="A5998" s="3" t="s">
        <v>5950</v>
      </c>
      <c r="C5998">
        <v>6</v>
      </c>
      <c r="V5998">
        <v>2</v>
      </c>
    </row>
    <row r="5999" spans="1:22">
      <c r="A5999" s="3" t="s">
        <v>5951</v>
      </c>
      <c r="C5999">
        <v>6</v>
      </c>
      <c r="V5999">
        <v>2</v>
      </c>
    </row>
    <row r="6000" spans="1:22">
      <c r="A6000" s="3" t="s">
        <v>5952</v>
      </c>
      <c r="C6000">
        <v>6</v>
      </c>
      <c r="V6000">
        <v>2</v>
      </c>
    </row>
    <row r="6001" spans="1:22">
      <c r="A6001" s="3" t="s">
        <v>5953</v>
      </c>
      <c r="C6001">
        <v>6</v>
      </c>
      <c r="V6001">
        <v>2</v>
      </c>
    </row>
    <row r="6002" spans="1:22">
      <c r="A6002" s="3" t="s">
        <v>5954</v>
      </c>
      <c r="C6002">
        <v>6</v>
      </c>
      <c r="V6002">
        <v>2</v>
      </c>
    </row>
    <row r="6003" spans="1:22">
      <c r="A6003" s="3" t="s">
        <v>5955</v>
      </c>
      <c r="C6003">
        <v>6</v>
      </c>
      <c r="V6003">
        <v>2</v>
      </c>
    </row>
    <row r="6004" spans="1:22">
      <c r="A6004" s="3" t="s">
        <v>5956</v>
      </c>
      <c r="C6004">
        <v>6</v>
      </c>
      <c r="V6004">
        <v>2</v>
      </c>
    </row>
    <row r="6005" spans="1:22">
      <c r="A6005" s="3" t="s">
        <v>5957</v>
      </c>
      <c r="C6005">
        <v>6</v>
      </c>
      <c r="V6005">
        <v>2</v>
      </c>
    </row>
    <row r="6006" spans="1:22">
      <c r="A6006" s="3" t="s">
        <v>5958</v>
      </c>
      <c r="C6006">
        <v>6</v>
      </c>
      <c r="V6006">
        <v>2</v>
      </c>
    </row>
    <row r="6007" spans="1:22">
      <c r="A6007" s="3" t="s">
        <v>5959</v>
      </c>
      <c r="C6007">
        <v>6</v>
      </c>
      <c r="V6007">
        <v>2</v>
      </c>
    </row>
    <row r="6008" spans="1:22">
      <c r="A6008" s="3" t="s">
        <v>5960</v>
      </c>
      <c r="C6008">
        <v>6</v>
      </c>
      <c r="V6008">
        <v>2</v>
      </c>
    </row>
    <row r="6009" spans="1:22">
      <c r="A6009" s="3" t="s">
        <v>5961</v>
      </c>
      <c r="C6009">
        <v>6</v>
      </c>
      <c r="V6009">
        <v>2</v>
      </c>
    </row>
    <row r="6010" spans="1:22">
      <c r="A6010" s="3" t="s">
        <v>5962</v>
      </c>
      <c r="C6010">
        <v>6</v>
      </c>
      <c r="V6010">
        <v>2</v>
      </c>
    </row>
    <row r="6011" spans="1:22">
      <c r="A6011" s="3" t="s">
        <v>5963</v>
      </c>
      <c r="C6011">
        <v>6</v>
      </c>
      <c r="V6011">
        <v>2</v>
      </c>
    </row>
    <row r="6012" spans="1:22">
      <c r="A6012" s="3" t="s">
        <v>5964</v>
      </c>
      <c r="C6012">
        <v>6</v>
      </c>
      <c r="V6012">
        <v>2</v>
      </c>
    </row>
    <row r="6013" spans="1:22">
      <c r="A6013" s="3" t="s">
        <v>5965</v>
      </c>
      <c r="C6013">
        <v>6</v>
      </c>
      <c r="J6013">
        <v>64</v>
      </c>
    </row>
    <row r="6014" spans="1:22">
      <c r="A6014" s="3" t="s">
        <v>5966</v>
      </c>
      <c r="C6014">
        <v>6</v>
      </c>
      <c r="J6014">
        <v>64</v>
      </c>
    </row>
    <row r="6015" spans="1:22">
      <c r="A6015" s="3" t="s">
        <v>5967</v>
      </c>
      <c r="C6015">
        <v>6</v>
      </c>
      <c r="J6015">
        <v>64</v>
      </c>
    </row>
    <row r="6016" spans="1:22">
      <c r="A6016" s="3" t="s">
        <v>5968</v>
      </c>
      <c r="C6016">
        <v>6</v>
      </c>
      <c r="J6016">
        <v>64</v>
      </c>
    </row>
    <row r="6017" spans="1:10">
      <c r="A6017" s="3" t="s">
        <v>5969</v>
      </c>
      <c r="C6017">
        <v>6</v>
      </c>
      <c r="J6017">
        <v>64</v>
      </c>
    </row>
    <row r="6018" spans="1:10">
      <c r="A6018" s="3" t="s">
        <v>5970</v>
      </c>
      <c r="C6018">
        <v>6</v>
      </c>
      <c r="J6018">
        <v>64</v>
      </c>
    </row>
    <row r="6019" spans="1:10">
      <c r="A6019" s="3" t="s">
        <v>5971</v>
      </c>
      <c r="C6019">
        <v>6</v>
      </c>
      <c r="J6019">
        <v>64</v>
      </c>
    </row>
    <row r="6020" spans="1:10">
      <c r="A6020" s="3" t="s">
        <v>5972</v>
      </c>
      <c r="C6020">
        <v>6</v>
      </c>
      <c r="J6020">
        <v>64</v>
      </c>
    </row>
    <row r="6021" spans="1:10">
      <c r="A6021" s="3" t="s">
        <v>5973</v>
      </c>
      <c r="C6021">
        <v>6</v>
      </c>
      <c r="J6021">
        <v>64</v>
      </c>
    </row>
    <row r="6022" spans="1:10">
      <c r="A6022" s="3" t="s">
        <v>5974</v>
      </c>
      <c r="C6022">
        <v>6</v>
      </c>
      <c r="J6022">
        <v>64</v>
      </c>
    </row>
    <row r="6023" spans="1:10">
      <c r="A6023" s="3" t="s">
        <v>5975</v>
      </c>
      <c r="C6023">
        <v>6</v>
      </c>
      <c r="J6023">
        <v>64</v>
      </c>
    </row>
    <row r="6024" spans="1:10">
      <c r="A6024" s="3" t="s">
        <v>5976</v>
      </c>
      <c r="C6024">
        <v>6</v>
      </c>
      <c r="J6024">
        <v>64</v>
      </c>
    </row>
    <row r="6025" spans="1:10">
      <c r="A6025" s="3" t="s">
        <v>5977</v>
      </c>
      <c r="C6025">
        <v>6</v>
      </c>
      <c r="J6025">
        <v>64</v>
      </c>
    </row>
    <row r="6026" spans="1:10">
      <c r="A6026" s="3" t="s">
        <v>5978</v>
      </c>
      <c r="C6026">
        <v>6</v>
      </c>
      <c r="J6026">
        <v>64</v>
      </c>
    </row>
    <row r="6027" spans="1:10">
      <c r="A6027" s="3" t="s">
        <v>5979</v>
      </c>
      <c r="C6027">
        <v>6</v>
      </c>
      <c r="J6027">
        <v>64</v>
      </c>
    </row>
    <row r="6028" spans="1:10">
      <c r="A6028" s="3" t="s">
        <v>5980</v>
      </c>
      <c r="C6028">
        <v>6</v>
      </c>
      <c r="J6028">
        <v>64</v>
      </c>
    </row>
    <row r="6029" spans="1:10">
      <c r="A6029" s="3" t="s">
        <v>5981</v>
      </c>
      <c r="C6029">
        <v>6</v>
      </c>
      <c r="J6029">
        <v>64</v>
      </c>
    </row>
    <row r="6030" spans="1:10">
      <c r="A6030" s="3" t="s">
        <v>5982</v>
      </c>
      <c r="C6030">
        <v>6</v>
      </c>
      <c r="J6030">
        <v>64</v>
      </c>
    </row>
    <row r="6031" spans="1:10">
      <c r="A6031" s="3" t="s">
        <v>5983</v>
      </c>
      <c r="C6031">
        <v>6</v>
      </c>
      <c r="J6031">
        <v>64</v>
      </c>
    </row>
    <row r="6032" spans="1:10">
      <c r="A6032" s="3" t="s">
        <v>5984</v>
      </c>
      <c r="C6032">
        <v>6</v>
      </c>
      <c r="J6032">
        <v>64</v>
      </c>
    </row>
    <row r="6033" spans="1:20">
      <c r="A6033" s="3" t="s">
        <v>5985</v>
      </c>
      <c r="C6033">
        <v>6</v>
      </c>
      <c r="J6033">
        <v>64</v>
      </c>
    </row>
    <row r="6034" spans="1:20">
      <c r="A6034" s="3" t="s">
        <v>5986</v>
      </c>
      <c r="C6034">
        <v>6</v>
      </c>
      <c r="J6034">
        <v>64</v>
      </c>
    </row>
    <row r="6035" spans="1:20">
      <c r="A6035" s="3" t="s">
        <v>5987</v>
      </c>
      <c r="C6035">
        <v>6</v>
      </c>
      <c r="J6035">
        <v>64</v>
      </c>
    </row>
    <row r="6036" spans="1:20">
      <c r="A6036" s="3" t="s">
        <v>5988</v>
      </c>
      <c r="C6036">
        <v>6</v>
      </c>
      <c r="J6036">
        <v>64</v>
      </c>
    </row>
    <row r="6037" spans="1:20">
      <c r="A6037" s="3" t="s">
        <v>5989</v>
      </c>
      <c r="C6037">
        <v>6</v>
      </c>
      <c r="J6037">
        <v>64</v>
      </c>
    </row>
    <row r="6038" spans="1:20">
      <c r="A6038" s="3" t="s">
        <v>5990</v>
      </c>
      <c r="C6038">
        <v>6</v>
      </c>
      <c r="J6038">
        <v>64</v>
      </c>
    </row>
    <row r="6039" spans="1:20">
      <c r="A6039" s="3" t="s">
        <v>5991</v>
      </c>
      <c r="C6039">
        <v>6</v>
      </c>
      <c r="J6039">
        <v>64</v>
      </c>
    </row>
    <row r="6040" spans="1:20">
      <c r="A6040" s="3" t="s">
        <v>5992</v>
      </c>
      <c r="C6040">
        <v>6</v>
      </c>
      <c r="T6040">
        <v>2</v>
      </c>
    </row>
    <row r="6041" spans="1:20">
      <c r="A6041" s="3" t="s">
        <v>5993</v>
      </c>
      <c r="C6041">
        <v>6</v>
      </c>
      <c r="T6041">
        <v>2</v>
      </c>
    </row>
    <row r="6042" spans="1:20">
      <c r="A6042" s="3" t="s">
        <v>5994</v>
      </c>
      <c r="C6042">
        <v>6</v>
      </c>
      <c r="T6042">
        <v>2</v>
      </c>
    </row>
    <row r="6043" spans="1:20">
      <c r="A6043" s="3" t="s">
        <v>5995</v>
      </c>
      <c r="C6043">
        <v>6</v>
      </c>
      <c r="T6043">
        <v>2</v>
      </c>
    </row>
    <row r="6044" spans="1:20">
      <c r="A6044" s="3" t="s">
        <v>5996</v>
      </c>
      <c r="C6044">
        <v>6</v>
      </c>
      <c r="T6044">
        <v>2</v>
      </c>
    </row>
    <row r="6045" spans="1:20">
      <c r="A6045" s="3" t="s">
        <v>5997</v>
      </c>
      <c r="C6045">
        <v>6</v>
      </c>
      <c r="T6045">
        <v>2</v>
      </c>
    </row>
    <row r="6046" spans="1:20">
      <c r="A6046" s="3" t="s">
        <v>5998</v>
      </c>
      <c r="C6046">
        <v>6</v>
      </c>
      <c r="T6046">
        <v>2</v>
      </c>
    </row>
    <row r="6047" spans="1:20">
      <c r="A6047" s="3" t="s">
        <v>5999</v>
      </c>
      <c r="C6047">
        <v>6</v>
      </c>
      <c r="T6047">
        <v>2</v>
      </c>
    </row>
    <row r="6048" spans="1:20">
      <c r="A6048" s="3" t="s">
        <v>6000</v>
      </c>
      <c r="C6048">
        <v>6</v>
      </c>
      <c r="T6048">
        <v>2</v>
      </c>
    </row>
    <row r="6049" spans="1:20">
      <c r="A6049" s="3" t="s">
        <v>6001</v>
      </c>
      <c r="C6049">
        <v>6</v>
      </c>
      <c r="T6049">
        <v>2</v>
      </c>
    </row>
    <row r="6050" spans="1:20">
      <c r="A6050" s="3" t="s">
        <v>6002</v>
      </c>
      <c r="C6050">
        <v>6</v>
      </c>
      <c r="T6050">
        <v>2</v>
      </c>
    </row>
    <row r="6051" spans="1:20">
      <c r="A6051" s="3" t="s">
        <v>6003</v>
      </c>
      <c r="C6051">
        <v>6</v>
      </c>
      <c r="T6051">
        <v>2</v>
      </c>
    </row>
    <row r="6052" spans="1:20">
      <c r="A6052" s="3" t="s">
        <v>6004</v>
      </c>
      <c r="C6052">
        <v>6</v>
      </c>
      <c r="T6052">
        <v>2</v>
      </c>
    </row>
    <row r="6053" spans="1:20">
      <c r="A6053" s="3" t="s">
        <v>6005</v>
      </c>
      <c r="C6053">
        <v>6</v>
      </c>
      <c r="T6053">
        <v>2</v>
      </c>
    </row>
    <row r="6054" spans="1:20">
      <c r="A6054" s="3" t="s">
        <v>6006</v>
      </c>
      <c r="C6054">
        <v>6</v>
      </c>
      <c r="T6054">
        <v>2</v>
      </c>
    </row>
    <row r="6055" spans="1:20">
      <c r="A6055" s="3" t="s">
        <v>6007</v>
      </c>
      <c r="C6055">
        <v>6</v>
      </c>
      <c r="T6055">
        <v>2</v>
      </c>
    </row>
    <row r="6056" spans="1:20">
      <c r="A6056" s="3" t="s">
        <v>6008</v>
      </c>
      <c r="C6056">
        <v>6</v>
      </c>
      <c r="T6056">
        <v>2</v>
      </c>
    </row>
    <row r="6057" spans="1:20">
      <c r="A6057" s="3" t="s">
        <v>6009</v>
      </c>
      <c r="C6057">
        <v>6</v>
      </c>
      <c r="T6057">
        <v>2</v>
      </c>
    </row>
    <row r="6058" spans="1:20">
      <c r="A6058" s="3" t="s">
        <v>6010</v>
      </c>
      <c r="C6058">
        <v>6</v>
      </c>
      <c r="T6058">
        <v>2</v>
      </c>
    </row>
    <row r="6059" spans="1:20">
      <c r="A6059" s="3" t="s">
        <v>6011</v>
      </c>
      <c r="C6059">
        <v>6</v>
      </c>
      <c r="T6059">
        <v>2</v>
      </c>
    </row>
    <row r="6060" spans="1:20">
      <c r="A6060" s="3" t="s">
        <v>6012</v>
      </c>
      <c r="C6060">
        <v>6</v>
      </c>
      <c r="T6060">
        <v>2</v>
      </c>
    </row>
    <row r="6061" spans="1:20">
      <c r="A6061" s="3" t="s">
        <v>6013</v>
      </c>
      <c r="C6061">
        <v>6</v>
      </c>
      <c r="T6061">
        <v>2</v>
      </c>
    </row>
    <row r="6062" spans="1:20">
      <c r="A6062" s="3" t="s">
        <v>6014</v>
      </c>
      <c r="C6062">
        <v>6</v>
      </c>
      <c r="T6062">
        <v>2</v>
      </c>
    </row>
    <row r="6063" spans="1:20">
      <c r="A6063" s="3" t="s">
        <v>6015</v>
      </c>
      <c r="C6063">
        <v>6</v>
      </c>
      <c r="T6063">
        <v>2</v>
      </c>
    </row>
    <row r="6064" spans="1:20">
      <c r="A6064" s="3" t="s">
        <v>6016</v>
      </c>
      <c r="C6064">
        <v>6</v>
      </c>
      <c r="T6064">
        <v>2</v>
      </c>
    </row>
    <row r="6065" spans="1:10">
      <c r="A6065" s="3" t="s">
        <v>6017</v>
      </c>
      <c r="C6065">
        <v>6</v>
      </c>
      <c r="J6065">
        <v>65</v>
      </c>
    </row>
    <row r="6066" spans="1:10">
      <c r="A6066" s="3" t="s">
        <v>6018</v>
      </c>
      <c r="C6066">
        <v>6</v>
      </c>
      <c r="J6066">
        <v>65</v>
      </c>
    </row>
    <row r="6067" spans="1:10">
      <c r="A6067" s="3" t="s">
        <v>6019</v>
      </c>
      <c r="C6067">
        <v>6</v>
      </c>
      <c r="J6067">
        <v>65</v>
      </c>
    </row>
    <row r="6068" spans="1:10">
      <c r="A6068" s="3" t="s">
        <v>6020</v>
      </c>
      <c r="C6068">
        <v>6</v>
      </c>
      <c r="J6068">
        <v>65</v>
      </c>
    </row>
    <row r="6069" spans="1:10">
      <c r="A6069" s="3" t="s">
        <v>6021</v>
      </c>
      <c r="C6069">
        <v>6</v>
      </c>
      <c r="J6069">
        <v>65</v>
      </c>
    </row>
    <row r="6070" spans="1:10">
      <c r="A6070" s="3" t="s">
        <v>6022</v>
      </c>
      <c r="C6070">
        <v>6</v>
      </c>
      <c r="J6070">
        <v>65</v>
      </c>
    </row>
    <row r="6071" spans="1:10">
      <c r="A6071" s="3" t="s">
        <v>6023</v>
      </c>
      <c r="C6071">
        <v>6</v>
      </c>
      <c r="J6071">
        <v>65</v>
      </c>
    </row>
    <row r="6072" spans="1:10">
      <c r="A6072" s="3" t="s">
        <v>6024</v>
      </c>
      <c r="C6072">
        <v>6</v>
      </c>
      <c r="J6072">
        <v>65</v>
      </c>
    </row>
    <row r="6073" spans="1:10">
      <c r="A6073" s="3" t="s">
        <v>6025</v>
      </c>
      <c r="C6073">
        <v>6</v>
      </c>
      <c r="J6073">
        <v>65</v>
      </c>
    </row>
    <row r="6074" spans="1:10">
      <c r="A6074" s="3" t="s">
        <v>6026</v>
      </c>
      <c r="C6074">
        <v>6</v>
      </c>
      <c r="J6074">
        <v>65</v>
      </c>
    </row>
    <row r="6075" spans="1:10">
      <c r="A6075" s="3" t="s">
        <v>6027</v>
      </c>
      <c r="C6075">
        <v>6</v>
      </c>
      <c r="J6075">
        <v>65</v>
      </c>
    </row>
    <row r="6076" spans="1:10">
      <c r="A6076" s="3" t="s">
        <v>6028</v>
      </c>
      <c r="C6076">
        <v>6</v>
      </c>
      <c r="J6076">
        <v>65</v>
      </c>
    </row>
    <row r="6077" spans="1:10">
      <c r="A6077" s="3" t="s">
        <v>6029</v>
      </c>
      <c r="C6077">
        <v>6</v>
      </c>
      <c r="J6077">
        <v>65</v>
      </c>
    </row>
    <row r="6078" spans="1:10">
      <c r="A6078" s="3" t="s">
        <v>6030</v>
      </c>
      <c r="C6078">
        <v>6</v>
      </c>
      <c r="J6078">
        <v>65</v>
      </c>
    </row>
    <row r="6079" spans="1:10">
      <c r="A6079" s="3" t="s">
        <v>6031</v>
      </c>
      <c r="C6079">
        <v>6</v>
      </c>
      <c r="J6079">
        <v>65</v>
      </c>
    </row>
    <row r="6080" spans="1:10">
      <c r="A6080" s="3" t="s">
        <v>6032</v>
      </c>
      <c r="C6080">
        <v>6</v>
      </c>
      <c r="J6080">
        <v>65</v>
      </c>
    </row>
    <row r="6081" spans="1:10">
      <c r="A6081" s="3" t="s">
        <v>6033</v>
      </c>
      <c r="C6081">
        <v>6</v>
      </c>
      <c r="J6081">
        <v>65</v>
      </c>
    </row>
    <row r="6082" spans="1:10">
      <c r="A6082" s="3" t="s">
        <v>6034</v>
      </c>
      <c r="C6082">
        <v>6</v>
      </c>
      <c r="J6082">
        <v>65</v>
      </c>
    </row>
    <row r="6083" spans="1:10">
      <c r="A6083" s="3" t="s">
        <v>6035</v>
      </c>
      <c r="C6083">
        <v>6</v>
      </c>
      <c r="J6083">
        <v>65</v>
      </c>
    </row>
    <row r="6084" spans="1:10">
      <c r="A6084" s="3" t="s">
        <v>6036</v>
      </c>
      <c r="C6084">
        <v>6</v>
      </c>
      <c r="J6084">
        <v>65</v>
      </c>
    </row>
    <row r="6085" spans="1:10">
      <c r="A6085" s="3" t="s">
        <v>6037</v>
      </c>
      <c r="C6085">
        <v>6</v>
      </c>
      <c r="J6085">
        <v>65</v>
      </c>
    </row>
    <row r="6086" spans="1:10">
      <c r="A6086" s="3" t="s">
        <v>6038</v>
      </c>
      <c r="C6086">
        <v>6</v>
      </c>
      <c r="J6086">
        <v>65</v>
      </c>
    </row>
    <row r="6087" spans="1:10">
      <c r="A6087" s="3" t="s">
        <v>6039</v>
      </c>
      <c r="C6087">
        <v>6</v>
      </c>
      <c r="J6087">
        <v>65</v>
      </c>
    </row>
    <row r="6088" spans="1:10">
      <c r="A6088" s="3" t="s">
        <v>6040</v>
      </c>
      <c r="C6088">
        <v>6</v>
      </c>
      <c r="J6088">
        <v>65</v>
      </c>
    </row>
    <row r="6089" spans="1:10">
      <c r="A6089" s="3" t="s">
        <v>6041</v>
      </c>
      <c r="B6089">
        <v>7</v>
      </c>
      <c r="C6089">
        <v>6</v>
      </c>
      <c r="J6089">
        <v>65</v>
      </c>
    </row>
    <row r="6090" spans="1:10">
      <c r="A6090" s="3" t="s">
        <v>6042</v>
      </c>
      <c r="B6090">
        <v>7</v>
      </c>
      <c r="C6090">
        <v>6</v>
      </c>
      <c r="J6090">
        <v>65</v>
      </c>
    </row>
    <row r="6091" spans="1:10">
      <c r="A6091" s="3" t="s">
        <v>6043</v>
      </c>
      <c r="B6091">
        <v>7</v>
      </c>
      <c r="C6091">
        <v>6</v>
      </c>
      <c r="J6091">
        <v>65</v>
      </c>
    </row>
    <row r="6092" spans="1:10">
      <c r="A6092" s="3" t="s">
        <v>6044</v>
      </c>
      <c r="B6092">
        <v>7</v>
      </c>
      <c r="C6092">
        <v>6</v>
      </c>
      <c r="J6092">
        <v>65</v>
      </c>
    </row>
    <row r="6093" spans="1:10">
      <c r="A6093" s="3" t="s">
        <v>6045</v>
      </c>
      <c r="B6093">
        <v>7</v>
      </c>
      <c r="C6093">
        <v>6</v>
      </c>
      <c r="J6093">
        <v>65</v>
      </c>
    </row>
    <row r="6094" spans="1:10">
      <c r="A6094" s="3" t="s">
        <v>6046</v>
      </c>
      <c r="B6094">
        <v>7</v>
      </c>
      <c r="C6094">
        <v>6</v>
      </c>
      <c r="J6094">
        <v>65</v>
      </c>
    </row>
    <row r="6095" spans="1:10">
      <c r="A6095" s="3" t="s">
        <v>6047</v>
      </c>
      <c r="B6095">
        <v>7</v>
      </c>
      <c r="C6095">
        <v>6</v>
      </c>
      <c r="J6095">
        <v>65</v>
      </c>
    </row>
    <row r="6096" spans="1:10">
      <c r="A6096" s="3" t="s">
        <v>6048</v>
      </c>
      <c r="B6096">
        <v>7</v>
      </c>
      <c r="J6096">
        <v>65</v>
      </c>
    </row>
    <row r="6097" spans="1:48">
      <c r="A6097" s="3" t="s">
        <v>6049</v>
      </c>
      <c r="B6097">
        <v>7</v>
      </c>
      <c r="J6097">
        <v>65</v>
      </c>
    </row>
    <row r="6098" spans="1:48">
      <c r="A6098" s="3" t="s">
        <v>6050</v>
      </c>
      <c r="B6098">
        <v>7</v>
      </c>
      <c r="J6098">
        <v>65</v>
      </c>
    </row>
    <row r="6099" spans="1:48">
      <c r="A6099" s="3" t="s">
        <v>6051</v>
      </c>
      <c r="B6099">
        <v>7</v>
      </c>
      <c r="J6099">
        <v>65</v>
      </c>
    </row>
    <row r="6100" spans="1:48">
      <c r="A6100" s="3" t="s">
        <v>6052</v>
      </c>
      <c r="B6100">
        <v>7</v>
      </c>
      <c r="J6100">
        <v>65</v>
      </c>
    </row>
    <row r="6101" spans="1:48">
      <c r="A6101" s="3" t="s">
        <v>6053</v>
      </c>
      <c r="B6101">
        <v>7</v>
      </c>
      <c r="J6101">
        <v>65</v>
      </c>
    </row>
    <row r="6102" spans="1:48">
      <c r="A6102" s="3" t="s">
        <v>6054</v>
      </c>
      <c r="B6102">
        <v>7</v>
      </c>
      <c r="J6102">
        <v>65</v>
      </c>
    </row>
    <row r="6103" spans="1:48">
      <c r="A6103" s="3" t="s">
        <v>6055</v>
      </c>
      <c r="B6103">
        <v>7</v>
      </c>
      <c r="AV6103">
        <v>5</v>
      </c>
    </row>
    <row r="6104" spans="1:48">
      <c r="A6104" s="3" t="s">
        <v>6056</v>
      </c>
      <c r="B6104">
        <v>7</v>
      </c>
      <c r="AV6104">
        <v>5</v>
      </c>
    </row>
    <row r="6105" spans="1:48">
      <c r="A6105" s="3" t="s">
        <v>6057</v>
      </c>
      <c r="B6105">
        <v>7</v>
      </c>
      <c r="AV6105">
        <v>5</v>
      </c>
    </row>
    <row r="6106" spans="1:48">
      <c r="A6106" s="3" t="s">
        <v>6058</v>
      </c>
      <c r="B6106">
        <v>7</v>
      </c>
      <c r="AV6106">
        <v>5</v>
      </c>
    </row>
    <row r="6107" spans="1:48">
      <c r="A6107" s="3" t="s">
        <v>6059</v>
      </c>
      <c r="B6107">
        <v>7</v>
      </c>
      <c r="AV6107">
        <v>5</v>
      </c>
    </row>
    <row r="6108" spans="1:48">
      <c r="A6108" s="3" t="s">
        <v>6060</v>
      </c>
      <c r="B6108">
        <v>7</v>
      </c>
      <c r="AV6108">
        <v>5</v>
      </c>
    </row>
    <row r="6109" spans="1:48">
      <c r="A6109" s="3" t="s">
        <v>6061</v>
      </c>
      <c r="B6109">
        <v>7</v>
      </c>
      <c r="AV6109">
        <v>5</v>
      </c>
    </row>
    <row r="6110" spans="1:48">
      <c r="A6110" s="3" t="s">
        <v>6062</v>
      </c>
      <c r="B6110">
        <v>7</v>
      </c>
      <c r="AV6110">
        <v>5</v>
      </c>
    </row>
    <row r="6111" spans="1:48">
      <c r="A6111" s="3" t="s">
        <v>6063</v>
      </c>
      <c r="B6111">
        <v>7</v>
      </c>
      <c r="AV6111">
        <v>5</v>
      </c>
    </row>
    <row r="6112" spans="1:48">
      <c r="A6112" s="3" t="s">
        <v>6064</v>
      </c>
      <c r="B6112">
        <v>7</v>
      </c>
      <c r="AV6112">
        <v>5</v>
      </c>
    </row>
    <row r="6113" spans="1:48">
      <c r="A6113" s="3" t="s">
        <v>6065</v>
      </c>
      <c r="B6113">
        <v>7</v>
      </c>
      <c r="AV6113">
        <v>5</v>
      </c>
    </row>
    <row r="6114" spans="1:48">
      <c r="A6114" s="3" t="s">
        <v>6066</v>
      </c>
      <c r="B6114">
        <v>7</v>
      </c>
      <c r="AV6114">
        <v>5</v>
      </c>
    </row>
    <row r="6115" spans="1:48">
      <c r="A6115" s="3" t="s">
        <v>6067</v>
      </c>
      <c r="B6115">
        <v>7</v>
      </c>
      <c r="AV6115">
        <v>5</v>
      </c>
    </row>
    <row r="6116" spans="1:48">
      <c r="A6116" s="3" t="s">
        <v>6068</v>
      </c>
      <c r="B6116">
        <v>7</v>
      </c>
      <c r="N6116">
        <v>2</v>
      </c>
    </row>
    <row r="6117" spans="1:48">
      <c r="A6117" s="3" t="s">
        <v>6069</v>
      </c>
      <c r="B6117">
        <v>7</v>
      </c>
      <c r="N6117">
        <v>2</v>
      </c>
    </row>
    <row r="6118" spans="1:48">
      <c r="A6118" s="3" t="s">
        <v>6070</v>
      </c>
      <c r="B6118">
        <v>7</v>
      </c>
      <c r="N6118">
        <v>2</v>
      </c>
    </row>
    <row r="6119" spans="1:48">
      <c r="A6119" s="3" t="s">
        <v>6071</v>
      </c>
      <c r="B6119">
        <v>7</v>
      </c>
      <c r="N6119">
        <v>2</v>
      </c>
    </row>
    <row r="6120" spans="1:48">
      <c r="A6120" s="3" t="s">
        <v>6072</v>
      </c>
      <c r="B6120">
        <v>7</v>
      </c>
      <c r="N6120">
        <v>2</v>
      </c>
    </row>
    <row r="6121" spans="1:48">
      <c r="A6121" s="3" t="s">
        <v>6073</v>
      </c>
      <c r="B6121">
        <v>7</v>
      </c>
      <c r="N6121">
        <v>2</v>
      </c>
    </row>
    <row r="6122" spans="1:48">
      <c r="A6122" s="3" t="s">
        <v>6074</v>
      </c>
      <c r="B6122">
        <v>7</v>
      </c>
      <c r="N6122">
        <v>2</v>
      </c>
    </row>
    <row r="6123" spans="1:48">
      <c r="A6123" s="3" t="s">
        <v>6075</v>
      </c>
      <c r="B6123">
        <v>7</v>
      </c>
      <c r="N6123">
        <v>2</v>
      </c>
    </row>
    <row r="6124" spans="1:48">
      <c r="A6124" s="3" t="s">
        <v>6076</v>
      </c>
      <c r="B6124">
        <v>7</v>
      </c>
      <c r="N6124">
        <v>2</v>
      </c>
    </row>
    <row r="6125" spans="1:48">
      <c r="A6125" s="3" t="s">
        <v>6077</v>
      </c>
      <c r="B6125">
        <v>7</v>
      </c>
      <c r="N6125">
        <v>2</v>
      </c>
    </row>
    <row r="6126" spans="1:48">
      <c r="A6126" s="3" t="s">
        <v>6078</v>
      </c>
      <c r="B6126">
        <v>7</v>
      </c>
      <c r="N6126">
        <v>2</v>
      </c>
    </row>
    <row r="6127" spans="1:48">
      <c r="A6127" s="3" t="s">
        <v>6079</v>
      </c>
      <c r="B6127">
        <v>7</v>
      </c>
      <c r="N6127">
        <v>2</v>
      </c>
    </row>
    <row r="6128" spans="1:48">
      <c r="A6128" s="3" t="s">
        <v>6080</v>
      </c>
      <c r="B6128">
        <v>7</v>
      </c>
      <c r="N6128">
        <v>2</v>
      </c>
    </row>
    <row r="6129" spans="1:49">
      <c r="A6129" s="3" t="s">
        <v>6081</v>
      </c>
      <c r="B6129">
        <v>7</v>
      </c>
      <c r="N6129">
        <v>2</v>
      </c>
    </row>
    <row r="6130" spans="1:49">
      <c r="A6130" s="3" t="s">
        <v>6082</v>
      </c>
      <c r="B6130">
        <v>7</v>
      </c>
      <c r="N6130">
        <v>2</v>
      </c>
    </row>
    <row r="6131" spans="1:49">
      <c r="A6131" s="3" t="s">
        <v>6083</v>
      </c>
      <c r="B6131">
        <v>7</v>
      </c>
      <c r="N6131">
        <v>2</v>
      </c>
    </row>
    <row r="6132" spans="1:49">
      <c r="A6132" s="3" t="s">
        <v>6084</v>
      </c>
      <c r="B6132">
        <v>7</v>
      </c>
      <c r="N6132">
        <v>2</v>
      </c>
    </row>
    <row r="6133" spans="1:49">
      <c r="A6133" s="3" t="s">
        <v>6085</v>
      </c>
      <c r="B6133">
        <v>7</v>
      </c>
      <c r="N6133">
        <v>2</v>
      </c>
    </row>
    <row r="6134" spans="1:49">
      <c r="A6134" s="3" t="s">
        <v>6086</v>
      </c>
      <c r="B6134">
        <v>7</v>
      </c>
      <c r="N6134">
        <v>2</v>
      </c>
    </row>
    <row r="6135" spans="1:49">
      <c r="A6135" s="3" t="s">
        <v>6087</v>
      </c>
      <c r="B6135">
        <v>7</v>
      </c>
      <c r="N6135">
        <v>2</v>
      </c>
    </row>
    <row r="6136" spans="1:49">
      <c r="A6136" s="3" t="s">
        <v>6088</v>
      </c>
      <c r="B6136">
        <v>7</v>
      </c>
      <c r="N6136">
        <v>2</v>
      </c>
    </row>
    <row r="6137" spans="1:49">
      <c r="A6137" s="3" t="s">
        <v>6089</v>
      </c>
      <c r="B6137">
        <v>7</v>
      </c>
      <c r="N6137">
        <v>2</v>
      </c>
    </row>
    <row r="6138" spans="1:49">
      <c r="A6138" s="3" t="s">
        <v>6090</v>
      </c>
      <c r="B6138">
        <v>7</v>
      </c>
      <c r="N6138">
        <v>2</v>
      </c>
    </row>
    <row r="6139" spans="1:49">
      <c r="A6139" s="3" t="s">
        <v>6091</v>
      </c>
      <c r="B6139">
        <v>7</v>
      </c>
      <c r="N6139">
        <v>2</v>
      </c>
    </row>
    <row r="6140" spans="1:49">
      <c r="A6140" s="3" t="s">
        <v>6092</v>
      </c>
      <c r="B6140">
        <v>7</v>
      </c>
      <c r="N6140">
        <v>2</v>
      </c>
    </row>
    <row r="6141" spans="1:49">
      <c r="A6141" s="3" t="s">
        <v>6093</v>
      </c>
      <c r="B6141">
        <v>7</v>
      </c>
      <c r="N6141">
        <v>2</v>
      </c>
    </row>
    <row r="6142" spans="1:49">
      <c r="A6142" s="3" t="s">
        <v>6094</v>
      </c>
      <c r="B6142">
        <v>7</v>
      </c>
      <c r="N6142">
        <v>2</v>
      </c>
    </row>
    <row r="6143" spans="1:49">
      <c r="A6143" s="3" t="s">
        <v>6095</v>
      </c>
      <c r="B6143">
        <v>7</v>
      </c>
      <c r="N6143">
        <v>2</v>
      </c>
    </row>
    <row r="6144" spans="1:49">
      <c r="A6144" s="3" t="s">
        <v>6096</v>
      </c>
      <c r="B6144">
        <v>7</v>
      </c>
      <c r="AW6144">
        <v>20</v>
      </c>
    </row>
    <row r="6145" spans="1:49">
      <c r="A6145" s="3" t="s">
        <v>6097</v>
      </c>
      <c r="B6145">
        <v>7</v>
      </c>
      <c r="AW6145">
        <v>20</v>
      </c>
    </row>
    <row r="6146" spans="1:49">
      <c r="A6146" s="3" t="s">
        <v>6098</v>
      </c>
      <c r="B6146">
        <v>7</v>
      </c>
      <c r="AW6146">
        <v>20</v>
      </c>
    </row>
    <row r="6147" spans="1:49">
      <c r="A6147" s="3" t="s">
        <v>6099</v>
      </c>
      <c r="B6147">
        <v>7</v>
      </c>
      <c r="AW6147">
        <v>20</v>
      </c>
    </row>
    <row r="6148" spans="1:49">
      <c r="A6148" s="3" t="s">
        <v>6100</v>
      </c>
      <c r="B6148">
        <v>7</v>
      </c>
      <c r="J6148">
        <v>66</v>
      </c>
    </row>
    <row r="6149" spans="1:49">
      <c r="A6149" s="3" t="s">
        <v>6101</v>
      </c>
      <c r="B6149">
        <v>7</v>
      </c>
      <c r="J6149">
        <v>66</v>
      </c>
    </row>
    <row r="6150" spans="1:49">
      <c r="A6150" s="3" t="s">
        <v>6102</v>
      </c>
      <c r="B6150">
        <v>7</v>
      </c>
      <c r="J6150">
        <v>66</v>
      </c>
    </row>
    <row r="6151" spans="1:49">
      <c r="A6151" s="3" t="s">
        <v>6103</v>
      </c>
      <c r="B6151">
        <v>7</v>
      </c>
      <c r="J6151">
        <v>66</v>
      </c>
    </row>
    <row r="6152" spans="1:49">
      <c r="A6152" s="3" t="s">
        <v>6104</v>
      </c>
      <c r="B6152">
        <v>7</v>
      </c>
      <c r="J6152">
        <v>66</v>
      </c>
    </row>
    <row r="6153" spans="1:49">
      <c r="A6153" s="3" t="s">
        <v>6105</v>
      </c>
      <c r="B6153">
        <v>7</v>
      </c>
      <c r="J6153">
        <v>66</v>
      </c>
    </row>
    <row r="6154" spans="1:49">
      <c r="A6154" s="3" t="s">
        <v>6106</v>
      </c>
      <c r="B6154">
        <v>7</v>
      </c>
      <c r="J6154">
        <v>66</v>
      </c>
    </row>
    <row r="6155" spans="1:49">
      <c r="A6155" s="3" t="s">
        <v>6107</v>
      </c>
      <c r="B6155">
        <v>7</v>
      </c>
      <c r="J6155">
        <v>66</v>
      </c>
    </row>
    <row r="6156" spans="1:49">
      <c r="A6156" s="3" t="s">
        <v>6108</v>
      </c>
      <c r="B6156">
        <v>7</v>
      </c>
      <c r="J6156">
        <v>66</v>
      </c>
    </row>
    <row r="6157" spans="1:49">
      <c r="A6157" s="3" t="s">
        <v>6109</v>
      </c>
      <c r="B6157">
        <v>7</v>
      </c>
      <c r="O6157">
        <v>1</v>
      </c>
    </row>
    <row r="6158" spans="1:49">
      <c r="A6158" s="3" t="s">
        <v>6110</v>
      </c>
      <c r="B6158">
        <v>7</v>
      </c>
      <c r="O6158">
        <v>1</v>
      </c>
    </row>
    <row r="6159" spans="1:49">
      <c r="A6159" s="3" t="s">
        <v>6111</v>
      </c>
      <c r="B6159">
        <v>7</v>
      </c>
      <c r="O6159">
        <v>1</v>
      </c>
    </row>
    <row r="6160" spans="1:49">
      <c r="A6160" s="3" t="s">
        <v>6112</v>
      </c>
      <c r="B6160">
        <v>7</v>
      </c>
      <c r="O6160">
        <v>1</v>
      </c>
    </row>
    <row r="6161" spans="1:15">
      <c r="A6161" s="3" t="s">
        <v>6113</v>
      </c>
      <c r="B6161">
        <v>7</v>
      </c>
      <c r="O6161">
        <v>1</v>
      </c>
    </row>
    <row r="6162" spans="1:15">
      <c r="A6162" s="3" t="s">
        <v>6114</v>
      </c>
      <c r="B6162">
        <v>7</v>
      </c>
      <c r="O6162">
        <v>1</v>
      </c>
    </row>
    <row r="6163" spans="1:15">
      <c r="A6163" s="3" t="s">
        <v>6115</v>
      </c>
      <c r="B6163">
        <v>7</v>
      </c>
      <c r="O6163">
        <v>1</v>
      </c>
    </row>
    <row r="6164" spans="1:15">
      <c r="A6164" s="3" t="s">
        <v>6116</v>
      </c>
      <c r="B6164">
        <v>7</v>
      </c>
      <c r="O6164">
        <v>1</v>
      </c>
    </row>
    <row r="6165" spans="1:15">
      <c r="A6165" s="3" t="s">
        <v>6117</v>
      </c>
      <c r="B6165">
        <v>7</v>
      </c>
      <c r="O6165">
        <v>1</v>
      </c>
    </row>
    <row r="6166" spans="1:15">
      <c r="A6166" s="3" t="s">
        <v>6118</v>
      </c>
      <c r="B6166">
        <v>7</v>
      </c>
      <c r="O6166">
        <v>1</v>
      </c>
    </row>
    <row r="6167" spans="1:15">
      <c r="A6167" s="3" t="s">
        <v>6119</v>
      </c>
      <c r="B6167">
        <v>7</v>
      </c>
      <c r="O6167">
        <v>1</v>
      </c>
    </row>
    <row r="6168" spans="1:15">
      <c r="A6168" s="3" t="s">
        <v>6120</v>
      </c>
      <c r="B6168">
        <v>7</v>
      </c>
      <c r="O6168">
        <v>1</v>
      </c>
    </row>
    <row r="6169" spans="1:15">
      <c r="A6169" s="3" t="s">
        <v>6121</v>
      </c>
      <c r="B6169">
        <v>7</v>
      </c>
      <c r="O6169">
        <v>1</v>
      </c>
    </row>
    <row r="6170" spans="1:15">
      <c r="A6170" s="3" t="s">
        <v>6122</v>
      </c>
      <c r="B6170">
        <v>7</v>
      </c>
      <c r="O6170">
        <v>1</v>
      </c>
    </row>
    <row r="6171" spans="1:15">
      <c r="A6171" s="3" t="s">
        <v>6123</v>
      </c>
      <c r="B6171">
        <v>7</v>
      </c>
      <c r="O6171">
        <v>1</v>
      </c>
    </row>
    <row r="6172" spans="1:15">
      <c r="A6172" s="3" t="s">
        <v>6124</v>
      </c>
      <c r="B6172">
        <v>7</v>
      </c>
      <c r="O6172">
        <v>1</v>
      </c>
    </row>
    <row r="6173" spans="1:15">
      <c r="A6173" s="3" t="s">
        <v>6125</v>
      </c>
      <c r="B6173">
        <v>7</v>
      </c>
      <c r="O6173">
        <v>1</v>
      </c>
    </row>
    <row r="6174" spans="1:15">
      <c r="A6174" s="3" t="s">
        <v>6126</v>
      </c>
      <c r="B6174">
        <v>7</v>
      </c>
      <c r="O6174">
        <v>1</v>
      </c>
    </row>
    <row r="6175" spans="1:15">
      <c r="A6175" s="3" t="s">
        <v>6127</v>
      </c>
      <c r="B6175">
        <v>7</v>
      </c>
      <c r="O6175">
        <v>1</v>
      </c>
    </row>
    <row r="6176" spans="1:15">
      <c r="A6176" s="3" t="s">
        <v>6128</v>
      </c>
      <c r="B6176">
        <v>7</v>
      </c>
      <c r="O6176">
        <v>1</v>
      </c>
    </row>
    <row r="6177" spans="1:15">
      <c r="A6177" s="3" t="s">
        <v>6129</v>
      </c>
      <c r="B6177">
        <v>7</v>
      </c>
      <c r="O6177">
        <v>1</v>
      </c>
    </row>
    <row r="6178" spans="1:15">
      <c r="A6178" s="3" t="s">
        <v>6130</v>
      </c>
      <c r="B6178">
        <v>7</v>
      </c>
      <c r="O6178">
        <v>1</v>
      </c>
    </row>
    <row r="6179" spans="1:15">
      <c r="A6179" s="3" t="s">
        <v>6131</v>
      </c>
      <c r="B6179">
        <v>7</v>
      </c>
      <c r="O6179">
        <v>1</v>
      </c>
    </row>
    <row r="6180" spans="1:15">
      <c r="A6180" s="3" t="s">
        <v>6132</v>
      </c>
      <c r="B6180">
        <v>7</v>
      </c>
      <c r="O6180">
        <v>1</v>
      </c>
    </row>
    <row r="6181" spans="1:15">
      <c r="A6181" s="3" t="s">
        <v>6133</v>
      </c>
      <c r="B6181">
        <v>7</v>
      </c>
      <c r="O6181">
        <v>1</v>
      </c>
    </row>
    <row r="6182" spans="1:15">
      <c r="A6182" s="3" t="s">
        <v>6134</v>
      </c>
      <c r="B6182">
        <v>7</v>
      </c>
      <c r="O6182">
        <v>1</v>
      </c>
    </row>
    <row r="6183" spans="1:15">
      <c r="A6183" s="3" t="s">
        <v>6135</v>
      </c>
      <c r="B6183">
        <v>7</v>
      </c>
      <c r="O6183">
        <v>1</v>
      </c>
    </row>
    <row r="6184" spans="1:15">
      <c r="A6184" s="3" t="s">
        <v>6136</v>
      </c>
      <c r="B6184">
        <v>7</v>
      </c>
      <c r="O6184">
        <v>1</v>
      </c>
    </row>
    <row r="6185" spans="1:15">
      <c r="A6185" s="3" t="s">
        <v>6137</v>
      </c>
      <c r="B6185">
        <v>7</v>
      </c>
      <c r="O6185">
        <v>1</v>
      </c>
    </row>
    <row r="6186" spans="1:15">
      <c r="A6186" s="3" t="s">
        <v>6138</v>
      </c>
      <c r="B6186">
        <v>7</v>
      </c>
      <c r="O6186">
        <v>1</v>
      </c>
    </row>
    <row r="6187" spans="1:15">
      <c r="A6187" s="3" t="s">
        <v>6139</v>
      </c>
      <c r="B6187">
        <v>7</v>
      </c>
      <c r="O6187">
        <v>1</v>
      </c>
    </row>
    <row r="6188" spans="1:15">
      <c r="A6188" s="3" t="s">
        <v>6140</v>
      </c>
      <c r="B6188">
        <v>7</v>
      </c>
      <c r="O6188">
        <v>1</v>
      </c>
    </row>
    <row r="6189" spans="1:15">
      <c r="A6189" s="3" t="s">
        <v>6141</v>
      </c>
      <c r="B6189">
        <v>7</v>
      </c>
      <c r="O6189">
        <v>1</v>
      </c>
    </row>
    <row r="6190" spans="1:15">
      <c r="A6190" s="3" t="s">
        <v>6142</v>
      </c>
      <c r="B6190">
        <v>7</v>
      </c>
      <c r="O6190">
        <v>1</v>
      </c>
    </row>
    <row r="6191" spans="1:15">
      <c r="A6191" s="3" t="s">
        <v>6143</v>
      </c>
      <c r="B6191">
        <v>7</v>
      </c>
      <c r="O6191">
        <v>1</v>
      </c>
    </row>
    <row r="6192" spans="1:15">
      <c r="A6192" s="3" t="s">
        <v>6144</v>
      </c>
      <c r="B6192">
        <v>7</v>
      </c>
      <c r="O6192">
        <v>1</v>
      </c>
    </row>
    <row r="6193" spans="1:15">
      <c r="A6193" s="3" t="s">
        <v>6145</v>
      </c>
      <c r="B6193">
        <v>7</v>
      </c>
      <c r="O6193">
        <v>1</v>
      </c>
    </row>
    <row r="6194" spans="1:15">
      <c r="A6194" s="3" t="s">
        <v>6146</v>
      </c>
      <c r="B6194">
        <v>7</v>
      </c>
      <c r="O6194">
        <v>1</v>
      </c>
    </row>
    <row r="6195" spans="1:15">
      <c r="A6195" s="3" t="s">
        <v>6147</v>
      </c>
      <c r="B6195">
        <v>7</v>
      </c>
      <c r="O6195">
        <v>1</v>
      </c>
    </row>
    <row r="6196" spans="1:15">
      <c r="A6196" s="3" t="s">
        <v>6148</v>
      </c>
      <c r="B6196">
        <v>7</v>
      </c>
      <c r="O6196">
        <v>1</v>
      </c>
    </row>
    <row r="6197" spans="1:15">
      <c r="A6197" s="3" t="s">
        <v>6149</v>
      </c>
      <c r="B6197">
        <v>7</v>
      </c>
      <c r="O6197">
        <v>1</v>
      </c>
    </row>
    <row r="6198" spans="1:15">
      <c r="A6198" s="3" t="s">
        <v>6150</v>
      </c>
      <c r="B6198">
        <v>7</v>
      </c>
      <c r="O6198">
        <v>1</v>
      </c>
    </row>
    <row r="6199" spans="1:15">
      <c r="A6199" s="3" t="s">
        <v>6151</v>
      </c>
      <c r="B6199">
        <v>7</v>
      </c>
      <c r="O6199">
        <v>1</v>
      </c>
    </row>
    <row r="6200" spans="1:15">
      <c r="A6200" s="3" t="s">
        <v>6152</v>
      </c>
      <c r="B6200">
        <v>7</v>
      </c>
      <c r="O6200">
        <v>1</v>
      </c>
    </row>
    <row r="6201" spans="1:15">
      <c r="A6201" s="3" t="s">
        <v>6153</v>
      </c>
      <c r="B6201">
        <v>7</v>
      </c>
      <c r="O6201">
        <v>1</v>
      </c>
    </row>
    <row r="6202" spans="1:15">
      <c r="A6202" s="3" t="s">
        <v>6154</v>
      </c>
      <c r="B6202">
        <v>7</v>
      </c>
      <c r="O6202">
        <v>1</v>
      </c>
    </row>
    <row r="6203" spans="1:15">
      <c r="A6203" s="3" t="s">
        <v>6155</v>
      </c>
      <c r="B6203">
        <v>7</v>
      </c>
      <c r="O6203">
        <v>1</v>
      </c>
    </row>
    <row r="6204" spans="1:15">
      <c r="A6204" s="3" t="s">
        <v>6156</v>
      </c>
      <c r="B6204">
        <v>7</v>
      </c>
      <c r="O6204">
        <v>1</v>
      </c>
    </row>
    <row r="6205" spans="1:15">
      <c r="A6205" s="3" t="s">
        <v>6157</v>
      </c>
      <c r="B6205">
        <v>7</v>
      </c>
      <c r="O6205">
        <v>1</v>
      </c>
    </row>
    <row r="6206" spans="1:15">
      <c r="A6206" s="3" t="s">
        <v>6158</v>
      </c>
      <c r="B6206">
        <v>7</v>
      </c>
      <c r="O6206">
        <v>1</v>
      </c>
    </row>
    <row r="6207" spans="1:15">
      <c r="A6207" s="3" t="s">
        <v>6159</v>
      </c>
      <c r="B6207">
        <v>7</v>
      </c>
      <c r="O6207">
        <v>1</v>
      </c>
    </row>
    <row r="6208" spans="1:15">
      <c r="A6208" s="3" t="s">
        <v>6160</v>
      </c>
      <c r="B6208">
        <v>7</v>
      </c>
      <c r="O6208">
        <v>1</v>
      </c>
    </row>
    <row r="6209" spans="1:15">
      <c r="A6209" s="3" t="s">
        <v>6161</v>
      </c>
      <c r="B6209">
        <v>7</v>
      </c>
      <c r="O6209">
        <v>1</v>
      </c>
    </row>
    <row r="6210" spans="1:15">
      <c r="A6210" s="3" t="s">
        <v>6162</v>
      </c>
      <c r="B6210">
        <v>7</v>
      </c>
      <c r="O6210">
        <v>1</v>
      </c>
    </row>
    <row r="6211" spans="1:15">
      <c r="A6211" s="3" t="s">
        <v>6163</v>
      </c>
      <c r="B6211">
        <v>7</v>
      </c>
      <c r="O6211">
        <v>1</v>
      </c>
    </row>
    <row r="6212" spans="1:15">
      <c r="A6212" s="3" t="s">
        <v>6164</v>
      </c>
      <c r="B6212">
        <v>7</v>
      </c>
      <c r="O6212">
        <v>1</v>
      </c>
    </row>
    <row r="6213" spans="1:15">
      <c r="A6213" s="3" t="s">
        <v>6165</v>
      </c>
      <c r="B6213">
        <v>7</v>
      </c>
      <c r="O6213">
        <v>1</v>
      </c>
    </row>
    <row r="6214" spans="1:15">
      <c r="A6214" s="3" t="s">
        <v>6166</v>
      </c>
      <c r="B6214">
        <v>7</v>
      </c>
      <c r="O6214">
        <v>1</v>
      </c>
    </row>
    <row r="6215" spans="1:15">
      <c r="A6215" s="3" t="s">
        <v>6167</v>
      </c>
      <c r="B6215">
        <v>7</v>
      </c>
      <c r="O6215">
        <v>1</v>
      </c>
    </row>
    <row r="6216" spans="1:15">
      <c r="A6216" s="3" t="s">
        <v>6168</v>
      </c>
      <c r="B6216">
        <v>7</v>
      </c>
      <c r="O6216">
        <v>1</v>
      </c>
    </row>
    <row r="6217" spans="1:15">
      <c r="A6217" s="3" t="s">
        <v>6169</v>
      </c>
      <c r="B6217">
        <v>7</v>
      </c>
      <c r="O6217">
        <v>1</v>
      </c>
    </row>
    <row r="6218" spans="1:15">
      <c r="A6218" s="3" t="s">
        <v>6170</v>
      </c>
      <c r="B6218">
        <v>7</v>
      </c>
      <c r="O6218">
        <v>1</v>
      </c>
    </row>
    <row r="6219" spans="1:15">
      <c r="A6219" s="3" t="s">
        <v>6171</v>
      </c>
      <c r="B6219">
        <v>7</v>
      </c>
      <c r="O6219">
        <v>1</v>
      </c>
    </row>
    <row r="6220" spans="1:15">
      <c r="A6220" s="3" t="s">
        <v>6172</v>
      </c>
      <c r="B6220">
        <v>7</v>
      </c>
      <c r="O6220">
        <v>1</v>
      </c>
    </row>
    <row r="6221" spans="1:15">
      <c r="A6221" s="3" t="s">
        <v>6173</v>
      </c>
      <c r="B6221">
        <v>7</v>
      </c>
      <c r="O6221">
        <v>1</v>
      </c>
    </row>
    <row r="6222" spans="1:15">
      <c r="A6222" s="3" t="s">
        <v>6174</v>
      </c>
      <c r="B6222">
        <v>7</v>
      </c>
      <c r="O6222">
        <v>1</v>
      </c>
    </row>
    <row r="6223" spans="1:15">
      <c r="A6223" s="3" t="s">
        <v>6175</v>
      </c>
      <c r="B6223">
        <v>7</v>
      </c>
      <c r="O6223">
        <v>1</v>
      </c>
    </row>
    <row r="6224" spans="1:15">
      <c r="A6224" s="3" t="s">
        <v>6176</v>
      </c>
      <c r="B6224">
        <v>7</v>
      </c>
      <c r="O6224">
        <v>1</v>
      </c>
    </row>
    <row r="6225" spans="1:15">
      <c r="A6225" s="3" t="s">
        <v>6177</v>
      </c>
      <c r="B6225">
        <v>7</v>
      </c>
      <c r="O6225">
        <v>1</v>
      </c>
    </row>
    <row r="6226" spans="1:15">
      <c r="A6226" s="3" t="s">
        <v>6178</v>
      </c>
      <c r="B6226">
        <v>7</v>
      </c>
      <c r="O6226">
        <v>1</v>
      </c>
    </row>
    <row r="6227" spans="1:15">
      <c r="A6227" s="3" t="s">
        <v>6179</v>
      </c>
      <c r="B6227">
        <v>7</v>
      </c>
      <c r="O6227">
        <v>1</v>
      </c>
    </row>
    <row r="6228" spans="1:15">
      <c r="A6228" s="3" t="s">
        <v>6180</v>
      </c>
      <c r="B6228">
        <v>7</v>
      </c>
      <c r="O6228">
        <v>1</v>
      </c>
    </row>
    <row r="6229" spans="1:15">
      <c r="A6229" s="3" t="s">
        <v>6181</v>
      </c>
      <c r="B6229">
        <v>7</v>
      </c>
      <c r="O6229">
        <v>1</v>
      </c>
    </row>
    <row r="6230" spans="1:15">
      <c r="A6230" s="3" t="s">
        <v>6182</v>
      </c>
      <c r="B6230">
        <v>7</v>
      </c>
      <c r="O6230">
        <v>1</v>
      </c>
    </row>
    <row r="6231" spans="1:15">
      <c r="A6231" s="3" t="s">
        <v>6183</v>
      </c>
      <c r="B6231">
        <v>7</v>
      </c>
      <c r="O6231">
        <v>1</v>
      </c>
    </row>
    <row r="6232" spans="1:15">
      <c r="A6232" s="3" t="s">
        <v>6184</v>
      </c>
      <c r="B6232">
        <v>7</v>
      </c>
      <c r="O6232">
        <v>1</v>
      </c>
    </row>
    <row r="6233" spans="1:15">
      <c r="A6233" s="3" t="s">
        <v>6185</v>
      </c>
      <c r="B6233">
        <v>7</v>
      </c>
      <c r="O6233">
        <v>1</v>
      </c>
    </row>
    <row r="6234" spans="1:15">
      <c r="A6234" s="3" t="s">
        <v>6186</v>
      </c>
      <c r="B6234">
        <v>7</v>
      </c>
      <c r="O6234">
        <v>1</v>
      </c>
    </row>
    <row r="6235" spans="1:15">
      <c r="A6235" s="3" t="s">
        <v>6187</v>
      </c>
      <c r="B6235">
        <v>7</v>
      </c>
      <c r="O6235">
        <v>1</v>
      </c>
    </row>
    <row r="6236" spans="1:15">
      <c r="A6236" s="3" t="s">
        <v>6188</v>
      </c>
      <c r="B6236">
        <v>7</v>
      </c>
      <c r="O6236">
        <v>1</v>
      </c>
    </row>
    <row r="6237" spans="1:15">
      <c r="A6237" s="3" t="s">
        <v>6189</v>
      </c>
      <c r="B6237">
        <v>7</v>
      </c>
      <c r="O6237">
        <v>1</v>
      </c>
    </row>
    <row r="6238" spans="1:15">
      <c r="A6238" s="3" t="s">
        <v>6190</v>
      </c>
      <c r="B6238">
        <v>7</v>
      </c>
      <c r="O6238">
        <v>1</v>
      </c>
    </row>
    <row r="6239" spans="1:15">
      <c r="A6239" s="3" t="s">
        <v>6191</v>
      </c>
      <c r="B6239">
        <v>7</v>
      </c>
      <c r="O6239">
        <v>1</v>
      </c>
    </row>
    <row r="6240" spans="1:15">
      <c r="A6240" s="3" t="s">
        <v>6192</v>
      </c>
      <c r="B6240">
        <v>7</v>
      </c>
      <c r="O6240">
        <v>1</v>
      </c>
    </row>
    <row r="6241" spans="1:15">
      <c r="A6241" s="3" t="s">
        <v>6193</v>
      </c>
      <c r="B6241">
        <v>7</v>
      </c>
      <c r="O6241">
        <v>1</v>
      </c>
    </row>
    <row r="6242" spans="1:15">
      <c r="A6242" s="3" t="s">
        <v>6194</v>
      </c>
      <c r="B6242">
        <v>7</v>
      </c>
      <c r="O6242">
        <v>1</v>
      </c>
    </row>
    <row r="6243" spans="1:15">
      <c r="A6243" s="3" t="s">
        <v>6195</v>
      </c>
      <c r="B6243">
        <v>7</v>
      </c>
      <c r="O6243">
        <v>1</v>
      </c>
    </row>
    <row r="6244" spans="1:15">
      <c r="A6244" s="3" t="s">
        <v>6196</v>
      </c>
      <c r="B6244">
        <v>7</v>
      </c>
      <c r="O6244">
        <v>1</v>
      </c>
    </row>
    <row r="6245" spans="1:15">
      <c r="A6245" s="3" t="s">
        <v>6197</v>
      </c>
      <c r="B6245">
        <v>7</v>
      </c>
      <c r="O6245">
        <v>1</v>
      </c>
    </row>
    <row r="6246" spans="1:15">
      <c r="A6246" s="3" t="s">
        <v>6198</v>
      </c>
      <c r="B6246">
        <v>7</v>
      </c>
      <c r="O6246">
        <v>1</v>
      </c>
    </row>
    <row r="6247" spans="1:15">
      <c r="A6247" s="3" t="s">
        <v>6199</v>
      </c>
      <c r="B6247">
        <v>7</v>
      </c>
      <c r="O6247">
        <v>1</v>
      </c>
    </row>
    <row r="6248" spans="1:15">
      <c r="A6248" s="3" t="s">
        <v>6200</v>
      </c>
      <c r="B6248">
        <v>7</v>
      </c>
      <c r="O6248">
        <v>1</v>
      </c>
    </row>
    <row r="6249" spans="1:15">
      <c r="A6249" s="3" t="s">
        <v>6201</v>
      </c>
      <c r="B6249">
        <v>7</v>
      </c>
      <c r="O6249">
        <v>1</v>
      </c>
    </row>
    <row r="6250" spans="1:15">
      <c r="A6250" s="3" t="s">
        <v>6202</v>
      </c>
      <c r="B6250">
        <v>7</v>
      </c>
      <c r="O6250">
        <v>1</v>
      </c>
    </row>
    <row r="6251" spans="1:15">
      <c r="A6251" s="3" t="s">
        <v>6203</v>
      </c>
      <c r="B6251">
        <v>7</v>
      </c>
      <c r="O6251">
        <v>1</v>
      </c>
    </row>
    <row r="6252" spans="1:15">
      <c r="A6252" s="3" t="s">
        <v>6204</v>
      </c>
      <c r="B6252">
        <v>7</v>
      </c>
      <c r="O6252">
        <v>1</v>
      </c>
    </row>
    <row r="6253" spans="1:15">
      <c r="A6253" s="3" t="s">
        <v>6205</v>
      </c>
      <c r="B6253">
        <v>7</v>
      </c>
      <c r="O6253">
        <v>1</v>
      </c>
    </row>
    <row r="6254" spans="1:15">
      <c r="A6254" s="3" t="s">
        <v>6206</v>
      </c>
      <c r="B6254">
        <v>7</v>
      </c>
      <c r="O6254">
        <v>1</v>
      </c>
    </row>
    <row r="6255" spans="1:15">
      <c r="A6255" s="3" t="s">
        <v>6207</v>
      </c>
      <c r="B6255">
        <v>7</v>
      </c>
      <c r="O6255">
        <v>1</v>
      </c>
    </row>
    <row r="6256" spans="1:15">
      <c r="A6256" s="3" t="s">
        <v>6208</v>
      </c>
      <c r="B6256">
        <v>7</v>
      </c>
      <c r="O6256">
        <v>1</v>
      </c>
    </row>
    <row r="6257" spans="1:15">
      <c r="A6257" s="3" t="s">
        <v>6209</v>
      </c>
      <c r="B6257">
        <v>7</v>
      </c>
      <c r="O6257">
        <v>1</v>
      </c>
    </row>
    <row r="6258" spans="1:15">
      <c r="A6258" s="3" t="s">
        <v>6210</v>
      </c>
      <c r="B6258">
        <v>7</v>
      </c>
      <c r="O6258">
        <v>1</v>
      </c>
    </row>
    <row r="6259" spans="1:15">
      <c r="A6259" s="3" t="s">
        <v>6211</v>
      </c>
      <c r="B6259">
        <v>7</v>
      </c>
      <c r="O6259">
        <v>1</v>
      </c>
    </row>
    <row r="6260" spans="1:15">
      <c r="A6260" s="3" t="s">
        <v>6212</v>
      </c>
      <c r="B6260">
        <v>7</v>
      </c>
      <c r="O6260">
        <v>1</v>
      </c>
    </row>
    <row r="6261" spans="1:15">
      <c r="A6261" s="3" t="s">
        <v>6213</v>
      </c>
      <c r="B6261">
        <v>7</v>
      </c>
      <c r="O6261">
        <v>1</v>
      </c>
    </row>
    <row r="6262" spans="1:15">
      <c r="A6262" s="3" t="s">
        <v>6214</v>
      </c>
      <c r="B6262">
        <v>7</v>
      </c>
      <c r="O6262">
        <v>1</v>
      </c>
    </row>
    <row r="6263" spans="1:15">
      <c r="A6263" s="3" t="s">
        <v>6215</v>
      </c>
      <c r="B6263">
        <v>7</v>
      </c>
      <c r="O6263">
        <v>1</v>
      </c>
    </row>
    <row r="6264" spans="1:15">
      <c r="A6264" s="3" t="s">
        <v>6216</v>
      </c>
      <c r="B6264">
        <v>7</v>
      </c>
      <c r="O6264">
        <v>1</v>
      </c>
    </row>
    <row r="6265" spans="1:15">
      <c r="A6265" s="3" t="s">
        <v>6217</v>
      </c>
      <c r="B6265">
        <v>7</v>
      </c>
      <c r="O6265">
        <v>1</v>
      </c>
    </row>
    <row r="6266" spans="1:15">
      <c r="A6266" s="3" t="s">
        <v>6218</v>
      </c>
      <c r="B6266">
        <v>7</v>
      </c>
      <c r="O6266">
        <v>1</v>
      </c>
    </row>
    <row r="6267" spans="1:15">
      <c r="A6267" s="3" t="s">
        <v>6219</v>
      </c>
      <c r="B6267">
        <v>7</v>
      </c>
      <c r="O6267">
        <v>1</v>
      </c>
    </row>
    <row r="6268" spans="1:15">
      <c r="A6268" s="3" t="s">
        <v>6220</v>
      </c>
      <c r="B6268">
        <v>7</v>
      </c>
      <c r="O6268">
        <v>1</v>
      </c>
    </row>
    <row r="6269" spans="1:15">
      <c r="A6269" s="3" t="s">
        <v>6221</v>
      </c>
      <c r="B6269">
        <v>7</v>
      </c>
      <c r="O6269">
        <v>1</v>
      </c>
    </row>
    <row r="6270" spans="1:15">
      <c r="A6270" s="3" t="s">
        <v>6222</v>
      </c>
      <c r="B6270">
        <v>7</v>
      </c>
      <c r="O6270">
        <v>1</v>
      </c>
    </row>
    <row r="6271" spans="1:15">
      <c r="A6271" s="3" t="s">
        <v>6223</v>
      </c>
      <c r="B6271">
        <v>7</v>
      </c>
      <c r="O6271">
        <v>1</v>
      </c>
    </row>
    <row r="6272" spans="1:15">
      <c r="A6272" s="3" t="s">
        <v>6224</v>
      </c>
      <c r="B6272">
        <v>7</v>
      </c>
      <c r="O6272">
        <v>1</v>
      </c>
    </row>
    <row r="6273" spans="1:15">
      <c r="A6273" s="3" t="s">
        <v>6225</v>
      </c>
      <c r="B6273">
        <v>7</v>
      </c>
      <c r="O6273">
        <v>1</v>
      </c>
    </row>
    <row r="6274" spans="1:15">
      <c r="A6274" s="3" t="s">
        <v>6226</v>
      </c>
      <c r="B6274">
        <v>7</v>
      </c>
      <c r="O6274">
        <v>1</v>
      </c>
    </row>
    <row r="6275" spans="1:15">
      <c r="A6275" s="3" t="s">
        <v>6227</v>
      </c>
      <c r="B6275">
        <v>7</v>
      </c>
      <c r="O6275">
        <v>1</v>
      </c>
    </row>
    <row r="6276" spans="1:15">
      <c r="A6276" s="3" t="s">
        <v>6228</v>
      </c>
      <c r="B6276">
        <v>7</v>
      </c>
      <c r="O6276">
        <v>1</v>
      </c>
    </row>
    <row r="6277" spans="1:15">
      <c r="A6277" s="3" t="s">
        <v>6229</v>
      </c>
      <c r="B6277">
        <v>7</v>
      </c>
      <c r="O6277">
        <v>1</v>
      </c>
    </row>
    <row r="6278" spans="1:15">
      <c r="A6278" s="3" t="s">
        <v>6230</v>
      </c>
      <c r="B6278">
        <v>7</v>
      </c>
      <c r="O6278">
        <v>1</v>
      </c>
    </row>
    <row r="6279" spans="1:15">
      <c r="A6279" s="3" t="s">
        <v>6231</v>
      </c>
      <c r="B6279">
        <v>7</v>
      </c>
      <c r="O6279">
        <v>1</v>
      </c>
    </row>
    <row r="6280" spans="1:15">
      <c r="A6280" s="3" t="s">
        <v>6232</v>
      </c>
      <c r="B6280">
        <v>7</v>
      </c>
      <c r="O6280">
        <v>1</v>
      </c>
    </row>
    <row r="6281" spans="1:15">
      <c r="A6281" s="3" t="s">
        <v>6233</v>
      </c>
      <c r="B6281">
        <v>7</v>
      </c>
      <c r="O6281">
        <v>1</v>
      </c>
    </row>
    <row r="6282" spans="1:15">
      <c r="A6282" s="3" t="s">
        <v>6234</v>
      </c>
      <c r="B6282">
        <v>7</v>
      </c>
      <c r="O6282">
        <v>1</v>
      </c>
    </row>
    <row r="6283" spans="1:15">
      <c r="A6283" s="3" t="s">
        <v>6235</v>
      </c>
      <c r="B6283">
        <v>7</v>
      </c>
      <c r="O6283">
        <v>1</v>
      </c>
    </row>
    <row r="6284" spans="1:15">
      <c r="A6284" s="3" t="s">
        <v>6236</v>
      </c>
      <c r="B6284">
        <v>7</v>
      </c>
      <c r="L6284">
        <v>4</v>
      </c>
    </row>
    <row r="6285" spans="1:15">
      <c r="A6285" s="3" t="s">
        <v>6237</v>
      </c>
      <c r="B6285">
        <v>7</v>
      </c>
      <c r="L6285">
        <v>4</v>
      </c>
    </row>
    <row r="6286" spans="1:15">
      <c r="A6286" s="3" t="s">
        <v>6238</v>
      </c>
      <c r="B6286">
        <v>7</v>
      </c>
      <c r="L6286">
        <v>4</v>
      </c>
    </row>
    <row r="6287" spans="1:15">
      <c r="A6287" s="3" t="s">
        <v>6239</v>
      </c>
      <c r="B6287">
        <v>7</v>
      </c>
      <c r="L6287">
        <v>4</v>
      </c>
    </row>
    <row r="6288" spans="1:15">
      <c r="A6288" s="3" t="s">
        <v>6240</v>
      </c>
      <c r="B6288">
        <v>7</v>
      </c>
      <c r="L6288">
        <v>4</v>
      </c>
    </row>
    <row r="6289" spans="1:12">
      <c r="A6289" s="3" t="s">
        <v>6241</v>
      </c>
      <c r="B6289">
        <v>7</v>
      </c>
      <c r="L6289">
        <v>4</v>
      </c>
    </row>
    <row r="6290" spans="1:12">
      <c r="A6290" s="3" t="s">
        <v>6242</v>
      </c>
      <c r="B6290">
        <v>7</v>
      </c>
      <c r="L6290">
        <v>4</v>
      </c>
    </row>
    <row r="6291" spans="1:12">
      <c r="A6291" s="3" t="s">
        <v>6243</v>
      </c>
      <c r="B6291">
        <v>7</v>
      </c>
      <c r="L6291">
        <v>4</v>
      </c>
    </row>
    <row r="6292" spans="1:12">
      <c r="A6292" s="3" t="s">
        <v>6244</v>
      </c>
      <c r="B6292">
        <v>7</v>
      </c>
      <c r="L6292">
        <v>4</v>
      </c>
    </row>
    <row r="6293" spans="1:12">
      <c r="A6293" s="3" t="s">
        <v>6245</v>
      </c>
      <c r="B6293">
        <v>7</v>
      </c>
      <c r="L6293">
        <v>4</v>
      </c>
    </row>
    <row r="6294" spans="1:12">
      <c r="A6294" s="3" t="s">
        <v>6246</v>
      </c>
      <c r="B6294">
        <v>7</v>
      </c>
      <c r="L6294">
        <v>4</v>
      </c>
    </row>
    <row r="6295" spans="1:12">
      <c r="A6295" s="3" t="s">
        <v>6247</v>
      </c>
      <c r="B6295">
        <v>7</v>
      </c>
      <c r="L6295">
        <v>4</v>
      </c>
    </row>
    <row r="6296" spans="1:12">
      <c r="A6296" s="3" t="s">
        <v>6248</v>
      </c>
      <c r="B6296">
        <v>7</v>
      </c>
      <c r="L6296">
        <v>4</v>
      </c>
    </row>
    <row r="6297" spans="1:12">
      <c r="A6297" s="3" t="s">
        <v>6249</v>
      </c>
      <c r="B6297">
        <v>7</v>
      </c>
      <c r="L6297">
        <v>4</v>
      </c>
    </row>
    <row r="6298" spans="1:12">
      <c r="A6298" s="3" t="s">
        <v>6250</v>
      </c>
      <c r="B6298">
        <v>7</v>
      </c>
      <c r="L6298">
        <v>4</v>
      </c>
    </row>
    <row r="6299" spans="1:12">
      <c r="A6299" s="3" t="s">
        <v>6251</v>
      </c>
      <c r="B6299">
        <v>7</v>
      </c>
      <c r="L6299">
        <v>4</v>
      </c>
    </row>
    <row r="6300" spans="1:12">
      <c r="A6300" s="3" t="s">
        <v>6252</v>
      </c>
      <c r="B6300">
        <v>7</v>
      </c>
      <c r="L6300">
        <v>4</v>
      </c>
    </row>
    <row r="6301" spans="1:12">
      <c r="A6301" s="3" t="s">
        <v>6253</v>
      </c>
      <c r="B6301">
        <v>7</v>
      </c>
      <c r="L6301">
        <v>4</v>
      </c>
    </row>
    <row r="6302" spans="1:12">
      <c r="A6302" s="3" t="s">
        <v>6254</v>
      </c>
      <c r="B6302">
        <v>7</v>
      </c>
      <c r="L6302">
        <v>4</v>
      </c>
    </row>
    <row r="6303" spans="1:12">
      <c r="A6303" s="3" t="s">
        <v>6255</v>
      </c>
      <c r="B6303">
        <v>7</v>
      </c>
      <c r="L6303">
        <v>4</v>
      </c>
    </row>
    <row r="6304" spans="1:12">
      <c r="A6304" s="3" t="s">
        <v>6256</v>
      </c>
      <c r="B6304">
        <v>7</v>
      </c>
      <c r="L6304">
        <v>4</v>
      </c>
    </row>
    <row r="6305" spans="1:12">
      <c r="A6305" s="3" t="s">
        <v>6257</v>
      </c>
      <c r="B6305">
        <v>7</v>
      </c>
      <c r="L6305">
        <v>4</v>
      </c>
    </row>
    <row r="6306" spans="1:12">
      <c r="A6306" s="3" t="s">
        <v>6258</v>
      </c>
      <c r="B6306">
        <v>7</v>
      </c>
      <c r="L6306">
        <v>4</v>
      </c>
    </row>
    <row r="6307" spans="1:12">
      <c r="A6307" s="3" t="s">
        <v>6259</v>
      </c>
      <c r="B6307">
        <v>7</v>
      </c>
      <c r="L6307">
        <v>4</v>
      </c>
    </row>
    <row r="6308" spans="1:12">
      <c r="A6308" s="3" t="s">
        <v>6260</v>
      </c>
      <c r="B6308">
        <v>7</v>
      </c>
      <c r="L6308">
        <v>4</v>
      </c>
    </row>
    <row r="6309" spans="1:12">
      <c r="A6309" s="3" t="s">
        <v>6261</v>
      </c>
      <c r="B6309">
        <v>7</v>
      </c>
      <c r="L6309">
        <v>4</v>
      </c>
    </row>
    <row r="6310" spans="1:12">
      <c r="A6310" s="3" t="s">
        <v>6262</v>
      </c>
      <c r="B6310">
        <v>7</v>
      </c>
      <c r="L6310">
        <v>4</v>
      </c>
    </row>
    <row r="6311" spans="1:12">
      <c r="A6311" s="3" t="s">
        <v>6263</v>
      </c>
      <c r="B6311">
        <v>7</v>
      </c>
      <c r="L6311">
        <v>4</v>
      </c>
    </row>
    <row r="6312" spans="1:12">
      <c r="A6312" s="3" t="s">
        <v>6264</v>
      </c>
      <c r="B6312">
        <v>7</v>
      </c>
      <c r="L6312">
        <v>4</v>
      </c>
    </row>
    <row r="6313" spans="1:12">
      <c r="A6313" s="3" t="s">
        <v>6265</v>
      </c>
      <c r="B6313">
        <v>7</v>
      </c>
      <c r="L6313">
        <v>4</v>
      </c>
    </row>
    <row r="6314" spans="1:12">
      <c r="A6314" s="3" t="s">
        <v>6266</v>
      </c>
      <c r="B6314">
        <v>7</v>
      </c>
      <c r="L6314">
        <v>4</v>
      </c>
    </row>
    <row r="6315" spans="1:12">
      <c r="A6315" s="3" t="s">
        <v>6267</v>
      </c>
      <c r="B6315">
        <v>7</v>
      </c>
      <c r="L6315">
        <v>4</v>
      </c>
    </row>
    <row r="6316" spans="1:12">
      <c r="A6316" s="3" t="s">
        <v>6268</v>
      </c>
      <c r="B6316">
        <v>7</v>
      </c>
      <c r="L6316">
        <v>4</v>
      </c>
    </row>
    <row r="6317" spans="1:12">
      <c r="A6317" s="3" t="s">
        <v>6269</v>
      </c>
      <c r="B6317">
        <v>7</v>
      </c>
      <c r="L6317">
        <v>4</v>
      </c>
    </row>
    <row r="6318" spans="1:12">
      <c r="A6318" s="3" t="s">
        <v>6270</v>
      </c>
      <c r="B6318">
        <v>7</v>
      </c>
      <c r="L6318">
        <v>4</v>
      </c>
    </row>
    <row r="6319" spans="1:12">
      <c r="A6319" s="3" t="s">
        <v>6271</v>
      </c>
      <c r="B6319">
        <v>7</v>
      </c>
      <c r="L6319">
        <v>4</v>
      </c>
    </row>
    <row r="6320" spans="1:12">
      <c r="A6320" s="3" t="s">
        <v>6272</v>
      </c>
      <c r="B6320">
        <v>7</v>
      </c>
      <c r="L6320">
        <v>4</v>
      </c>
    </row>
    <row r="6321" spans="1:12">
      <c r="A6321" s="3" t="s">
        <v>6273</v>
      </c>
      <c r="B6321">
        <v>7</v>
      </c>
      <c r="L6321">
        <v>4</v>
      </c>
    </row>
    <row r="6322" spans="1:12">
      <c r="A6322" s="3" t="s">
        <v>6274</v>
      </c>
      <c r="B6322">
        <v>7</v>
      </c>
      <c r="L6322">
        <v>4</v>
      </c>
    </row>
    <row r="6323" spans="1:12">
      <c r="A6323" s="3" t="s">
        <v>6275</v>
      </c>
      <c r="B6323">
        <v>7</v>
      </c>
      <c r="L6323">
        <v>4</v>
      </c>
    </row>
    <row r="6324" spans="1:12">
      <c r="A6324" s="3" t="s">
        <v>6276</v>
      </c>
      <c r="B6324">
        <v>7</v>
      </c>
      <c r="L6324">
        <v>4</v>
      </c>
    </row>
    <row r="6325" spans="1:12">
      <c r="A6325" s="3" t="s">
        <v>6277</v>
      </c>
      <c r="B6325">
        <v>7</v>
      </c>
      <c r="L6325">
        <v>4</v>
      </c>
    </row>
    <row r="6326" spans="1:12">
      <c r="A6326" s="3" t="s">
        <v>6278</v>
      </c>
      <c r="B6326">
        <v>7</v>
      </c>
      <c r="J6326">
        <v>67</v>
      </c>
    </row>
    <row r="6327" spans="1:12">
      <c r="A6327" s="3" t="s">
        <v>6279</v>
      </c>
      <c r="B6327">
        <v>7</v>
      </c>
      <c r="J6327">
        <v>67</v>
      </c>
    </row>
    <row r="6328" spans="1:12">
      <c r="A6328" s="3" t="s">
        <v>6280</v>
      </c>
      <c r="B6328">
        <v>7</v>
      </c>
      <c r="J6328">
        <v>67</v>
      </c>
    </row>
    <row r="6329" spans="1:12">
      <c r="A6329" s="3" t="s">
        <v>6281</v>
      </c>
      <c r="B6329">
        <v>7</v>
      </c>
      <c r="J6329">
        <v>67</v>
      </c>
    </row>
    <row r="6330" spans="1:12">
      <c r="A6330" s="3" t="s">
        <v>6282</v>
      </c>
      <c r="B6330">
        <v>7</v>
      </c>
      <c r="J6330">
        <v>67</v>
      </c>
    </row>
    <row r="6331" spans="1:12">
      <c r="A6331" s="3" t="s">
        <v>6283</v>
      </c>
      <c r="B6331">
        <v>7</v>
      </c>
      <c r="J6331">
        <v>67</v>
      </c>
    </row>
    <row r="6332" spans="1:12">
      <c r="A6332" s="3" t="s">
        <v>6284</v>
      </c>
      <c r="B6332">
        <v>7</v>
      </c>
      <c r="J6332">
        <v>67</v>
      </c>
    </row>
    <row r="6333" spans="1:12">
      <c r="A6333" s="3" t="s">
        <v>6285</v>
      </c>
      <c r="B6333">
        <v>7</v>
      </c>
      <c r="J6333">
        <v>67</v>
      </c>
    </row>
    <row r="6334" spans="1:12">
      <c r="A6334" s="3" t="s">
        <v>6286</v>
      </c>
      <c r="B6334">
        <v>7</v>
      </c>
      <c r="J6334">
        <v>67</v>
      </c>
    </row>
    <row r="6335" spans="1:12">
      <c r="A6335" s="3" t="s">
        <v>6287</v>
      </c>
      <c r="B6335">
        <v>7</v>
      </c>
      <c r="J6335">
        <v>67</v>
      </c>
    </row>
    <row r="6336" spans="1:12">
      <c r="A6336" s="3" t="s">
        <v>6288</v>
      </c>
      <c r="B6336">
        <v>7</v>
      </c>
      <c r="J6336">
        <v>67</v>
      </c>
    </row>
    <row r="6337" spans="1:10">
      <c r="A6337" s="3" t="s">
        <v>6289</v>
      </c>
      <c r="B6337">
        <v>7</v>
      </c>
      <c r="J6337">
        <v>67</v>
      </c>
    </row>
    <row r="6338" spans="1:10">
      <c r="A6338" s="3" t="s">
        <v>6290</v>
      </c>
      <c r="B6338">
        <v>7</v>
      </c>
      <c r="J6338">
        <v>67</v>
      </c>
    </row>
    <row r="6339" spans="1:10">
      <c r="A6339" s="3" t="s">
        <v>6291</v>
      </c>
      <c r="B6339">
        <v>7</v>
      </c>
      <c r="J6339">
        <v>67</v>
      </c>
    </row>
    <row r="6340" spans="1:10">
      <c r="A6340" s="3" t="s">
        <v>6292</v>
      </c>
      <c r="B6340">
        <v>7</v>
      </c>
      <c r="J6340">
        <v>67</v>
      </c>
    </row>
    <row r="6341" spans="1:10">
      <c r="A6341" s="3" t="s">
        <v>6293</v>
      </c>
      <c r="B6341">
        <v>7</v>
      </c>
      <c r="J6341">
        <v>67</v>
      </c>
    </row>
    <row r="6342" spans="1:10">
      <c r="A6342" s="3" t="s">
        <v>6294</v>
      </c>
      <c r="B6342">
        <v>7</v>
      </c>
      <c r="J6342">
        <v>67</v>
      </c>
    </row>
    <row r="6343" spans="1:10">
      <c r="A6343" s="3" t="s">
        <v>6295</v>
      </c>
      <c r="B6343">
        <v>7</v>
      </c>
      <c r="J6343">
        <v>67</v>
      </c>
    </row>
    <row r="6344" spans="1:10">
      <c r="A6344" s="3" t="s">
        <v>6296</v>
      </c>
      <c r="B6344">
        <v>7</v>
      </c>
      <c r="J6344">
        <v>67</v>
      </c>
    </row>
    <row r="6345" spans="1:10">
      <c r="A6345" s="3" t="s">
        <v>6297</v>
      </c>
      <c r="B6345">
        <v>7</v>
      </c>
      <c r="J6345">
        <v>67</v>
      </c>
    </row>
    <row r="6346" spans="1:10">
      <c r="A6346" s="3" t="s">
        <v>6298</v>
      </c>
      <c r="B6346">
        <v>7</v>
      </c>
      <c r="J6346">
        <v>67</v>
      </c>
    </row>
    <row r="6347" spans="1:10">
      <c r="A6347" s="3" t="s">
        <v>6299</v>
      </c>
      <c r="B6347">
        <v>7</v>
      </c>
      <c r="J6347">
        <v>67</v>
      </c>
    </row>
    <row r="6348" spans="1:10">
      <c r="A6348" s="3" t="s">
        <v>6300</v>
      </c>
      <c r="B6348">
        <v>7</v>
      </c>
      <c r="J6348">
        <v>67</v>
      </c>
    </row>
    <row r="6349" spans="1:10">
      <c r="A6349" s="3" t="s">
        <v>6301</v>
      </c>
      <c r="B6349">
        <v>7</v>
      </c>
      <c r="J6349">
        <v>67</v>
      </c>
    </row>
    <row r="6350" spans="1:10">
      <c r="A6350" s="3" t="s">
        <v>6302</v>
      </c>
      <c r="B6350">
        <v>7</v>
      </c>
      <c r="J6350">
        <v>67</v>
      </c>
    </row>
    <row r="6351" spans="1:10">
      <c r="A6351" s="3" t="s">
        <v>6303</v>
      </c>
      <c r="B6351">
        <v>7</v>
      </c>
      <c r="J6351">
        <v>67</v>
      </c>
    </row>
    <row r="6352" spans="1:10">
      <c r="A6352" s="3" t="s">
        <v>6304</v>
      </c>
      <c r="B6352">
        <v>7</v>
      </c>
      <c r="J6352">
        <v>67</v>
      </c>
    </row>
    <row r="6353" spans="1:49">
      <c r="A6353" s="3" t="s">
        <v>6305</v>
      </c>
      <c r="B6353">
        <v>7</v>
      </c>
      <c r="J6353">
        <v>67</v>
      </c>
    </row>
    <row r="6354" spans="1:49">
      <c r="A6354" s="3" t="s">
        <v>6306</v>
      </c>
      <c r="B6354">
        <v>7</v>
      </c>
      <c r="J6354">
        <v>67</v>
      </c>
    </row>
    <row r="6355" spans="1:49">
      <c r="A6355" s="3" t="s">
        <v>6307</v>
      </c>
      <c r="B6355">
        <v>7</v>
      </c>
      <c r="J6355">
        <v>67</v>
      </c>
    </row>
    <row r="6356" spans="1:49">
      <c r="A6356" s="3" t="s">
        <v>6308</v>
      </c>
      <c r="B6356">
        <v>7</v>
      </c>
      <c r="J6356">
        <v>67</v>
      </c>
    </row>
    <row r="6357" spans="1:49">
      <c r="A6357" s="3" t="s">
        <v>6309</v>
      </c>
      <c r="B6357">
        <v>7</v>
      </c>
      <c r="J6357">
        <v>67</v>
      </c>
    </row>
    <row r="6358" spans="1:49">
      <c r="A6358" s="3" t="s">
        <v>6310</v>
      </c>
      <c r="B6358">
        <v>7</v>
      </c>
      <c r="J6358">
        <v>67</v>
      </c>
    </row>
    <row r="6359" spans="1:49">
      <c r="A6359" s="3" t="s">
        <v>6311</v>
      </c>
      <c r="B6359">
        <v>7</v>
      </c>
      <c r="J6359">
        <v>67</v>
      </c>
    </row>
    <row r="6360" spans="1:49">
      <c r="A6360" s="3" t="s">
        <v>6312</v>
      </c>
      <c r="B6360">
        <v>7</v>
      </c>
      <c r="J6360">
        <v>67</v>
      </c>
    </row>
    <row r="6361" spans="1:49">
      <c r="A6361" s="3" t="s">
        <v>6313</v>
      </c>
      <c r="B6361">
        <v>7</v>
      </c>
      <c r="J6361">
        <v>67</v>
      </c>
    </row>
    <row r="6362" spans="1:49">
      <c r="A6362" s="3" t="s">
        <v>6314</v>
      </c>
      <c r="B6362">
        <v>7</v>
      </c>
      <c r="J6362">
        <v>67</v>
      </c>
    </row>
    <row r="6363" spans="1:49">
      <c r="A6363" s="3" t="s">
        <v>6315</v>
      </c>
      <c r="B6363">
        <v>7</v>
      </c>
      <c r="J6363">
        <v>67</v>
      </c>
    </row>
    <row r="6364" spans="1:49">
      <c r="A6364" s="3" t="s">
        <v>6316</v>
      </c>
      <c r="B6364">
        <v>7</v>
      </c>
      <c r="J6364">
        <v>67</v>
      </c>
    </row>
    <row r="6365" spans="1:49">
      <c r="A6365" s="3" t="s">
        <v>6317</v>
      </c>
      <c r="B6365">
        <v>7</v>
      </c>
      <c r="AW6365">
        <v>21</v>
      </c>
    </row>
    <row r="6366" spans="1:49">
      <c r="A6366" s="3" t="s">
        <v>6318</v>
      </c>
      <c r="B6366">
        <v>7</v>
      </c>
      <c r="AW6366">
        <v>21</v>
      </c>
    </row>
    <row r="6367" spans="1:49">
      <c r="A6367" s="3" t="s">
        <v>6319</v>
      </c>
      <c r="B6367">
        <v>7</v>
      </c>
      <c r="AW6367">
        <v>21</v>
      </c>
    </row>
    <row r="6368" spans="1:49">
      <c r="A6368" s="3" t="s">
        <v>6320</v>
      </c>
      <c r="B6368">
        <v>7</v>
      </c>
      <c r="AW6368">
        <v>21</v>
      </c>
    </row>
    <row r="6369" spans="1:11">
      <c r="A6369" s="3" t="s">
        <v>6321</v>
      </c>
      <c r="B6369">
        <v>7</v>
      </c>
      <c r="K6369">
        <v>6</v>
      </c>
    </row>
    <row r="6370" spans="1:11">
      <c r="A6370" s="3" t="s">
        <v>6322</v>
      </c>
      <c r="B6370">
        <v>7</v>
      </c>
      <c r="K6370">
        <v>6</v>
      </c>
    </row>
    <row r="6371" spans="1:11">
      <c r="A6371" s="3" t="s">
        <v>6323</v>
      </c>
      <c r="B6371">
        <v>7</v>
      </c>
      <c r="K6371">
        <v>6</v>
      </c>
    </row>
    <row r="6372" spans="1:11">
      <c r="A6372" s="3" t="s">
        <v>6324</v>
      </c>
      <c r="B6372">
        <v>7</v>
      </c>
      <c r="K6372">
        <v>6</v>
      </c>
    </row>
    <row r="6373" spans="1:11">
      <c r="A6373" s="3" t="s">
        <v>6325</v>
      </c>
      <c r="B6373">
        <v>7</v>
      </c>
      <c r="K6373">
        <v>6</v>
      </c>
    </row>
    <row r="6374" spans="1:11">
      <c r="A6374" s="3" t="s">
        <v>6326</v>
      </c>
      <c r="B6374">
        <v>7</v>
      </c>
      <c r="K6374">
        <v>6</v>
      </c>
    </row>
    <row r="6375" spans="1:11">
      <c r="A6375" s="3" t="s">
        <v>6327</v>
      </c>
      <c r="B6375">
        <v>7</v>
      </c>
      <c r="K6375">
        <v>6</v>
      </c>
    </row>
    <row r="6376" spans="1:11">
      <c r="A6376" s="3" t="s">
        <v>6328</v>
      </c>
      <c r="B6376">
        <v>7</v>
      </c>
      <c r="K6376">
        <v>6</v>
      </c>
    </row>
    <row r="6377" spans="1:11">
      <c r="A6377" s="3" t="s">
        <v>6329</v>
      </c>
      <c r="B6377">
        <v>7</v>
      </c>
      <c r="K6377">
        <v>6</v>
      </c>
    </row>
    <row r="6378" spans="1:11">
      <c r="A6378" s="3" t="s">
        <v>6330</v>
      </c>
      <c r="B6378">
        <v>7</v>
      </c>
      <c r="K6378">
        <v>6</v>
      </c>
    </row>
    <row r="6379" spans="1:11">
      <c r="A6379" s="3" t="s">
        <v>6331</v>
      </c>
      <c r="B6379">
        <v>7</v>
      </c>
      <c r="K6379">
        <v>6</v>
      </c>
    </row>
    <row r="6380" spans="1:11">
      <c r="A6380" s="3" t="s">
        <v>6332</v>
      </c>
      <c r="B6380">
        <v>7</v>
      </c>
      <c r="K6380">
        <v>6</v>
      </c>
    </row>
    <row r="6381" spans="1:11">
      <c r="A6381" s="3" t="s">
        <v>6333</v>
      </c>
      <c r="B6381">
        <v>7</v>
      </c>
      <c r="K6381">
        <v>6</v>
      </c>
    </row>
    <row r="6382" spans="1:11">
      <c r="A6382" s="3" t="s">
        <v>6334</v>
      </c>
      <c r="B6382">
        <v>7</v>
      </c>
      <c r="K6382">
        <v>6</v>
      </c>
    </row>
    <row r="6383" spans="1:11">
      <c r="A6383" s="3" t="s">
        <v>6335</v>
      </c>
      <c r="B6383">
        <v>7</v>
      </c>
      <c r="K6383">
        <v>6</v>
      </c>
    </row>
    <row r="6384" spans="1:11">
      <c r="A6384" s="3" t="s">
        <v>6336</v>
      </c>
      <c r="B6384">
        <v>7</v>
      </c>
      <c r="K6384">
        <v>6</v>
      </c>
    </row>
    <row r="6385" spans="1:11">
      <c r="A6385" s="3" t="s">
        <v>6337</v>
      </c>
      <c r="B6385">
        <v>7</v>
      </c>
      <c r="K6385">
        <v>6</v>
      </c>
    </row>
    <row r="6386" spans="1:11">
      <c r="A6386" s="3" t="s">
        <v>6338</v>
      </c>
      <c r="B6386">
        <v>7</v>
      </c>
      <c r="K6386">
        <v>6</v>
      </c>
    </row>
    <row r="6387" spans="1:11">
      <c r="A6387" s="3" t="s">
        <v>6339</v>
      </c>
      <c r="B6387">
        <v>7</v>
      </c>
      <c r="K6387">
        <v>6</v>
      </c>
    </row>
    <row r="6388" spans="1:11">
      <c r="A6388" s="3" t="s">
        <v>6340</v>
      </c>
      <c r="B6388">
        <v>7</v>
      </c>
      <c r="K6388">
        <v>6</v>
      </c>
    </row>
    <row r="6389" spans="1:11">
      <c r="A6389" s="3" t="s">
        <v>6341</v>
      </c>
      <c r="B6389">
        <v>7</v>
      </c>
      <c r="K6389">
        <v>6</v>
      </c>
    </row>
    <row r="6390" spans="1:11">
      <c r="A6390" s="3" t="s">
        <v>6342</v>
      </c>
      <c r="B6390">
        <v>7</v>
      </c>
      <c r="K6390">
        <v>6</v>
      </c>
    </row>
    <row r="6391" spans="1:11">
      <c r="A6391" s="3" t="s">
        <v>6343</v>
      </c>
      <c r="B6391">
        <v>7</v>
      </c>
      <c r="K6391">
        <v>6</v>
      </c>
    </row>
    <row r="6392" spans="1:11">
      <c r="A6392" s="3" t="s">
        <v>6344</v>
      </c>
      <c r="B6392">
        <v>7</v>
      </c>
      <c r="K6392">
        <v>6</v>
      </c>
    </row>
    <row r="6393" spans="1:11">
      <c r="A6393" s="3" t="s">
        <v>6345</v>
      </c>
      <c r="B6393">
        <v>7</v>
      </c>
      <c r="K6393">
        <v>6</v>
      </c>
    </row>
    <row r="6394" spans="1:11">
      <c r="A6394" s="3" t="s">
        <v>6346</v>
      </c>
      <c r="B6394">
        <v>7</v>
      </c>
      <c r="K6394">
        <v>6</v>
      </c>
    </row>
    <row r="6395" spans="1:11">
      <c r="A6395" s="3" t="s">
        <v>6347</v>
      </c>
      <c r="B6395">
        <v>7</v>
      </c>
      <c r="K6395">
        <v>6</v>
      </c>
    </row>
    <row r="6396" spans="1:11">
      <c r="A6396" s="3" t="s">
        <v>6348</v>
      </c>
      <c r="B6396">
        <v>7</v>
      </c>
      <c r="K6396">
        <v>6</v>
      </c>
    </row>
    <row r="6397" spans="1:11">
      <c r="A6397" s="3" t="s">
        <v>6349</v>
      </c>
      <c r="B6397">
        <v>7</v>
      </c>
      <c r="K6397">
        <v>6</v>
      </c>
    </row>
    <row r="6398" spans="1:11">
      <c r="A6398" s="3" t="s">
        <v>6350</v>
      </c>
      <c r="B6398">
        <v>7</v>
      </c>
      <c r="K6398">
        <v>6</v>
      </c>
    </row>
    <row r="6399" spans="1:11">
      <c r="A6399" s="3" t="s">
        <v>6351</v>
      </c>
      <c r="B6399">
        <v>7</v>
      </c>
      <c r="K6399">
        <v>6</v>
      </c>
    </row>
    <row r="6400" spans="1:11">
      <c r="A6400" s="3" t="s">
        <v>6352</v>
      </c>
      <c r="B6400">
        <v>7</v>
      </c>
      <c r="K6400">
        <v>6</v>
      </c>
    </row>
    <row r="6401" spans="1:11">
      <c r="A6401" s="3" t="s">
        <v>6353</v>
      </c>
      <c r="B6401">
        <v>7</v>
      </c>
      <c r="K6401">
        <v>6</v>
      </c>
    </row>
    <row r="6402" spans="1:11">
      <c r="A6402" s="3" t="s">
        <v>6354</v>
      </c>
      <c r="B6402">
        <v>7</v>
      </c>
      <c r="K6402">
        <v>6</v>
      </c>
    </row>
    <row r="6403" spans="1:11">
      <c r="A6403" s="3" t="s">
        <v>6355</v>
      </c>
      <c r="B6403">
        <v>7</v>
      </c>
      <c r="K6403">
        <v>6</v>
      </c>
    </row>
    <row r="6404" spans="1:11">
      <c r="A6404" s="3" t="s">
        <v>6356</v>
      </c>
      <c r="B6404">
        <v>7</v>
      </c>
      <c r="K6404">
        <v>6</v>
      </c>
    </row>
    <row r="6405" spans="1:11">
      <c r="A6405" s="3" t="s">
        <v>6357</v>
      </c>
      <c r="B6405">
        <v>7</v>
      </c>
      <c r="K6405">
        <v>6</v>
      </c>
    </row>
    <row r="6406" spans="1:11">
      <c r="A6406" s="3" t="s">
        <v>6358</v>
      </c>
      <c r="B6406">
        <v>7</v>
      </c>
      <c r="K6406">
        <v>6</v>
      </c>
    </row>
    <row r="6407" spans="1:11">
      <c r="A6407" s="3" t="s">
        <v>6359</v>
      </c>
      <c r="B6407">
        <v>7</v>
      </c>
      <c r="K6407">
        <v>6</v>
      </c>
    </row>
    <row r="6408" spans="1:11">
      <c r="A6408" s="3" t="s">
        <v>6360</v>
      </c>
      <c r="B6408">
        <v>7</v>
      </c>
      <c r="J6408">
        <v>68</v>
      </c>
    </row>
    <row r="6409" spans="1:11">
      <c r="A6409" s="3" t="s">
        <v>6361</v>
      </c>
      <c r="B6409">
        <v>7</v>
      </c>
      <c r="J6409">
        <v>68</v>
      </c>
    </row>
    <row r="6410" spans="1:11">
      <c r="A6410" s="3" t="s">
        <v>6362</v>
      </c>
      <c r="B6410">
        <v>7</v>
      </c>
      <c r="J6410">
        <v>68</v>
      </c>
    </row>
    <row r="6411" spans="1:11">
      <c r="A6411" s="3" t="s">
        <v>6363</v>
      </c>
      <c r="B6411">
        <v>7</v>
      </c>
      <c r="J6411">
        <v>68</v>
      </c>
    </row>
    <row r="6412" spans="1:11">
      <c r="A6412" s="3" t="s">
        <v>6364</v>
      </c>
      <c r="B6412">
        <v>7</v>
      </c>
      <c r="J6412">
        <v>68</v>
      </c>
    </row>
    <row r="6413" spans="1:11">
      <c r="A6413" s="3" t="s">
        <v>6365</v>
      </c>
      <c r="B6413">
        <v>7</v>
      </c>
      <c r="J6413">
        <v>68</v>
      </c>
    </row>
    <row r="6414" spans="1:11">
      <c r="A6414" s="3" t="s">
        <v>6366</v>
      </c>
      <c r="B6414">
        <v>7</v>
      </c>
      <c r="J6414">
        <v>68</v>
      </c>
    </row>
    <row r="6415" spans="1:11">
      <c r="A6415" s="3" t="s">
        <v>6367</v>
      </c>
      <c r="B6415">
        <v>7</v>
      </c>
      <c r="J6415">
        <v>68</v>
      </c>
    </row>
    <row r="6416" spans="1:11">
      <c r="A6416" s="3" t="s">
        <v>6368</v>
      </c>
      <c r="B6416">
        <v>7</v>
      </c>
      <c r="J6416">
        <v>68</v>
      </c>
    </row>
    <row r="6417" spans="1:12">
      <c r="A6417" s="3" t="s">
        <v>6369</v>
      </c>
      <c r="B6417">
        <v>7</v>
      </c>
      <c r="J6417">
        <v>68</v>
      </c>
    </row>
    <row r="6418" spans="1:12">
      <c r="A6418" s="3" t="s">
        <v>6370</v>
      </c>
      <c r="B6418">
        <v>7</v>
      </c>
      <c r="J6418">
        <v>68</v>
      </c>
    </row>
    <row r="6419" spans="1:12">
      <c r="A6419" s="3" t="s">
        <v>6371</v>
      </c>
      <c r="B6419">
        <v>7</v>
      </c>
      <c r="L6419">
        <v>5</v>
      </c>
    </row>
    <row r="6420" spans="1:12">
      <c r="A6420" s="3" t="s">
        <v>6372</v>
      </c>
      <c r="B6420">
        <v>7</v>
      </c>
      <c r="L6420">
        <v>5</v>
      </c>
    </row>
    <row r="6421" spans="1:12">
      <c r="A6421" s="3" t="s">
        <v>6373</v>
      </c>
      <c r="B6421">
        <v>7</v>
      </c>
      <c r="L6421">
        <v>5</v>
      </c>
    </row>
    <row r="6422" spans="1:12">
      <c r="A6422" s="3" t="s">
        <v>6374</v>
      </c>
      <c r="B6422">
        <v>7</v>
      </c>
      <c r="L6422">
        <v>5</v>
      </c>
    </row>
    <row r="6423" spans="1:12">
      <c r="A6423" s="3" t="s">
        <v>6375</v>
      </c>
      <c r="B6423">
        <v>7</v>
      </c>
      <c r="L6423">
        <v>5</v>
      </c>
    </row>
    <row r="6424" spans="1:12">
      <c r="A6424" s="3" t="s">
        <v>6376</v>
      </c>
      <c r="B6424">
        <v>7</v>
      </c>
      <c r="L6424">
        <v>5</v>
      </c>
    </row>
    <row r="6425" spans="1:12">
      <c r="A6425" s="3" t="s">
        <v>6377</v>
      </c>
      <c r="B6425">
        <v>7</v>
      </c>
      <c r="L6425">
        <v>5</v>
      </c>
    </row>
    <row r="6426" spans="1:12">
      <c r="A6426" s="3" t="s">
        <v>6378</v>
      </c>
      <c r="B6426">
        <v>7</v>
      </c>
      <c r="L6426">
        <v>5</v>
      </c>
    </row>
    <row r="6427" spans="1:12">
      <c r="A6427" s="3" t="s">
        <v>6379</v>
      </c>
      <c r="B6427">
        <v>7</v>
      </c>
      <c r="L6427">
        <v>5</v>
      </c>
    </row>
    <row r="6428" spans="1:12">
      <c r="A6428" s="3" t="s">
        <v>6380</v>
      </c>
      <c r="B6428">
        <v>7</v>
      </c>
      <c r="L6428">
        <v>5</v>
      </c>
    </row>
    <row r="6429" spans="1:12">
      <c r="A6429" s="3" t="s">
        <v>6381</v>
      </c>
      <c r="B6429">
        <v>7</v>
      </c>
      <c r="L6429">
        <v>5</v>
      </c>
    </row>
    <row r="6430" spans="1:12">
      <c r="A6430" s="3" t="s">
        <v>6382</v>
      </c>
      <c r="B6430">
        <v>7</v>
      </c>
      <c r="L6430">
        <v>5</v>
      </c>
    </row>
    <row r="6431" spans="1:12">
      <c r="A6431" s="3" t="s">
        <v>6383</v>
      </c>
      <c r="B6431">
        <v>7</v>
      </c>
      <c r="L6431">
        <v>5</v>
      </c>
    </row>
    <row r="6432" spans="1:12">
      <c r="A6432" s="3" t="s">
        <v>6384</v>
      </c>
      <c r="B6432">
        <v>7</v>
      </c>
      <c r="L6432">
        <v>5</v>
      </c>
    </row>
    <row r="6433" spans="1:12">
      <c r="A6433" s="3" t="s">
        <v>6385</v>
      </c>
      <c r="B6433">
        <v>7</v>
      </c>
      <c r="L6433">
        <v>5</v>
      </c>
    </row>
    <row r="6434" spans="1:12">
      <c r="A6434" s="3" t="s">
        <v>6386</v>
      </c>
      <c r="B6434">
        <v>7</v>
      </c>
      <c r="L6434">
        <v>5</v>
      </c>
    </row>
    <row r="6435" spans="1:12">
      <c r="A6435" s="3" t="s">
        <v>6387</v>
      </c>
      <c r="B6435">
        <v>7</v>
      </c>
      <c r="L6435">
        <v>5</v>
      </c>
    </row>
    <row r="6436" spans="1:12">
      <c r="A6436" s="3" t="s">
        <v>6388</v>
      </c>
      <c r="B6436">
        <v>7</v>
      </c>
      <c r="L6436">
        <v>5</v>
      </c>
    </row>
    <row r="6437" spans="1:12">
      <c r="A6437" s="3" t="s">
        <v>6389</v>
      </c>
      <c r="B6437">
        <v>7</v>
      </c>
      <c r="L6437">
        <v>5</v>
      </c>
    </row>
    <row r="6438" spans="1:12">
      <c r="A6438" s="3" t="s">
        <v>6390</v>
      </c>
      <c r="B6438">
        <v>7</v>
      </c>
      <c r="L6438">
        <v>5</v>
      </c>
    </row>
    <row r="6439" spans="1:12">
      <c r="A6439" s="3" t="s">
        <v>6391</v>
      </c>
      <c r="B6439">
        <v>7</v>
      </c>
      <c r="L6439">
        <v>5</v>
      </c>
    </row>
    <row r="6440" spans="1:12">
      <c r="A6440" s="3" t="s">
        <v>6392</v>
      </c>
      <c r="B6440">
        <v>7</v>
      </c>
      <c r="L6440">
        <v>5</v>
      </c>
    </row>
    <row r="6441" spans="1:12">
      <c r="A6441" s="3" t="s">
        <v>6393</v>
      </c>
      <c r="B6441">
        <v>7</v>
      </c>
      <c r="L6441">
        <v>5</v>
      </c>
    </row>
    <row r="6442" spans="1:12">
      <c r="A6442" s="3" t="s">
        <v>6394</v>
      </c>
      <c r="B6442">
        <v>7</v>
      </c>
      <c r="L6442">
        <v>5</v>
      </c>
    </row>
    <row r="6443" spans="1:12">
      <c r="A6443" s="3" t="s">
        <v>6395</v>
      </c>
      <c r="B6443">
        <v>7</v>
      </c>
      <c r="L6443">
        <v>5</v>
      </c>
    </row>
    <row r="6444" spans="1:12">
      <c r="A6444" s="3" t="s">
        <v>6396</v>
      </c>
      <c r="B6444">
        <v>7</v>
      </c>
      <c r="L6444">
        <v>5</v>
      </c>
    </row>
    <row r="6445" spans="1:12">
      <c r="A6445" s="3" t="s">
        <v>6397</v>
      </c>
      <c r="B6445">
        <v>7</v>
      </c>
      <c r="L6445">
        <v>5</v>
      </c>
    </row>
    <row r="6446" spans="1:12">
      <c r="A6446" s="3" t="s">
        <v>6398</v>
      </c>
      <c r="B6446">
        <v>7</v>
      </c>
      <c r="L6446">
        <v>5</v>
      </c>
    </row>
    <row r="6447" spans="1:12">
      <c r="A6447" s="3" t="s">
        <v>6399</v>
      </c>
      <c r="B6447">
        <v>7</v>
      </c>
      <c r="L6447">
        <v>5</v>
      </c>
    </row>
    <row r="6448" spans="1:12">
      <c r="A6448" s="3" t="s">
        <v>6400</v>
      </c>
      <c r="B6448">
        <v>7</v>
      </c>
      <c r="L6448">
        <v>5</v>
      </c>
    </row>
    <row r="6449" spans="1:12">
      <c r="A6449" s="3" t="s">
        <v>6401</v>
      </c>
      <c r="B6449">
        <v>7</v>
      </c>
      <c r="L6449">
        <v>5</v>
      </c>
    </row>
    <row r="6450" spans="1:12">
      <c r="A6450" s="3" t="s">
        <v>6402</v>
      </c>
      <c r="B6450">
        <v>7</v>
      </c>
      <c r="L6450">
        <v>5</v>
      </c>
    </row>
    <row r="6451" spans="1:12">
      <c r="A6451" s="3" t="s">
        <v>6403</v>
      </c>
      <c r="B6451">
        <v>7</v>
      </c>
      <c r="L6451">
        <v>5</v>
      </c>
    </row>
    <row r="6452" spans="1:12">
      <c r="A6452" s="3" t="s">
        <v>6404</v>
      </c>
      <c r="B6452">
        <v>7</v>
      </c>
      <c r="L6452">
        <v>5</v>
      </c>
    </row>
    <row r="6453" spans="1:12">
      <c r="A6453" s="3" t="s">
        <v>6405</v>
      </c>
      <c r="B6453">
        <v>7</v>
      </c>
      <c r="L6453">
        <v>5</v>
      </c>
    </row>
    <row r="6454" spans="1:12">
      <c r="A6454" s="3" t="s">
        <v>6406</v>
      </c>
      <c r="B6454">
        <v>7</v>
      </c>
      <c r="L6454">
        <v>5</v>
      </c>
    </row>
    <row r="6455" spans="1:12">
      <c r="A6455" s="3" t="s">
        <v>6407</v>
      </c>
      <c r="B6455">
        <v>7</v>
      </c>
      <c r="L6455">
        <v>5</v>
      </c>
    </row>
    <row r="6456" spans="1:12">
      <c r="A6456" s="3" t="s">
        <v>6408</v>
      </c>
      <c r="B6456">
        <v>7</v>
      </c>
      <c r="L6456">
        <v>5</v>
      </c>
    </row>
    <row r="6457" spans="1:12">
      <c r="A6457" s="3" t="s">
        <v>6409</v>
      </c>
      <c r="B6457">
        <v>7</v>
      </c>
      <c r="L6457">
        <v>5</v>
      </c>
    </row>
    <row r="6458" spans="1:12">
      <c r="A6458" s="3" t="s">
        <v>6410</v>
      </c>
      <c r="B6458">
        <v>7</v>
      </c>
      <c r="L6458">
        <v>5</v>
      </c>
    </row>
    <row r="6459" spans="1:12">
      <c r="A6459" s="3" t="s">
        <v>6411</v>
      </c>
      <c r="B6459">
        <v>7</v>
      </c>
      <c r="L6459">
        <v>5</v>
      </c>
    </row>
    <row r="6460" spans="1:12">
      <c r="A6460" s="3" t="s">
        <v>6412</v>
      </c>
      <c r="B6460">
        <v>7</v>
      </c>
      <c r="L6460">
        <v>5</v>
      </c>
    </row>
    <row r="6461" spans="1:12">
      <c r="A6461" s="3" t="s">
        <v>6413</v>
      </c>
      <c r="B6461">
        <v>7</v>
      </c>
      <c r="L6461">
        <v>5</v>
      </c>
    </row>
    <row r="6462" spans="1:12">
      <c r="A6462" s="3" t="s">
        <v>6414</v>
      </c>
      <c r="B6462">
        <v>7</v>
      </c>
      <c r="L6462">
        <v>5</v>
      </c>
    </row>
    <row r="6463" spans="1:12">
      <c r="A6463" s="3" t="s">
        <v>6415</v>
      </c>
      <c r="B6463">
        <v>7</v>
      </c>
      <c r="L6463">
        <v>5</v>
      </c>
    </row>
    <row r="6464" spans="1:12">
      <c r="A6464" s="3" t="s">
        <v>6416</v>
      </c>
      <c r="B6464">
        <v>7</v>
      </c>
      <c r="L6464">
        <v>5</v>
      </c>
    </row>
    <row r="6465" spans="1:12">
      <c r="A6465" s="3" t="s">
        <v>6417</v>
      </c>
      <c r="B6465">
        <v>7</v>
      </c>
      <c r="L6465">
        <v>5</v>
      </c>
    </row>
    <row r="6466" spans="1:12">
      <c r="A6466" s="3" t="s">
        <v>6418</v>
      </c>
      <c r="B6466">
        <v>7</v>
      </c>
      <c r="L6466">
        <v>5</v>
      </c>
    </row>
    <row r="6467" spans="1:12">
      <c r="A6467" s="3" t="s">
        <v>6419</v>
      </c>
      <c r="B6467">
        <v>7</v>
      </c>
      <c r="L6467">
        <v>5</v>
      </c>
    </row>
    <row r="6468" spans="1:12">
      <c r="A6468" s="3" t="s">
        <v>6420</v>
      </c>
      <c r="B6468">
        <v>7</v>
      </c>
      <c r="E6468">
        <v>7</v>
      </c>
      <c r="J6468">
        <v>69</v>
      </c>
    </row>
    <row r="6469" spans="1:12">
      <c r="A6469" s="3" t="s">
        <v>6421</v>
      </c>
      <c r="B6469">
        <v>7</v>
      </c>
      <c r="E6469">
        <v>7</v>
      </c>
      <c r="J6469">
        <v>69</v>
      </c>
    </row>
    <row r="6470" spans="1:12">
      <c r="A6470" s="3" t="s">
        <v>6422</v>
      </c>
      <c r="B6470">
        <v>7</v>
      </c>
      <c r="E6470">
        <v>7</v>
      </c>
      <c r="J6470">
        <v>69</v>
      </c>
    </row>
    <row r="6471" spans="1:12">
      <c r="A6471" s="3" t="s">
        <v>6423</v>
      </c>
      <c r="B6471">
        <v>7</v>
      </c>
      <c r="E6471">
        <v>7</v>
      </c>
      <c r="J6471">
        <v>69</v>
      </c>
    </row>
    <row r="6472" spans="1:12">
      <c r="A6472" s="3" t="s">
        <v>6424</v>
      </c>
      <c r="B6472">
        <v>7</v>
      </c>
      <c r="E6472">
        <v>7</v>
      </c>
      <c r="J6472">
        <v>69</v>
      </c>
    </row>
    <row r="6473" spans="1:12">
      <c r="A6473" s="3" t="s">
        <v>6425</v>
      </c>
      <c r="B6473">
        <v>7</v>
      </c>
      <c r="E6473">
        <v>7</v>
      </c>
      <c r="J6473">
        <v>69</v>
      </c>
    </row>
    <row r="6474" spans="1:12">
      <c r="A6474" s="3" t="s">
        <v>6426</v>
      </c>
      <c r="B6474">
        <v>7</v>
      </c>
      <c r="E6474">
        <v>7</v>
      </c>
      <c r="J6474">
        <v>69</v>
      </c>
    </row>
    <row r="6475" spans="1:12">
      <c r="A6475" s="3" t="s">
        <v>6427</v>
      </c>
      <c r="B6475">
        <v>7</v>
      </c>
      <c r="E6475">
        <v>7</v>
      </c>
      <c r="J6475">
        <v>69</v>
      </c>
    </row>
    <row r="6476" spans="1:12">
      <c r="A6476" s="3" t="s">
        <v>6428</v>
      </c>
      <c r="B6476">
        <v>7</v>
      </c>
      <c r="E6476">
        <v>7</v>
      </c>
      <c r="J6476">
        <v>69</v>
      </c>
    </row>
    <row r="6477" spans="1:12">
      <c r="A6477" s="3" t="s">
        <v>6429</v>
      </c>
      <c r="B6477">
        <v>7</v>
      </c>
      <c r="E6477">
        <v>7</v>
      </c>
      <c r="J6477">
        <v>69</v>
      </c>
    </row>
    <row r="6478" spans="1:12">
      <c r="A6478" s="3" t="s">
        <v>6430</v>
      </c>
      <c r="B6478">
        <v>7</v>
      </c>
      <c r="E6478">
        <v>7</v>
      </c>
      <c r="J6478">
        <v>69</v>
      </c>
    </row>
    <row r="6479" spans="1:12">
      <c r="A6479" s="3" t="s">
        <v>6431</v>
      </c>
      <c r="B6479">
        <v>7</v>
      </c>
      <c r="E6479">
        <v>7</v>
      </c>
      <c r="J6479">
        <v>69</v>
      </c>
    </row>
    <row r="6480" spans="1:12">
      <c r="A6480" s="3" t="s">
        <v>6432</v>
      </c>
      <c r="B6480">
        <v>7</v>
      </c>
      <c r="E6480">
        <v>7</v>
      </c>
      <c r="J6480">
        <v>69</v>
      </c>
    </row>
    <row r="6481" spans="1:38">
      <c r="A6481" s="3" t="s">
        <v>6433</v>
      </c>
      <c r="B6481">
        <v>7</v>
      </c>
      <c r="E6481">
        <v>7</v>
      </c>
      <c r="J6481">
        <v>69</v>
      </c>
    </row>
    <row r="6482" spans="1:38">
      <c r="A6482" s="3" t="s">
        <v>6434</v>
      </c>
      <c r="E6482">
        <v>7</v>
      </c>
      <c r="J6482">
        <v>69</v>
      </c>
    </row>
    <row r="6483" spans="1:38">
      <c r="A6483" s="3" t="s">
        <v>6435</v>
      </c>
      <c r="E6483">
        <v>7</v>
      </c>
      <c r="J6483">
        <v>69</v>
      </c>
    </row>
    <row r="6484" spans="1:38">
      <c r="A6484" s="3" t="s">
        <v>6436</v>
      </c>
      <c r="E6484">
        <v>7</v>
      </c>
      <c r="J6484">
        <v>69</v>
      </c>
    </row>
    <row r="6485" spans="1:38">
      <c r="A6485" s="3" t="s">
        <v>6437</v>
      </c>
      <c r="E6485">
        <v>7</v>
      </c>
      <c r="J6485">
        <v>69</v>
      </c>
    </row>
    <row r="6486" spans="1:38">
      <c r="A6486" s="3" t="s">
        <v>6438</v>
      </c>
      <c r="E6486">
        <v>7</v>
      </c>
      <c r="J6486">
        <v>69</v>
      </c>
    </row>
    <row r="6487" spans="1:38">
      <c r="A6487" s="3" t="s">
        <v>6439</v>
      </c>
      <c r="E6487">
        <v>7</v>
      </c>
      <c r="J6487">
        <v>69</v>
      </c>
    </row>
    <row r="6488" spans="1:38">
      <c r="A6488" s="3" t="s">
        <v>6440</v>
      </c>
      <c r="E6488">
        <v>7</v>
      </c>
      <c r="J6488">
        <v>69</v>
      </c>
    </row>
    <row r="6489" spans="1:38">
      <c r="A6489" s="3" t="s">
        <v>6441</v>
      </c>
      <c r="E6489">
        <v>7</v>
      </c>
      <c r="J6489">
        <v>69</v>
      </c>
    </row>
    <row r="6490" spans="1:38">
      <c r="A6490" s="3" t="s">
        <v>6442</v>
      </c>
      <c r="E6490">
        <v>7</v>
      </c>
      <c r="AL6490">
        <v>3</v>
      </c>
    </row>
    <row r="6491" spans="1:38">
      <c r="A6491" s="3" t="s">
        <v>6443</v>
      </c>
      <c r="E6491">
        <v>7</v>
      </c>
      <c r="AL6491">
        <v>3</v>
      </c>
    </row>
    <row r="6492" spans="1:38">
      <c r="A6492" s="3" t="s">
        <v>6444</v>
      </c>
      <c r="E6492">
        <v>7</v>
      </c>
      <c r="AL6492">
        <v>3</v>
      </c>
    </row>
    <row r="6493" spans="1:38">
      <c r="A6493" s="3" t="s">
        <v>6445</v>
      </c>
      <c r="E6493">
        <v>7</v>
      </c>
      <c r="AL6493">
        <v>3</v>
      </c>
    </row>
    <row r="6494" spans="1:38">
      <c r="A6494" s="3" t="s">
        <v>6446</v>
      </c>
      <c r="E6494">
        <v>7</v>
      </c>
      <c r="AL6494">
        <v>3</v>
      </c>
    </row>
    <row r="6495" spans="1:38">
      <c r="A6495" s="3" t="s">
        <v>6447</v>
      </c>
      <c r="E6495">
        <v>7</v>
      </c>
      <c r="AL6495">
        <v>3</v>
      </c>
    </row>
    <row r="6496" spans="1:38">
      <c r="A6496" s="3" t="s">
        <v>6448</v>
      </c>
      <c r="E6496">
        <v>7</v>
      </c>
      <c r="AL6496">
        <v>3</v>
      </c>
    </row>
    <row r="6497" spans="1:38">
      <c r="A6497" s="3" t="s">
        <v>6449</v>
      </c>
      <c r="E6497">
        <v>7</v>
      </c>
      <c r="AL6497">
        <v>3</v>
      </c>
    </row>
    <row r="6498" spans="1:38">
      <c r="A6498" s="3" t="s">
        <v>6450</v>
      </c>
      <c r="E6498">
        <v>7</v>
      </c>
      <c r="AL6498">
        <v>3</v>
      </c>
    </row>
    <row r="6499" spans="1:38">
      <c r="A6499" s="3" t="s">
        <v>6451</v>
      </c>
      <c r="E6499">
        <v>7</v>
      </c>
      <c r="AL6499">
        <v>3</v>
      </c>
    </row>
    <row r="6500" spans="1:38">
      <c r="A6500" s="3" t="s">
        <v>6452</v>
      </c>
      <c r="E6500">
        <v>7</v>
      </c>
      <c r="AL6500">
        <v>3</v>
      </c>
    </row>
    <row r="6501" spans="1:38">
      <c r="A6501" s="3" t="s">
        <v>6453</v>
      </c>
      <c r="E6501">
        <v>7</v>
      </c>
      <c r="AL6501">
        <v>3</v>
      </c>
    </row>
    <row r="6502" spans="1:38">
      <c r="A6502" s="3" t="s">
        <v>6454</v>
      </c>
      <c r="E6502">
        <v>7</v>
      </c>
      <c r="AL6502">
        <v>3</v>
      </c>
    </row>
    <row r="6503" spans="1:38">
      <c r="A6503" s="3" t="s">
        <v>6455</v>
      </c>
      <c r="E6503">
        <v>7</v>
      </c>
      <c r="AL6503">
        <v>3</v>
      </c>
    </row>
    <row r="6504" spans="1:38">
      <c r="A6504" s="3" t="s">
        <v>6456</v>
      </c>
      <c r="E6504">
        <v>7</v>
      </c>
      <c r="AL6504">
        <v>3</v>
      </c>
    </row>
    <row r="6505" spans="1:38">
      <c r="A6505" s="3" t="s">
        <v>6457</v>
      </c>
      <c r="E6505">
        <v>7</v>
      </c>
      <c r="AL6505">
        <v>3</v>
      </c>
    </row>
    <row r="6506" spans="1:38">
      <c r="A6506" s="3" t="s">
        <v>6458</v>
      </c>
      <c r="E6506">
        <v>7</v>
      </c>
      <c r="AL6506">
        <v>3</v>
      </c>
    </row>
    <row r="6507" spans="1:38">
      <c r="A6507" s="3" t="s">
        <v>6459</v>
      </c>
      <c r="E6507">
        <v>7</v>
      </c>
      <c r="AL6507">
        <v>3</v>
      </c>
    </row>
    <row r="6508" spans="1:38">
      <c r="A6508" s="3" t="s">
        <v>6460</v>
      </c>
      <c r="E6508">
        <v>7</v>
      </c>
      <c r="AL6508">
        <v>3</v>
      </c>
    </row>
    <row r="6509" spans="1:38">
      <c r="A6509" s="3" t="s">
        <v>6461</v>
      </c>
      <c r="E6509">
        <v>7</v>
      </c>
      <c r="AL6509">
        <v>3</v>
      </c>
    </row>
    <row r="6510" spans="1:38">
      <c r="A6510" s="3" t="s">
        <v>6462</v>
      </c>
      <c r="E6510">
        <v>7</v>
      </c>
      <c r="AL6510">
        <v>3</v>
      </c>
    </row>
    <row r="6511" spans="1:38">
      <c r="A6511" s="3" t="s">
        <v>6463</v>
      </c>
      <c r="E6511">
        <v>7</v>
      </c>
      <c r="AL6511">
        <v>3</v>
      </c>
    </row>
    <row r="6512" spans="1:38">
      <c r="A6512" s="3" t="s">
        <v>6464</v>
      </c>
      <c r="E6512">
        <v>7</v>
      </c>
      <c r="AL6512">
        <v>3</v>
      </c>
    </row>
    <row r="6513" spans="1:38">
      <c r="A6513" s="3" t="s">
        <v>6465</v>
      </c>
      <c r="E6513">
        <v>7</v>
      </c>
      <c r="AL6513">
        <v>3</v>
      </c>
    </row>
    <row r="6514" spans="1:38">
      <c r="A6514" s="3" t="s">
        <v>6466</v>
      </c>
      <c r="E6514">
        <v>7</v>
      </c>
      <c r="AL6514">
        <v>3</v>
      </c>
    </row>
    <row r="6515" spans="1:38">
      <c r="A6515" s="3" t="s">
        <v>6467</v>
      </c>
      <c r="E6515">
        <v>7</v>
      </c>
      <c r="AL6515">
        <v>3</v>
      </c>
    </row>
    <row r="6516" spans="1:38">
      <c r="A6516" s="3" t="s">
        <v>6468</v>
      </c>
      <c r="E6516">
        <v>7</v>
      </c>
      <c r="AL6516">
        <v>3</v>
      </c>
    </row>
    <row r="6517" spans="1:38">
      <c r="A6517" s="3" t="s">
        <v>6469</v>
      </c>
      <c r="E6517">
        <v>7</v>
      </c>
      <c r="AL6517">
        <v>3</v>
      </c>
    </row>
    <row r="6518" spans="1:38">
      <c r="A6518" s="3" t="s">
        <v>6470</v>
      </c>
      <c r="E6518">
        <v>7</v>
      </c>
      <c r="AL6518">
        <v>3</v>
      </c>
    </row>
    <row r="6519" spans="1:38">
      <c r="A6519" s="3" t="s">
        <v>6471</v>
      </c>
      <c r="E6519">
        <v>7</v>
      </c>
      <c r="AL6519">
        <v>3</v>
      </c>
    </row>
    <row r="6520" spans="1:38">
      <c r="A6520" s="3" t="s">
        <v>6472</v>
      </c>
      <c r="E6520">
        <v>7</v>
      </c>
      <c r="AL6520">
        <v>3</v>
      </c>
    </row>
    <row r="6521" spans="1:38">
      <c r="A6521" s="3" t="s">
        <v>6473</v>
      </c>
      <c r="E6521">
        <v>7</v>
      </c>
      <c r="AL6521">
        <v>3</v>
      </c>
    </row>
    <row r="6522" spans="1:38">
      <c r="A6522" s="3" t="s">
        <v>6474</v>
      </c>
      <c r="E6522">
        <v>7</v>
      </c>
      <c r="AL6522">
        <v>3</v>
      </c>
    </row>
    <row r="6523" spans="1:38">
      <c r="A6523" s="3" t="s">
        <v>6475</v>
      </c>
      <c r="E6523">
        <v>7</v>
      </c>
      <c r="AL6523">
        <v>3</v>
      </c>
    </row>
    <row r="6524" spans="1:38">
      <c r="A6524" s="3" t="s">
        <v>6476</v>
      </c>
      <c r="E6524">
        <v>7</v>
      </c>
      <c r="AL6524">
        <v>3</v>
      </c>
    </row>
    <row r="6525" spans="1:38">
      <c r="A6525" s="3" t="s">
        <v>6477</v>
      </c>
      <c r="E6525">
        <v>7</v>
      </c>
      <c r="AL6525">
        <v>3</v>
      </c>
    </row>
    <row r="6526" spans="1:38">
      <c r="A6526" s="3" t="s">
        <v>6478</v>
      </c>
      <c r="E6526">
        <v>7</v>
      </c>
      <c r="AL6526">
        <v>3</v>
      </c>
    </row>
    <row r="6527" spans="1:38">
      <c r="A6527" s="3" t="s">
        <v>6479</v>
      </c>
      <c r="E6527">
        <v>7</v>
      </c>
      <c r="AL6527">
        <v>3</v>
      </c>
    </row>
    <row r="6528" spans="1:38">
      <c r="A6528" s="3" t="s">
        <v>6480</v>
      </c>
      <c r="E6528">
        <v>7</v>
      </c>
      <c r="AL6528">
        <v>3</v>
      </c>
    </row>
    <row r="6529" spans="1:38">
      <c r="A6529" s="3" t="s">
        <v>6481</v>
      </c>
      <c r="E6529">
        <v>7</v>
      </c>
      <c r="AL6529">
        <v>3</v>
      </c>
    </row>
    <row r="6530" spans="1:38">
      <c r="A6530" s="3" t="s">
        <v>6482</v>
      </c>
      <c r="E6530">
        <v>7</v>
      </c>
      <c r="AL6530">
        <v>3</v>
      </c>
    </row>
    <row r="6531" spans="1:38">
      <c r="A6531" s="3" t="s">
        <v>6483</v>
      </c>
      <c r="E6531">
        <v>7</v>
      </c>
      <c r="AL6531">
        <v>3</v>
      </c>
    </row>
    <row r="6532" spans="1:38">
      <c r="A6532" s="3" t="s">
        <v>6484</v>
      </c>
      <c r="E6532">
        <v>7</v>
      </c>
      <c r="AL6532">
        <v>3</v>
      </c>
    </row>
    <row r="6533" spans="1:38">
      <c r="A6533" s="3" t="s">
        <v>6485</v>
      </c>
      <c r="E6533">
        <v>7</v>
      </c>
      <c r="AL6533">
        <v>3</v>
      </c>
    </row>
    <row r="6534" spans="1:38">
      <c r="A6534" s="3" t="s">
        <v>6486</v>
      </c>
      <c r="E6534">
        <v>7</v>
      </c>
      <c r="AL6534">
        <v>3</v>
      </c>
    </row>
    <row r="6535" spans="1:38">
      <c r="A6535" s="3" t="s">
        <v>6487</v>
      </c>
      <c r="E6535">
        <v>7</v>
      </c>
      <c r="AL6535">
        <v>3</v>
      </c>
    </row>
    <row r="6536" spans="1:38">
      <c r="A6536" s="3" t="s">
        <v>6488</v>
      </c>
      <c r="E6536">
        <v>7</v>
      </c>
      <c r="AL6536">
        <v>3</v>
      </c>
    </row>
    <row r="6537" spans="1:38">
      <c r="A6537" s="3" t="s">
        <v>6489</v>
      </c>
      <c r="E6537">
        <v>7</v>
      </c>
      <c r="AL6537">
        <v>3</v>
      </c>
    </row>
    <row r="6538" spans="1:38">
      <c r="A6538" s="3" t="s">
        <v>6490</v>
      </c>
      <c r="E6538">
        <v>7</v>
      </c>
      <c r="AL6538">
        <v>3</v>
      </c>
    </row>
    <row r="6539" spans="1:38">
      <c r="A6539" s="3" t="s">
        <v>6491</v>
      </c>
      <c r="E6539">
        <v>7</v>
      </c>
      <c r="AL6539">
        <v>3</v>
      </c>
    </row>
    <row r="6540" spans="1:38">
      <c r="A6540" s="3" t="s">
        <v>6492</v>
      </c>
      <c r="E6540">
        <v>7</v>
      </c>
      <c r="AL6540">
        <v>3</v>
      </c>
    </row>
    <row r="6541" spans="1:38">
      <c r="A6541" s="3" t="s">
        <v>6493</v>
      </c>
      <c r="E6541">
        <v>7</v>
      </c>
      <c r="AL6541">
        <v>3</v>
      </c>
    </row>
    <row r="6542" spans="1:38">
      <c r="A6542" s="3" t="s">
        <v>6494</v>
      </c>
      <c r="E6542">
        <v>7</v>
      </c>
      <c r="AL6542">
        <v>3</v>
      </c>
    </row>
    <row r="6543" spans="1:38">
      <c r="A6543" s="3" t="s">
        <v>6495</v>
      </c>
      <c r="E6543">
        <v>7</v>
      </c>
      <c r="AL6543">
        <v>3</v>
      </c>
    </row>
    <row r="6544" spans="1:38">
      <c r="A6544" s="3" t="s">
        <v>6496</v>
      </c>
      <c r="E6544">
        <v>7</v>
      </c>
      <c r="AL6544">
        <v>3</v>
      </c>
    </row>
    <row r="6545" spans="1:38">
      <c r="A6545" s="3" t="s">
        <v>6497</v>
      </c>
      <c r="E6545">
        <v>7</v>
      </c>
      <c r="AL6545">
        <v>3</v>
      </c>
    </row>
    <row r="6546" spans="1:38">
      <c r="A6546" s="3" t="s">
        <v>6498</v>
      </c>
      <c r="E6546">
        <v>7</v>
      </c>
      <c r="AL6546">
        <v>3</v>
      </c>
    </row>
    <row r="6547" spans="1:38">
      <c r="A6547" s="3" t="s">
        <v>6499</v>
      </c>
      <c r="E6547">
        <v>7</v>
      </c>
      <c r="AL6547">
        <v>3</v>
      </c>
    </row>
    <row r="6548" spans="1:38">
      <c r="A6548" s="3" t="s">
        <v>6500</v>
      </c>
      <c r="E6548">
        <v>7</v>
      </c>
      <c r="AL6548">
        <v>3</v>
      </c>
    </row>
    <row r="6549" spans="1:38">
      <c r="A6549" s="3" t="s">
        <v>6501</v>
      </c>
      <c r="E6549">
        <v>7</v>
      </c>
      <c r="AL6549">
        <v>3</v>
      </c>
    </row>
    <row r="6550" spans="1:38">
      <c r="A6550" s="3" t="s">
        <v>6502</v>
      </c>
      <c r="E6550">
        <v>7</v>
      </c>
      <c r="AL6550">
        <v>3</v>
      </c>
    </row>
    <row r="6551" spans="1:38">
      <c r="A6551" s="3" t="s">
        <v>6503</v>
      </c>
      <c r="E6551">
        <v>7</v>
      </c>
      <c r="AL6551">
        <v>3</v>
      </c>
    </row>
    <row r="6552" spans="1:38">
      <c r="A6552" s="3" t="s">
        <v>6504</v>
      </c>
      <c r="E6552">
        <v>7</v>
      </c>
      <c r="AL6552">
        <v>3</v>
      </c>
    </row>
    <row r="6553" spans="1:38">
      <c r="A6553" s="3" t="s">
        <v>6505</v>
      </c>
      <c r="E6553">
        <v>7</v>
      </c>
      <c r="AL6553">
        <v>3</v>
      </c>
    </row>
    <row r="6554" spans="1:38">
      <c r="A6554" s="3" t="s">
        <v>6506</v>
      </c>
      <c r="E6554">
        <v>7</v>
      </c>
      <c r="AL6554">
        <v>3</v>
      </c>
    </row>
    <row r="6555" spans="1:38">
      <c r="A6555" s="3" t="s">
        <v>6507</v>
      </c>
      <c r="E6555">
        <v>7</v>
      </c>
      <c r="AL6555">
        <v>3</v>
      </c>
    </row>
    <row r="6556" spans="1:38">
      <c r="A6556" s="3" t="s">
        <v>6508</v>
      </c>
      <c r="E6556">
        <v>7</v>
      </c>
      <c r="AL6556">
        <v>3</v>
      </c>
    </row>
    <row r="6557" spans="1:38">
      <c r="A6557" s="3" t="s">
        <v>6509</v>
      </c>
      <c r="E6557">
        <v>7</v>
      </c>
      <c r="AL6557">
        <v>3</v>
      </c>
    </row>
    <row r="6558" spans="1:38">
      <c r="A6558" s="3" t="s">
        <v>6510</v>
      </c>
      <c r="E6558">
        <v>7</v>
      </c>
      <c r="AL6558">
        <v>3</v>
      </c>
    </row>
    <row r="6559" spans="1:38">
      <c r="A6559" s="3" t="s">
        <v>6511</v>
      </c>
      <c r="E6559">
        <v>7</v>
      </c>
      <c r="AL6559">
        <v>3</v>
      </c>
    </row>
    <row r="6560" spans="1:38">
      <c r="A6560" s="3" t="s">
        <v>6512</v>
      </c>
      <c r="E6560">
        <v>7</v>
      </c>
      <c r="AL6560">
        <v>3</v>
      </c>
    </row>
    <row r="6561" spans="1:39">
      <c r="A6561" s="3" t="s">
        <v>6513</v>
      </c>
      <c r="E6561">
        <v>7</v>
      </c>
      <c r="AL6561">
        <v>3</v>
      </c>
    </row>
    <row r="6562" spans="1:39">
      <c r="A6562" s="3" t="s">
        <v>6514</v>
      </c>
      <c r="E6562">
        <v>7</v>
      </c>
      <c r="AL6562">
        <v>3</v>
      </c>
    </row>
    <row r="6563" spans="1:39">
      <c r="A6563" s="3" t="s">
        <v>6515</v>
      </c>
      <c r="E6563">
        <v>7</v>
      </c>
      <c r="AL6563">
        <v>3</v>
      </c>
    </row>
    <row r="6564" spans="1:39">
      <c r="A6564" s="3" t="s">
        <v>6516</v>
      </c>
      <c r="E6564">
        <v>7</v>
      </c>
      <c r="AL6564">
        <v>3</v>
      </c>
    </row>
    <row r="6565" spans="1:39">
      <c r="A6565" s="3" t="s">
        <v>6517</v>
      </c>
      <c r="E6565">
        <v>7</v>
      </c>
      <c r="AM6565">
        <v>1</v>
      </c>
    </row>
    <row r="6566" spans="1:39">
      <c r="A6566" s="3" t="s">
        <v>6518</v>
      </c>
      <c r="E6566">
        <v>7</v>
      </c>
      <c r="AM6566">
        <v>1</v>
      </c>
    </row>
    <row r="6567" spans="1:39">
      <c r="A6567" s="3" t="s">
        <v>6519</v>
      </c>
      <c r="E6567">
        <v>7</v>
      </c>
      <c r="AM6567">
        <v>1</v>
      </c>
    </row>
    <row r="6568" spans="1:39">
      <c r="A6568" s="3" t="s">
        <v>6520</v>
      </c>
      <c r="E6568">
        <v>7</v>
      </c>
      <c r="AM6568">
        <v>1</v>
      </c>
    </row>
    <row r="6569" spans="1:39">
      <c r="A6569" s="3" t="s">
        <v>6521</v>
      </c>
      <c r="E6569">
        <v>7</v>
      </c>
      <c r="AM6569">
        <v>1</v>
      </c>
    </row>
    <row r="6570" spans="1:39">
      <c r="A6570" s="3" t="s">
        <v>6522</v>
      </c>
      <c r="E6570">
        <v>7</v>
      </c>
      <c r="AM6570">
        <v>1</v>
      </c>
    </row>
    <row r="6571" spans="1:39">
      <c r="A6571" s="3" t="s">
        <v>6523</v>
      </c>
      <c r="E6571">
        <v>7</v>
      </c>
      <c r="AM6571">
        <v>1</v>
      </c>
    </row>
    <row r="6572" spans="1:39">
      <c r="A6572" s="3" t="s">
        <v>6524</v>
      </c>
      <c r="E6572">
        <v>7</v>
      </c>
      <c r="AM6572">
        <v>1</v>
      </c>
    </row>
    <row r="6573" spans="1:39">
      <c r="A6573" s="3" t="s">
        <v>6525</v>
      </c>
      <c r="E6573">
        <v>7</v>
      </c>
      <c r="AM6573">
        <v>1</v>
      </c>
    </row>
    <row r="6574" spans="1:39">
      <c r="A6574" s="3" t="s">
        <v>6526</v>
      </c>
      <c r="E6574">
        <v>7</v>
      </c>
      <c r="AM6574">
        <v>1</v>
      </c>
    </row>
    <row r="6575" spans="1:39">
      <c r="A6575" s="3" t="s">
        <v>6527</v>
      </c>
      <c r="E6575">
        <v>7</v>
      </c>
      <c r="AM6575">
        <v>1</v>
      </c>
    </row>
    <row r="6576" spans="1:39">
      <c r="A6576" s="3" t="s">
        <v>6528</v>
      </c>
      <c r="E6576">
        <v>7</v>
      </c>
      <c r="AM6576">
        <v>1</v>
      </c>
    </row>
    <row r="6577" spans="1:39">
      <c r="A6577" s="3" t="s">
        <v>6529</v>
      </c>
      <c r="E6577">
        <v>7</v>
      </c>
      <c r="AM6577">
        <v>1</v>
      </c>
    </row>
    <row r="6578" spans="1:39">
      <c r="A6578" s="3" t="s">
        <v>6530</v>
      </c>
      <c r="E6578">
        <v>7</v>
      </c>
      <c r="AM6578">
        <v>1</v>
      </c>
    </row>
    <row r="6579" spans="1:39">
      <c r="A6579" s="3" t="s">
        <v>6531</v>
      </c>
      <c r="E6579">
        <v>7</v>
      </c>
      <c r="AM6579">
        <v>1</v>
      </c>
    </row>
    <row r="6580" spans="1:39">
      <c r="A6580" s="3" t="s">
        <v>6532</v>
      </c>
      <c r="E6580">
        <v>7</v>
      </c>
      <c r="AM6580">
        <v>1</v>
      </c>
    </row>
    <row r="6581" spans="1:39">
      <c r="A6581" s="3" t="s">
        <v>6533</v>
      </c>
      <c r="E6581">
        <v>7</v>
      </c>
      <c r="AM6581">
        <v>1</v>
      </c>
    </row>
    <row r="6582" spans="1:39">
      <c r="A6582" s="3" t="s">
        <v>6534</v>
      </c>
      <c r="E6582">
        <v>7</v>
      </c>
      <c r="AM6582">
        <v>1</v>
      </c>
    </row>
    <row r="6583" spans="1:39">
      <c r="A6583" s="3" t="s">
        <v>6535</v>
      </c>
      <c r="E6583">
        <v>7</v>
      </c>
      <c r="AM6583">
        <v>1</v>
      </c>
    </row>
    <row r="6584" spans="1:39">
      <c r="A6584" s="3" t="s">
        <v>6536</v>
      </c>
      <c r="E6584">
        <v>7</v>
      </c>
      <c r="AM6584">
        <v>1</v>
      </c>
    </row>
    <row r="6585" spans="1:39">
      <c r="A6585" s="3" t="s">
        <v>6537</v>
      </c>
      <c r="E6585">
        <v>7</v>
      </c>
      <c r="AM6585">
        <v>1</v>
      </c>
    </row>
    <row r="6586" spans="1:39">
      <c r="A6586" s="3" t="s">
        <v>6538</v>
      </c>
      <c r="E6586">
        <v>7</v>
      </c>
      <c r="AM6586">
        <v>1</v>
      </c>
    </row>
    <row r="6587" spans="1:39">
      <c r="A6587" s="3" t="s">
        <v>6539</v>
      </c>
      <c r="E6587">
        <v>7</v>
      </c>
      <c r="AM6587">
        <v>1</v>
      </c>
    </row>
    <row r="6588" spans="1:39">
      <c r="A6588" s="3" t="s">
        <v>6540</v>
      </c>
      <c r="E6588">
        <v>7</v>
      </c>
      <c r="AM6588">
        <v>1</v>
      </c>
    </row>
    <row r="6589" spans="1:39">
      <c r="A6589" s="3" t="s">
        <v>6541</v>
      </c>
      <c r="E6589">
        <v>7</v>
      </c>
      <c r="AM6589">
        <v>1</v>
      </c>
    </row>
    <row r="6590" spans="1:39">
      <c r="A6590" s="3" t="s">
        <v>6542</v>
      </c>
      <c r="E6590">
        <v>7</v>
      </c>
      <c r="AM6590">
        <v>1</v>
      </c>
    </row>
    <row r="6591" spans="1:39">
      <c r="A6591" s="3" t="s">
        <v>6543</v>
      </c>
      <c r="E6591">
        <v>7</v>
      </c>
      <c r="AM6591">
        <v>1</v>
      </c>
    </row>
    <row r="6592" spans="1:39">
      <c r="A6592" s="3" t="s">
        <v>6544</v>
      </c>
      <c r="E6592">
        <v>7</v>
      </c>
      <c r="AM6592">
        <v>1</v>
      </c>
    </row>
    <row r="6593" spans="1:39">
      <c r="A6593" s="3" t="s">
        <v>6545</v>
      </c>
      <c r="E6593">
        <v>7</v>
      </c>
      <c r="AM6593">
        <v>1</v>
      </c>
    </row>
    <row r="6594" spans="1:39">
      <c r="A6594" s="3" t="s">
        <v>6546</v>
      </c>
      <c r="E6594">
        <v>7</v>
      </c>
      <c r="AM6594">
        <v>1</v>
      </c>
    </row>
    <row r="6595" spans="1:39">
      <c r="A6595" s="3" t="s">
        <v>6547</v>
      </c>
      <c r="E6595">
        <v>7</v>
      </c>
      <c r="AM6595">
        <v>1</v>
      </c>
    </row>
    <row r="6596" spans="1:39">
      <c r="A6596" s="3" t="s">
        <v>6548</v>
      </c>
      <c r="E6596">
        <v>7</v>
      </c>
      <c r="AM6596">
        <v>1</v>
      </c>
    </row>
    <row r="6597" spans="1:39">
      <c r="A6597" s="3" t="s">
        <v>6549</v>
      </c>
      <c r="E6597">
        <v>7</v>
      </c>
      <c r="AM6597">
        <v>1</v>
      </c>
    </row>
    <row r="6598" spans="1:39">
      <c r="A6598" s="3" t="s">
        <v>6550</v>
      </c>
      <c r="E6598">
        <v>7</v>
      </c>
      <c r="AM6598">
        <v>1</v>
      </c>
    </row>
    <row r="6599" spans="1:39">
      <c r="A6599" s="3" t="s">
        <v>6551</v>
      </c>
      <c r="E6599">
        <v>7</v>
      </c>
      <c r="AM6599">
        <v>1</v>
      </c>
    </row>
    <row r="6600" spans="1:39">
      <c r="A6600" s="3" t="s">
        <v>6552</v>
      </c>
      <c r="E6600">
        <v>7</v>
      </c>
      <c r="AM6600">
        <v>1</v>
      </c>
    </row>
    <row r="6601" spans="1:39">
      <c r="A6601" s="3" t="s">
        <v>6553</v>
      </c>
      <c r="E6601">
        <v>7</v>
      </c>
      <c r="AM6601">
        <v>1</v>
      </c>
    </row>
    <row r="6602" spans="1:39">
      <c r="A6602" s="3" t="s">
        <v>6554</v>
      </c>
      <c r="E6602">
        <v>7</v>
      </c>
      <c r="AM6602">
        <v>1</v>
      </c>
    </row>
    <row r="6603" spans="1:39">
      <c r="A6603" s="3" t="s">
        <v>6555</v>
      </c>
      <c r="E6603">
        <v>7</v>
      </c>
      <c r="AM6603">
        <v>1</v>
      </c>
    </row>
    <row r="6604" spans="1:39">
      <c r="A6604" s="3" t="s">
        <v>6556</v>
      </c>
      <c r="E6604">
        <v>7</v>
      </c>
      <c r="AM6604">
        <v>1</v>
      </c>
    </row>
    <row r="6605" spans="1:39">
      <c r="A6605" s="3" t="s">
        <v>6557</v>
      </c>
      <c r="E6605">
        <v>7</v>
      </c>
      <c r="AM6605">
        <v>1</v>
      </c>
    </row>
    <row r="6606" spans="1:39">
      <c r="A6606" s="3" t="s">
        <v>6558</v>
      </c>
      <c r="E6606">
        <v>7</v>
      </c>
      <c r="AM6606">
        <v>1</v>
      </c>
    </row>
    <row r="6607" spans="1:39">
      <c r="A6607" s="3" t="s">
        <v>6559</v>
      </c>
      <c r="E6607">
        <v>7</v>
      </c>
      <c r="AM6607">
        <v>1</v>
      </c>
    </row>
    <row r="6608" spans="1:39">
      <c r="A6608" s="3" t="s">
        <v>6560</v>
      </c>
      <c r="E6608">
        <v>7</v>
      </c>
      <c r="AM6608">
        <v>1</v>
      </c>
    </row>
    <row r="6609" spans="1:39">
      <c r="A6609" s="3" t="s">
        <v>6561</v>
      </c>
      <c r="E6609">
        <v>7</v>
      </c>
      <c r="AM6609">
        <v>1</v>
      </c>
    </row>
    <row r="6610" spans="1:39">
      <c r="A6610" s="3" t="s">
        <v>6562</v>
      </c>
      <c r="E6610">
        <v>7</v>
      </c>
      <c r="AM6610">
        <v>1</v>
      </c>
    </row>
    <row r="6611" spans="1:39">
      <c r="A6611" s="3" t="s">
        <v>6563</v>
      </c>
      <c r="E6611">
        <v>7</v>
      </c>
      <c r="AM6611">
        <v>1</v>
      </c>
    </row>
    <row r="6612" spans="1:39">
      <c r="A6612" s="3" t="s">
        <v>6564</v>
      </c>
      <c r="E6612">
        <v>7</v>
      </c>
      <c r="AM6612">
        <v>1</v>
      </c>
    </row>
    <row r="6613" spans="1:39">
      <c r="A6613" s="3" t="s">
        <v>6565</v>
      </c>
      <c r="E6613">
        <v>7</v>
      </c>
      <c r="AM6613">
        <v>1</v>
      </c>
    </row>
    <row r="6614" spans="1:39">
      <c r="A6614" s="3" t="s">
        <v>6566</v>
      </c>
      <c r="E6614">
        <v>7</v>
      </c>
      <c r="AM6614">
        <v>1</v>
      </c>
    </row>
    <row r="6615" spans="1:39">
      <c r="A6615" s="3" t="s">
        <v>6567</v>
      </c>
      <c r="E6615">
        <v>7</v>
      </c>
      <c r="AM6615">
        <v>1</v>
      </c>
    </row>
    <row r="6616" spans="1:39">
      <c r="A6616" s="3" t="s">
        <v>6568</v>
      </c>
      <c r="E6616">
        <v>7</v>
      </c>
      <c r="AM6616">
        <v>1</v>
      </c>
    </row>
    <row r="6617" spans="1:39">
      <c r="A6617" s="3" t="s">
        <v>6569</v>
      </c>
      <c r="E6617">
        <v>7</v>
      </c>
      <c r="AM6617">
        <v>1</v>
      </c>
    </row>
    <row r="6618" spans="1:39">
      <c r="A6618" s="3" t="s">
        <v>6570</v>
      </c>
      <c r="E6618">
        <v>7</v>
      </c>
      <c r="AM6618">
        <v>1</v>
      </c>
    </row>
    <row r="6619" spans="1:39">
      <c r="A6619" s="3" t="s">
        <v>6571</v>
      </c>
      <c r="E6619">
        <v>7</v>
      </c>
      <c r="AM6619">
        <v>1</v>
      </c>
    </row>
    <row r="6620" spans="1:39">
      <c r="A6620" s="3" t="s">
        <v>6572</v>
      </c>
      <c r="E6620">
        <v>7</v>
      </c>
      <c r="AM6620">
        <v>1</v>
      </c>
    </row>
    <row r="6621" spans="1:39">
      <c r="A6621" s="3" t="s">
        <v>6573</v>
      </c>
      <c r="E6621">
        <v>7</v>
      </c>
      <c r="AM6621">
        <v>1</v>
      </c>
    </row>
    <row r="6622" spans="1:39">
      <c r="A6622" s="3" t="s">
        <v>6574</v>
      </c>
      <c r="E6622">
        <v>7</v>
      </c>
      <c r="AM6622">
        <v>1</v>
      </c>
    </row>
    <row r="6623" spans="1:39">
      <c r="A6623" s="3" t="s">
        <v>6575</v>
      </c>
      <c r="E6623">
        <v>7</v>
      </c>
      <c r="AM6623">
        <v>1</v>
      </c>
    </row>
    <row r="6624" spans="1:39">
      <c r="A6624" s="3" t="s">
        <v>6576</v>
      </c>
      <c r="E6624">
        <v>7</v>
      </c>
      <c r="AM6624">
        <v>1</v>
      </c>
    </row>
    <row r="6625" spans="1:39">
      <c r="A6625" s="3" t="s">
        <v>6577</v>
      </c>
      <c r="E6625">
        <v>7</v>
      </c>
      <c r="AM6625">
        <v>1</v>
      </c>
    </row>
    <row r="6626" spans="1:39">
      <c r="A6626" s="3" t="s">
        <v>6578</v>
      </c>
      <c r="E6626">
        <v>7</v>
      </c>
      <c r="AM6626">
        <v>1</v>
      </c>
    </row>
    <row r="6627" spans="1:39">
      <c r="A6627" s="3" t="s">
        <v>6579</v>
      </c>
      <c r="E6627">
        <v>7</v>
      </c>
      <c r="AM6627">
        <v>1</v>
      </c>
    </row>
    <row r="6628" spans="1:39">
      <c r="A6628" s="3" t="s">
        <v>6580</v>
      </c>
      <c r="E6628">
        <v>7</v>
      </c>
      <c r="AM6628">
        <v>1</v>
      </c>
    </row>
    <row r="6629" spans="1:39">
      <c r="A6629" s="3" t="s">
        <v>6581</v>
      </c>
      <c r="E6629">
        <v>7</v>
      </c>
      <c r="AM6629">
        <v>1</v>
      </c>
    </row>
    <row r="6630" spans="1:39">
      <c r="A6630" s="3" t="s">
        <v>6582</v>
      </c>
      <c r="E6630">
        <v>7</v>
      </c>
      <c r="AM6630">
        <v>1</v>
      </c>
    </row>
    <row r="6631" spans="1:39">
      <c r="A6631" s="3" t="s">
        <v>6583</v>
      </c>
      <c r="E6631">
        <v>7</v>
      </c>
      <c r="AM6631">
        <v>1</v>
      </c>
    </row>
    <row r="6632" spans="1:39">
      <c r="A6632" s="3" t="s">
        <v>6584</v>
      </c>
      <c r="E6632">
        <v>7</v>
      </c>
      <c r="AM6632">
        <v>1</v>
      </c>
    </row>
    <row r="6633" spans="1:39">
      <c r="A6633" s="3" t="s">
        <v>6585</v>
      </c>
      <c r="E6633">
        <v>7</v>
      </c>
      <c r="AM6633">
        <v>1</v>
      </c>
    </row>
    <row r="6634" spans="1:39">
      <c r="A6634" s="3" t="s">
        <v>6586</v>
      </c>
      <c r="E6634">
        <v>7</v>
      </c>
      <c r="AM6634">
        <v>1</v>
      </c>
    </row>
    <row r="6635" spans="1:39">
      <c r="A6635" s="3" t="s">
        <v>6587</v>
      </c>
      <c r="E6635">
        <v>7</v>
      </c>
      <c r="AM6635">
        <v>1</v>
      </c>
    </row>
    <row r="6636" spans="1:39">
      <c r="A6636" s="3" t="s">
        <v>6588</v>
      </c>
      <c r="E6636">
        <v>7</v>
      </c>
      <c r="AM6636">
        <v>1</v>
      </c>
    </row>
    <row r="6637" spans="1:39">
      <c r="A6637" s="3" t="s">
        <v>6589</v>
      </c>
      <c r="E6637">
        <v>7</v>
      </c>
      <c r="AM6637">
        <v>1</v>
      </c>
    </row>
    <row r="6638" spans="1:39">
      <c r="A6638" s="3" t="s">
        <v>6590</v>
      </c>
      <c r="E6638">
        <v>7</v>
      </c>
      <c r="AM6638">
        <v>1</v>
      </c>
    </row>
    <row r="6639" spans="1:39">
      <c r="A6639" s="3" t="s">
        <v>6591</v>
      </c>
      <c r="E6639">
        <v>7</v>
      </c>
      <c r="AM6639">
        <v>1</v>
      </c>
    </row>
    <row r="6640" spans="1:39">
      <c r="A6640" s="3" t="s">
        <v>6592</v>
      </c>
      <c r="E6640">
        <v>7</v>
      </c>
      <c r="AM6640">
        <v>1</v>
      </c>
    </row>
    <row r="6641" spans="1:39">
      <c r="A6641" s="3" t="s">
        <v>6593</v>
      </c>
      <c r="E6641">
        <v>7</v>
      </c>
      <c r="AM6641">
        <v>1</v>
      </c>
    </row>
    <row r="6642" spans="1:39">
      <c r="A6642" s="3" t="s">
        <v>6594</v>
      </c>
      <c r="E6642">
        <v>7</v>
      </c>
      <c r="AM6642">
        <v>1</v>
      </c>
    </row>
    <row r="6643" spans="1:39">
      <c r="A6643" s="3" t="s">
        <v>6595</v>
      </c>
      <c r="E6643">
        <v>7</v>
      </c>
      <c r="AM6643">
        <v>1</v>
      </c>
    </row>
    <row r="6644" spans="1:39">
      <c r="A6644" s="3" t="s">
        <v>6596</v>
      </c>
      <c r="E6644">
        <v>7</v>
      </c>
      <c r="AM6644">
        <v>1</v>
      </c>
    </row>
    <row r="6645" spans="1:39">
      <c r="A6645" s="3" t="s">
        <v>6597</v>
      </c>
      <c r="E6645">
        <v>7</v>
      </c>
      <c r="AM6645">
        <v>1</v>
      </c>
    </row>
    <row r="6646" spans="1:39">
      <c r="A6646" s="3" t="s">
        <v>6598</v>
      </c>
      <c r="E6646">
        <v>7</v>
      </c>
      <c r="AM6646">
        <v>1</v>
      </c>
    </row>
    <row r="6647" spans="1:39">
      <c r="A6647" s="3" t="s">
        <v>6599</v>
      </c>
      <c r="E6647">
        <v>7</v>
      </c>
      <c r="AM6647">
        <v>1</v>
      </c>
    </row>
    <row r="6648" spans="1:39">
      <c r="A6648" s="3" t="s">
        <v>6600</v>
      </c>
      <c r="E6648">
        <v>7</v>
      </c>
      <c r="AM6648">
        <v>1</v>
      </c>
    </row>
    <row r="6649" spans="1:39">
      <c r="A6649" s="3" t="s">
        <v>6601</v>
      </c>
      <c r="E6649">
        <v>7</v>
      </c>
      <c r="AM6649">
        <v>1</v>
      </c>
    </row>
    <row r="6650" spans="1:39">
      <c r="A6650" s="3" t="s">
        <v>6602</v>
      </c>
      <c r="E6650">
        <v>7</v>
      </c>
      <c r="AM6650">
        <v>1</v>
      </c>
    </row>
    <row r="6651" spans="1:39">
      <c r="A6651" s="3" t="s">
        <v>6603</v>
      </c>
      <c r="E6651">
        <v>7</v>
      </c>
      <c r="AM6651">
        <v>1</v>
      </c>
    </row>
    <row r="6652" spans="1:39">
      <c r="A6652" s="3" t="s">
        <v>6604</v>
      </c>
      <c r="E6652">
        <v>7</v>
      </c>
      <c r="AM6652">
        <v>1</v>
      </c>
    </row>
    <row r="6653" spans="1:39">
      <c r="A6653" s="3" t="s">
        <v>6605</v>
      </c>
      <c r="E6653">
        <v>7</v>
      </c>
      <c r="AM6653">
        <v>1</v>
      </c>
    </row>
    <row r="6654" spans="1:39">
      <c r="A6654" s="3" t="s">
        <v>6606</v>
      </c>
      <c r="E6654">
        <v>7</v>
      </c>
      <c r="AM6654">
        <v>1</v>
      </c>
    </row>
    <row r="6655" spans="1:39">
      <c r="A6655" s="3" t="s">
        <v>6607</v>
      </c>
      <c r="E6655">
        <v>7</v>
      </c>
      <c r="AM6655">
        <v>1</v>
      </c>
    </row>
    <row r="6656" spans="1:39">
      <c r="A6656" s="3" t="s">
        <v>6608</v>
      </c>
      <c r="E6656">
        <v>7</v>
      </c>
      <c r="AM6656">
        <v>1</v>
      </c>
    </row>
    <row r="6657" spans="1:39">
      <c r="A6657" s="3" t="s">
        <v>6609</v>
      </c>
      <c r="E6657">
        <v>7</v>
      </c>
      <c r="AM6657">
        <v>1</v>
      </c>
    </row>
    <row r="6658" spans="1:39">
      <c r="A6658" s="3" t="s">
        <v>6610</v>
      </c>
      <c r="E6658">
        <v>7</v>
      </c>
      <c r="AM6658">
        <v>1</v>
      </c>
    </row>
    <row r="6659" spans="1:39">
      <c r="A6659" s="3" t="s">
        <v>6611</v>
      </c>
      <c r="E6659">
        <v>7</v>
      </c>
      <c r="AM6659">
        <v>1</v>
      </c>
    </row>
    <row r="6660" spans="1:39">
      <c r="A6660" s="3" t="s">
        <v>6612</v>
      </c>
      <c r="E6660">
        <v>7</v>
      </c>
      <c r="AM6660">
        <v>1</v>
      </c>
    </row>
    <row r="6661" spans="1:39">
      <c r="A6661" s="3" t="s">
        <v>6613</v>
      </c>
      <c r="E6661">
        <v>7</v>
      </c>
      <c r="AM6661">
        <v>1</v>
      </c>
    </row>
    <row r="6662" spans="1:39">
      <c r="A6662" s="3" t="s">
        <v>6614</v>
      </c>
      <c r="E6662">
        <v>7</v>
      </c>
      <c r="AM6662">
        <v>1</v>
      </c>
    </row>
    <row r="6663" spans="1:39">
      <c r="A6663" s="3" t="s">
        <v>6615</v>
      </c>
      <c r="E6663">
        <v>7</v>
      </c>
      <c r="AM6663">
        <v>1</v>
      </c>
    </row>
    <row r="6664" spans="1:39">
      <c r="A6664" s="3" t="s">
        <v>6616</v>
      </c>
      <c r="E6664">
        <v>7</v>
      </c>
      <c r="AM6664">
        <v>1</v>
      </c>
    </row>
    <row r="6665" spans="1:39">
      <c r="A6665" s="3" t="s">
        <v>6617</v>
      </c>
      <c r="E6665">
        <v>7</v>
      </c>
      <c r="AM6665">
        <v>1</v>
      </c>
    </row>
    <row r="6666" spans="1:39">
      <c r="A6666" s="3" t="s">
        <v>6618</v>
      </c>
      <c r="E6666">
        <v>7</v>
      </c>
      <c r="AM6666">
        <v>1</v>
      </c>
    </row>
    <row r="6667" spans="1:39">
      <c r="A6667" s="3" t="s">
        <v>6619</v>
      </c>
      <c r="E6667">
        <v>7</v>
      </c>
      <c r="AM6667">
        <v>1</v>
      </c>
    </row>
    <row r="6668" spans="1:39">
      <c r="A6668" s="3" t="s">
        <v>6620</v>
      </c>
      <c r="E6668">
        <v>7</v>
      </c>
      <c r="AM6668">
        <v>1</v>
      </c>
    </row>
    <row r="6669" spans="1:39">
      <c r="A6669" s="3" t="s">
        <v>6621</v>
      </c>
      <c r="E6669">
        <v>7</v>
      </c>
      <c r="AM6669">
        <v>1</v>
      </c>
    </row>
    <row r="6670" spans="1:39">
      <c r="A6670" s="3" t="s">
        <v>6622</v>
      </c>
      <c r="E6670">
        <v>7</v>
      </c>
      <c r="AM6670">
        <v>1</v>
      </c>
    </row>
    <row r="6671" spans="1:39">
      <c r="A6671" s="3" t="s">
        <v>6623</v>
      </c>
      <c r="E6671">
        <v>7</v>
      </c>
      <c r="AM6671">
        <v>1</v>
      </c>
    </row>
    <row r="6672" spans="1:39">
      <c r="A6672" s="3" t="s">
        <v>6624</v>
      </c>
      <c r="E6672">
        <v>7</v>
      </c>
      <c r="AM6672">
        <v>1</v>
      </c>
    </row>
    <row r="6673" spans="1:39">
      <c r="A6673" s="3" t="s">
        <v>6625</v>
      </c>
      <c r="E6673">
        <v>7</v>
      </c>
      <c r="AM6673">
        <v>1</v>
      </c>
    </row>
    <row r="6674" spans="1:39">
      <c r="A6674" s="3" t="s">
        <v>6626</v>
      </c>
      <c r="E6674">
        <v>7</v>
      </c>
      <c r="AM6674">
        <v>1</v>
      </c>
    </row>
    <row r="6675" spans="1:39">
      <c r="A6675" s="3" t="s">
        <v>6627</v>
      </c>
      <c r="E6675">
        <v>7</v>
      </c>
      <c r="AM6675">
        <v>1</v>
      </c>
    </row>
    <row r="6676" spans="1:39">
      <c r="A6676" s="3" t="s">
        <v>6628</v>
      </c>
      <c r="E6676">
        <v>7</v>
      </c>
      <c r="AM6676">
        <v>1</v>
      </c>
    </row>
    <row r="6677" spans="1:39">
      <c r="A6677" s="3" t="s">
        <v>6629</v>
      </c>
      <c r="E6677">
        <v>7</v>
      </c>
      <c r="AM6677">
        <v>1</v>
      </c>
    </row>
    <row r="6678" spans="1:39">
      <c r="A6678" s="3" t="s">
        <v>6630</v>
      </c>
      <c r="E6678">
        <v>7</v>
      </c>
      <c r="AM6678">
        <v>1</v>
      </c>
    </row>
    <row r="6679" spans="1:39">
      <c r="A6679" s="3" t="s">
        <v>6631</v>
      </c>
      <c r="E6679">
        <v>7</v>
      </c>
      <c r="AM6679">
        <v>1</v>
      </c>
    </row>
    <row r="6680" spans="1:39">
      <c r="A6680" s="3" t="s">
        <v>6632</v>
      </c>
      <c r="E6680">
        <v>7</v>
      </c>
      <c r="AM6680">
        <v>1</v>
      </c>
    </row>
    <row r="6681" spans="1:39">
      <c r="A6681" s="3" t="s">
        <v>6633</v>
      </c>
      <c r="E6681">
        <v>7</v>
      </c>
      <c r="AM6681">
        <v>1</v>
      </c>
    </row>
    <row r="6682" spans="1:39">
      <c r="A6682" s="3" t="s">
        <v>6634</v>
      </c>
      <c r="E6682">
        <v>7</v>
      </c>
      <c r="AM6682">
        <v>1</v>
      </c>
    </row>
    <row r="6683" spans="1:39">
      <c r="A6683" s="3" t="s">
        <v>6635</v>
      </c>
      <c r="E6683">
        <v>7</v>
      </c>
      <c r="AM6683">
        <v>1</v>
      </c>
    </row>
    <row r="6684" spans="1:39">
      <c r="A6684" s="3" t="s">
        <v>6636</v>
      </c>
      <c r="E6684">
        <v>7</v>
      </c>
      <c r="AM6684">
        <v>1</v>
      </c>
    </row>
    <row r="6685" spans="1:39">
      <c r="A6685" s="3" t="s">
        <v>6637</v>
      </c>
      <c r="E6685">
        <v>7</v>
      </c>
      <c r="AM6685">
        <v>1</v>
      </c>
    </row>
    <row r="6686" spans="1:39">
      <c r="A6686" s="3" t="s">
        <v>6638</v>
      </c>
      <c r="E6686">
        <v>7</v>
      </c>
      <c r="AM6686">
        <v>1</v>
      </c>
    </row>
    <row r="6687" spans="1:39">
      <c r="A6687" s="3" t="s">
        <v>6639</v>
      </c>
      <c r="E6687">
        <v>7</v>
      </c>
      <c r="AM6687">
        <v>1</v>
      </c>
    </row>
    <row r="6688" spans="1:39">
      <c r="A6688" s="3" t="s">
        <v>6640</v>
      </c>
      <c r="E6688">
        <v>7</v>
      </c>
      <c r="AM6688">
        <v>1</v>
      </c>
    </row>
    <row r="6689" spans="1:39">
      <c r="A6689" s="3" t="s">
        <v>6641</v>
      </c>
      <c r="E6689">
        <v>7</v>
      </c>
      <c r="AM6689">
        <v>1</v>
      </c>
    </row>
    <row r="6690" spans="1:39">
      <c r="A6690" s="3" t="s">
        <v>6642</v>
      </c>
      <c r="E6690">
        <v>7</v>
      </c>
      <c r="AM6690">
        <v>1</v>
      </c>
    </row>
    <row r="6691" spans="1:39">
      <c r="A6691" s="3" t="s">
        <v>6643</v>
      </c>
      <c r="E6691">
        <v>7</v>
      </c>
      <c r="AM6691">
        <v>1</v>
      </c>
    </row>
    <row r="6692" spans="1:39">
      <c r="A6692" s="3" t="s">
        <v>6644</v>
      </c>
      <c r="E6692">
        <v>7</v>
      </c>
      <c r="AM6692">
        <v>1</v>
      </c>
    </row>
    <row r="6693" spans="1:39">
      <c r="A6693" s="3" t="s">
        <v>6645</v>
      </c>
      <c r="E6693">
        <v>7</v>
      </c>
      <c r="AM6693">
        <v>1</v>
      </c>
    </row>
    <row r="6694" spans="1:39">
      <c r="A6694" s="3" t="s">
        <v>6646</v>
      </c>
      <c r="E6694">
        <v>7</v>
      </c>
      <c r="AM6694">
        <v>1</v>
      </c>
    </row>
    <row r="6695" spans="1:39">
      <c r="A6695" s="3" t="s">
        <v>6647</v>
      </c>
      <c r="E6695">
        <v>7</v>
      </c>
      <c r="AM6695">
        <v>1</v>
      </c>
    </row>
    <row r="6696" spans="1:39">
      <c r="A6696" s="3" t="s">
        <v>6648</v>
      </c>
      <c r="E6696">
        <v>7</v>
      </c>
      <c r="AM6696">
        <v>1</v>
      </c>
    </row>
    <row r="6697" spans="1:39">
      <c r="A6697" s="3" t="s">
        <v>6649</v>
      </c>
      <c r="E6697">
        <v>7</v>
      </c>
      <c r="AM6697">
        <v>1</v>
      </c>
    </row>
    <row r="6698" spans="1:39">
      <c r="A6698" s="3" t="s">
        <v>6650</v>
      </c>
      <c r="E6698">
        <v>7</v>
      </c>
      <c r="AM6698">
        <v>1</v>
      </c>
    </row>
    <row r="6699" spans="1:39">
      <c r="A6699" s="3" t="s">
        <v>6651</v>
      </c>
      <c r="E6699">
        <v>7</v>
      </c>
      <c r="AM6699">
        <v>1</v>
      </c>
    </row>
    <row r="6700" spans="1:39">
      <c r="A6700" s="3" t="s">
        <v>6652</v>
      </c>
      <c r="E6700">
        <v>7</v>
      </c>
      <c r="AM6700">
        <v>1</v>
      </c>
    </row>
    <row r="6701" spans="1:39">
      <c r="A6701" s="3" t="s">
        <v>6653</v>
      </c>
      <c r="E6701">
        <v>7</v>
      </c>
      <c r="AM6701">
        <v>1</v>
      </c>
    </row>
    <row r="6702" spans="1:39">
      <c r="A6702" s="3" t="s">
        <v>6654</v>
      </c>
      <c r="E6702">
        <v>7</v>
      </c>
      <c r="AM6702">
        <v>1</v>
      </c>
    </row>
    <row r="6703" spans="1:39">
      <c r="A6703" s="3" t="s">
        <v>6655</v>
      </c>
      <c r="E6703">
        <v>7</v>
      </c>
      <c r="AM6703">
        <v>1</v>
      </c>
    </row>
    <row r="6704" spans="1:39">
      <c r="A6704" s="3" t="s">
        <v>6656</v>
      </c>
      <c r="E6704">
        <v>7</v>
      </c>
      <c r="AM6704">
        <v>1</v>
      </c>
    </row>
    <row r="6705" spans="1:39">
      <c r="A6705" s="3" t="s">
        <v>6657</v>
      </c>
      <c r="E6705">
        <v>7</v>
      </c>
      <c r="AM6705">
        <v>1</v>
      </c>
    </row>
    <row r="6706" spans="1:39">
      <c r="A6706" s="3" t="s">
        <v>6658</v>
      </c>
      <c r="E6706">
        <v>7</v>
      </c>
      <c r="AM6706">
        <v>1</v>
      </c>
    </row>
    <row r="6707" spans="1:39">
      <c r="A6707" s="3" t="s">
        <v>6659</v>
      </c>
      <c r="E6707">
        <v>7</v>
      </c>
      <c r="AM6707">
        <v>1</v>
      </c>
    </row>
    <row r="6708" spans="1:39">
      <c r="A6708" s="3" t="s">
        <v>6660</v>
      </c>
      <c r="E6708">
        <v>7</v>
      </c>
      <c r="AM6708">
        <v>1</v>
      </c>
    </row>
    <row r="6709" spans="1:39">
      <c r="A6709" s="3" t="s">
        <v>6661</v>
      </c>
      <c r="E6709">
        <v>7</v>
      </c>
      <c r="AM6709">
        <v>1</v>
      </c>
    </row>
    <row r="6710" spans="1:39">
      <c r="A6710" s="3" t="s">
        <v>6662</v>
      </c>
      <c r="E6710">
        <v>7</v>
      </c>
      <c r="AM6710">
        <v>1</v>
      </c>
    </row>
    <row r="6711" spans="1:39">
      <c r="A6711" s="3" t="s">
        <v>6663</v>
      </c>
      <c r="E6711">
        <v>7</v>
      </c>
      <c r="AM6711">
        <v>1</v>
      </c>
    </row>
    <row r="6712" spans="1:39">
      <c r="A6712" s="3" t="s">
        <v>6664</v>
      </c>
      <c r="E6712">
        <v>7</v>
      </c>
      <c r="AM6712">
        <v>1</v>
      </c>
    </row>
    <row r="6713" spans="1:39">
      <c r="A6713" s="3" t="s">
        <v>6665</v>
      </c>
      <c r="E6713">
        <v>7</v>
      </c>
      <c r="AM6713">
        <v>1</v>
      </c>
    </row>
    <row r="6714" spans="1:39">
      <c r="A6714" s="3" t="s">
        <v>6666</v>
      </c>
      <c r="E6714">
        <v>7</v>
      </c>
      <c r="AL6714">
        <v>4</v>
      </c>
    </row>
    <row r="6715" spans="1:39">
      <c r="A6715" s="3" t="s">
        <v>6667</v>
      </c>
      <c r="E6715">
        <v>7</v>
      </c>
      <c r="AL6715">
        <v>4</v>
      </c>
    </row>
    <row r="6716" spans="1:39">
      <c r="A6716" s="3" t="s">
        <v>6668</v>
      </c>
      <c r="E6716">
        <v>7</v>
      </c>
      <c r="AL6716">
        <v>4</v>
      </c>
    </row>
    <row r="6717" spans="1:39">
      <c r="A6717" s="3" t="s">
        <v>6669</v>
      </c>
      <c r="E6717">
        <v>7</v>
      </c>
      <c r="AL6717">
        <v>4</v>
      </c>
    </row>
    <row r="6718" spans="1:39">
      <c r="A6718" s="3" t="s">
        <v>6670</v>
      </c>
      <c r="E6718">
        <v>7</v>
      </c>
      <c r="AL6718">
        <v>4</v>
      </c>
    </row>
    <row r="6719" spans="1:39">
      <c r="A6719" s="3" t="s">
        <v>6671</v>
      </c>
      <c r="E6719">
        <v>7</v>
      </c>
      <c r="AL6719">
        <v>4</v>
      </c>
    </row>
    <row r="6720" spans="1:39">
      <c r="A6720" s="3" t="s">
        <v>6672</v>
      </c>
      <c r="E6720">
        <v>7</v>
      </c>
      <c r="AL6720">
        <v>4</v>
      </c>
    </row>
    <row r="6721" spans="1:38">
      <c r="A6721" s="3" t="s">
        <v>6673</v>
      </c>
      <c r="E6721">
        <v>7</v>
      </c>
      <c r="AL6721">
        <v>4</v>
      </c>
    </row>
    <row r="6722" spans="1:38">
      <c r="A6722" s="3" t="s">
        <v>6674</v>
      </c>
      <c r="E6722">
        <v>7</v>
      </c>
      <c r="AL6722">
        <v>4</v>
      </c>
    </row>
    <row r="6723" spans="1:38">
      <c r="A6723" s="3" t="s">
        <v>6675</v>
      </c>
      <c r="E6723">
        <v>7</v>
      </c>
      <c r="AL6723">
        <v>4</v>
      </c>
    </row>
    <row r="6724" spans="1:38">
      <c r="A6724" s="3" t="s">
        <v>6676</v>
      </c>
      <c r="E6724">
        <v>7</v>
      </c>
      <c r="AL6724">
        <v>4</v>
      </c>
    </row>
    <row r="6725" spans="1:38">
      <c r="A6725" s="3" t="s">
        <v>6677</v>
      </c>
      <c r="E6725">
        <v>7</v>
      </c>
      <c r="AL6725">
        <v>4</v>
      </c>
    </row>
    <row r="6726" spans="1:38">
      <c r="A6726" s="3" t="s">
        <v>6678</v>
      </c>
      <c r="E6726">
        <v>7</v>
      </c>
      <c r="AL6726">
        <v>4</v>
      </c>
    </row>
    <row r="6727" spans="1:38">
      <c r="A6727" s="3" t="s">
        <v>6679</v>
      </c>
      <c r="E6727">
        <v>7</v>
      </c>
      <c r="AL6727">
        <v>4</v>
      </c>
    </row>
    <row r="6728" spans="1:38">
      <c r="A6728" s="3" t="s">
        <v>6680</v>
      </c>
      <c r="E6728">
        <v>7</v>
      </c>
      <c r="AL6728">
        <v>4</v>
      </c>
    </row>
    <row r="6729" spans="1:38">
      <c r="A6729" s="3" t="s">
        <v>6681</v>
      </c>
      <c r="E6729">
        <v>7</v>
      </c>
      <c r="AL6729">
        <v>4</v>
      </c>
    </row>
    <row r="6730" spans="1:38">
      <c r="A6730" s="3" t="s">
        <v>6682</v>
      </c>
      <c r="E6730">
        <v>7</v>
      </c>
      <c r="AL6730">
        <v>4</v>
      </c>
    </row>
    <row r="6731" spans="1:38">
      <c r="A6731" s="3" t="s">
        <v>6683</v>
      </c>
      <c r="E6731">
        <v>7</v>
      </c>
      <c r="AL6731">
        <v>4</v>
      </c>
    </row>
    <row r="6732" spans="1:38">
      <c r="A6732" s="3" t="s">
        <v>6684</v>
      </c>
      <c r="E6732">
        <v>7</v>
      </c>
      <c r="AL6732">
        <v>4</v>
      </c>
    </row>
    <row r="6733" spans="1:38">
      <c r="A6733" s="3" t="s">
        <v>6685</v>
      </c>
      <c r="E6733">
        <v>7</v>
      </c>
      <c r="AL6733">
        <v>4</v>
      </c>
    </row>
    <row r="6734" spans="1:38">
      <c r="A6734" s="3" t="s">
        <v>6686</v>
      </c>
      <c r="E6734">
        <v>7</v>
      </c>
      <c r="AL6734">
        <v>4</v>
      </c>
    </row>
    <row r="6735" spans="1:38">
      <c r="A6735" s="3" t="s">
        <v>6687</v>
      </c>
      <c r="E6735">
        <v>7</v>
      </c>
      <c r="AL6735">
        <v>4</v>
      </c>
    </row>
    <row r="6736" spans="1:38">
      <c r="A6736" s="3" t="s">
        <v>6688</v>
      </c>
      <c r="E6736">
        <v>7</v>
      </c>
      <c r="AL6736">
        <v>4</v>
      </c>
    </row>
    <row r="6737" spans="1:38">
      <c r="A6737" s="3" t="s">
        <v>6689</v>
      </c>
      <c r="E6737">
        <v>7</v>
      </c>
      <c r="AL6737">
        <v>4</v>
      </c>
    </row>
    <row r="6738" spans="1:38">
      <c r="A6738" s="3" t="s">
        <v>6690</v>
      </c>
      <c r="E6738">
        <v>7</v>
      </c>
      <c r="AL6738">
        <v>4</v>
      </c>
    </row>
    <row r="6739" spans="1:38">
      <c r="A6739" s="3" t="s">
        <v>6691</v>
      </c>
      <c r="E6739">
        <v>7</v>
      </c>
      <c r="AL6739">
        <v>4</v>
      </c>
    </row>
    <row r="6740" spans="1:38">
      <c r="A6740" s="3" t="s">
        <v>6692</v>
      </c>
      <c r="E6740">
        <v>7</v>
      </c>
      <c r="AL6740">
        <v>4</v>
      </c>
    </row>
    <row r="6741" spans="1:38">
      <c r="A6741" s="3" t="s">
        <v>6693</v>
      </c>
      <c r="E6741">
        <v>7</v>
      </c>
      <c r="AL6741">
        <v>4</v>
      </c>
    </row>
    <row r="6742" spans="1:38">
      <c r="A6742" s="3" t="s">
        <v>6694</v>
      </c>
      <c r="E6742">
        <v>7</v>
      </c>
      <c r="AL6742">
        <v>4</v>
      </c>
    </row>
    <row r="6743" spans="1:38">
      <c r="A6743" s="3" t="s">
        <v>6695</v>
      </c>
      <c r="E6743">
        <v>7</v>
      </c>
      <c r="AL6743">
        <v>4</v>
      </c>
    </row>
    <row r="6744" spans="1:38">
      <c r="A6744" s="3" t="s">
        <v>6696</v>
      </c>
      <c r="E6744">
        <v>7</v>
      </c>
      <c r="AL6744">
        <v>4</v>
      </c>
    </row>
    <row r="6745" spans="1:38">
      <c r="A6745" s="3" t="s">
        <v>6697</v>
      </c>
      <c r="E6745">
        <v>7</v>
      </c>
      <c r="AL6745">
        <v>4</v>
      </c>
    </row>
    <row r="6746" spans="1:38">
      <c r="A6746" s="3" t="s">
        <v>6698</v>
      </c>
      <c r="E6746">
        <v>7</v>
      </c>
      <c r="AL6746">
        <v>4</v>
      </c>
    </row>
    <row r="6747" spans="1:38">
      <c r="A6747" s="3" t="s">
        <v>6699</v>
      </c>
      <c r="E6747">
        <v>7</v>
      </c>
      <c r="AL6747">
        <v>4</v>
      </c>
    </row>
    <row r="6748" spans="1:38">
      <c r="A6748" s="3" t="s">
        <v>6700</v>
      </c>
      <c r="E6748">
        <v>7</v>
      </c>
      <c r="AL6748">
        <v>4</v>
      </c>
    </row>
    <row r="6749" spans="1:38">
      <c r="A6749" s="3" t="s">
        <v>6701</v>
      </c>
      <c r="E6749">
        <v>7</v>
      </c>
      <c r="AL6749">
        <v>4</v>
      </c>
    </row>
    <row r="6750" spans="1:38">
      <c r="A6750" s="3" t="s">
        <v>6702</v>
      </c>
      <c r="E6750">
        <v>7</v>
      </c>
      <c r="AL6750">
        <v>4</v>
      </c>
    </row>
    <row r="6751" spans="1:38">
      <c r="A6751" s="3" t="s">
        <v>6703</v>
      </c>
      <c r="E6751">
        <v>7</v>
      </c>
      <c r="AL6751">
        <v>4</v>
      </c>
    </row>
    <row r="6752" spans="1:38">
      <c r="A6752" s="3" t="s">
        <v>6704</v>
      </c>
      <c r="E6752">
        <v>7</v>
      </c>
      <c r="AL6752">
        <v>4</v>
      </c>
    </row>
    <row r="6753" spans="1:49">
      <c r="A6753" s="3" t="s">
        <v>6705</v>
      </c>
      <c r="E6753">
        <v>7</v>
      </c>
      <c r="AL6753">
        <v>4</v>
      </c>
    </row>
    <row r="6754" spans="1:49">
      <c r="A6754" s="3" t="s">
        <v>6706</v>
      </c>
      <c r="E6754">
        <v>7</v>
      </c>
      <c r="AL6754">
        <v>4</v>
      </c>
    </row>
    <row r="6755" spans="1:49">
      <c r="A6755" s="3" t="s">
        <v>6707</v>
      </c>
      <c r="E6755">
        <v>7</v>
      </c>
      <c r="AL6755">
        <v>4</v>
      </c>
    </row>
    <row r="6756" spans="1:49">
      <c r="A6756" s="3" t="s">
        <v>6708</v>
      </c>
      <c r="E6756">
        <v>7</v>
      </c>
      <c r="AL6756">
        <v>4</v>
      </c>
    </row>
    <row r="6757" spans="1:49">
      <c r="A6757" s="3" t="s">
        <v>6709</v>
      </c>
      <c r="E6757">
        <v>7</v>
      </c>
      <c r="AL6757">
        <v>4</v>
      </c>
    </row>
    <row r="6758" spans="1:49">
      <c r="A6758" s="3" t="s">
        <v>6710</v>
      </c>
      <c r="E6758">
        <v>7</v>
      </c>
      <c r="AL6758">
        <v>4</v>
      </c>
    </row>
    <row r="6759" spans="1:49">
      <c r="A6759" s="3" t="s">
        <v>6711</v>
      </c>
      <c r="E6759">
        <v>7</v>
      </c>
      <c r="AL6759">
        <v>4</v>
      </c>
    </row>
    <row r="6760" spans="1:49">
      <c r="A6760" s="3" t="s">
        <v>6712</v>
      </c>
      <c r="E6760">
        <v>7</v>
      </c>
      <c r="AL6760">
        <v>4</v>
      </c>
    </row>
    <row r="6761" spans="1:49">
      <c r="A6761" s="3" t="s">
        <v>6713</v>
      </c>
      <c r="E6761">
        <v>7</v>
      </c>
      <c r="AL6761">
        <v>4</v>
      </c>
    </row>
    <row r="6762" spans="1:49">
      <c r="A6762" s="3" t="s">
        <v>6714</v>
      </c>
      <c r="E6762">
        <v>7</v>
      </c>
      <c r="AL6762">
        <v>4</v>
      </c>
    </row>
    <row r="6763" spans="1:49">
      <c r="A6763" s="3" t="s">
        <v>6715</v>
      </c>
      <c r="E6763">
        <v>7</v>
      </c>
      <c r="AW6763">
        <v>22</v>
      </c>
    </row>
    <row r="6764" spans="1:49">
      <c r="A6764" s="3" t="s">
        <v>6716</v>
      </c>
      <c r="E6764">
        <v>7</v>
      </c>
      <c r="J6764">
        <v>70</v>
      </c>
    </row>
    <row r="6765" spans="1:49">
      <c r="A6765" s="3" t="s">
        <v>6717</v>
      </c>
      <c r="E6765">
        <v>7</v>
      </c>
      <c r="J6765">
        <v>70</v>
      </c>
    </row>
    <row r="6766" spans="1:49">
      <c r="A6766" s="3" t="s">
        <v>6718</v>
      </c>
      <c r="E6766">
        <v>7</v>
      </c>
      <c r="J6766">
        <v>70</v>
      </c>
    </row>
    <row r="6767" spans="1:49">
      <c r="A6767" s="3" t="s">
        <v>6719</v>
      </c>
      <c r="E6767">
        <v>7</v>
      </c>
      <c r="J6767">
        <v>70</v>
      </c>
    </row>
    <row r="6768" spans="1:49">
      <c r="A6768" s="3" t="s">
        <v>6720</v>
      </c>
      <c r="E6768">
        <v>7</v>
      </c>
      <c r="J6768">
        <v>70</v>
      </c>
    </row>
    <row r="6769" spans="1:10">
      <c r="A6769" s="3" t="s">
        <v>6721</v>
      </c>
      <c r="E6769">
        <v>7</v>
      </c>
      <c r="J6769">
        <v>70</v>
      </c>
    </row>
    <row r="6770" spans="1:10">
      <c r="A6770" s="3" t="s">
        <v>6722</v>
      </c>
      <c r="E6770">
        <v>7</v>
      </c>
      <c r="J6770">
        <v>70</v>
      </c>
    </row>
    <row r="6771" spans="1:10">
      <c r="A6771" s="3" t="s">
        <v>6723</v>
      </c>
      <c r="E6771">
        <v>7</v>
      </c>
      <c r="J6771">
        <v>70</v>
      </c>
    </row>
    <row r="6772" spans="1:10">
      <c r="A6772" s="3" t="s">
        <v>6724</v>
      </c>
      <c r="E6772">
        <v>7</v>
      </c>
      <c r="J6772">
        <v>70</v>
      </c>
    </row>
    <row r="6773" spans="1:10">
      <c r="A6773" s="3" t="s">
        <v>6725</v>
      </c>
      <c r="E6773">
        <v>7</v>
      </c>
      <c r="J6773">
        <v>70</v>
      </c>
    </row>
    <row r="6774" spans="1:10">
      <c r="A6774" s="3" t="s">
        <v>6726</v>
      </c>
      <c r="E6774">
        <v>7</v>
      </c>
      <c r="J6774">
        <v>70</v>
      </c>
    </row>
    <row r="6775" spans="1:10">
      <c r="A6775" s="3" t="s">
        <v>6727</v>
      </c>
      <c r="E6775">
        <v>7</v>
      </c>
      <c r="J6775">
        <v>70</v>
      </c>
    </row>
    <row r="6776" spans="1:10">
      <c r="A6776" s="3" t="s">
        <v>6728</v>
      </c>
      <c r="E6776">
        <v>7</v>
      </c>
      <c r="J6776">
        <v>70</v>
      </c>
    </row>
    <row r="6777" spans="1:10">
      <c r="A6777" s="3" t="s">
        <v>6729</v>
      </c>
      <c r="E6777">
        <v>7</v>
      </c>
      <c r="J6777">
        <v>70</v>
      </c>
    </row>
    <row r="6778" spans="1:10">
      <c r="A6778" s="3" t="s">
        <v>6730</v>
      </c>
      <c r="E6778">
        <v>7</v>
      </c>
      <c r="J6778">
        <v>70</v>
      </c>
    </row>
    <row r="6779" spans="1:10">
      <c r="A6779" s="3" t="s">
        <v>6731</v>
      </c>
      <c r="E6779">
        <v>7</v>
      </c>
      <c r="J6779">
        <v>70</v>
      </c>
    </row>
    <row r="6780" spans="1:10">
      <c r="A6780" s="3" t="s">
        <v>6732</v>
      </c>
      <c r="E6780">
        <v>7</v>
      </c>
      <c r="J6780">
        <v>70</v>
      </c>
    </row>
    <row r="6781" spans="1:10">
      <c r="A6781" s="3" t="s">
        <v>6733</v>
      </c>
      <c r="E6781">
        <v>7</v>
      </c>
      <c r="J6781">
        <v>70</v>
      </c>
    </row>
    <row r="6782" spans="1:10">
      <c r="A6782" s="3" t="s">
        <v>6734</v>
      </c>
      <c r="E6782">
        <v>7</v>
      </c>
      <c r="J6782">
        <v>70</v>
      </c>
    </row>
    <row r="6783" spans="1:10">
      <c r="A6783" s="3" t="s">
        <v>6735</v>
      </c>
      <c r="E6783">
        <v>7</v>
      </c>
      <c r="J6783">
        <v>70</v>
      </c>
    </row>
    <row r="6784" spans="1:10">
      <c r="A6784" s="3" t="s">
        <v>6736</v>
      </c>
      <c r="E6784">
        <v>7</v>
      </c>
      <c r="J6784">
        <v>70</v>
      </c>
    </row>
    <row r="6785" spans="1:34">
      <c r="A6785" s="3" t="s">
        <v>6737</v>
      </c>
      <c r="E6785">
        <v>7</v>
      </c>
      <c r="J6785">
        <v>70</v>
      </c>
    </row>
    <row r="6786" spans="1:34">
      <c r="A6786" s="3" t="s">
        <v>6738</v>
      </c>
      <c r="E6786">
        <v>7</v>
      </c>
      <c r="J6786">
        <v>70</v>
      </c>
    </row>
    <row r="6787" spans="1:34">
      <c r="A6787" s="3" t="s">
        <v>6739</v>
      </c>
      <c r="E6787">
        <v>7</v>
      </c>
      <c r="J6787">
        <v>70</v>
      </c>
    </row>
    <row r="6788" spans="1:34">
      <c r="A6788" s="3" t="s">
        <v>6740</v>
      </c>
      <c r="E6788">
        <v>7</v>
      </c>
      <c r="J6788">
        <v>70</v>
      </c>
    </row>
    <row r="6789" spans="1:34">
      <c r="A6789" s="3" t="s">
        <v>6741</v>
      </c>
      <c r="E6789">
        <v>7</v>
      </c>
      <c r="J6789">
        <v>70</v>
      </c>
    </row>
    <row r="6790" spans="1:34">
      <c r="A6790" s="3" t="s">
        <v>6742</v>
      </c>
      <c r="E6790">
        <v>7</v>
      </c>
      <c r="J6790">
        <v>70</v>
      </c>
    </row>
    <row r="6791" spans="1:34">
      <c r="A6791" s="3" t="s">
        <v>6743</v>
      </c>
      <c r="E6791">
        <v>7</v>
      </c>
      <c r="J6791">
        <v>70</v>
      </c>
    </row>
    <row r="6792" spans="1:34">
      <c r="A6792" s="3" t="s">
        <v>6744</v>
      </c>
      <c r="E6792">
        <v>7</v>
      </c>
      <c r="J6792">
        <v>70</v>
      </c>
    </row>
    <row r="6793" spans="1:34">
      <c r="A6793" s="3" t="s">
        <v>6745</v>
      </c>
      <c r="E6793">
        <v>7</v>
      </c>
      <c r="J6793">
        <v>70</v>
      </c>
    </row>
    <row r="6794" spans="1:34">
      <c r="A6794" s="3" t="s">
        <v>6746</v>
      </c>
      <c r="E6794">
        <v>7</v>
      </c>
      <c r="J6794">
        <v>70</v>
      </c>
    </row>
    <row r="6795" spans="1:34">
      <c r="A6795" s="3" t="s">
        <v>6747</v>
      </c>
      <c r="E6795">
        <v>7</v>
      </c>
      <c r="J6795">
        <v>70</v>
      </c>
    </row>
    <row r="6796" spans="1:34">
      <c r="A6796" s="3" t="s">
        <v>6748</v>
      </c>
      <c r="E6796">
        <v>7</v>
      </c>
      <c r="J6796">
        <v>70</v>
      </c>
    </row>
    <row r="6797" spans="1:34">
      <c r="A6797" s="3" t="s">
        <v>6749</v>
      </c>
      <c r="E6797">
        <v>7</v>
      </c>
      <c r="J6797">
        <v>70</v>
      </c>
    </row>
    <row r="6798" spans="1:34">
      <c r="A6798" s="3" t="s">
        <v>6750</v>
      </c>
      <c r="E6798">
        <v>7</v>
      </c>
      <c r="AH6798">
        <v>1</v>
      </c>
    </row>
    <row r="6799" spans="1:34">
      <c r="A6799" s="3" t="s">
        <v>6751</v>
      </c>
      <c r="E6799">
        <v>7</v>
      </c>
      <c r="AH6799">
        <v>1</v>
      </c>
    </row>
    <row r="6800" spans="1:34">
      <c r="A6800" s="3" t="s">
        <v>6752</v>
      </c>
      <c r="E6800">
        <v>7</v>
      </c>
      <c r="AH6800">
        <v>1</v>
      </c>
    </row>
    <row r="6801" spans="1:34">
      <c r="A6801" s="3" t="s">
        <v>6753</v>
      </c>
      <c r="E6801">
        <v>7</v>
      </c>
      <c r="AH6801">
        <v>1</v>
      </c>
    </row>
    <row r="6802" spans="1:34">
      <c r="A6802" s="3" t="s">
        <v>6754</v>
      </c>
      <c r="E6802">
        <v>7</v>
      </c>
      <c r="AH6802">
        <v>1</v>
      </c>
    </row>
    <row r="6803" spans="1:34">
      <c r="A6803" s="3" t="s">
        <v>6755</v>
      </c>
      <c r="E6803">
        <v>7</v>
      </c>
      <c r="AH6803">
        <v>1</v>
      </c>
    </row>
    <row r="6804" spans="1:34">
      <c r="A6804" s="3" t="s">
        <v>6756</v>
      </c>
      <c r="E6804">
        <v>7</v>
      </c>
      <c r="AH6804">
        <v>1</v>
      </c>
    </row>
    <row r="6805" spans="1:34">
      <c r="A6805" s="3" t="s">
        <v>6757</v>
      </c>
      <c r="E6805">
        <v>7</v>
      </c>
      <c r="AH6805">
        <v>1</v>
      </c>
    </row>
    <row r="6806" spans="1:34">
      <c r="A6806" s="3" t="s">
        <v>6758</v>
      </c>
      <c r="E6806">
        <v>7</v>
      </c>
      <c r="AH6806">
        <v>1</v>
      </c>
    </row>
    <row r="6807" spans="1:34">
      <c r="A6807" s="3" t="s">
        <v>6759</v>
      </c>
      <c r="E6807">
        <v>7</v>
      </c>
      <c r="AH6807">
        <v>1</v>
      </c>
    </row>
    <row r="6808" spans="1:34">
      <c r="A6808" s="3" t="s">
        <v>6760</v>
      </c>
      <c r="E6808">
        <v>7</v>
      </c>
      <c r="AH6808">
        <v>1</v>
      </c>
    </row>
    <row r="6809" spans="1:34">
      <c r="A6809" s="3" t="s">
        <v>6761</v>
      </c>
      <c r="E6809">
        <v>7</v>
      </c>
      <c r="AH6809">
        <v>1</v>
      </c>
    </row>
    <row r="6810" spans="1:34">
      <c r="A6810" s="3" t="s">
        <v>6762</v>
      </c>
      <c r="E6810">
        <v>7</v>
      </c>
      <c r="AH6810">
        <v>1</v>
      </c>
    </row>
    <row r="6811" spans="1:34">
      <c r="A6811" s="3" t="s">
        <v>6763</v>
      </c>
      <c r="E6811">
        <v>7</v>
      </c>
      <c r="AH6811">
        <v>1</v>
      </c>
    </row>
    <row r="6812" spans="1:34">
      <c r="A6812" s="3" t="s">
        <v>6764</v>
      </c>
      <c r="E6812">
        <v>7</v>
      </c>
      <c r="AH6812">
        <v>1</v>
      </c>
    </row>
    <row r="6813" spans="1:34">
      <c r="A6813" s="3" t="s">
        <v>6765</v>
      </c>
      <c r="E6813">
        <v>7</v>
      </c>
      <c r="AH6813">
        <v>1</v>
      </c>
    </row>
    <row r="6814" spans="1:34">
      <c r="A6814" s="3" t="s">
        <v>6766</v>
      </c>
      <c r="E6814">
        <v>7</v>
      </c>
      <c r="AH6814">
        <v>1</v>
      </c>
    </row>
    <row r="6815" spans="1:34">
      <c r="A6815" s="3" t="s">
        <v>6767</v>
      </c>
      <c r="E6815">
        <v>7</v>
      </c>
      <c r="AH6815">
        <v>1</v>
      </c>
    </row>
    <row r="6816" spans="1:34">
      <c r="A6816" s="3" t="s">
        <v>6768</v>
      </c>
      <c r="E6816">
        <v>7</v>
      </c>
      <c r="AH6816">
        <v>1</v>
      </c>
    </row>
    <row r="6817" spans="1:49">
      <c r="A6817" s="3" t="s">
        <v>6769</v>
      </c>
      <c r="E6817">
        <v>7</v>
      </c>
      <c r="AH6817">
        <v>1</v>
      </c>
    </row>
    <row r="6818" spans="1:49">
      <c r="A6818" s="3" t="s">
        <v>6770</v>
      </c>
      <c r="E6818">
        <v>7</v>
      </c>
      <c r="AH6818">
        <v>1</v>
      </c>
    </row>
    <row r="6819" spans="1:49">
      <c r="A6819" s="3" t="s">
        <v>6771</v>
      </c>
      <c r="E6819">
        <v>7</v>
      </c>
      <c r="AH6819">
        <v>1</v>
      </c>
    </row>
    <row r="6820" spans="1:49">
      <c r="A6820" s="3" t="s">
        <v>6772</v>
      </c>
      <c r="E6820">
        <v>7</v>
      </c>
      <c r="AH6820">
        <v>1</v>
      </c>
    </row>
    <row r="6821" spans="1:49">
      <c r="A6821" s="3" t="s">
        <v>6773</v>
      </c>
      <c r="E6821">
        <v>7</v>
      </c>
      <c r="AH6821">
        <v>1</v>
      </c>
    </row>
    <row r="6822" spans="1:49">
      <c r="A6822" s="3" t="s">
        <v>6774</v>
      </c>
      <c r="E6822">
        <v>7</v>
      </c>
      <c r="AH6822">
        <v>1</v>
      </c>
    </row>
    <row r="6823" spans="1:49">
      <c r="A6823" s="3" t="s">
        <v>6775</v>
      </c>
      <c r="E6823">
        <v>7</v>
      </c>
      <c r="AH6823">
        <v>1</v>
      </c>
    </row>
    <row r="6824" spans="1:49">
      <c r="A6824" s="3" t="s">
        <v>6776</v>
      </c>
      <c r="E6824">
        <v>7</v>
      </c>
      <c r="AH6824">
        <v>1</v>
      </c>
    </row>
    <row r="6825" spans="1:49">
      <c r="A6825" s="3" t="s">
        <v>6777</v>
      </c>
      <c r="E6825">
        <v>7</v>
      </c>
      <c r="AH6825">
        <v>1</v>
      </c>
    </row>
    <row r="6826" spans="1:49">
      <c r="A6826" s="3" t="s">
        <v>6778</v>
      </c>
      <c r="E6826">
        <v>7</v>
      </c>
      <c r="AW6826">
        <v>23</v>
      </c>
    </row>
    <row r="6827" spans="1:49">
      <c r="A6827" s="3" t="s">
        <v>6779</v>
      </c>
      <c r="E6827">
        <v>7</v>
      </c>
      <c r="AW6827">
        <v>23</v>
      </c>
    </row>
    <row r="6828" spans="1:49">
      <c r="A6828" s="3" t="s">
        <v>6780</v>
      </c>
      <c r="E6828">
        <v>7</v>
      </c>
      <c r="AW6828">
        <v>23</v>
      </c>
    </row>
    <row r="6829" spans="1:49">
      <c r="A6829" s="3" t="s">
        <v>6781</v>
      </c>
      <c r="E6829">
        <v>7</v>
      </c>
      <c r="AW6829">
        <v>23</v>
      </c>
    </row>
    <row r="6830" spans="1:49">
      <c r="A6830" s="3" t="s">
        <v>6782</v>
      </c>
      <c r="E6830">
        <v>7</v>
      </c>
      <c r="AW6830">
        <v>23</v>
      </c>
    </row>
    <row r="6831" spans="1:49">
      <c r="A6831" s="3" t="s">
        <v>6783</v>
      </c>
      <c r="E6831">
        <v>7</v>
      </c>
      <c r="AW6831">
        <v>23</v>
      </c>
    </row>
    <row r="6832" spans="1:49">
      <c r="A6832" s="3" t="s">
        <v>6784</v>
      </c>
      <c r="E6832">
        <v>7</v>
      </c>
      <c r="AW6832">
        <v>23</v>
      </c>
    </row>
    <row r="6833" spans="1:49">
      <c r="A6833" s="3" t="s">
        <v>6785</v>
      </c>
      <c r="E6833">
        <v>7</v>
      </c>
      <c r="AW6833">
        <v>23</v>
      </c>
    </row>
    <row r="6834" spans="1:49">
      <c r="A6834" s="3" t="s">
        <v>6786</v>
      </c>
      <c r="E6834">
        <v>7</v>
      </c>
      <c r="AW6834">
        <v>23</v>
      </c>
    </row>
    <row r="6835" spans="1:49">
      <c r="A6835" s="3" t="s">
        <v>6787</v>
      </c>
      <c r="E6835">
        <v>7</v>
      </c>
      <c r="AW6835">
        <v>23</v>
      </c>
    </row>
    <row r="6836" spans="1:49">
      <c r="A6836" s="3" t="s">
        <v>6788</v>
      </c>
      <c r="E6836">
        <v>7</v>
      </c>
      <c r="AW6836">
        <v>23</v>
      </c>
    </row>
    <row r="6837" spans="1:49">
      <c r="A6837" s="3" t="s">
        <v>6789</v>
      </c>
      <c r="E6837">
        <v>7</v>
      </c>
      <c r="AW6837">
        <v>23</v>
      </c>
    </row>
    <row r="6838" spans="1:49">
      <c r="A6838" s="3" t="s">
        <v>6790</v>
      </c>
      <c r="E6838">
        <v>7</v>
      </c>
      <c r="AW6838">
        <v>23</v>
      </c>
    </row>
    <row r="6839" spans="1:49">
      <c r="A6839" s="3" t="s">
        <v>6791</v>
      </c>
      <c r="E6839">
        <v>7</v>
      </c>
      <c r="AW6839">
        <v>23</v>
      </c>
    </row>
    <row r="6840" spans="1:49">
      <c r="A6840" s="3" t="s">
        <v>6792</v>
      </c>
      <c r="E6840">
        <v>7</v>
      </c>
      <c r="AH6840">
        <v>2</v>
      </c>
    </row>
    <row r="6841" spans="1:49">
      <c r="A6841" s="3" t="s">
        <v>6793</v>
      </c>
      <c r="E6841">
        <v>7</v>
      </c>
      <c r="AH6841">
        <v>2</v>
      </c>
    </row>
    <row r="6842" spans="1:49">
      <c r="A6842" s="3" t="s">
        <v>6794</v>
      </c>
      <c r="E6842">
        <v>7</v>
      </c>
      <c r="AH6842">
        <v>2</v>
      </c>
    </row>
    <row r="6843" spans="1:49">
      <c r="A6843" s="3" t="s">
        <v>6795</v>
      </c>
      <c r="E6843">
        <v>7</v>
      </c>
      <c r="AH6843">
        <v>2</v>
      </c>
    </row>
    <row r="6844" spans="1:49">
      <c r="A6844" s="3" t="s">
        <v>6796</v>
      </c>
      <c r="E6844">
        <v>7</v>
      </c>
      <c r="AH6844">
        <v>2</v>
      </c>
    </row>
    <row r="6845" spans="1:49">
      <c r="A6845" s="3" t="s">
        <v>6797</v>
      </c>
      <c r="E6845">
        <v>7</v>
      </c>
      <c r="AH6845">
        <v>2</v>
      </c>
    </row>
    <row r="6846" spans="1:49">
      <c r="A6846" s="3" t="s">
        <v>6798</v>
      </c>
      <c r="E6846">
        <v>7</v>
      </c>
      <c r="AH6846">
        <v>2</v>
      </c>
    </row>
    <row r="6847" spans="1:49">
      <c r="A6847" s="3" t="s">
        <v>6799</v>
      </c>
      <c r="E6847">
        <v>7</v>
      </c>
      <c r="AH6847">
        <v>2</v>
      </c>
    </row>
    <row r="6848" spans="1:49">
      <c r="A6848" s="3" t="s">
        <v>6800</v>
      </c>
      <c r="E6848">
        <v>7</v>
      </c>
      <c r="AH6848">
        <v>2</v>
      </c>
    </row>
    <row r="6849" spans="1:34">
      <c r="A6849" s="3" t="s">
        <v>6801</v>
      </c>
      <c r="E6849">
        <v>7</v>
      </c>
      <c r="AH6849">
        <v>2</v>
      </c>
    </row>
    <row r="6850" spans="1:34">
      <c r="A6850" s="3" t="s">
        <v>6802</v>
      </c>
      <c r="E6850">
        <v>7</v>
      </c>
      <c r="AH6850">
        <v>2</v>
      </c>
    </row>
    <row r="6851" spans="1:34">
      <c r="A6851" s="3" t="s">
        <v>6803</v>
      </c>
      <c r="E6851">
        <v>7</v>
      </c>
      <c r="AH6851">
        <v>2</v>
      </c>
    </row>
    <row r="6852" spans="1:34">
      <c r="A6852" s="3" t="s">
        <v>6804</v>
      </c>
      <c r="E6852">
        <v>7</v>
      </c>
      <c r="AH6852">
        <v>2</v>
      </c>
    </row>
    <row r="6853" spans="1:34">
      <c r="A6853" s="3" t="s">
        <v>6805</v>
      </c>
      <c r="E6853">
        <v>7</v>
      </c>
      <c r="AH6853">
        <v>2</v>
      </c>
    </row>
    <row r="6854" spans="1:34">
      <c r="A6854" s="3" t="s">
        <v>6806</v>
      </c>
      <c r="E6854">
        <v>7</v>
      </c>
      <c r="AH6854">
        <v>2</v>
      </c>
    </row>
    <row r="6855" spans="1:34">
      <c r="A6855" s="3" t="s">
        <v>6807</v>
      </c>
      <c r="E6855">
        <v>7</v>
      </c>
      <c r="AH6855">
        <v>2</v>
      </c>
    </row>
    <row r="6856" spans="1:34">
      <c r="A6856" s="3" t="s">
        <v>6808</v>
      </c>
      <c r="E6856">
        <v>7</v>
      </c>
      <c r="AH6856">
        <v>2</v>
      </c>
    </row>
    <row r="6857" spans="1:34">
      <c r="A6857" s="3" t="s">
        <v>6809</v>
      </c>
      <c r="E6857">
        <v>7</v>
      </c>
      <c r="AH6857">
        <v>2</v>
      </c>
    </row>
    <row r="6858" spans="1:34">
      <c r="A6858" s="3" t="s">
        <v>6810</v>
      </c>
      <c r="E6858">
        <v>7</v>
      </c>
      <c r="AH6858">
        <v>2</v>
      </c>
    </row>
    <row r="6859" spans="1:34">
      <c r="A6859" s="3" t="s">
        <v>6811</v>
      </c>
      <c r="E6859">
        <v>7</v>
      </c>
      <c r="AH6859">
        <v>2</v>
      </c>
    </row>
    <row r="6860" spans="1:34">
      <c r="A6860" s="3" t="s">
        <v>6812</v>
      </c>
      <c r="E6860">
        <v>7</v>
      </c>
      <c r="J6860">
        <v>71</v>
      </c>
    </row>
    <row r="6861" spans="1:34">
      <c r="A6861" s="3" t="s">
        <v>6813</v>
      </c>
      <c r="E6861">
        <v>7</v>
      </c>
      <c r="J6861">
        <v>71</v>
      </c>
    </row>
    <row r="6862" spans="1:34">
      <c r="A6862" s="3" t="s">
        <v>6814</v>
      </c>
      <c r="E6862">
        <v>7</v>
      </c>
      <c r="J6862">
        <v>71</v>
      </c>
    </row>
    <row r="6863" spans="1:34">
      <c r="A6863" s="3" t="s">
        <v>6815</v>
      </c>
      <c r="E6863">
        <v>7</v>
      </c>
      <c r="J6863">
        <v>71</v>
      </c>
    </row>
    <row r="6864" spans="1:34">
      <c r="A6864" s="3" t="s">
        <v>6816</v>
      </c>
      <c r="E6864">
        <v>7</v>
      </c>
      <c r="J6864">
        <v>71</v>
      </c>
    </row>
    <row r="6865" spans="1:10">
      <c r="A6865" s="3" t="s">
        <v>6817</v>
      </c>
      <c r="E6865">
        <v>7</v>
      </c>
      <c r="J6865">
        <v>71</v>
      </c>
    </row>
    <row r="6866" spans="1:10">
      <c r="A6866" s="3" t="s">
        <v>6818</v>
      </c>
      <c r="E6866">
        <v>7</v>
      </c>
      <c r="J6866">
        <v>71</v>
      </c>
    </row>
    <row r="6867" spans="1:10">
      <c r="A6867" s="3" t="s">
        <v>6819</v>
      </c>
      <c r="E6867">
        <v>7</v>
      </c>
      <c r="J6867">
        <v>71</v>
      </c>
    </row>
    <row r="6868" spans="1:10">
      <c r="A6868" s="3" t="s">
        <v>6820</v>
      </c>
      <c r="E6868">
        <v>7</v>
      </c>
      <c r="J6868">
        <v>71</v>
      </c>
    </row>
    <row r="6869" spans="1:10">
      <c r="A6869" s="3" t="s">
        <v>6821</v>
      </c>
      <c r="E6869">
        <v>7</v>
      </c>
      <c r="J6869">
        <v>71</v>
      </c>
    </row>
    <row r="6870" spans="1:10">
      <c r="A6870" s="3" t="s">
        <v>6822</v>
      </c>
      <c r="E6870">
        <v>7</v>
      </c>
      <c r="J6870">
        <v>71</v>
      </c>
    </row>
    <row r="6871" spans="1:10">
      <c r="A6871" s="3" t="s">
        <v>6823</v>
      </c>
      <c r="E6871">
        <v>7</v>
      </c>
      <c r="J6871">
        <v>71</v>
      </c>
    </row>
    <row r="6872" spans="1:10">
      <c r="A6872" s="3" t="s">
        <v>6824</v>
      </c>
      <c r="E6872">
        <v>7</v>
      </c>
      <c r="J6872">
        <v>71</v>
      </c>
    </row>
    <row r="6873" spans="1:10">
      <c r="A6873" s="3" t="s">
        <v>6825</v>
      </c>
      <c r="E6873">
        <v>7</v>
      </c>
      <c r="J6873">
        <v>71</v>
      </c>
    </row>
    <row r="6874" spans="1:10">
      <c r="A6874" s="3" t="s">
        <v>6826</v>
      </c>
      <c r="E6874">
        <v>7</v>
      </c>
      <c r="J6874">
        <v>71</v>
      </c>
    </row>
    <row r="6875" spans="1:10">
      <c r="A6875" s="3" t="s">
        <v>6827</v>
      </c>
      <c r="E6875">
        <v>7</v>
      </c>
      <c r="J6875">
        <v>71</v>
      </c>
    </row>
    <row r="6876" spans="1:10">
      <c r="A6876" s="3" t="s">
        <v>6828</v>
      </c>
      <c r="E6876">
        <v>7</v>
      </c>
      <c r="J6876">
        <v>71</v>
      </c>
    </row>
    <row r="6877" spans="1:10">
      <c r="A6877" s="3" t="s">
        <v>6829</v>
      </c>
      <c r="E6877">
        <v>7</v>
      </c>
      <c r="J6877">
        <v>71</v>
      </c>
    </row>
    <row r="6878" spans="1:10">
      <c r="A6878" s="3" t="s">
        <v>6830</v>
      </c>
      <c r="E6878">
        <v>7</v>
      </c>
      <c r="J6878">
        <v>71</v>
      </c>
    </row>
    <row r="6879" spans="1:10">
      <c r="A6879" s="3" t="s">
        <v>6831</v>
      </c>
      <c r="E6879">
        <v>7</v>
      </c>
      <c r="J6879">
        <v>71</v>
      </c>
    </row>
    <row r="6880" spans="1:10">
      <c r="A6880" s="3" t="s">
        <v>6832</v>
      </c>
      <c r="E6880">
        <v>7</v>
      </c>
      <c r="J6880">
        <v>71</v>
      </c>
    </row>
    <row r="6881" spans="1:35">
      <c r="A6881" s="3" t="s">
        <v>6833</v>
      </c>
      <c r="E6881">
        <v>7</v>
      </c>
      <c r="J6881">
        <v>71</v>
      </c>
    </row>
    <row r="6882" spans="1:35">
      <c r="A6882" s="3" t="s">
        <v>6834</v>
      </c>
      <c r="E6882">
        <v>7</v>
      </c>
      <c r="J6882">
        <v>71</v>
      </c>
    </row>
    <row r="6883" spans="1:35">
      <c r="A6883" s="3" t="s">
        <v>6835</v>
      </c>
      <c r="E6883">
        <v>7</v>
      </c>
      <c r="J6883">
        <v>71</v>
      </c>
    </row>
    <row r="6884" spans="1:35">
      <c r="A6884" s="3" t="s">
        <v>6836</v>
      </c>
      <c r="D6884">
        <v>7</v>
      </c>
      <c r="E6884">
        <v>7</v>
      </c>
      <c r="J6884">
        <v>71</v>
      </c>
    </row>
    <row r="6885" spans="1:35">
      <c r="A6885" s="3" t="s">
        <v>6837</v>
      </c>
      <c r="D6885">
        <v>7</v>
      </c>
      <c r="E6885">
        <v>7</v>
      </c>
      <c r="J6885">
        <v>71</v>
      </c>
    </row>
    <row r="6886" spans="1:35">
      <c r="A6886" s="3" t="s">
        <v>6838</v>
      </c>
      <c r="D6886">
        <v>7</v>
      </c>
      <c r="E6886">
        <v>7</v>
      </c>
      <c r="J6886">
        <v>71</v>
      </c>
    </row>
    <row r="6887" spans="1:35">
      <c r="A6887" s="3" t="s">
        <v>6839</v>
      </c>
      <c r="D6887">
        <v>7</v>
      </c>
      <c r="E6887">
        <v>7</v>
      </c>
      <c r="J6887">
        <v>71</v>
      </c>
    </row>
    <row r="6888" spans="1:35">
      <c r="A6888" s="3" t="s">
        <v>6840</v>
      </c>
      <c r="D6888">
        <v>7</v>
      </c>
      <c r="E6888">
        <v>7</v>
      </c>
      <c r="J6888">
        <v>71</v>
      </c>
    </row>
    <row r="6889" spans="1:35">
      <c r="A6889" s="3" t="s">
        <v>6841</v>
      </c>
      <c r="D6889">
        <v>7</v>
      </c>
      <c r="E6889">
        <v>7</v>
      </c>
      <c r="J6889">
        <v>71</v>
      </c>
    </row>
    <row r="6890" spans="1:35">
      <c r="A6890" s="3" t="s">
        <v>6842</v>
      </c>
      <c r="D6890">
        <v>7</v>
      </c>
      <c r="E6890">
        <v>7</v>
      </c>
      <c r="J6890">
        <v>71</v>
      </c>
    </row>
    <row r="6891" spans="1:35">
      <c r="A6891" s="3" t="s">
        <v>6843</v>
      </c>
      <c r="D6891">
        <v>7</v>
      </c>
      <c r="E6891">
        <v>7</v>
      </c>
      <c r="J6891">
        <v>71</v>
      </c>
    </row>
    <row r="6892" spans="1:35">
      <c r="A6892" s="3" t="s">
        <v>6844</v>
      </c>
      <c r="D6892">
        <v>7</v>
      </c>
      <c r="E6892">
        <v>7</v>
      </c>
      <c r="J6892">
        <v>71</v>
      </c>
    </row>
    <row r="6893" spans="1:35">
      <c r="A6893" s="3" t="s">
        <v>6845</v>
      </c>
      <c r="D6893">
        <v>7</v>
      </c>
      <c r="J6893">
        <v>71</v>
      </c>
    </row>
    <row r="6894" spans="1:35">
      <c r="A6894" s="3" t="s">
        <v>6846</v>
      </c>
      <c r="D6894">
        <v>7</v>
      </c>
      <c r="AI6894">
        <v>1</v>
      </c>
    </row>
    <row r="6895" spans="1:35">
      <c r="A6895" s="3" t="s">
        <v>6847</v>
      </c>
      <c r="D6895">
        <v>7</v>
      </c>
      <c r="AI6895">
        <v>1</v>
      </c>
    </row>
    <row r="6896" spans="1:35">
      <c r="A6896" s="3" t="s">
        <v>6848</v>
      </c>
      <c r="D6896">
        <v>7</v>
      </c>
      <c r="AI6896">
        <v>1</v>
      </c>
    </row>
    <row r="6897" spans="1:35">
      <c r="A6897" s="3" t="s">
        <v>6849</v>
      </c>
      <c r="D6897">
        <v>7</v>
      </c>
      <c r="AI6897">
        <v>1</v>
      </c>
    </row>
    <row r="6898" spans="1:35">
      <c r="A6898" s="3" t="s">
        <v>6850</v>
      </c>
      <c r="D6898">
        <v>7</v>
      </c>
      <c r="AI6898">
        <v>1</v>
      </c>
    </row>
    <row r="6899" spans="1:35">
      <c r="A6899" s="3" t="s">
        <v>6851</v>
      </c>
      <c r="D6899">
        <v>7</v>
      </c>
      <c r="AI6899">
        <v>1</v>
      </c>
    </row>
    <row r="6900" spans="1:35">
      <c r="A6900" s="3" t="s">
        <v>6852</v>
      </c>
      <c r="D6900">
        <v>7</v>
      </c>
      <c r="AI6900">
        <v>1</v>
      </c>
    </row>
    <row r="6901" spans="1:35">
      <c r="A6901" s="3" t="s">
        <v>6853</v>
      </c>
      <c r="D6901">
        <v>7</v>
      </c>
      <c r="AI6901">
        <v>1</v>
      </c>
    </row>
    <row r="6902" spans="1:35">
      <c r="A6902" s="3" t="s">
        <v>6854</v>
      </c>
      <c r="D6902">
        <v>7</v>
      </c>
      <c r="AI6902">
        <v>1</v>
      </c>
    </row>
    <row r="6903" spans="1:35">
      <c r="A6903" s="3" t="s">
        <v>6855</v>
      </c>
      <c r="D6903">
        <v>7</v>
      </c>
      <c r="AI6903">
        <v>1</v>
      </c>
    </row>
    <row r="6904" spans="1:35">
      <c r="A6904" s="3" t="s">
        <v>6856</v>
      </c>
      <c r="D6904">
        <v>7</v>
      </c>
      <c r="AI6904">
        <v>1</v>
      </c>
    </row>
    <row r="6905" spans="1:35">
      <c r="A6905" s="3" t="s">
        <v>6857</v>
      </c>
      <c r="D6905">
        <v>7</v>
      </c>
      <c r="AI6905">
        <v>1</v>
      </c>
    </row>
    <row r="6906" spans="1:35">
      <c r="A6906" s="3" t="s">
        <v>6858</v>
      </c>
      <c r="D6906">
        <v>7</v>
      </c>
      <c r="AI6906">
        <v>1</v>
      </c>
    </row>
    <row r="6907" spans="1:35">
      <c r="A6907" s="3" t="s">
        <v>6859</v>
      </c>
      <c r="D6907">
        <v>7</v>
      </c>
      <c r="AI6907">
        <v>1</v>
      </c>
    </row>
    <row r="6908" spans="1:35">
      <c r="A6908" s="3" t="s">
        <v>6860</v>
      </c>
      <c r="D6908">
        <v>7</v>
      </c>
      <c r="AI6908">
        <v>1</v>
      </c>
    </row>
    <row r="6909" spans="1:35">
      <c r="A6909" s="3" t="s">
        <v>6861</v>
      </c>
      <c r="D6909">
        <v>7</v>
      </c>
      <c r="AI6909">
        <v>1</v>
      </c>
    </row>
    <row r="6910" spans="1:35">
      <c r="A6910" s="3" t="s">
        <v>6862</v>
      </c>
      <c r="D6910">
        <v>7</v>
      </c>
      <c r="AI6910">
        <v>1</v>
      </c>
    </row>
    <row r="6911" spans="1:35">
      <c r="A6911" s="3" t="s">
        <v>6863</v>
      </c>
      <c r="D6911">
        <v>7</v>
      </c>
      <c r="AI6911">
        <v>1</v>
      </c>
    </row>
    <row r="6912" spans="1:35">
      <c r="A6912" s="3" t="s">
        <v>6864</v>
      </c>
      <c r="D6912">
        <v>7</v>
      </c>
      <c r="AI6912">
        <v>1</v>
      </c>
    </row>
    <row r="6913" spans="1:35">
      <c r="A6913" s="3" t="s">
        <v>6865</v>
      </c>
      <c r="D6913">
        <v>7</v>
      </c>
      <c r="AI6913">
        <v>1</v>
      </c>
    </row>
    <row r="6914" spans="1:35">
      <c r="A6914" s="3" t="s">
        <v>6866</v>
      </c>
      <c r="D6914">
        <v>7</v>
      </c>
      <c r="AI6914">
        <v>1</v>
      </c>
    </row>
    <row r="6915" spans="1:35">
      <c r="A6915" s="3" t="s">
        <v>6867</v>
      </c>
      <c r="D6915">
        <v>7</v>
      </c>
      <c r="AI6915">
        <v>1</v>
      </c>
    </row>
    <row r="6916" spans="1:35">
      <c r="A6916" s="3" t="s">
        <v>6868</v>
      </c>
      <c r="D6916">
        <v>7</v>
      </c>
      <c r="AI6916">
        <v>1</v>
      </c>
    </row>
    <row r="6917" spans="1:35">
      <c r="A6917" s="3" t="s">
        <v>6869</v>
      </c>
      <c r="D6917">
        <v>7</v>
      </c>
      <c r="AI6917">
        <v>1</v>
      </c>
    </row>
    <row r="6918" spans="1:35">
      <c r="A6918" s="3" t="s">
        <v>6870</v>
      </c>
      <c r="D6918">
        <v>7</v>
      </c>
      <c r="AI6918">
        <v>1</v>
      </c>
    </row>
    <row r="6919" spans="1:35">
      <c r="A6919" s="3" t="s">
        <v>6871</v>
      </c>
      <c r="D6919">
        <v>7</v>
      </c>
      <c r="AI6919">
        <v>1</v>
      </c>
    </row>
    <row r="6920" spans="1:35">
      <c r="A6920" s="3" t="s">
        <v>6872</v>
      </c>
      <c r="D6920">
        <v>7</v>
      </c>
      <c r="AI6920">
        <v>1</v>
      </c>
    </row>
    <row r="6921" spans="1:35">
      <c r="A6921" s="3" t="s">
        <v>6873</v>
      </c>
      <c r="D6921">
        <v>7</v>
      </c>
      <c r="AI6921">
        <v>1</v>
      </c>
    </row>
    <row r="6922" spans="1:35">
      <c r="A6922" s="3" t="s">
        <v>6874</v>
      </c>
      <c r="D6922">
        <v>7</v>
      </c>
      <c r="AI6922">
        <v>1</v>
      </c>
    </row>
    <row r="6923" spans="1:35">
      <c r="A6923" s="3" t="s">
        <v>6875</v>
      </c>
      <c r="D6923">
        <v>7</v>
      </c>
      <c r="AI6923">
        <v>1</v>
      </c>
    </row>
    <row r="6924" spans="1:35">
      <c r="A6924" s="3" t="s">
        <v>6876</v>
      </c>
      <c r="D6924">
        <v>7</v>
      </c>
      <c r="AI6924">
        <v>1</v>
      </c>
    </row>
    <row r="6925" spans="1:35">
      <c r="A6925" s="3" t="s">
        <v>6877</v>
      </c>
      <c r="D6925">
        <v>7</v>
      </c>
      <c r="AI6925">
        <v>1</v>
      </c>
    </row>
    <row r="6926" spans="1:35">
      <c r="A6926" s="3" t="s">
        <v>6878</v>
      </c>
      <c r="D6926">
        <v>7</v>
      </c>
      <c r="AI6926">
        <v>1</v>
      </c>
    </row>
    <row r="6927" spans="1:35">
      <c r="A6927" s="3" t="s">
        <v>6879</v>
      </c>
      <c r="D6927">
        <v>7</v>
      </c>
      <c r="AI6927">
        <v>1</v>
      </c>
    </row>
    <row r="6928" spans="1:35">
      <c r="A6928" s="3" t="s">
        <v>6880</v>
      </c>
      <c r="D6928">
        <v>7</v>
      </c>
      <c r="AI6928">
        <v>1</v>
      </c>
    </row>
    <row r="6929" spans="1:35">
      <c r="A6929" s="3" t="s">
        <v>6881</v>
      </c>
      <c r="D6929">
        <v>7</v>
      </c>
      <c r="AI6929">
        <v>1</v>
      </c>
    </row>
    <row r="6930" spans="1:35">
      <c r="A6930" s="3" t="s">
        <v>6882</v>
      </c>
      <c r="D6930">
        <v>7</v>
      </c>
      <c r="AI6930">
        <v>1</v>
      </c>
    </row>
    <row r="6931" spans="1:35">
      <c r="A6931" s="3" t="s">
        <v>6883</v>
      </c>
      <c r="D6931">
        <v>7</v>
      </c>
      <c r="AI6931">
        <v>1</v>
      </c>
    </row>
    <row r="6932" spans="1:35">
      <c r="A6932" s="3" t="s">
        <v>6884</v>
      </c>
      <c r="D6932">
        <v>7</v>
      </c>
      <c r="AI6932">
        <v>1</v>
      </c>
    </row>
    <row r="6933" spans="1:35">
      <c r="A6933" s="3" t="s">
        <v>6885</v>
      </c>
      <c r="D6933">
        <v>7</v>
      </c>
      <c r="AI6933">
        <v>1</v>
      </c>
    </row>
    <row r="6934" spans="1:35">
      <c r="A6934" s="3" t="s">
        <v>6886</v>
      </c>
      <c r="D6934">
        <v>7</v>
      </c>
      <c r="AI6934">
        <v>1</v>
      </c>
    </row>
    <row r="6935" spans="1:35">
      <c r="A6935" s="3" t="s">
        <v>6887</v>
      </c>
      <c r="D6935">
        <v>7</v>
      </c>
      <c r="AI6935">
        <v>1</v>
      </c>
    </row>
    <row r="6936" spans="1:35">
      <c r="A6936" s="3" t="s">
        <v>6888</v>
      </c>
      <c r="D6936">
        <v>7</v>
      </c>
      <c r="AI6936">
        <v>1</v>
      </c>
    </row>
    <row r="6937" spans="1:35">
      <c r="A6937" s="3" t="s">
        <v>6889</v>
      </c>
      <c r="D6937">
        <v>7</v>
      </c>
      <c r="AI6937">
        <v>1</v>
      </c>
    </row>
    <row r="6938" spans="1:35">
      <c r="A6938" s="3" t="s">
        <v>6890</v>
      </c>
      <c r="D6938">
        <v>7</v>
      </c>
      <c r="AI6938">
        <v>1</v>
      </c>
    </row>
    <row r="6939" spans="1:35">
      <c r="A6939" s="3" t="s">
        <v>6891</v>
      </c>
      <c r="D6939">
        <v>7</v>
      </c>
      <c r="AI6939">
        <v>1</v>
      </c>
    </row>
    <row r="6940" spans="1:35">
      <c r="A6940" s="3" t="s">
        <v>6892</v>
      </c>
      <c r="D6940">
        <v>7</v>
      </c>
      <c r="AI6940">
        <v>1</v>
      </c>
    </row>
    <row r="6941" spans="1:35">
      <c r="A6941" s="3" t="s">
        <v>6893</v>
      </c>
      <c r="D6941">
        <v>7</v>
      </c>
      <c r="AI6941">
        <v>1</v>
      </c>
    </row>
    <row r="6942" spans="1:35">
      <c r="A6942" s="3" t="s">
        <v>6894</v>
      </c>
      <c r="D6942">
        <v>7</v>
      </c>
      <c r="AI6942">
        <v>1</v>
      </c>
    </row>
    <row r="6943" spans="1:35">
      <c r="A6943" s="3" t="s">
        <v>6895</v>
      </c>
      <c r="D6943">
        <v>7</v>
      </c>
      <c r="AI6943">
        <v>1</v>
      </c>
    </row>
    <row r="6944" spans="1:35">
      <c r="A6944" s="3" t="s">
        <v>6896</v>
      </c>
      <c r="D6944">
        <v>7</v>
      </c>
      <c r="AI6944">
        <v>1</v>
      </c>
    </row>
    <row r="6945" spans="1:35">
      <c r="A6945" s="3" t="s">
        <v>6897</v>
      </c>
      <c r="D6945">
        <v>7</v>
      </c>
      <c r="AI6945">
        <v>1</v>
      </c>
    </row>
    <row r="6946" spans="1:35">
      <c r="A6946" s="3" t="s">
        <v>6898</v>
      </c>
      <c r="D6946">
        <v>7</v>
      </c>
      <c r="AI6946">
        <v>1</v>
      </c>
    </row>
    <row r="6947" spans="1:35">
      <c r="A6947" s="3" t="s">
        <v>6899</v>
      </c>
      <c r="D6947">
        <v>7</v>
      </c>
      <c r="AI6947">
        <v>1</v>
      </c>
    </row>
    <row r="6948" spans="1:35">
      <c r="A6948" s="3" t="s">
        <v>6900</v>
      </c>
      <c r="D6948">
        <v>7</v>
      </c>
      <c r="AI6948">
        <v>1</v>
      </c>
    </row>
    <row r="6949" spans="1:35">
      <c r="A6949" s="3" t="s">
        <v>6901</v>
      </c>
      <c r="D6949">
        <v>7</v>
      </c>
      <c r="AI6949">
        <v>1</v>
      </c>
    </row>
    <row r="6950" spans="1:35">
      <c r="A6950" s="3" t="s">
        <v>6902</v>
      </c>
      <c r="D6950">
        <v>7</v>
      </c>
      <c r="AI6950">
        <v>1</v>
      </c>
    </row>
    <row r="6951" spans="1:35">
      <c r="A6951" s="3" t="s">
        <v>6903</v>
      </c>
      <c r="D6951">
        <v>7</v>
      </c>
      <c r="AI6951">
        <v>1</v>
      </c>
    </row>
    <row r="6952" spans="1:35">
      <c r="A6952" s="3" t="s">
        <v>6904</v>
      </c>
      <c r="D6952">
        <v>7</v>
      </c>
      <c r="AI6952">
        <v>1</v>
      </c>
    </row>
    <row r="6953" spans="1:35">
      <c r="A6953" s="3" t="s">
        <v>6905</v>
      </c>
      <c r="D6953">
        <v>7</v>
      </c>
      <c r="AI6953">
        <v>1</v>
      </c>
    </row>
    <row r="6954" spans="1:35">
      <c r="A6954" s="3" t="s">
        <v>6906</v>
      </c>
      <c r="D6954">
        <v>7</v>
      </c>
      <c r="AI6954">
        <v>1</v>
      </c>
    </row>
    <row r="6955" spans="1:35">
      <c r="A6955" s="3" t="s">
        <v>6907</v>
      </c>
      <c r="D6955">
        <v>7</v>
      </c>
      <c r="AI6955">
        <v>1</v>
      </c>
    </row>
    <row r="6956" spans="1:35">
      <c r="A6956" s="3" t="s">
        <v>6908</v>
      </c>
      <c r="D6956">
        <v>7</v>
      </c>
      <c r="AI6956">
        <v>1</v>
      </c>
    </row>
    <row r="6957" spans="1:35">
      <c r="A6957" s="3" t="s">
        <v>6909</v>
      </c>
      <c r="D6957">
        <v>7</v>
      </c>
      <c r="AI6957">
        <v>1</v>
      </c>
    </row>
    <row r="6958" spans="1:35">
      <c r="A6958" s="3" t="s">
        <v>6910</v>
      </c>
      <c r="D6958">
        <v>7</v>
      </c>
      <c r="AI6958">
        <v>1</v>
      </c>
    </row>
    <row r="6959" spans="1:35">
      <c r="A6959" s="3" t="s">
        <v>6911</v>
      </c>
      <c r="D6959">
        <v>7</v>
      </c>
      <c r="AI6959">
        <v>1</v>
      </c>
    </row>
    <row r="6960" spans="1:35">
      <c r="A6960" s="3" t="s">
        <v>6912</v>
      </c>
      <c r="D6960">
        <v>7</v>
      </c>
      <c r="AI6960">
        <v>1</v>
      </c>
    </row>
    <row r="6961" spans="1:35">
      <c r="A6961" s="3" t="s">
        <v>6913</v>
      </c>
      <c r="D6961">
        <v>7</v>
      </c>
      <c r="AI6961">
        <v>1</v>
      </c>
    </row>
    <row r="6962" spans="1:35">
      <c r="A6962" s="3" t="s">
        <v>6914</v>
      </c>
      <c r="D6962">
        <v>7</v>
      </c>
      <c r="AI6962">
        <v>1</v>
      </c>
    </row>
    <row r="6963" spans="1:35">
      <c r="A6963" s="3" t="s">
        <v>6915</v>
      </c>
      <c r="D6963">
        <v>7</v>
      </c>
      <c r="AI6963">
        <v>1</v>
      </c>
    </row>
    <row r="6964" spans="1:35">
      <c r="A6964" s="3" t="s">
        <v>6916</v>
      </c>
      <c r="D6964">
        <v>7</v>
      </c>
      <c r="AI6964">
        <v>1</v>
      </c>
    </row>
    <row r="6965" spans="1:35">
      <c r="A6965" s="3" t="s">
        <v>6917</v>
      </c>
      <c r="D6965">
        <v>7</v>
      </c>
      <c r="AI6965">
        <v>1</v>
      </c>
    </row>
    <row r="6966" spans="1:35">
      <c r="A6966" s="3" t="s">
        <v>6918</v>
      </c>
      <c r="D6966">
        <v>7</v>
      </c>
      <c r="AI6966">
        <v>1</v>
      </c>
    </row>
    <row r="6967" spans="1:35">
      <c r="A6967" s="3" t="s">
        <v>6919</v>
      </c>
      <c r="D6967">
        <v>7</v>
      </c>
      <c r="AI6967">
        <v>1</v>
      </c>
    </row>
    <row r="6968" spans="1:35">
      <c r="A6968" s="3" t="s">
        <v>6920</v>
      </c>
      <c r="D6968">
        <v>7</v>
      </c>
      <c r="AI6968">
        <v>1</v>
      </c>
    </row>
    <row r="6969" spans="1:35">
      <c r="A6969" s="3" t="s">
        <v>6921</v>
      </c>
      <c r="D6969">
        <v>7</v>
      </c>
      <c r="AI6969">
        <v>1</v>
      </c>
    </row>
    <row r="6970" spans="1:35">
      <c r="A6970" s="3" t="s">
        <v>6922</v>
      </c>
      <c r="D6970">
        <v>7</v>
      </c>
      <c r="AI6970">
        <v>1</v>
      </c>
    </row>
    <row r="6971" spans="1:35">
      <c r="A6971" s="3" t="s">
        <v>6923</v>
      </c>
      <c r="D6971">
        <v>7</v>
      </c>
      <c r="AI6971">
        <v>1</v>
      </c>
    </row>
    <row r="6972" spans="1:35">
      <c r="A6972" s="3" t="s">
        <v>6924</v>
      </c>
      <c r="D6972">
        <v>7</v>
      </c>
      <c r="AI6972">
        <v>1</v>
      </c>
    </row>
    <row r="6973" spans="1:35">
      <c r="A6973" s="3" t="s">
        <v>6925</v>
      </c>
      <c r="D6973">
        <v>7</v>
      </c>
      <c r="AI6973">
        <v>1</v>
      </c>
    </row>
    <row r="6974" spans="1:35">
      <c r="A6974" s="3" t="s">
        <v>6926</v>
      </c>
      <c r="D6974">
        <v>7</v>
      </c>
      <c r="AI6974">
        <v>1</v>
      </c>
    </row>
    <row r="6975" spans="1:35">
      <c r="A6975" s="3" t="s">
        <v>6927</v>
      </c>
      <c r="D6975">
        <v>7</v>
      </c>
      <c r="AI6975">
        <v>1</v>
      </c>
    </row>
    <row r="6976" spans="1:35">
      <c r="A6976" s="3" t="s">
        <v>6928</v>
      </c>
      <c r="D6976">
        <v>7</v>
      </c>
      <c r="AI6976">
        <v>1</v>
      </c>
    </row>
    <row r="6977" spans="1:35">
      <c r="A6977" s="3" t="s">
        <v>6929</v>
      </c>
      <c r="D6977">
        <v>7</v>
      </c>
      <c r="AI6977">
        <v>1</v>
      </c>
    </row>
    <row r="6978" spans="1:35">
      <c r="A6978" s="3" t="s">
        <v>6930</v>
      </c>
      <c r="D6978">
        <v>7</v>
      </c>
      <c r="AI6978">
        <v>1</v>
      </c>
    </row>
    <row r="6979" spans="1:35">
      <c r="A6979" s="3" t="s">
        <v>6931</v>
      </c>
      <c r="D6979">
        <v>7</v>
      </c>
      <c r="AI6979">
        <v>1</v>
      </c>
    </row>
    <row r="6980" spans="1:35">
      <c r="A6980" s="3" t="s">
        <v>6932</v>
      </c>
      <c r="D6980">
        <v>7</v>
      </c>
      <c r="AI6980">
        <v>1</v>
      </c>
    </row>
    <row r="6981" spans="1:35">
      <c r="A6981" s="3" t="s">
        <v>6933</v>
      </c>
      <c r="D6981">
        <v>7</v>
      </c>
      <c r="AI6981">
        <v>1</v>
      </c>
    </row>
    <row r="6982" spans="1:35">
      <c r="A6982" s="3" t="s">
        <v>6934</v>
      </c>
      <c r="D6982">
        <v>7</v>
      </c>
      <c r="AI6982">
        <v>1</v>
      </c>
    </row>
    <row r="6983" spans="1:35">
      <c r="A6983" s="3" t="s">
        <v>6935</v>
      </c>
      <c r="D6983">
        <v>7</v>
      </c>
      <c r="AI6983">
        <v>1</v>
      </c>
    </row>
    <row r="6984" spans="1:35">
      <c r="A6984" s="3" t="s">
        <v>6936</v>
      </c>
      <c r="D6984">
        <v>7</v>
      </c>
      <c r="AI6984">
        <v>1</v>
      </c>
    </row>
    <row r="6985" spans="1:35">
      <c r="A6985" s="3" t="s">
        <v>6937</v>
      </c>
      <c r="D6985">
        <v>7</v>
      </c>
      <c r="AI6985">
        <v>1</v>
      </c>
    </row>
    <row r="6986" spans="1:35">
      <c r="A6986" s="3" t="s">
        <v>6938</v>
      </c>
      <c r="D6986">
        <v>7</v>
      </c>
      <c r="AI6986">
        <v>1</v>
      </c>
    </row>
    <row r="6987" spans="1:35">
      <c r="A6987" s="3" t="s">
        <v>6939</v>
      </c>
      <c r="D6987">
        <v>7</v>
      </c>
      <c r="AI6987">
        <v>1</v>
      </c>
    </row>
    <row r="6988" spans="1:35">
      <c r="A6988" s="3" t="s">
        <v>6940</v>
      </c>
      <c r="D6988">
        <v>7</v>
      </c>
      <c r="AI6988">
        <v>1</v>
      </c>
    </row>
    <row r="6989" spans="1:35">
      <c r="A6989" s="3" t="s">
        <v>6941</v>
      </c>
      <c r="D6989">
        <v>7</v>
      </c>
      <c r="AI6989">
        <v>1</v>
      </c>
    </row>
    <row r="6990" spans="1:35">
      <c r="A6990" s="3" t="s">
        <v>6942</v>
      </c>
      <c r="D6990">
        <v>7</v>
      </c>
      <c r="AI6990">
        <v>1</v>
      </c>
    </row>
    <row r="6991" spans="1:35">
      <c r="A6991" s="3" t="s">
        <v>6943</v>
      </c>
      <c r="D6991">
        <v>7</v>
      </c>
      <c r="AI6991">
        <v>1</v>
      </c>
    </row>
    <row r="6992" spans="1:35">
      <c r="A6992" s="3" t="s">
        <v>6944</v>
      </c>
      <c r="D6992">
        <v>7</v>
      </c>
      <c r="AI6992">
        <v>1</v>
      </c>
    </row>
    <row r="6993" spans="1:35">
      <c r="A6993" s="3" t="s">
        <v>6945</v>
      </c>
      <c r="D6993">
        <v>7</v>
      </c>
      <c r="AI6993">
        <v>1</v>
      </c>
    </row>
    <row r="6994" spans="1:35">
      <c r="A6994" s="3" t="s">
        <v>6946</v>
      </c>
      <c r="D6994">
        <v>7</v>
      </c>
      <c r="AI6994">
        <v>1</v>
      </c>
    </row>
    <row r="6995" spans="1:35">
      <c r="A6995" s="3" t="s">
        <v>6947</v>
      </c>
      <c r="D6995">
        <v>7</v>
      </c>
      <c r="AI6995">
        <v>1</v>
      </c>
    </row>
    <row r="6996" spans="1:35">
      <c r="A6996" s="3" t="s">
        <v>6948</v>
      </c>
      <c r="D6996">
        <v>7</v>
      </c>
      <c r="AI6996">
        <v>1</v>
      </c>
    </row>
    <row r="6997" spans="1:35">
      <c r="A6997" s="3" t="s">
        <v>6949</v>
      </c>
      <c r="D6997">
        <v>7</v>
      </c>
      <c r="AI6997">
        <v>1</v>
      </c>
    </row>
    <row r="6998" spans="1:35">
      <c r="A6998" s="3" t="s">
        <v>6950</v>
      </c>
      <c r="D6998">
        <v>7</v>
      </c>
      <c r="AI6998">
        <v>1</v>
      </c>
    </row>
    <row r="6999" spans="1:35">
      <c r="A6999" s="3" t="s">
        <v>6951</v>
      </c>
      <c r="D6999">
        <v>7</v>
      </c>
      <c r="AI6999">
        <v>1</v>
      </c>
    </row>
    <row r="7000" spans="1:35">
      <c r="A7000" s="3" t="s">
        <v>6952</v>
      </c>
      <c r="D7000">
        <v>7</v>
      </c>
      <c r="AI7000">
        <v>1</v>
      </c>
    </row>
    <row r="7001" spans="1:35">
      <c r="A7001" s="3" t="s">
        <v>6953</v>
      </c>
      <c r="D7001">
        <v>7</v>
      </c>
      <c r="AI7001">
        <v>1</v>
      </c>
    </row>
    <row r="7002" spans="1:35">
      <c r="A7002" s="3" t="s">
        <v>6954</v>
      </c>
      <c r="D7002">
        <v>7</v>
      </c>
      <c r="AI7002">
        <v>1</v>
      </c>
    </row>
    <row r="7003" spans="1:35">
      <c r="A7003" s="3" t="s">
        <v>6955</v>
      </c>
      <c r="D7003">
        <v>7</v>
      </c>
      <c r="AI7003">
        <v>1</v>
      </c>
    </row>
    <row r="7004" spans="1:35">
      <c r="A7004" s="3" t="s">
        <v>6956</v>
      </c>
      <c r="D7004">
        <v>7</v>
      </c>
      <c r="AI7004">
        <v>1</v>
      </c>
    </row>
    <row r="7005" spans="1:35">
      <c r="A7005" s="3" t="s">
        <v>6957</v>
      </c>
      <c r="D7005">
        <v>7</v>
      </c>
      <c r="AI7005">
        <v>1</v>
      </c>
    </row>
    <row r="7006" spans="1:35">
      <c r="A7006" s="3" t="s">
        <v>6958</v>
      </c>
      <c r="D7006">
        <v>7</v>
      </c>
      <c r="AI7006">
        <v>1</v>
      </c>
    </row>
    <row r="7007" spans="1:35">
      <c r="A7007" s="3" t="s">
        <v>6959</v>
      </c>
      <c r="D7007">
        <v>7</v>
      </c>
      <c r="AI7007">
        <v>1</v>
      </c>
    </row>
    <row r="7008" spans="1:35">
      <c r="A7008" s="3" t="s">
        <v>6960</v>
      </c>
      <c r="D7008">
        <v>7</v>
      </c>
      <c r="AI7008">
        <v>1</v>
      </c>
    </row>
    <row r="7009" spans="1:35">
      <c r="A7009" s="3" t="s">
        <v>6961</v>
      </c>
      <c r="D7009">
        <v>7</v>
      </c>
      <c r="AI7009">
        <v>1</v>
      </c>
    </row>
    <row r="7010" spans="1:35">
      <c r="A7010" s="3" t="s">
        <v>6962</v>
      </c>
      <c r="D7010">
        <v>7</v>
      </c>
      <c r="AI7010">
        <v>1</v>
      </c>
    </row>
    <row r="7011" spans="1:35">
      <c r="A7011" s="3" t="s">
        <v>6963</v>
      </c>
      <c r="D7011">
        <v>7</v>
      </c>
      <c r="AI7011">
        <v>1</v>
      </c>
    </row>
    <row r="7012" spans="1:35">
      <c r="A7012" s="3" t="s">
        <v>6964</v>
      </c>
      <c r="D7012">
        <v>7</v>
      </c>
      <c r="AI7012">
        <v>1</v>
      </c>
    </row>
    <row r="7013" spans="1:35">
      <c r="A7013" s="3" t="s">
        <v>6965</v>
      </c>
      <c r="D7013">
        <v>7</v>
      </c>
      <c r="AI7013">
        <v>1</v>
      </c>
    </row>
    <row r="7014" spans="1:35">
      <c r="A7014" s="3" t="s">
        <v>6966</v>
      </c>
      <c r="D7014">
        <v>7</v>
      </c>
      <c r="AI7014">
        <v>1</v>
      </c>
    </row>
    <row r="7015" spans="1:35">
      <c r="A7015" s="3" t="s">
        <v>6967</v>
      </c>
      <c r="D7015">
        <v>7</v>
      </c>
      <c r="AI7015">
        <v>1</v>
      </c>
    </row>
    <row r="7016" spans="1:35">
      <c r="A7016" s="3" t="s">
        <v>6968</v>
      </c>
      <c r="D7016">
        <v>7</v>
      </c>
      <c r="AI7016">
        <v>1</v>
      </c>
    </row>
    <row r="7017" spans="1:35">
      <c r="A7017" s="3" t="s">
        <v>6969</v>
      </c>
      <c r="D7017">
        <v>7</v>
      </c>
      <c r="AI7017">
        <v>1</v>
      </c>
    </row>
    <row r="7018" spans="1:35">
      <c r="A7018" s="3" t="s">
        <v>6970</v>
      </c>
      <c r="D7018">
        <v>7</v>
      </c>
      <c r="AI7018">
        <v>1</v>
      </c>
    </row>
    <row r="7019" spans="1:35">
      <c r="A7019" s="3" t="s">
        <v>6971</v>
      </c>
      <c r="D7019">
        <v>7</v>
      </c>
      <c r="AI7019">
        <v>1</v>
      </c>
    </row>
    <row r="7020" spans="1:35">
      <c r="A7020" s="3" t="s">
        <v>6972</v>
      </c>
      <c r="D7020">
        <v>7</v>
      </c>
      <c r="AI7020">
        <v>1</v>
      </c>
    </row>
    <row r="7021" spans="1:35">
      <c r="A7021" s="3" t="s">
        <v>6973</v>
      </c>
      <c r="D7021">
        <v>7</v>
      </c>
      <c r="AI7021">
        <v>1</v>
      </c>
    </row>
    <row r="7022" spans="1:35">
      <c r="A7022" s="3" t="s">
        <v>6974</v>
      </c>
      <c r="D7022">
        <v>7</v>
      </c>
      <c r="AI7022">
        <v>1</v>
      </c>
    </row>
    <row r="7023" spans="1:35">
      <c r="A7023" s="3" t="s">
        <v>6975</v>
      </c>
      <c r="D7023">
        <v>7</v>
      </c>
      <c r="AI7023">
        <v>1</v>
      </c>
    </row>
    <row r="7024" spans="1:35">
      <c r="A7024" s="3" t="s">
        <v>6976</v>
      </c>
      <c r="D7024">
        <v>7</v>
      </c>
      <c r="AI7024">
        <v>1</v>
      </c>
    </row>
    <row r="7025" spans="1:35">
      <c r="A7025" s="3" t="s">
        <v>6977</v>
      </c>
      <c r="D7025">
        <v>7</v>
      </c>
      <c r="AI7025">
        <v>1</v>
      </c>
    </row>
    <row r="7026" spans="1:35">
      <c r="A7026" s="3" t="s">
        <v>6978</v>
      </c>
      <c r="D7026">
        <v>7</v>
      </c>
      <c r="AI7026">
        <v>1</v>
      </c>
    </row>
    <row r="7027" spans="1:35">
      <c r="A7027" s="3" t="s">
        <v>6979</v>
      </c>
      <c r="D7027">
        <v>7</v>
      </c>
      <c r="AI7027">
        <v>1</v>
      </c>
    </row>
    <row r="7028" spans="1:35">
      <c r="A7028" s="3" t="s">
        <v>6980</v>
      </c>
      <c r="D7028">
        <v>7</v>
      </c>
      <c r="AI7028">
        <v>1</v>
      </c>
    </row>
    <row r="7029" spans="1:35">
      <c r="A7029" s="3" t="s">
        <v>6981</v>
      </c>
      <c r="D7029">
        <v>7</v>
      </c>
      <c r="AI7029">
        <v>1</v>
      </c>
    </row>
    <row r="7030" spans="1:35">
      <c r="A7030" s="3" t="s">
        <v>6982</v>
      </c>
      <c r="D7030">
        <v>7</v>
      </c>
      <c r="AI7030">
        <v>1</v>
      </c>
    </row>
    <row r="7031" spans="1:35">
      <c r="A7031" s="3" t="s">
        <v>6983</v>
      </c>
      <c r="D7031">
        <v>7</v>
      </c>
      <c r="AI7031">
        <v>1</v>
      </c>
    </row>
    <row r="7032" spans="1:35">
      <c r="A7032" s="3" t="s">
        <v>6984</v>
      </c>
      <c r="D7032">
        <v>7</v>
      </c>
      <c r="AI7032">
        <v>1</v>
      </c>
    </row>
    <row r="7033" spans="1:35">
      <c r="A7033" s="3" t="s">
        <v>6985</v>
      </c>
      <c r="D7033">
        <v>7</v>
      </c>
      <c r="AI7033">
        <v>1</v>
      </c>
    </row>
    <row r="7034" spans="1:35">
      <c r="A7034" s="3" t="s">
        <v>6986</v>
      </c>
      <c r="D7034">
        <v>7</v>
      </c>
      <c r="AI7034">
        <v>1</v>
      </c>
    </row>
    <row r="7035" spans="1:35">
      <c r="A7035" s="3" t="s">
        <v>6987</v>
      </c>
      <c r="D7035">
        <v>7</v>
      </c>
      <c r="AI7035">
        <v>1</v>
      </c>
    </row>
    <row r="7036" spans="1:35">
      <c r="A7036" s="3" t="s">
        <v>6988</v>
      </c>
      <c r="D7036">
        <v>7</v>
      </c>
      <c r="AI7036">
        <v>1</v>
      </c>
    </row>
    <row r="7037" spans="1:35">
      <c r="A7037" s="3" t="s">
        <v>6989</v>
      </c>
      <c r="D7037">
        <v>7</v>
      </c>
      <c r="AI7037">
        <v>1</v>
      </c>
    </row>
    <row r="7038" spans="1:35">
      <c r="A7038" s="3" t="s">
        <v>6990</v>
      </c>
      <c r="D7038">
        <v>7</v>
      </c>
      <c r="AI7038">
        <v>1</v>
      </c>
    </row>
    <row r="7039" spans="1:35">
      <c r="A7039" s="3" t="s">
        <v>6991</v>
      </c>
      <c r="D7039">
        <v>7</v>
      </c>
      <c r="K7039">
        <v>7</v>
      </c>
    </row>
    <row r="7040" spans="1:35">
      <c r="A7040" s="3" t="s">
        <v>6992</v>
      </c>
      <c r="D7040">
        <v>7</v>
      </c>
      <c r="K7040">
        <v>7</v>
      </c>
    </row>
    <row r="7041" spans="1:11">
      <c r="A7041" s="3" t="s">
        <v>6993</v>
      </c>
      <c r="D7041">
        <v>7</v>
      </c>
      <c r="K7041">
        <v>7</v>
      </c>
    </row>
    <row r="7042" spans="1:11">
      <c r="A7042" s="3" t="s">
        <v>6994</v>
      </c>
      <c r="D7042">
        <v>7</v>
      </c>
      <c r="K7042">
        <v>7</v>
      </c>
    </row>
    <row r="7043" spans="1:11">
      <c r="A7043" s="3" t="s">
        <v>6995</v>
      </c>
      <c r="D7043">
        <v>7</v>
      </c>
      <c r="K7043">
        <v>7</v>
      </c>
    </row>
    <row r="7044" spans="1:11">
      <c r="A7044" s="3" t="s">
        <v>6996</v>
      </c>
      <c r="D7044">
        <v>7</v>
      </c>
      <c r="K7044">
        <v>7</v>
      </c>
    </row>
    <row r="7045" spans="1:11">
      <c r="A7045" s="3" t="s">
        <v>6997</v>
      </c>
      <c r="D7045">
        <v>7</v>
      </c>
      <c r="K7045">
        <v>7</v>
      </c>
    </row>
    <row r="7046" spans="1:11">
      <c r="A7046" s="3" t="s">
        <v>6998</v>
      </c>
      <c r="D7046">
        <v>7</v>
      </c>
      <c r="K7046">
        <v>7</v>
      </c>
    </row>
    <row r="7047" spans="1:11">
      <c r="A7047" s="3" t="s">
        <v>6999</v>
      </c>
      <c r="D7047">
        <v>7</v>
      </c>
      <c r="K7047">
        <v>7</v>
      </c>
    </row>
    <row r="7048" spans="1:11">
      <c r="A7048" s="3" t="s">
        <v>7000</v>
      </c>
      <c r="D7048">
        <v>7</v>
      </c>
      <c r="K7048">
        <v>7</v>
      </c>
    </row>
    <row r="7049" spans="1:11">
      <c r="A7049" s="3" t="s">
        <v>7001</v>
      </c>
      <c r="D7049">
        <v>7</v>
      </c>
      <c r="K7049">
        <v>7</v>
      </c>
    </row>
    <row r="7050" spans="1:11">
      <c r="A7050" s="3" t="s">
        <v>7002</v>
      </c>
      <c r="D7050">
        <v>7</v>
      </c>
      <c r="K7050">
        <v>7</v>
      </c>
    </row>
    <row r="7051" spans="1:11">
      <c r="A7051" s="3" t="s">
        <v>7003</v>
      </c>
      <c r="D7051">
        <v>7</v>
      </c>
      <c r="K7051">
        <v>7</v>
      </c>
    </row>
    <row r="7052" spans="1:11">
      <c r="A7052" s="3" t="s">
        <v>7004</v>
      </c>
      <c r="D7052">
        <v>7</v>
      </c>
      <c r="K7052">
        <v>7</v>
      </c>
    </row>
    <row r="7053" spans="1:11">
      <c r="A7053" s="3" t="s">
        <v>7005</v>
      </c>
      <c r="D7053">
        <v>7</v>
      </c>
      <c r="K7053">
        <v>7</v>
      </c>
    </row>
    <row r="7054" spans="1:11">
      <c r="A7054" s="3" t="s">
        <v>7006</v>
      </c>
      <c r="D7054">
        <v>7</v>
      </c>
      <c r="K7054">
        <v>7</v>
      </c>
    </row>
    <row r="7055" spans="1:11">
      <c r="A7055" s="3" t="s">
        <v>7007</v>
      </c>
      <c r="D7055">
        <v>7</v>
      </c>
      <c r="K7055">
        <v>7</v>
      </c>
    </row>
    <row r="7056" spans="1:11">
      <c r="A7056" s="3" t="s">
        <v>7008</v>
      </c>
      <c r="D7056">
        <v>7</v>
      </c>
      <c r="K7056">
        <v>7</v>
      </c>
    </row>
    <row r="7057" spans="1:11">
      <c r="A7057" s="3" t="s">
        <v>7009</v>
      </c>
      <c r="D7057">
        <v>7</v>
      </c>
      <c r="K7057">
        <v>7</v>
      </c>
    </row>
    <row r="7058" spans="1:11">
      <c r="A7058" s="3" t="s">
        <v>7010</v>
      </c>
      <c r="D7058">
        <v>7</v>
      </c>
      <c r="K7058">
        <v>7</v>
      </c>
    </row>
    <row r="7059" spans="1:11">
      <c r="A7059" s="3" t="s">
        <v>7011</v>
      </c>
      <c r="D7059">
        <v>7</v>
      </c>
      <c r="K7059">
        <v>7</v>
      </c>
    </row>
    <row r="7060" spans="1:11">
      <c r="A7060" s="3" t="s">
        <v>7012</v>
      </c>
      <c r="D7060">
        <v>7</v>
      </c>
      <c r="K7060">
        <v>7</v>
      </c>
    </row>
    <row r="7061" spans="1:11">
      <c r="A7061" s="3" t="s">
        <v>7013</v>
      </c>
      <c r="D7061">
        <v>7</v>
      </c>
      <c r="K7061">
        <v>7</v>
      </c>
    </row>
    <row r="7062" spans="1:11">
      <c r="A7062" s="3" t="s">
        <v>7014</v>
      </c>
      <c r="D7062">
        <v>7</v>
      </c>
      <c r="K7062">
        <v>7</v>
      </c>
    </row>
    <row r="7063" spans="1:11">
      <c r="A7063" s="3" t="s">
        <v>7015</v>
      </c>
      <c r="D7063">
        <v>7</v>
      </c>
      <c r="K7063">
        <v>7</v>
      </c>
    </row>
    <row r="7064" spans="1:11">
      <c r="A7064" s="3" t="s">
        <v>7016</v>
      </c>
      <c r="D7064">
        <v>7</v>
      </c>
      <c r="K7064">
        <v>7</v>
      </c>
    </row>
    <row r="7065" spans="1:11">
      <c r="A7065" s="3" t="s">
        <v>7017</v>
      </c>
      <c r="D7065">
        <v>7</v>
      </c>
      <c r="K7065">
        <v>7</v>
      </c>
    </row>
    <row r="7066" spans="1:11">
      <c r="A7066" s="3" t="s">
        <v>7018</v>
      </c>
      <c r="D7066">
        <v>7</v>
      </c>
      <c r="K7066">
        <v>7</v>
      </c>
    </row>
    <row r="7067" spans="1:11">
      <c r="A7067" s="3" t="s">
        <v>7019</v>
      </c>
      <c r="D7067">
        <v>7</v>
      </c>
      <c r="K7067">
        <v>7</v>
      </c>
    </row>
    <row r="7068" spans="1:11">
      <c r="A7068" s="3" t="s">
        <v>7020</v>
      </c>
      <c r="D7068">
        <v>7</v>
      </c>
      <c r="K7068">
        <v>7</v>
      </c>
    </row>
    <row r="7069" spans="1:11">
      <c r="A7069" s="3" t="s">
        <v>7021</v>
      </c>
      <c r="D7069">
        <v>7</v>
      </c>
      <c r="K7069">
        <v>7</v>
      </c>
    </row>
    <row r="7070" spans="1:11">
      <c r="A7070" s="3" t="s">
        <v>7022</v>
      </c>
      <c r="D7070">
        <v>7</v>
      </c>
      <c r="K7070">
        <v>7</v>
      </c>
    </row>
    <row r="7071" spans="1:11">
      <c r="A7071" s="3" t="s">
        <v>7023</v>
      </c>
      <c r="D7071">
        <v>7</v>
      </c>
      <c r="K7071">
        <v>7</v>
      </c>
    </row>
    <row r="7072" spans="1:11">
      <c r="A7072" s="3" t="s">
        <v>7024</v>
      </c>
      <c r="D7072">
        <v>7</v>
      </c>
      <c r="K7072">
        <v>7</v>
      </c>
    </row>
    <row r="7073" spans="1:11">
      <c r="A7073" s="3" t="s">
        <v>7025</v>
      </c>
      <c r="D7073">
        <v>7</v>
      </c>
      <c r="K7073">
        <v>7</v>
      </c>
    </row>
    <row r="7074" spans="1:11">
      <c r="A7074" s="3" t="s">
        <v>7026</v>
      </c>
      <c r="D7074">
        <v>7</v>
      </c>
      <c r="K7074">
        <v>7</v>
      </c>
    </row>
    <row r="7075" spans="1:11">
      <c r="A7075" s="3" t="s">
        <v>7027</v>
      </c>
      <c r="D7075">
        <v>7</v>
      </c>
      <c r="K7075">
        <v>7</v>
      </c>
    </row>
    <row r="7076" spans="1:11">
      <c r="A7076" s="3" t="s">
        <v>7028</v>
      </c>
      <c r="D7076">
        <v>7</v>
      </c>
      <c r="K7076">
        <v>7</v>
      </c>
    </row>
    <row r="7077" spans="1:11">
      <c r="A7077" s="3" t="s">
        <v>7029</v>
      </c>
      <c r="D7077">
        <v>7</v>
      </c>
      <c r="K7077">
        <v>7</v>
      </c>
    </row>
    <row r="7078" spans="1:11">
      <c r="A7078" s="3" t="s">
        <v>7030</v>
      </c>
      <c r="D7078">
        <v>7</v>
      </c>
      <c r="K7078">
        <v>7</v>
      </c>
    </row>
    <row r="7079" spans="1:11">
      <c r="A7079" s="3" t="s">
        <v>7031</v>
      </c>
      <c r="D7079">
        <v>7</v>
      </c>
      <c r="K7079">
        <v>7</v>
      </c>
    </row>
    <row r="7080" spans="1:11">
      <c r="A7080" s="3" t="s">
        <v>7032</v>
      </c>
      <c r="D7080">
        <v>7</v>
      </c>
      <c r="K7080">
        <v>7</v>
      </c>
    </row>
    <row r="7081" spans="1:11">
      <c r="A7081" s="3" t="s">
        <v>7033</v>
      </c>
      <c r="D7081">
        <v>7</v>
      </c>
      <c r="K7081">
        <v>7</v>
      </c>
    </row>
    <row r="7082" spans="1:11">
      <c r="A7082" s="3" t="s">
        <v>7034</v>
      </c>
      <c r="D7082">
        <v>7</v>
      </c>
      <c r="K7082">
        <v>7</v>
      </c>
    </row>
    <row r="7083" spans="1:11">
      <c r="A7083" s="3" t="s">
        <v>7035</v>
      </c>
      <c r="D7083">
        <v>7</v>
      </c>
      <c r="K7083">
        <v>7</v>
      </c>
    </row>
    <row r="7084" spans="1:11">
      <c r="A7084" s="3" t="s">
        <v>7036</v>
      </c>
      <c r="D7084">
        <v>7</v>
      </c>
      <c r="K7084">
        <v>7</v>
      </c>
    </row>
    <row r="7085" spans="1:11">
      <c r="A7085" s="3" t="s">
        <v>7037</v>
      </c>
      <c r="D7085">
        <v>7</v>
      </c>
      <c r="K7085">
        <v>7</v>
      </c>
    </row>
    <row r="7086" spans="1:11">
      <c r="A7086" s="3" t="s">
        <v>7038</v>
      </c>
      <c r="D7086">
        <v>7</v>
      </c>
      <c r="K7086">
        <v>7</v>
      </c>
    </row>
    <row r="7087" spans="1:11">
      <c r="A7087" s="3" t="s">
        <v>7039</v>
      </c>
      <c r="D7087">
        <v>7</v>
      </c>
      <c r="K7087">
        <v>7</v>
      </c>
    </row>
    <row r="7088" spans="1:11">
      <c r="A7088" s="3" t="s">
        <v>7040</v>
      </c>
      <c r="D7088">
        <v>7</v>
      </c>
      <c r="K7088">
        <v>7</v>
      </c>
    </row>
    <row r="7089" spans="1:32">
      <c r="A7089" s="3" t="s">
        <v>7041</v>
      </c>
      <c r="D7089">
        <v>7</v>
      </c>
      <c r="K7089">
        <v>7</v>
      </c>
    </row>
    <row r="7090" spans="1:32">
      <c r="A7090" s="3" t="s">
        <v>7042</v>
      </c>
      <c r="D7090">
        <v>7</v>
      </c>
      <c r="K7090">
        <v>7</v>
      </c>
    </row>
    <row r="7091" spans="1:32">
      <c r="A7091" s="3" t="s">
        <v>7043</v>
      </c>
      <c r="D7091">
        <v>7</v>
      </c>
      <c r="J7091">
        <v>72</v>
      </c>
    </row>
    <row r="7092" spans="1:32">
      <c r="A7092" s="3" t="s">
        <v>7044</v>
      </c>
      <c r="D7092">
        <v>7</v>
      </c>
      <c r="J7092">
        <v>72</v>
      </c>
    </row>
    <row r="7093" spans="1:32">
      <c r="A7093" s="3" t="s">
        <v>7045</v>
      </c>
      <c r="D7093">
        <v>7</v>
      </c>
      <c r="J7093">
        <v>72</v>
      </c>
    </row>
    <row r="7094" spans="1:32">
      <c r="A7094" s="3" t="s">
        <v>7046</v>
      </c>
      <c r="D7094">
        <v>7</v>
      </c>
      <c r="J7094">
        <v>72</v>
      </c>
    </row>
    <row r="7095" spans="1:32">
      <c r="A7095" s="3" t="s">
        <v>7047</v>
      </c>
      <c r="D7095">
        <v>7</v>
      </c>
      <c r="J7095">
        <v>72</v>
      </c>
    </row>
    <row r="7096" spans="1:32">
      <c r="A7096" s="3" t="s">
        <v>7048</v>
      </c>
      <c r="D7096">
        <v>7</v>
      </c>
      <c r="J7096">
        <v>72</v>
      </c>
    </row>
    <row r="7097" spans="1:32">
      <c r="A7097" s="3" t="s">
        <v>7049</v>
      </c>
      <c r="D7097">
        <v>7</v>
      </c>
      <c r="J7097">
        <v>72</v>
      </c>
    </row>
    <row r="7098" spans="1:32">
      <c r="A7098" s="3" t="s">
        <v>7050</v>
      </c>
      <c r="D7098">
        <v>7</v>
      </c>
      <c r="AF7098">
        <v>3</v>
      </c>
    </row>
    <row r="7099" spans="1:32">
      <c r="A7099" s="3" t="s">
        <v>7051</v>
      </c>
      <c r="D7099">
        <v>7</v>
      </c>
      <c r="AF7099">
        <v>3</v>
      </c>
    </row>
    <row r="7100" spans="1:32">
      <c r="A7100" s="3" t="s">
        <v>7052</v>
      </c>
      <c r="D7100">
        <v>7</v>
      </c>
      <c r="AF7100">
        <v>3</v>
      </c>
    </row>
    <row r="7101" spans="1:32">
      <c r="A7101" s="3" t="s">
        <v>7053</v>
      </c>
      <c r="D7101">
        <v>7</v>
      </c>
      <c r="AF7101">
        <v>3</v>
      </c>
    </row>
    <row r="7102" spans="1:32">
      <c r="A7102" s="3" t="s">
        <v>7054</v>
      </c>
      <c r="D7102">
        <v>7</v>
      </c>
      <c r="AF7102">
        <v>3</v>
      </c>
    </row>
    <row r="7103" spans="1:32">
      <c r="A7103" s="3" t="s">
        <v>7055</v>
      </c>
      <c r="D7103">
        <v>7</v>
      </c>
      <c r="AF7103">
        <v>3</v>
      </c>
    </row>
    <row r="7104" spans="1:32">
      <c r="A7104" s="3" t="s">
        <v>7056</v>
      </c>
      <c r="D7104">
        <v>7</v>
      </c>
      <c r="AF7104">
        <v>3</v>
      </c>
    </row>
    <row r="7105" spans="1:32">
      <c r="A7105" s="3" t="s">
        <v>7057</v>
      </c>
      <c r="D7105">
        <v>7</v>
      </c>
      <c r="AF7105">
        <v>3</v>
      </c>
    </row>
    <row r="7106" spans="1:32">
      <c r="A7106" s="3" t="s">
        <v>7058</v>
      </c>
      <c r="D7106">
        <v>7</v>
      </c>
      <c r="AF7106">
        <v>3</v>
      </c>
    </row>
    <row r="7107" spans="1:32">
      <c r="A7107" s="3" t="s">
        <v>7059</v>
      </c>
      <c r="D7107">
        <v>7</v>
      </c>
      <c r="AF7107">
        <v>3</v>
      </c>
    </row>
    <row r="7108" spans="1:32">
      <c r="A7108" s="3" t="s">
        <v>7060</v>
      </c>
      <c r="D7108">
        <v>7</v>
      </c>
      <c r="AF7108">
        <v>3</v>
      </c>
    </row>
    <row r="7109" spans="1:32">
      <c r="A7109" s="3" t="s">
        <v>7061</v>
      </c>
      <c r="D7109">
        <v>7</v>
      </c>
      <c r="AF7109">
        <v>3</v>
      </c>
    </row>
    <row r="7110" spans="1:32">
      <c r="A7110" s="3" t="s">
        <v>7062</v>
      </c>
      <c r="D7110">
        <v>7</v>
      </c>
      <c r="AF7110">
        <v>3</v>
      </c>
    </row>
    <row r="7111" spans="1:32">
      <c r="A7111" s="3" t="s">
        <v>7063</v>
      </c>
      <c r="D7111">
        <v>7</v>
      </c>
      <c r="AF7111">
        <v>3</v>
      </c>
    </row>
    <row r="7112" spans="1:32">
      <c r="A7112" s="3" t="s">
        <v>7064</v>
      </c>
      <c r="D7112">
        <v>7</v>
      </c>
      <c r="AF7112">
        <v>3</v>
      </c>
    </row>
    <row r="7113" spans="1:32">
      <c r="A7113" s="3" t="s">
        <v>7065</v>
      </c>
      <c r="D7113">
        <v>7</v>
      </c>
      <c r="AF7113">
        <v>3</v>
      </c>
    </row>
    <row r="7114" spans="1:32">
      <c r="A7114" s="3" t="s">
        <v>7066</v>
      </c>
      <c r="D7114">
        <v>7</v>
      </c>
      <c r="AF7114">
        <v>3</v>
      </c>
    </row>
    <row r="7115" spans="1:32">
      <c r="A7115" s="3" t="s">
        <v>7067</v>
      </c>
      <c r="D7115">
        <v>7</v>
      </c>
      <c r="AF7115">
        <v>3</v>
      </c>
    </row>
    <row r="7116" spans="1:32">
      <c r="A7116" s="3" t="s">
        <v>7068</v>
      </c>
      <c r="D7116">
        <v>7</v>
      </c>
      <c r="AF7116">
        <v>3</v>
      </c>
    </row>
    <row r="7117" spans="1:32">
      <c r="A7117" s="3" t="s">
        <v>7069</v>
      </c>
      <c r="D7117">
        <v>7</v>
      </c>
      <c r="AF7117">
        <v>3</v>
      </c>
    </row>
    <row r="7118" spans="1:32">
      <c r="A7118" s="3" t="s">
        <v>7070</v>
      </c>
      <c r="D7118">
        <v>7</v>
      </c>
      <c r="AF7118">
        <v>3</v>
      </c>
    </row>
    <row r="7119" spans="1:32">
      <c r="A7119" s="3" t="s">
        <v>7071</v>
      </c>
      <c r="D7119">
        <v>7</v>
      </c>
      <c r="AF7119">
        <v>3</v>
      </c>
    </row>
    <row r="7120" spans="1:32">
      <c r="A7120" s="3" t="s">
        <v>7072</v>
      </c>
      <c r="D7120">
        <v>7</v>
      </c>
      <c r="AF7120">
        <v>3</v>
      </c>
    </row>
    <row r="7121" spans="1:32">
      <c r="A7121" s="3" t="s">
        <v>7073</v>
      </c>
      <c r="D7121">
        <v>7</v>
      </c>
      <c r="AF7121">
        <v>3</v>
      </c>
    </row>
    <row r="7122" spans="1:32">
      <c r="A7122" s="3" t="s">
        <v>7074</v>
      </c>
      <c r="D7122">
        <v>7</v>
      </c>
      <c r="AF7122">
        <v>3</v>
      </c>
    </row>
    <row r="7123" spans="1:32">
      <c r="A7123" s="3" t="s">
        <v>7075</v>
      </c>
      <c r="D7123">
        <v>7</v>
      </c>
      <c r="AF7123">
        <v>3</v>
      </c>
    </row>
    <row r="7124" spans="1:32">
      <c r="A7124" s="3" t="s">
        <v>7076</v>
      </c>
      <c r="D7124">
        <v>7</v>
      </c>
      <c r="AF7124">
        <v>3</v>
      </c>
    </row>
    <row r="7125" spans="1:32">
      <c r="A7125" s="3" t="s">
        <v>7077</v>
      </c>
      <c r="D7125">
        <v>7</v>
      </c>
      <c r="AF7125">
        <v>3</v>
      </c>
    </row>
    <row r="7126" spans="1:32">
      <c r="A7126" s="3" t="s">
        <v>7078</v>
      </c>
      <c r="D7126">
        <v>7</v>
      </c>
      <c r="AF7126">
        <v>3</v>
      </c>
    </row>
    <row r="7127" spans="1:32">
      <c r="A7127" s="3" t="s">
        <v>7079</v>
      </c>
      <c r="D7127">
        <v>7</v>
      </c>
      <c r="AF7127">
        <v>3</v>
      </c>
    </row>
    <row r="7128" spans="1:32">
      <c r="A7128" s="3" t="s">
        <v>7080</v>
      </c>
      <c r="D7128">
        <v>7</v>
      </c>
      <c r="AF7128">
        <v>3</v>
      </c>
    </row>
    <row r="7129" spans="1:32">
      <c r="A7129" s="3" t="s">
        <v>7081</v>
      </c>
      <c r="D7129">
        <v>7</v>
      </c>
      <c r="AF7129">
        <v>3</v>
      </c>
    </row>
    <row r="7130" spans="1:32">
      <c r="A7130" s="3" t="s">
        <v>7082</v>
      </c>
      <c r="D7130">
        <v>7</v>
      </c>
      <c r="AF7130">
        <v>3</v>
      </c>
    </row>
    <row r="7131" spans="1:32">
      <c r="A7131" s="3" t="s">
        <v>7083</v>
      </c>
      <c r="D7131">
        <v>7</v>
      </c>
      <c r="AF7131">
        <v>3</v>
      </c>
    </row>
    <row r="7132" spans="1:32">
      <c r="A7132" s="3" t="s">
        <v>7084</v>
      </c>
      <c r="D7132">
        <v>7</v>
      </c>
      <c r="AF7132">
        <v>3</v>
      </c>
    </row>
    <row r="7133" spans="1:32">
      <c r="A7133" s="3" t="s">
        <v>7085</v>
      </c>
      <c r="D7133">
        <v>7</v>
      </c>
      <c r="AF7133">
        <v>3</v>
      </c>
    </row>
    <row r="7134" spans="1:32">
      <c r="A7134" s="3" t="s">
        <v>7086</v>
      </c>
      <c r="D7134">
        <v>7</v>
      </c>
      <c r="J7134">
        <v>73</v>
      </c>
    </row>
    <row r="7135" spans="1:32">
      <c r="A7135" s="3" t="s">
        <v>7087</v>
      </c>
      <c r="D7135">
        <v>7</v>
      </c>
      <c r="J7135">
        <v>73</v>
      </c>
    </row>
    <row r="7136" spans="1:32">
      <c r="A7136" s="3" t="s">
        <v>7088</v>
      </c>
      <c r="D7136">
        <v>7</v>
      </c>
      <c r="J7136">
        <v>73</v>
      </c>
    </row>
    <row r="7137" spans="1:10">
      <c r="A7137" s="3" t="s">
        <v>7089</v>
      </c>
      <c r="D7137">
        <v>7</v>
      </c>
      <c r="J7137">
        <v>73</v>
      </c>
    </row>
    <row r="7138" spans="1:10">
      <c r="A7138" s="3" t="s">
        <v>7090</v>
      </c>
      <c r="D7138">
        <v>7</v>
      </c>
      <c r="J7138">
        <v>73</v>
      </c>
    </row>
    <row r="7139" spans="1:10">
      <c r="A7139" s="3" t="s">
        <v>7091</v>
      </c>
      <c r="D7139">
        <v>7</v>
      </c>
      <c r="J7139">
        <v>73</v>
      </c>
    </row>
    <row r="7140" spans="1:10">
      <c r="A7140" s="3" t="s">
        <v>7092</v>
      </c>
      <c r="D7140">
        <v>7</v>
      </c>
      <c r="J7140">
        <v>73</v>
      </c>
    </row>
    <row r="7141" spans="1:10">
      <c r="A7141" s="3" t="s">
        <v>7093</v>
      </c>
      <c r="D7141">
        <v>7</v>
      </c>
      <c r="J7141">
        <v>73</v>
      </c>
    </row>
    <row r="7142" spans="1:10">
      <c r="A7142" s="3" t="s">
        <v>7094</v>
      </c>
      <c r="D7142">
        <v>7</v>
      </c>
      <c r="J7142">
        <v>73</v>
      </c>
    </row>
    <row r="7143" spans="1:10">
      <c r="A7143" s="3" t="s">
        <v>7095</v>
      </c>
      <c r="D7143">
        <v>7</v>
      </c>
      <c r="J7143">
        <v>73</v>
      </c>
    </row>
    <row r="7144" spans="1:10">
      <c r="A7144" s="3" t="s">
        <v>7096</v>
      </c>
      <c r="D7144">
        <v>7</v>
      </c>
      <c r="J7144">
        <v>73</v>
      </c>
    </row>
    <row r="7145" spans="1:10">
      <c r="A7145" s="3" t="s">
        <v>7097</v>
      </c>
      <c r="D7145">
        <v>7</v>
      </c>
      <c r="J7145">
        <v>73</v>
      </c>
    </row>
    <row r="7146" spans="1:10">
      <c r="A7146" s="3" t="s">
        <v>7098</v>
      </c>
      <c r="D7146">
        <v>7</v>
      </c>
      <c r="J7146">
        <v>73</v>
      </c>
    </row>
    <row r="7147" spans="1:10">
      <c r="A7147" s="3" t="s">
        <v>7099</v>
      </c>
      <c r="D7147">
        <v>7</v>
      </c>
      <c r="J7147">
        <v>73</v>
      </c>
    </row>
    <row r="7148" spans="1:10">
      <c r="A7148" s="3" t="s">
        <v>7100</v>
      </c>
      <c r="D7148">
        <v>7</v>
      </c>
      <c r="J7148">
        <v>73</v>
      </c>
    </row>
    <row r="7149" spans="1:10">
      <c r="A7149" s="3" t="s">
        <v>7101</v>
      </c>
      <c r="D7149">
        <v>7</v>
      </c>
      <c r="J7149">
        <v>73</v>
      </c>
    </row>
    <row r="7150" spans="1:10">
      <c r="A7150" s="3" t="s">
        <v>7102</v>
      </c>
      <c r="D7150">
        <v>7</v>
      </c>
      <c r="J7150">
        <v>73</v>
      </c>
    </row>
    <row r="7151" spans="1:10">
      <c r="A7151" s="3" t="s">
        <v>7103</v>
      </c>
      <c r="D7151">
        <v>7</v>
      </c>
      <c r="J7151">
        <v>73</v>
      </c>
    </row>
    <row r="7152" spans="1:10">
      <c r="A7152" s="3" t="s">
        <v>7104</v>
      </c>
      <c r="D7152">
        <v>7</v>
      </c>
      <c r="J7152">
        <v>73</v>
      </c>
    </row>
    <row r="7153" spans="1:10">
      <c r="A7153" s="3" t="s">
        <v>7105</v>
      </c>
      <c r="D7153">
        <v>7</v>
      </c>
      <c r="J7153">
        <v>73</v>
      </c>
    </row>
    <row r="7154" spans="1:10">
      <c r="A7154" s="3" t="s">
        <v>7106</v>
      </c>
      <c r="D7154">
        <v>7</v>
      </c>
      <c r="J7154">
        <v>73</v>
      </c>
    </row>
    <row r="7155" spans="1:10">
      <c r="A7155" s="3" t="s">
        <v>7107</v>
      </c>
      <c r="D7155">
        <v>7</v>
      </c>
      <c r="J7155">
        <v>73</v>
      </c>
    </row>
    <row r="7156" spans="1:10">
      <c r="A7156" s="3" t="s">
        <v>7108</v>
      </c>
      <c r="D7156">
        <v>7</v>
      </c>
      <c r="J7156">
        <v>73</v>
      </c>
    </row>
    <row r="7157" spans="1:10">
      <c r="A7157" s="3" t="s">
        <v>7109</v>
      </c>
      <c r="D7157">
        <v>7</v>
      </c>
      <c r="J7157">
        <v>73</v>
      </c>
    </row>
    <row r="7158" spans="1:10">
      <c r="A7158" s="3" t="s">
        <v>7110</v>
      </c>
      <c r="D7158">
        <v>7</v>
      </c>
      <c r="J7158">
        <v>73</v>
      </c>
    </row>
    <row r="7159" spans="1:10">
      <c r="A7159" s="3" t="s">
        <v>7111</v>
      </c>
      <c r="D7159">
        <v>7</v>
      </c>
      <c r="J7159">
        <v>73</v>
      </c>
    </row>
    <row r="7160" spans="1:10">
      <c r="A7160" s="3" t="s">
        <v>7112</v>
      </c>
      <c r="D7160">
        <v>7</v>
      </c>
      <c r="J7160">
        <v>73</v>
      </c>
    </row>
    <row r="7161" spans="1:10">
      <c r="A7161" s="3" t="s">
        <v>7113</v>
      </c>
      <c r="D7161">
        <v>7</v>
      </c>
      <c r="J7161">
        <v>73</v>
      </c>
    </row>
    <row r="7162" spans="1:10">
      <c r="A7162" s="3" t="s">
        <v>7114</v>
      </c>
      <c r="D7162">
        <v>7</v>
      </c>
      <c r="J7162">
        <v>73</v>
      </c>
    </row>
    <row r="7163" spans="1:10">
      <c r="A7163" s="3" t="s">
        <v>7115</v>
      </c>
      <c r="D7163">
        <v>7</v>
      </c>
      <c r="J7163">
        <v>73</v>
      </c>
    </row>
    <row r="7164" spans="1:10">
      <c r="A7164" s="3" t="s">
        <v>7116</v>
      </c>
      <c r="D7164">
        <v>7</v>
      </c>
      <c r="J7164">
        <v>73</v>
      </c>
    </row>
    <row r="7165" spans="1:10">
      <c r="A7165" s="3" t="s">
        <v>7117</v>
      </c>
      <c r="D7165">
        <v>7</v>
      </c>
      <c r="J7165">
        <v>73</v>
      </c>
    </row>
    <row r="7166" spans="1:10">
      <c r="A7166" s="3" t="s">
        <v>7118</v>
      </c>
      <c r="D7166">
        <v>7</v>
      </c>
      <c r="J7166">
        <v>73</v>
      </c>
    </row>
    <row r="7167" spans="1:10">
      <c r="A7167" s="3" t="s">
        <v>7119</v>
      </c>
      <c r="D7167">
        <v>7</v>
      </c>
      <c r="J7167">
        <v>73</v>
      </c>
    </row>
    <row r="7168" spans="1:10">
      <c r="A7168" s="3" t="s">
        <v>7120</v>
      </c>
      <c r="D7168">
        <v>7</v>
      </c>
      <c r="J7168">
        <v>73</v>
      </c>
    </row>
    <row r="7169" spans="1:26">
      <c r="A7169" s="3" t="s">
        <v>7121</v>
      </c>
      <c r="D7169">
        <v>7</v>
      </c>
      <c r="J7169">
        <v>73</v>
      </c>
    </row>
    <row r="7170" spans="1:26">
      <c r="A7170" s="3" t="s">
        <v>7122</v>
      </c>
      <c r="D7170">
        <v>7</v>
      </c>
      <c r="J7170">
        <v>73</v>
      </c>
    </row>
    <row r="7171" spans="1:26">
      <c r="A7171" s="3" t="s">
        <v>7123</v>
      </c>
      <c r="D7171">
        <v>7</v>
      </c>
      <c r="J7171">
        <v>73</v>
      </c>
    </row>
    <row r="7172" spans="1:26">
      <c r="A7172" s="3" t="s">
        <v>7124</v>
      </c>
      <c r="D7172">
        <v>7</v>
      </c>
      <c r="J7172">
        <v>73</v>
      </c>
    </row>
    <row r="7173" spans="1:26">
      <c r="A7173" s="3" t="s">
        <v>7125</v>
      </c>
      <c r="D7173">
        <v>7</v>
      </c>
      <c r="J7173">
        <v>73</v>
      </c>
    </row>
    <row r="7174" spans="1:26">
      <c r="A7174" s="3" t="s">
        <v>7126</v>
      </c>
      <c r="D7174">
        <v>7</v>
      </c>
      <c r="J7174">
        <v>73</v>
      </c>
    </row>
    <row r="7175" spans="1:26">
      <c r="A7175" s="3" t="s">
        <v>7127</v>
      </c>
      <c r="D7175">
        <v>7</v>
      </c>
      <c r="J7175">
        <v>73</v>
      </c>
    </row>
    <row r="7176" spans="1:26">
      <c r="A7176" s="3" t="s">
        <v>7128</v>
      </c>
      <c r="D7176">
        <v>7</v>
      </c>
      <c r="J7176">
        <v>73</v>
      </c>
    </row>
    <row r="7177" spans="1:26">
      <c r="A7177" s="3" t="s">
        <v>7129</v>
      </c>
      <c r="D7177">
        <v>7</v>
      </c>
      <c r="J7177">
        <v>73</v>
      </c>
    </row>
    <row r="7178" spans="1:26">
      <c r="A7178" s="3" t="s">
        <v>7130</v>
      </c>
      <c r="D7178">
        <v>7</v>
      </c>
      <c r="J7178">
        <v>73</v>
      </c>
    </row>
    <row r="7179" spans="1:26">
      <c r="A7179" s="3" t="s">
        <v>7131</v>
      </c>
      <c r="D7179">
        <v>7</v>
      </c>
      <c r="J7179">
        <v>73</v>
      </c>
    </row>
    <row r="7180" spans="1:26">
      <c r="A7180" s="3" t="s">
        <v>7132</v>
      </c>
      <c r="D7180">
        <v>7</v>
      </c>
      <c r="J7180">
        <v>73</v>
      </c>
    </row>
    <row r="7181" spans="1:26">
      <c r="A7181" s="3" t="s">
        <v>7133</v>
      </c>
      <c r="D7181">
        <v>7</v>
      </c>
      <c r="Z7181">
        <v>1</v>
      </c>
    </row>
    <row r="7182" spans="1:26">
      <c r="A7182" s="3" t="s">
        <v>7134</v>
      </c>
      <c r="D7182">
        <v>7</v>
      </c>
      <c r="Z7182">
        <v>1</v>
      </c>
    </row>
    <row r="7183" spans="1:26">
      <c r="A7183" s="3" t="s">
        <v>7135</v>
      </c>
      <c r="D7183">
        <v>7</v>
      </c>
      <c r="Z7183">
        <v>1</v>
      </c>
    </row>
    <row r="7184" spans="1:26">
      <c r="A7184" s="3" t="s">
        <v>7136</v>
      </c>
      <c r="D7184">
        <v>7</v>
      </c>
      <c r="Z7184">
        <v>1</v>
      </c>
    </row>
    <row r="7185" spans="1:26">
      <c r="A7185" s="3" t="s">
        <v>7137</v>
      </c>
      <c r="D7185">
        <v>7</v>
      </c>
      <c r="Z7185">
        <v>1</v>
      </c>
    </row>
    <row r="7186" spans="1:26">
      <c r="A7186" s="3" t="s">
        <v>7138</v>
      </c>
      <c r="D7186">
        <v>7</v>
      </c>
      <c r="Z7186">
        <v>1</v>
      </c>
    </row>
    <row r="7187" spans="1:26">
      <c r="A7187" s="3" t="s">
        <v>7139</v>
      </c>
      <c r="D7187">
        <v>7</v>
      </c>
      <c r="Z7187">
        <v>1</v>
      </c>
    </row>
    <row r="7188" spans="1:26">
      <c r="A7188" s="3" t="s">
        <v>7140</v>
      </c>
      <c r="D7188">
        <v>7</v>
      </c>
      <c r="Z7188">
        <v>1</v>
      </c>
    </row>
    <row r="7189" spans="1:26">
      <c r="A7189" s="3" t="s">
        <v>7141</v>
      </c>
      <c r="D7189">
        <v>7</v>
      </c>
      <c r="Z7189">
        <v>1</v>
      </c>
    </row>
    <row r="7190" spans="1:26">
      <c r="A7190" s="3" t="s">
        <v>7142</v>
      </c>
      <c r="D7190">
        <v>7</v>
      </c>
      <c r="Z7190">
        <v>1</v>
      </c>
    </row>
    <row r="7191" spans="1:26">
      <c r="A7191" s="3" t="s">
        <v>7143</v>
      </c>
      <c r="D7191">
        <v>7</v>
      </c>
      <c r="Z7191">
        <v>1</v>
      </c>
    </row>
    <row r="7192" spans="1:26">
      <c r="A7192" s="3" t="s">
        <v>7144</v>
      </c>
      <c r="D7192">
        <v>7</v>
      </c>
      <c r="Z7192">
        <v>1</v>
      </c>
    </row>
    <row r="7193" spans="1:26">
      <c r="A7193" s="3" t="s">
        <v>7145</v>
      </c>
      <c r="D7193">
        <v>7</v>
      </c>
      <c r="Z7193">
        <v>1</v>
      </c>
    </row>
    <row r="7194" spans="1:26">
      <c r="A7194" s="3" t="s">
        <v>7146</v>
      </c>
      <c r="D7194">
        <v>7</v>
      </c>
      <c r="Z7194">
        <v>1</v>
      </c>
    </row>
    <row r="7195" spans="1:26">
      <c r="A7195" s="3" t="s">
        <v>7147</v>
      </c>
      <c r="D7195">
        <v>7</v>
      </c>
      <c r="Z7195">
        <v>1</v>
      </c>
    </row>
    <row r="7196" spans="1:26">
      <c r="A7196" s="3" t="s">
        <v>7148</v>
      </c>
      <c r="D7196">
        <v>7</v>
      </c>
      <c r="Z7196">
        <v>1</v>
      </c>
    </row>
    <row r="7197" spans="1:26">
      <c r="A7197" s="3" t="s">
        <v>7149</v>
      </c>
      <c r="D7197">
        <v>7</v>
      </c>
      <c r="Z7197">
        <v>1</v>
      </c>
    </row>
    <row r="7198" spans="1:26">
      <c r="A7198" s="3" t="s">
        <v>7150</v>
      </c>
      <c r="D7198">
        <v>7</v>
      </c>
      <c r="Z7198">
        <v>1</v>
      </c>
    </row>
    <row r="7199" spans="1:26">
      <c r="A7199" s="3" t="s">
        <v>7151</v>
      </c>
      <c r="D7199">
        <v>7</v>
      </c>
      <c r="Z7199">
        <v>1</v>
      </c>
    </row>
    <row r="7200" spans="1:26">
      <c r="A7200" s="3" t="s">
        <v>7152</v>
      </c>
      <c r="D7200">
        <v>7</v>
      </c>
      <c r="Z7200">
        <v>1</v>
      </c>
    </row>
    <row r="7201" spans="1:26">
      <c r="A7201" s="3" t="s">
        <v>7153</v>
      </c>
      <c r="D7201">
        <v>7</v>
      </c>
      <c r="Z7201">
        <v>1</v>
      </c>
    </row>
    <row r="7202" spans="1:26">
      <c r="A7202" s="3" t="s">
        <v>7154</v>
      </c>
      <c r="D7202">
        <v>7</v>
      </c>
      <c r="Z7202">
        <v>1</v>
      </c>
    </row>
    <row r="7203" spans="1:26">
      <c r="A7203" s="3" t="s">
        <v>7155</v>
      </c>
      <c r="D7203">
        <v>7</v>
      </c>
      <c r="Z7203">
        <v>1</v>
      </c>
    </row>
    <row r="7204" spans="1:26">
      <c r="A7204" s="3" t="s">
        <v>7156</v>
      </c>
      <c r="D7204">
        <v>7</v>
      </c>
      <c r="Z7204">
        <v>1</v>
      </c>
    </row>
    <row r="7205" spans="1:26">
      <c r="A7205" s="3" t="s">
        <v>7157</v>
      </c>
      <c r="D7205">
        <v>7</v>
      </c>
      <c r="Z7205">
        <v>1</v>
      </c>
    </row>
    <row r="7206" spans="1:26">
      <c r="A7206" s="3" t="s">
        <v>7158</v>
      </c>
      <c r="D7206">
        <v>7</v>
      </c>
      <c r="J7206">
        <v>74</v>
      </c>
    </row>
    <row r="7207" spans="1:26">
      <c r="A7207" s="3" t="s">
        <v>7159</v>
      </c>
      <c r="D7207">
        <v>7</v>
      </c>
      <c r="J7207">
        <v>74</v>
      </c>
    </row>
    <row r="7208" spans="1:26">
      <c r="A7208" s="3" t="s">
        <v>7160</v>
      </c>
      <c r="D7208">
        <v>7</v>
      </c>
      <c r="J7208">
        <v>74</v>
      </c>
    </row>
    <row r="7209" spans="1:26">
      <c r="A7209" s="3" t="s">
        <v>7161</v>
      </c>
      <c r="D7209">
        <v>7</v>
      </c>
      <c r="J7209">
        <v>74</v>
      </c>
    </row>
    <row r="7210" spans="1:26">
      <c r="A7210" s="3" t="s">
        <v>7162</v>
      </c>
      <c r="D7210">
        <v>7</v>
      </c>
      <c r="J7210">
        <v>74</v>
      </c>
    </row>
    <row r="7211" spans="1:26">
      <c r="A7211" s="3" t="s">
        <v>7163</v>
      </c>
      <c r="D7211">
        <v>7</v>
      </c>
      <c r="J7211">
        <v>74</v>
      </c>
    </row>
    <row r="7212" spans="1:26">
      <c r="A7212" s="3" t="s">
        <v>7164</v>
      </c>
      <c r="D7212">
        <v>7</v>
      </c>
      <c r="J7212">
        <v>74</v>
      </c>
    </row>
    <row r="7213" spans="1:26">
      <c r="A7213" s="3" t="s">
        <v>7165</v>
      </c>
      <c r="D7213">
        <v>7</v>
      </c>
      <c r="J7213">
        <v>74</v>
      </c>
    </row>
    <row r="7214" spans="1:26">
      <c r="A7214" s="3" t="s">
        <v>7166</v>
      </c>
      <c r="D7214">
        <v>7</v>
      </c>
      <c r="J7214">
        <v>74</v>
      </c>
    </row>
    <row r="7215" spans="1:26">
      <c r="A7215" s="3" t="s">
        <v>7167</v>
      </c>
      <c r="D7215">
        <v>7</v>
      </c>
      <c r="J7215">
        <v>74</v>
      </c>
    </row>
    <row r="7216" spans="1:26">
      <c r="A7216" s="3" t="s">
        <v>7168</v>
      </c>
      <c r="D7216">
        <v>7</v>
      </c>
      <c r="J7216">
        <v>74</v>
      </c>
    </row>
    <row r="7217" spans="1:27">
      <c r="A7217" s="3" t="s">
        <v>7169</v>
      </c>
      <c r="D7217">
        <v>7</v>
      </c>
      <c r="AA7217">
        <v>1</v>
      </c>
    </row>
    <row r="7218" spans="1:27">
      <c r="A7218" s="3" t="s">
        <v>7170</v>
      </c>
      <c r="D7218">
        <v>7</v>
      </c>
      <c r="AA7218">
        <v>1</v>
      </c>
    </row>
    <row r="7219" spans="1:27">
      <c r="A7219" s="3" t="s">
        <v>7171</v>
      </c>
      <c r="D7219">
        <v>7</v>
      </c>
      <c r="AA7219">
        <v>1</v>
      </c>
    </row>
    <row r="7220" spans="1:27">
      <c r="A7220" s="3" t="s">
        <v>7172</v>
      </c>
      <c r="D7220">
        <v>7</v>
      </c>
      <c r="AA7220">
        <v>1</v>
      </c>
    </row>
    <row r="7221" spans="1:27">
      <c r="A7221" s="3" t="s">
        <v>7173</v>
      </c>
      <c r="D7221">
        <v>7</v>
      </c>
      <c r="AA7221">
        <v>1</v>
      </c>
    </row>
    <row r="7222" spans="1:27">
      <c r="A7222" s="3" t="s">
        <v>7174</v>
      </c>
      <c r="D7222">
        <v>7</v>
      </c>
      <c r="AA7222">
        <v>1</v>
      </c>
    </row>
    <row r="7223" spans="1:27">
      <c r="A7223" s="3" t="s">
        <v>7175</v>
      </c>
      <c r="D7223">
        <v>7</v>
      </c>
      <c r="AA7223">
        <v>1</v>
      </c>
    </row>
    <row r="7224" spans="1:27">
      <c r="A7224" s="3" t="s">
        <v>7176</v>
      </c>
      <c r="D7224">
        <v>7</v>
      </c>
      <c r="AA7224">
        <v>1</v>
      </c>
    </row>
    <row r="7225" spans="1:27">
      <c r="A7225" s="3" t="s">
        <v>7177</v>
      </c>
      <c r="D7225">
        <v>7</v>
      </c>
      <c r="AA7225">
        <v>1</v>
      </c>
    </row>
    <row r="7226" spans="1:27">
      <c r="A7226" s="3" t="s">
        <v>7178</v>
      </c>
      <c r="D7226">
        <v>7</v>
      </c>
      <c r="AA7226">
        <v>1</v>
      </c>
    </row>
    <row r="7227" spans="1:27">
      <c r="A7227" s="3" t="s">
        <v>7179</v>
      </c>
      <c r="D7227">
        <v>7</v>
      </c>
      <c r="AA7227">
        <v>1</v>
      </c>
    </row>
    <row r="7228" spans="1:27">
      <c r="A7228" s="3" t="s">
        <v>7180</v>
      </c>
      <c r="D7228">
        <v>7</v>
      </c>
      <c r="AA7228">
        <v>1</v>
      </c>
    </row>
    <row r="7229" spans="1:27">
      <c r="A7229" s="3" t="s">
        <v>7181</v>
      </c>
      <c r="D7229">
        <v>7</v>
      </c>
      <c r="AA7229">
        <v>1</v>
      </c>
    </row>
    <row r="7230" spans="1:27">
      <c r="A7230" s="3" t="s">
        <v>7182</v>
      </c>
      <c r="D7230">
        <v>7</v>
      </c>
      <c r="AA7230">
        <v>1</v>
      </c>
    </row>
    <row r="7231" spans="1:27">
      <c r="A7231" s="3" t="s">
        <v>7183</v>
      </c>
      <c r="D7231">
        <v>7</v>
      </c>
      <c r="AA7231">
        <v>1</v>
      </c>
    </row>
    <row r="7232" spans="1:27">
      <c r="A7232" s="3" t="s">
        <v>7184</v>
      </c>
      <c r="D7232">
        <v>7</v>
      </c>
      <c r="AA7232">
        <v>1</v>
      </c>
    </row>
    <row r="7233" spans="1:27">
      <c r="A7233" s="3" t="s">
        <v>7185</v>
      </c>
      <c r="D7233">
        <v>7</v>
      </c>
      <c r="AA7233">
        <v>1</v>
      </c>
    </row>
    <row r="7234" spans="1:27">
      <c r="A7234" s="3" t="s">
        <v>7186</v>
      </c>
      <c r="D7234">
        <v>7</v>
      </c>
      <c r="AA7234">
        <v>1</v>
      </c>
    </row>
    <row r="7235" spans="1:27">
      <c r="A7235" s="3" t="s">
        <v>7187</v>
      </c>
      <c r="D7235">
        <v>7</v>
      </c>
      <c r="AA7235">
        <v>1</v>
      </c>
    </row>
    <row r="7236" spans="1:27">
      <c r="A7236" s="3" t="s">
        <v>7188</v>
      </c>
      <c r="D7236">
        <v>7</v>
      </c>
      <c r="AA7236">
        <v>1</v>
      </c>
    </row>
    <row r="7237" spans="1:27">
      <c r="A7237" s="3" t="s">
        <v>7189</v>
      </c>
      <c r="D7237">
        <v>7</v>
      </c>
      <c r="AA7237">
        <v>1</v>
      </c>
    </row>
    <row r="7238" spans="1:27">
      <c r="A7238" s="3" t="s">
        <v>7190</v>
      </c>
      <c r="D7238">
        <v>7</v>
      </c>
      <c r="AA7238">
        <v>1</v>
      </c>
    </row>
    <row r="7239" spans="1:27">
      <c r="A7239" s="3" t="s">
        <v>7191</v>
      </c>
      <c r="D7239">
        <v>7</v>
      </c>
      <c r="AA7239">
        <v>1</v>
      </c>
    </row>
    <row r="7240" spans="1:27">
      <c r="A7240" s="3" t="s">
        <v>7192</v>
      </c>
      <c r="D7240">
        <v>7</v>
      </c>
      <c r="AA7240">
        <v>1</v>
      </c>
    </row>
    <row r="7241" spans="1:27">
      <c r="A7241" s="3" t="s">
        <v>7193</v>
      </c>
      <c r="D7241">
        <v>7</v>
      </c>
      <c r="AA7241">
        <v>1</v>
      </c>
    </row>
    <row r="7242" spans="1:27">
      <c r="A7242" s="3" t="s">
        <v>7194</v>
      </c>
      <c r="D7242">
        <v>7</v>
      </c>
      <c r="AA7242">
        <v>1</v>
      </c>
    </row>
    <row r="7243" spans="1:27">
      <c r="A7243" s="3" t="s">
        <v>7195</v>
      </c>
      <c r="D7243">
        <v>7</v>
      </c>
      <c r="AA7243">
        <v>1</v>
      </c>
    </row>
    <row r="7244" spans="1:27">
      <c r="A7244" s="3" t="s">
        <v>7196</v>
      </c>
      <c r="D7244">
        <v>7</v>
      </c>
      <c r="AA7244">
        <v>1</v>
      </c>
    </row>
    <row r="7245" spans="1:27">
      <c r="A7245" s="3" t="s">
        <v>7197</v>
      </c>
      <c r="D7245">
        <v>7</v>
      </c>
      <c r="AA7245">
        <v>1</v>
      </c>
    </row>
    <row r="7246" spans="1:27">
      <c r="A7246" s="3" t="s">
        <v>7198</v>
      </c>
      <c r="D7246">
        <v>7</v>
      </c>
      <c r="AA7246">
        <v>1</v>
      </c>
    </row>
    <row r="7247" spans="1:27">
      <c r="A7247" s="3" t="s">
        <v>7199</v>
      </c>
      <c r="D7247">
        <v>7</v>
      </c>
      <c r="AA7247">
        <v>1</v>
      </c>
    </row>
    <row r="7248" spans="1:27">
      <c r="A7248" s="3" t="s">
        <v>7200</v>
      </c>
      <c r="D7248">
        <v>7</v>
      </c>
      <c r="AA7248">
        <v>1</v>
      </c>
    </row>
    <row r="7249" spans="1:27">
      <c r="A7249" s="3" t="s">
        <v>7201</v>
      </c>
      <c r="D7249">
        <v>7</v>
      </c>
      <c r="AA7249">
        <v>1</v>
      </c>
    </row>
    <row r="7250" spans="1:27">
      <c r="A7250" s="3" t="s">
        <v>7202</v>
      </c>
      <c r="D7250">
        <v>7</v>
      </c>
      <c r="AA7250">
        <v>1</v>
      </c>
    </row>
    <row r="7251" spans="1:27">
      <c r="A7251" s="3" t="s">
        <v>7203</v>
      </c>
      <c r="D7251">
        <v>7</v>
      </c>
      <c r="AA7251">
        <v>1</v>
      </c>
    </row>
    <row r="7252" spans="1:27">
      <c r="A7252" s="3" t="s">
        <v>7204</v>
      </c>
      <c r="D7252">
        <v>7</v>
      </c>
      <c r="AA7252">
        <v>1</v>
      </c>
    </row>
    <row r="7253" spans="1:27">
      <c r="A7253" s="3" t="s">
        <v>7205</v>
      </c>
      <c r="D7253">
        <v>7</v>
      </c>
      <c r="AA7253">
        <v>1</v>
      </c>
    </row>
    <row r="7254" spans="1:27">
      <c r="A7254" s="3" t="s">
        <v>7206</v>
      </c>
      <c r="D7254">
        <v>7</v>
      </c>
      <c r="AA7254">
        <v>1</v>
      </c>
    </row>
    <row r="7255" spans="1:27">
      <c r="A7255" s="3" t="s">
        <v>7207</v>
      </c>
      <c r="D7255">
        <v>7</v>
      </c>
      <c r="AA7255">
        <v>1</v>
      </c>
    </row>
    <row r="7256" spans="1:27">
      <c r="A7256" s="3" t="s">
        <v>7208</v>
      </c>
      <c r="D7256">
        <v>7</v>
      </c>
      <c r="AA7256">
        <v>1</v>
      </c>
    </row>
    <row r="7257" spans="1:27">
      <c r="A7257" s="3" t="s">
        <v>7209</v>
      </c>
      <c r="D7257">
        <v>7</v>
      </c>
      <c r="AA7257">
        <v>1</v>
      </c>
    </row>
    <row r="7258" spans="1:27">
      <c r="A7258" s="3" t="s">
        <v>7210</v>
      </c>
      <c r="D7258">
        <v>7</v>
      </c>
      <c r="AA7258">
        <v>1</v>
      </c>
    </row>
    <row r="7259" spans="1:27">
      <c r="A7259" s="3" t="s">
        <v>7211</v>
      </c>
      <c r="D7259">
        <v>7</v>
      </c>
      <c r="AA7259">
        <v>1</v>
      </c>
    </row>
    <row r="7260" spans="1:27">
      <c r="A7260" s="3" t="s">
        <v>7212</v>
      </c>
      <c r="D7260">
        <v>7</v>
      </c>
      <c r="AA7260">
        <v>1</v>
      </c>
    </row>
    <row r="7261" spans="1:27">
      <c r="A7261" s="3" t="s">
        <v>7213</v>
      </c>
      <c r="D7261">
        <v>7</v>
      </c>
      <c r="AA7261">
        <v>1</v>
      </c>
    </row>
    <row r="7262" spans="1:27">
      <c r="A7262" s="3" t="s">
        <v>7214</v>
      </c>
      <c r="D7262">
        <v>7</v>
      </c>
      <c r="AA7262">
        <v>1</v>
      </c>
    </row>
    <row r="7263" spans="1:27">
      <c r="A7263" s="3" t="s">
        <v>7215</v>
      </c>
      <c r="D7263">
        <v>7</v>
      </c>
      <c r="AA7263">
        <v>1</v>
      </c>
    </row>
    <row r="7264" spans="1:27">
      <c r="A7264" s="3" t="s">
        <v>7216</v>
      </c>
      <c r="D7264">
        <v>7</v>
      </c>
      <c r="AA7264">
        <v>1</v>
      </c>
    </row>
    <row r="7265" spans="1:27">
      <c r="A7265" s="3" t="s">
        <v>7217</v>
      </c>
      <c r="D7265">
        <v>7</v>
      </c>
      <c r="AA7265">
        <v>1</v>
      </c>
    </row>
    <row r="7266" spans="1:27">
      <c r="A7266" s="3" t="s">
        <v>7218</v>
      </c>
      <c r="D7266">
        <v>7</v>
      </c>
      <c r="AA7266">
        <v>1</v>
      </c>
    </row>
    <row r="7267" spans="1:27">
      <c r="A7267" s="3" t="s">
        <v>7219</v>
      </c>
      <c r="D7267">
        <v>7</v>
      </c>
      <c r="AA7267">
        <v>1</v>
      </c>
    </row>
    <row r="7268" spans="1:27">
      <c r="A7268" s="3" t="s">
        <v>7220</v>
      </c>
      <c r="D7268">
        <v>7</v>
      </c>
      <c r="AA7268">
        <v>1</v>
      </c>
    </row>
    <row r="7269" spans="1:27">
      <c r="A7269" s="3" t="s">
        <v>7221</v>
      </c>
      <c r="D7269">
        <v>7</v>
      </c>
      <c r="AA7269">
        <v>1</v>
      </c>
    </row>
    <row r="7270" spans="1:27">
      <c r="A7270" s="3" t="s">
        <v>7222</v>
      </c>
      <c r="D7270">
        <v>7</v>
      </c>
      <c r="AA7270">
        <v>1</v>
      </c>
    </row>
    <row r="7271" spans="1:27">
      <c r="A7271" s="3" t="s">
        <v>7223</v>
      </c>
      <c r="D7271">
        <v>7</v>
      </c>
      <c r="AA7271">
        <v>1</v>
      </c>
    </row>
    <row r="7272" spans="1:27">
      <c r="A7272" s="3" t="s">
        <v>7224</v>
      </c>
      <c r="D7272">
        <v>7</v>
      </c>
      <c r="AA7272">
        <v>1</v>
      </c>
    </row>
    <row r="7273" spans="1:27">
      <c r="A7273" s="3" t="s">
        <v>7225</v>
      </c>
      <c r="D7273">
        <v>7</v>
      </c>
      <c r="AA7273">
        <v>1</v>
      </c>
    </row>
    <row r="7274" spans="1:27">
      <c r="A7274" s="3" t="s">
        <v>7226</v>
      </c>
      <c r="D7274">
        <v>7</v>
      </c>
      <c r="AA7274">
        <v>1</v>
      </c>
    </row>
    <row r="7275" spans="1:27">
      <c r="A7275" s="3" t="s">
        <v>7227</v>
      </c>
      <c r="D7275">
        <v>7</v>
      </c>
      <c r="AA7275">
        <v>1</v>
      </c>
    </row>
    <row r="7276" spans="1:27">
      <c r="A7276" s="3" t="s">
        <v>7228</v>
      </c>
      <c r="D7276">
        <v>7</v>
      </c>
      <c r="AA7276">
        <v>1</v>
      </c>
    </row>
    <row r="7277" spans="1:27">
      <c r="A7277" s="3" t="s">
        <v>7229</v>
      </c>
      <c r="D7277">
        <v>7</v>
      </c>
      <c r="AA7277">
        <v>1</v>
      </c>
    </row>
    <row r="7278" spans="1:27">
      <c r="A7278" s="3" t="s">
        <v>7230</v>
      </c>
      <c r="D7278">
        <v>7</v>
      </c>
      <c r="AA7278">
        <v>1</v>
      </c>
    </row>
    <row r="7279" spans="1:27">
      <c r="A7279" s="3" t="s">
        <v>7231</v>
      </c>
      <c r="D7279">
        <v>7</v>
      </c>
      <c r="AA7279">
        <v>1</v>
      </c>
    </row>
    <row r="7280" spans="1:27">
      <c r="A7280" s="3" t="s">
        <v>7232</v>
      </c>
      <c r="D7280">
        <v>7</v>
      </c>
      <c r="AA7280">
        <v>1</v>
      </c>
    </row>
    <row r="7281" spans="1:27">
      <c r="A7281" s="3" t="s">
        <v>7233</v>
      </c>
      <c r="D7281">
        <v>7</v>
      </c>
      <c r="AA7281">
        <v>1</v>
      </c>
    </row>
    <row r="7282" spans="1:27">
      <c r="A7282" s="3" t="s">
        <v>7234</v>
      </c>
      <c r="D7282">
        <v>7</v>
      </c>
      <c r="AA7282">
        <v>1</v>
      </c>
    </row>
    <row r="7283" spans="1:27">
      <c r="A7283" s="3" t="s">
        <v>7235</v>
      </c>
      <c r="D7283">
        <v>7</v>
      </c>
      <c r="AA7283">
        <v>1</v>
      </c>
    </row>
    <row r="7284" spans="1:27">
      <c r="A7284" s="3" t="s">
        <v>7236</v>
      </c>
      <c r="D7284">
        <v>7</v>
      </c>
      <c r="AA7284">
        <v>1</v>
      </c>
    </row>
    <row r="7285" spans="1:27">
      <c r="A7285" s="3" t="s">
        <v>7237</v>
      </c>
      <c r="D7285">
        <v>7</v>
      </c>
      <c r="AA7285">
        <v>1</v>
      </c>
    </row>
    <row r="7286" spans="1:27">
      <c r="A7286" s="3" t="s">
        <v>7238</v>
      </c>
      <c r="D7286">
        <v>7</v>
      </c>
      <c r="AA7286">
        <v>1</v>
      </c>
    </row>
    <row r="7287" spans="1:27">
      <c r="A7287" s="3" t="s">
        <v>7239</v>
      </c>
      <c r="D7287">
        <v>7</v>
      </c>
      <c r="AA7287">
        <v>1</v>
      </c>
    </row>
    <row r="7288" spans="1:27">
      <c r="A7288" s="3" t="s">
        <v>7240</v>
      </c>
      <c r="D7288">
        <v>7</v>
      </c>
      <c r="AA7288">
        <v>1</v>
      </c>
    </row>
    <row r="7289" spans="1:27">
      <c r="A7289" s="3" t="s">
        <v>7241</v>
      </c>
      <c r="D7289">
        <v>7</v>
      </c>
      <c r="AA7289">
        <v>1</v>
      </c>
    </row>
    <row r="7290" spans="1:27">
      <c r="A7290" s="3" t="s">
        <v>7242</v>
      </c>
      <c r="D7290">
        <v>7</v>
      </c>
      <c r="AA7290">
        <v>1</v>
      </c>
    </row>
    <row r="7291" spans="1:27">
      <c r="A7291" s="3" t="s">
        <v>7243</v>
      </c>
      <c r="D7291">
        <v>7</v>
      </c>
      <c r="AA7291">
        <v>1</v>
      </c>
    </row>
    <row r="7292" spans="1:27">
      <c r="A7292" s="3" t="s">
        <v>7244</v>
      </c>
      <c r="D7292">
        <v>7</v>
      </c>
      <c r="AA7292">
        <v>1</v>
      </c>
    </row>
    <row r="7293" spans="1:27">
      <c r="A7293" s="3" t="s">
        <v>7245</v>
      </c>
      <c r="D7293">
        <v>7</v>
      </c>
      <c r="AA7293">
        <v>1</v>
      </c>
    </row>
    <row r="7294" spans="1:27">
      <c r="A7294" s="3" t="s">
        <v>7246</v>
      </c>
      <c r="D7294">
        <v>7</v>
      </c>
      <c r="AA7294">
        <v>1</v>
      </c>
    </row>
    <row r="7295" spans="1:27">
      <c r="A7295" s="3" t="s">
        <v>7247</v>
      </c>
      <c r="D7295">
        <v>7</v>
      </c>
      <c r="AA7295">
        <v>1</v>
      </c>
    </row>
    <row r="7296" spans="1:27">
      <c r="A7296" s="3" t="s">
        <v>7248</v>
      </c>
      <c r="D7296">
        <v>7</v>
      </c>
      <c r="AA7296">
        <v>1</v>
      </c>
    </row>
    <row r="7297" spans="1:27">
      <c r="A7297" s="3" t="s">
        <v>7249</v>
      </c>
      <c r="D7297">
        <v>7</v>
      </c>
      <c r="AA7297">
        <v>1</v>
      </c>
    </row>
    <row r="7298" spans="1:27">
      <c r="A7298" s="3" t="s">
        <v>7250</v>
      </c>
      <c r="D7298">
        <v>7</v>
      </c>
      <c r="AA7298">
        <v>1</v>
      </c>
    </row>
    <row r="7299" spans="1:27">
      <c r="A7299" s="3" t="s">
        <v>7251</v>
      </c>
      <c r="D7299">
        <v>7</v>
      </c>
      <c r="AA7299">
        <v>1</v>
      </c>
    </row>
    <row r="7300" spans="1:27">
      <c r="A7300" s="3" t="s">
        <v>7252</v>
      </c>
      <c r="D7300">
        <v>7</v>
      </c>
      <c r="AA7300">
        <v>1</v>
      </c>
    </row>
    <row r="7301" spans="1:27">
      <c r="A7301" s="3" t="s">
        <v>7253</v>
      </c>
      <c r="D7301">
        <v>7</v>
      </c>
      <c r="AA7301">
        <v>1</v>
      </c>
    </row>
    <row r="7302" spans="1:27">
      <c r="A7302" s="3" t="s">
        <v>7254</v>
      </c>
      <c r="D7302">
        <v>7</v>
      </c>
      <c r="AA7302">
        <v>1</v>
      </c>
    </row>
    <row r="7303" spans="1:27">
      <c r="A7303" s="3" t="s">
        <v>7255</v>
      </c>
      <c r="D7303">
        <v>7</v>
      </c>
      <c r="AA7303">
        <v>1</v>
      </c>
    </row>
    <row r="7304" spans="1:27">
      <c r="A7304" s="3" t="s">
        <v>7256</v>
      </c>
      <c r="D7304">
        <v>7</v>
      </c>
      <c r="AA7304">
        <v>1</v>
      </c>
    </row>
    <row r="7305" spans="1:27">
      <c r="A7305" s="3" t="s">
        <v>7257</v>
      </c>
      <c r="D7305">
        <v>7</v>
      </c>
      <c r="AA7305">
        <v>1</v>
      </c>
    </row>
    <row r="7306" spans="1:27">
      <c r="A7306" s="3" t="s">
        <v>7258</v>
      </c>
      <c r="D7306">
        <v>7</v>
      </c>
      <c r="AA7306">
        <v>1</v>
      </c>
    </row>
    <row r="7307" spans="1:27">
      <c r="A7307" s="3" t="s">
        <v>7259</v>
      </c>
      <c r="D7307">
        <v>7</v>
      </c>
      <c r="AA7307">
        <v>1</v>
      </c>
    </row>
    <row r="7308" spans="1:27">
      <c r="A7308" s="3" t="s">
        <v>7260</v>
      </c>
      <c r="D7308">
        <v>7</v>
      </c>
      <c r="AA7308">
        <v>1</v>
      </c>
    </row>
    <row r="7309" spans="1:27">
      <c r="A7309" s="3" t="s">
        <v>7261</v>
      </c>
      <c r="D7309">
        <v>7</v>
      </c>
      <c r="AA7309">
        <v>1</v>
      </c>
    </row>
    <row r="7310" spans="1:27">
      <c r="A7310" s="3" t="s">
        <v>7262</v>
      </c>
      <c r="D7310">
        <v>7</v>
      </c>
      <c r="AA7310">
        <v>1</v>
      </c>
    </row>
    <row r="7311" spans="1:27">
      <c r="A7311" s="3" t="s">
        <v>7263</v>
      </c>
      <c r="D7311">
        <v>7</v>
      </c>
      <c r="AA7311">
        <v>1</v>
      </c>
    </row>
    <row r="7312" spans="1:27">
      <c r="A7312" s="3" t="s">
        <v>7264</v>
      </c>
      <c r="D7312">
        <v>7</v>
      </c>
      <c r="AA7312">
        <v>1</v>
      </c>
    </row>
    <row r="7313" spans="1:27">
      <c r="A7313" s="3" t="s">
        <v>7265</v>
      </c>
      <c r="D7313">
        <v>7</v>
      </c>
      <c r="AA7313">
        <v>1</v>
      </c>
    </row>
    <row r="7314" spans="1:27">
      <c r="A7314" s="3" t="s">
        <v>7266</v>
      </c>
      <c r="D7314">
        <v>7</v>
      </c>
      <c r="AA7314">
        <v>1</v>
      </c>
    </row>
    <row r="7315" spans="1:27">
      <c r="A7315" s="3" t="s">
        <v>7267</v>
      </c>
      <c r="D7315">
        <v>7</v>
      </c>
      <c r="AA7315">
        <v>1</v>
      </c>
    </row>
    <row r="7316" spans="1:27">
      <c r="A7316" s="3" t="s">
        <v>7268</v>
      </c>
      <c r="D7316">
        <v>7</v>
      </c>
      <c r="AA7316">
        <v>1</v>
      </c>
    </row>
    <row r="7317" spans="1:27">
      <c r="A7317" s="3" t="s">
        <v>7269</v>
      </c>
      <c r="D7317">
        <v>7</v>
      </c>
      <c r="AA7317">
        <v>1</v>
      </c>
    </row>
    <row r="7318" spans="1:27">
      <c r="A7318" s="3" t="s">
        <v>7270</v>
      </c>
      <c r="D7318">
        <v>7</v>
      </c>
      <c r="AA7318">
        <v>1</v>
      </c>
    </row>
    <row r="7319" spans="1:27">
      <c r="A7319" s="3" t="s">
        <v>7271</v>
      </c>
      <c r="D7319">
        <v>7</v>
      </c>
      <c r="AA7319">
        <v>1</v>
      </c>
    </row>
    <row r="7320" spans="1:27">
      <c r="A7320" s="3" t="s">
        <v>7272</v>
      </c>
      <c r="D7320">
        <v>7</v>
      </c>
      <c r="AA7320">
        <v>1</v>
      </c>
    </row>
    <row r="7321" spans="1:27">
      <c r="A7321" s="3" t="s">
        <v>7273</v>
      </c>
      <c r="D7321">
        <v>7</v>
      </c>
      <c r="AA7321">
        <v>1</v>
      </c>
    </row>
    <row r="7322" spans="1:27">
      <c r="A7322" s="3" t="s">
        <v>7274</v>
      </c>
      <c r="D7322">
        <v>7</v>
      </c>
      <c r="AA7322">
        <v>1</v>
      </c>
    </row>
    <row r="7323" spans="1:27">
      <c r="A7323" s="3" t="s">
        <v>7275</v>
      </c>
      <c r="D7323">
        <v>7</v>
      </c>
      <c r="AA7323">
        <v>1</v>
      </c>
    </row>
    <row r="7324" spans="1:27">
      <c r="A7324" s="3" t="s">
        <v>7276</v>
      </c>
      <c r="D7324">
        <v>7</v>
      </c>
      <c r="AA7324">
        <v>1</v>
      </c>
    </row>
    <row r="7325" spans="1:27">
      <c r="A7325" s="3" t="s">
        <v>7277</v>
      </c>
      <c r="D7325">
        <v>7</v>
      </c>
      <c r="AA7325">
        <v>1</v>
      </c>
    </row>
    <row r="7326" spans="1:27">
      <c r="A7326" s="3" t="s">
        <v>7278</v>
      </c>
      <c r="D7326">
        <v>7</v>
      </c>
      <c r="AA7326">
        <v>1</v>
      </c>
    </row>
    <row r="7327" spans="1:27">
      <c r="A7327" s="3" t="s">
        <v>7279</v>
      </c>
      <c r="D7327">
        <v>7</v>
      </c>
      <c r="AA7327">
        <v>1</v>
      </c>
    </row>
    <row r="7328" spans="1:27">
      <c r="A7328" s="3" t="s">
        <v>7280</v>
      </c>
      <c r="D7328">
        <v>7</v>
      </c>
      <c r="AA7328">
        <v>1</v>
      </c>
    </row>
    <row r="7329" spans="1:27">
      <c r="A7329" s="3" t="s">
        <v>7281</v>
      </c>
      <c r="D7329">
        <v>7</v>
      </c>
      <c r="AA7329">
        <v>1</v>
      </c>
    </row>
    <row r="7330" spans="1:27">
      <c r="A7330" s="3" t="s">
        <v>7282</v>
      </c>
      <c r="D7330">
        <v>7</v>
      </c>
      <c r="AA7330">
        <v>1</v>
      </c>
    </row>
    <row r="7331" spans="1:27">
      <c r="A7331" s="3" t="s">
        <v>7283</v>
      </c>
      <c r="D7331">
        <v>7</v>
      </c>
      <c r="AA7331">
        <v>1</v>
      </c>
    </row>
    <row r="7332" spans="1:27">
      <c r="A7332" s="3" t="s">
        <v>7284</v>
      </c>
      <c r="D7332">
        <v>7</v>
      </c>
      <c r="AA7332">
        <v>1</v>
      </c>
    </row>
    <row r="7333" spans="1:27">
      <c r="A7333" s="3" t="s">
        <v>7285</v>
      </c>
      <c r="D7333">
        <v>7</v>
      </c>
      <c r="AA7333">
        <v>1</v>
      </c>
    </row>
    <row r="7334" spans="1:27">
      <c r="A7334" s="3" t="s">
        <v>7286</v>
      </c>
      <c r="D7334">
        <v>7</v>
      </c>
      <c r="AA7334">
        <v>1</v>
      </c>
    </row>
    <row r="7335" spans="1:27">
      <c r="A7335" s="3" t="s">
        <v>7287</v>
      </c>
      <c r="D7335">
        <v>7</v>
      </c>
      <c r="AA7335">
        <v>1</v>
      </c>
    </row>
    <row r="7336" spans="1:27">
      <c r="A7336" s="3" t="s">
        <v>7288</v>
      </c>
      <c r="D7336">
        <v>7</v>
      </c>
      <c r="AA7336">
        <v>1</v>
      </c>
    </row>
    <row r="7337" spans="1:27">
      <c r="A7337" s="3" t="s">
        <v>7289</v>
      </c>
      <c r="D7337">
        <v>7</v>
      </c>
      <c r="AA7337">
        <v>1</v>
      </c>
    </row>
    <row r="7338" spans="1:27">
      <c r="A7338" s="3" t="s">
        <v>7290</v>
      </c>
      <c r="D7338">
        <v>7</v>
      </c>
      <c r="AA7338">
        <v>1</v>
      </c>
    </row>
    <row r="7339" spans="1:27">
      <c r="A7339" s="3" t="s">
        <v>7291</v>
      </c>
      <c r="D7339">
        <v>7</v>
      </c>
      <c r="AA7339">
        <v>1</v>
      </c>
    </row>
    <row r="7340" spans="1:27">
      <c r="A7340" s="3" t="s">
        <v>7292</v>
      </c>
      <c r="D7340">
        <v>7</v>
      </c>
      <c r="J7340">
        <v>75</v>
      </c>
    </row>
    <row r="7341" spans="1:27">
      <c r="A7341" s="3" t="s">
        <v>7293</v>
      </c>
      <c r="D7341">
        <v>7</v>
      </c>
      <c r="J7341">
        <v>75</v>
      </c>
    </row>
    <row r="7342" spans="1:27">
      <c r="A7342" s="3" t="s">
        <v>7294</v>
      </c>
      <c r="C7342">
        <v>7</v>
      </c>
      <c r="D7342">
        <v>7</v>
      </c>
      <c r="J7342">
        <v>75</v>
      </c>
    </row>
    <row r="7343" spans="1:27">
      <c r="A7343" s="3" t="s">
        <v>7295</v>
      </c>
      <c r="C7343">
        <v>7</v>
      </c>
      <c r="D7343">
        <v>7</v>
      </c>
      <c r="J7343">
        <v>75</v>
      </c>
    </row>
    <row r="7344" spans="1:27">
      <c r="A7344" s="3" t="s">
        <v>7296</v>
      </c>
      <c r="C7344">
        <v>7</v>
      </c>
      <c r="D7344">
        <v>7</v>
      </c>
      <c r="J7344">
        <v>75</v>
      </c>
    </row>
    <row r="7345" spans="1:24">
      <c r="A7345" s="3" t="s">
        <v>7297</v>
      </c>
      <c r="C7345">
        <v>7</v>
      </c>
      <c r="D7345">
        <v>7</v>
      </c>
      <c r="J7345">
        <v>75</v>
      </c>
    </row>
    <row r="7346" spans="1:24">
      <c r="A7346" s="3" t="s">
        <v>7298</v>
      </c>
      <c r="C7346">
        <v>7</v>
      </c>
      <c r="D7346">
        <v>7</v>
      </c>
      <c r="J7346">
        <v>75</v>
      </c>
    </row>
    <row r="7347" spans="1:24">
      <c r="A7347" s="3" t="s">
        <v>7299</v>
      </c>
      <c r="C7347">
        <v>7</v>
      </c>
      <c r="D7347">
        <v>7</v>
      </c>
      <c r="J7347">
        <v>75</v>
      </c>
    </row>
    <row r="7348" spans="1:24">
      <c r="A7348" s="3" t="s">
        <v>7300</v>
      </c>
      <c r="C7348">
        <v>7</v>
      </c>
      <c r="D7348">
        <v>7</v>
      </c>
      <c r="J7348">
        <v>75</v>
      </c>
    </row>
    <row r="7349" spans="1:24">
      <c r="A7349" s="3" t="s">
        <v>7301</v>
      </c>
      <c r="C7349">
        <v>7</v>
      </c>
      <c r="D7349">
        <v>7</v>
      </c>
      <c r="J7349">
        <v>75</v>
      </c>
    </row>
    <row r="7350" spans="1:24">
      <c r="A7350" s="3" t="s">
        <v>7302</v>
      </c>
      <c r="C7350">
        <v>7</v>
      </c>
      <c r="D7350">
        <v>7</v>
      </c>
      <c r="J7350">
        <v>75</v>
      </c>
    </row>
    <row r="7351" spans="1:24">
      <c r="A7351" s="3" t="s">
        <v>7303</v>
      </c>
      <c r="C7351">
        <v>7</v>
      </c>
      <c r="D7351">
        <v>7</v>
      </c>
      <c r="J7351">
        <v>75</v>
      </c>
    </row>
    <row r="7352" spans="1:24">
      <c r="A7352" s="3" t="s">
        <v>7304</v>
      </c>
      <c r="C7352">
        <v>7</v>
      </c>
      <c r="D7352">
        <v>7</v>
      </c>
      <c r="J7352">
        <v>75</v>
      </c>
    </row>
    <row r="7353" spans="1:24">
      <c r="A7353" s="3" t="s">
        <v>7305</v>
      </c>
      <c r="C7353">
        <v>7</v>
      </c>
      <c r="D7353">
        <v>7</v>
      </c>
      <c r="J7353">
        <v>75</v>
      </c>
    </row>
    <row r="7354" spans="1:24">
      <c r="A7354" s="3" t="s">
        <v>7306</v>
      </c>
      <c r="C7354">
        <v>7</v>
      </c>
      <c r="D7354">
        <v>7</v>
      </c>
      <c r="J7354">
        <v>75</v>
      </c>
    </row>
    <row r="7355" spans="1:24">
      <c r="A7355" s="3" t="s">
        <v>7307</v>
      </c>
      <c r="C7355">
        <v>7</v>
      </c>
      <c r="D7355">
        <v>7</v>
      </c>
      <c r="J7355">
        <v>75</v>
      </c>
    </row>
    <row r="7356" spans="1:24">
      <c r="A7356" s="3" t="s">
        <v>7308</v>
      </c>
      <c r="C7356">
        <v>7</v>
      </c>
      <c r="D7356">
        <v>7</v>
      </c>
      <c r="J7356">
        <v>75</v>
      </c>
    </row>
    <row r="7357" spans="1:24">
      <c r="A7357" s="3" t="s">
        <v>7309</v>
      </c>
      <c r="C7357">
        <v>7</v>
      </c>
      <c r="D7357">
        <v>7</v>
      </c>
      <c r="J7357">
        <v>75</v>
      </c>
    </row>
    <row r="7358" spans="1:24">
      <c r="A7358" s="3" t="s">
        <v>7310</v>
      </c>
      <c r="C7358">
        <v>7</v>
      </c>
      <c r="D7358">
        <v>7</v>
      </c>
      <c r="J7358">
        <v>75</v>
      </c>
    </row>
    <row r="7359" spans="1:24">
      <c r="A7359" s="3" t="s">
        <v>7311</v>
      </c>
      <c r="C7359">
        <v>7</v>
      </c>
      <c r="J7359">
        <v>75</v>
      </c>
    </row>
    <row r="7360" spans="1:24">
      <c r="A7360" s="3" t="s">
        <v>7312</v>
      </c>
      <c r="C7360">
        <v>7</v>
      </c>
      <c r="X7360">
        <v>2</v>
      </c>
    </row>
    <row r="7361" spans="1:24">
      <c r="A7361" s="3" t="s">
        <v>7313</v>
      </c>
      <c r="C7361">
        <v>7</v>
      </c>
      <c r="X7361">
        <v>2</v>
      </c>
    </row>
    <row r="7362" spans="1:24">
      <c r="A7362" s="3" t="s">
        <v>7314</v>
      </c>
      <c r="C7362">
        <v>7</v>
      </c>
      <c r="X7362">
        <v>2</v>
      </c>
    </row>
    <row r="7363" spans="1:24">
      <c r="A7363" s="3" t="s">
        <v>7315</v>
      </c>
      <c r="C7363">
        <v>7</v>
      </c>
      <c r="X7363">
        <v>2</v>
      </c>
    </row>
    <row r="7364" spans="1:24">
      <c r="A7364" s="3" t="s">
        <v>7316</v>
      </c>
      <c r="C7364">
        <v>7</v>
      </c>
      <c r="X7364">
        <v>2</v>
      </c>
    </row>
    <row r="7365" spans="1:24">
      <c r="A7365" s="3" t="s">
        <v>7317</v>
      </c>
      <c r="C7365">
        <v>7</v>
      </c>
      <c r="X7365">
        <v>2</v>
      </c>
    </row>
    <row r="7366" spans="1:24">
      <c r="A7366" s="3" t="s">
        <v>7318</v>
      </c>
      <c r="C7366">
        <v>7</v>
      </c>
      <c r="X7366">
        <v>2</v>
      </c>
    </row>
    <row r="7367" spans="1:24">
      <c r="A7367" s="3" t="s">
        <v>7319</v>
      </c>
      <c r="C7367">
        <v>7</v>
      </c>
      <c r="J7367">
        <v>76</v>
      </c>
    </row>
    <row r="7368" spans="1:24">
      <c r="A7368" s="3" t="s">
        <v>7320</v>
      </c>
      <c r="C7368">
        <v>7</v>
      </c>
      <c r="J7368">
        <v>76</v>
      </c>
    </row>
    <row r="7369" spans="1:24">
      <c r="A7369" s="3" t="s">
        <v>7321</v>
      </c>
      <c r="C7369">
        <v>7</v>
      </c>
      <c r="J7369">
        <v>76</v>
      </c>
    </row>
    <row r="7370" spans="1:24">
      <c r="A7370" s="3" t="s">
        <v>7322</v>
      </c>
      <c r="C7370">
        <v>7</v>
      </c>
      <c r="J7370">
        <v>76</v>
      </c>
    </row>
    <row r="7371" spans="1:24">
      <c r="A7371" s="3" t="s">
        <v>7323</v>
      </c>
      <c r="C7371">
        <v>7</v>
      </c>
      <c r="J7371">
        <v>76</v>
      </c>
    </row>
    <row r="7372" spans="1:24">
      <c r="A7372" s="3" t="s">
        <v>7324</v>
      </c>
      <c r="C7372">
        <v>7</v>
      </c>
      <c r="J7372">
        <v>76</v>
      </c>
    </row>
    <row r="7373" spans="1:24">
      <c r="A7373" s="3" t="s">
        <v>7325</v>
      </c>
      <c r="C7373">
        <v>7</v>
      </c>
      <c r="J7373">
        <v>76</v>
      </c>
    </row>
    <row r="7374" spans="1:24">
      <c r="A7374" s="3" t="s">
        <v>7326</v>
      </c>
      <c r="C7374">
        <v>7</v>
      </c>
      <c r="J7374">
        <v>76</v>
      </c>
    </row>
    <row r="7375" spans="1:24">
      <c r="A7375" s="3" t="s">
        <v>7327</v>
      </c>
      <c r="C7375">
        <v>7</v>
      </c>
      <c r="J7375">
        <v>76</v>
      </c>
    </row>
    <row r="7376" spans="1:24">
      <c r="A7376" s="3" t="s">
        <v>7328</v>
      </c>
      <c r="C7376">
        <v>7</v>
      </c>
      <c r="J7376">
        <v>76</v>
      </c>
    </row>
    <row r="7377" spans="1:10">
      <c r="A7377" s="3" t="s">
        <v>7329</v>
      </c>
      <c r="C7377">
        <v>7</v>
      </c>
      <c r="J7377">
        <v>76</v>
      </c>
    </row>
    <row r="7378" spans="1:10">
      <c r="A7378" s="3" t="s">
        <v>7330</v>
      </c>
      <c r="C7378">
        <v>7</v>
      </c>
      <c r="J7378">
        <v>76</v>
      </c>
    </row>
    <row r="7379" spans="1:10">
      <c r="A7379" s="3" t="s">
        <v>7331</v>
      </c>
      <c r="C7379">
        <v>7</v>
      </c>
      <c r="J7379">
        <v>76</v>
      </c>
    </row>
    <row r="7380" spans="1:10">
      <c r="A7380" s="3" t="s">
        <v>7332</v>
      </c>
      <c r="C7380">
        <v>7</v>
      </c>
      <c r="J7380">
        <v>76</v>
      </c>
    </row>
    <row r="7381" spans="1:10">
      <c r="A7381" s="3" t="s">
        <v>7333</v>
      </c>
      <c r="C7381">
        <v>7</v>
      </c>
      <c r="J7381">
        <v>76</v>
      </c>
    </row>
    <row r="7382" spans="1:10">
      <c r="A7382" s="3" t="s">
        <v>7334</v>
      </c>
      <c r="C7382">
        <v>7</v>
      </c>
      <c r="J7382">
        <v>76</v>
      </c>
    </row>
    <row r="7383" spans="1:10">
      <c r="A7383" s="3" t="s">
        <v>7335</v>
      </c>
      <c r="C7383">
        <v>7</v>
      </c>
      <c r="J7383">
        <v>76</v>
      </c>
    </row>
    <row r="7384" spans="1:10">
      <c r="A7384" s="3" t="s">
        <v>7336</v>
      </c>
      <c r="C7384">
        <v>7</v>
      </c>
      <c r="J7384">
        <v>76</v>
      </c>
    </row>
    <row r="7385" spans="1:10">
      <c r="A7385" s="3" t="s">
        <v>7337</v>
      </c>
      <c r="C7385">
        <v>7</v>
      </c>
      <c r="J7385">
        <v>76</v>
      </c>
    </row>
    <row r="7386" spans="1:10">
      <c r="A7386" s="3" t="s">
        <v>7338</v>
      </c>
      <c r="C7386">
        <v>7</v>
      </c>
      <c r="J7386">
        <v>76</v>
      </c>
    </row>
    <row r="7387" spans="1:10">
      <c r="A7387" s="3" t="s">
        <v>7339</v>
      </c>
      <c r="C7387">
        <v>7</v>
      </c>
      <c r="J7387">
        <v>76</v>
      </c>
    </row>
    <row r="7388" spans="1:10">
      <c r="A7388" s="3" t="s">
        <v>7340</v>
      </c>
      <c r="C7388">
        <v>7</v>
      </c>
      <c r="J7388">
        <v>76</v>
      </c>
    </row>
    <row r="7389" spans="1:10">
      <c r="A7389" s="3" t="s">
        <v>7341</v>
      </c>
      <c r="C7389">
        <v>7</v>
      </c>
      <c r="J7389">
        <v>76</v>
      </c>
    </row>
    <row r="7390" spans="1:10">
      <c r="A7390" s="3" t="s">
        <v>7342</v>
      </c>
      <c r="C7390">
        <v>7</v>
      </c>
      <c r="J7390">
        <v>76</v>
      </c>
    </row>
    <row r="7391" spans="1:10">
      <c r="A7391" s="3" t="s">
        <v>7343</v>
      </c>
      <c r="C7391">
        <v>7</v>
      </c>
      <c r="J7391">
        <v>76</v>
      </c>
    </row>
    <row r="7392" spans="1:10">
      <c r="A7392" s="3" t="s">
        <v>7344</v>
      </c>
      <c r="C7392">
        <v>7</v>
      </c>
      <c r="J7392">
        <v>76</v>
      </c>
    </row>
    <row r="7393" spans="1:10">
      <c r="A7393" s="3" t="s">
        <v>7345</v>
      </c>
      <c r="C7393">
        <v>7</v>
      </c>
      <c r="J7393">
        <v>76</v>
      </c>
    </row>
    <row r="7394" spans="1:10">
      <c r="A7394" s="3" t="s">
        <v>7346</v>
      </c>
      <c r="C7394">
        <v>7</v>
      </c>
      <c r="J7394">
        <v>76</v>
      </c>
    </row>
    <row r="7395" spans="1:10">
      <c r="A7395" s="3" t="s">
        <v>7347</v>
      </c>
      <c r="C7395">
        <v>7</v>
      </c>
      <c r="J7395">
        <v>76</v>
      </c>
    </row>
    <row r="7396" spans="1:10">
      <c r="A7396" s="3" t="s">
        <v>7348</v>
      </c>
      <c r="C7396">
        <v>7</v>
      </c>
      <c r="J7396">
        <v>76</v>
      </c>
    </row>
    <row r="7397" spans="1:10">
      <c r="A7397" s="3" t="s">
        <v>7349</v>
      </c>
      <c r="C7397">
        <v>7</v>
      </c>
      <c r="J7397">
        <v>76</v>
      </c>
    </row>
    <row r="7398" spans="1:10">
      <c r="A7398" s="3" t="s">
        <v>7350</v>
      </c>
      <c r="C7398">
        <v>7</v>
      </c>
      <c r="J7398">
        <v>76</v>
      </c>
    </row>
    <row r="7399" spans="1:10">
      <c r="A7399" s="3" t="s">
        <v>7351</v>
      </c>
      <c r="C7399">
        <v>7</v>
      </c>
      <c r="J7399">
        <v>76</v>
      </c>
    </row>
    <row r="7400" spans="1:10">
      <c r="A7400" s="3" t="s">
        <v>7352</v>
      </c>
      <c r="C7400">
        <v>7</v>
      </c>
      <c r="J7400">
        <v>76</v>
      </c>
    </row>
    <row r="7401" spans="1:10">
      <c r="A7401" s="3" t="s">
        <v>7353</v>
      </c>
      <c r="C7401">
        <v>7</v>
      </c>
      <c r="J7401">
        <v>76</v>
      </c>
    </row>
    <row r="7402" spans="1:10">
      <c r="A7402" s="3" t="s">
        <v>7354</v>
      </c>
      <c r="C7402">
        <v>7</v>
      </c>
      <c r="J7402">
        <v>76</v>
      </c>
    </row>
    <row r="7403" spans="1:10">
      <c r="A7403" s="3" t="s">
        <v>7355</v>
      </c>
      <c r="C7403">
        <v>7</v>
      </c>
      <c r="J7403">
        <v>76</v>
      </c>
    </row>
    <row r="7404" spans="1:10">
      <c r="A7404" s="3" t="s">
        <v>7356</v>
      </c>
      <c r="C7404">
        <v>7</v>
      </c>
      <c r="J7404">
        <v>76</v>
      </c>
    </row>
    <row r="7405" spans="1:10">
      <c r="A7405" s="3" t="s">
        <v>7357</v>
      </c>
      <c r="C7405">
        <v>7</v>
      </c>
      <c r="J7405">
        <v>76</v>
      </c>
    </row>
    <row r="7406" spans="1:10">
      <c r="A7406" s="3" t="s">
        <v>7358</v>
      </c>
      <c r="C7406">
        <v>7</v>
      </c>
      <c r="J7406">
        <v>76</v>
      </c>
    </row>
    <row r="7407" spans="1:10">
      <c r="A7407" s="3" t="s">
        <v>7359</v>
      </c>
      <c r="C7407">
        <v>7</v>
      </c>
      <c r="J7407">
        <v>76</v>
      </c>
    </row>
    <row r="7408" spans="1:10">
      <c r="A7408" s="3" t="s">
        <v>7360</v>
      </c>
      <c r="C7408">
        <v>7</v>
      </c>
      <c r="J7408">
        <v>76</v>
      </c>
    </row>
    <row r="7409" spans="1:18">
      <c r="A7409" s="3" t="s">
        <v>7361</v>
      </c>
      <c r="C7409">
        <v>7</v>
      </c>
      <c r="J7409">
        <v>76</v>
      </c>
    </row>
    <row r="7410" spans="1:18">
      <c r="A7410" s="3" t="s">
        <v>7362</v>
      </c>
      <c r="C7410">
        <v>7</v>
      </c>
      <c r="J7410">
        <v>76</v>
      </c>
    </row>
    <row r="7411" spans="1:18">
      <c r="A7411" s="3" t="s">
        <v>7363</v>
      </c>
      <c r="C7411">
        <v>7</v>
      </c>
      <c r="J7411">
        <v>76</v>
      </c>
    </row>
    <row r="7412" spans="1:18">
      <c r="A7412" s="3" t="s">
        <v>7364</v>
      </c>
      <c r="C7412">
        <v>7</v>
      </c>
      <c r="J7412">
        <v>76</v>
      </c>
    </row>
    <row r="7413" spans="1:18">
      <c r="A7413" s="3" t="s">
        <v>7365</v>
      </c>
      <c r="C7413">
        <v>7</v>
      </c>
      <c r="J7413">
        <v>76</v>
      </c>
    </row>
    <row r="7414" spans="1:18">
      <c r="A7414" s="3" t="s">
        <v>7366</v>
      </c>
      <c r="C7414">
        <v>7</v>
      </c>
      <c r="J7414">
        <v>76</v>
      </c>
    </row>
    <row r="7415" spans="1:18">
      <c r="A7415" s="3" t="s">
        <v>7367</v>
      </c>
      <c r="C7415">
        <v>7</v>
      </c>
      <c r="J7415">
        <v>76</v>
      </c>
    </row>
    <row r="7416" spans="1:18">
      <c r="A7416" s="3" t="s">
        <v>7368</v>
      </c>
      <c r="C7416">
        <v>7</v>
      </c>
      <c r="R7416">
        <v>2</v>
      </c>
    </row>
    <row r="7417" spans="1:18">
      <c r="A7417" s="3" t="s">
        <v>7369</v>
      </c>
      <c r="C7417">
        <v>7</v>
      </c>
      <c r="R7417">
        <v>2</v>
      </c>
    </row>
    <row r="7418" spans="1:18">
      <c r="A7418" s="3" t="s">
        <v>7370</v>
      </c>
      <c r="C7418">
        <v>7</v>
      </c>
      <c r="R7418">
        <v>2</v>
      </c>
    </row>
    <row r="7419" spans="1:18">
      <c r="A7419" s="3" t="s">
        <v>7371</v>
      </c>
      <c r="C7419">
        <v>7</v>
      </c>
      <c r="R7419">
        <v>2</v>
      </c>
    </row>
    <row r="7420" spans="1:18">
      <c r="A7420" s="3" t="s">
        <v>7372</v>
      </c>
      <c r="C7420">
        <v>7</v>
      </c>
      <c r="R7420">
        <v>2</v>
      </c>
    </row>
    <row r="7421" spans="1:18">
      <c r="A7421" s="3" t="s">
        <v>7373</v>
      </c>
      <c r="C7421">
        <v>7</v>
      </c>
      <c r="R7421">
        <v>2</v>
      </c>
    </row>
    <row r="7422" spans="1:18">
      <c r="A7422" s="3" t="s">
        <v>7374</v>
      </c>
      <c r="C7422">
        <v>7</v>
      </c>
      <c r="R7422">
        <v>2</v>
      </c>
    </row>
    <row r="7423" spans="1:18">
      <c r="A7423" s="3" t="s">
        <v>7375</v>
      </c>
      <c r="C7423">
        <v>7</v>
      </c>
      <c r="R7423">
        <v>2</v>
      </c>
    </row>
    <row r="7424" spans="1:18">
      <c r="A7424" s="3" t="s">
        <v>7376</v>
      </c>
      <c r="C7424">
        <v>7</v>
      </c>
      <c r="R7424">
        <v>2</v>
      </c>
    </row>
    <row r="7425" spans="1:18">
      <c r="A7425" s="3" t="s">
        <v>7377</v>
      </c>
      <c r="C7425">
        <v>7</v>
      </c>
      <c r="R7425">
        <v>2</v>
      </c>
    </row>
    <row r="7426" spans="1:18">
      <c r="A7426" s="3" t="s">
        <v>7378</v>
      </c>
      <c r="C7426">
        <v>7</v>
      </c>
      <c r="R7426">
        <v>2</v>
      </c>
    </row>
    <row r="7427" spans="1:18">
      <c r="A7427" s="3" t="s">
        <v>7379</v>
      </c>
      <c r="C7427">
        <v>7</v>
      </c>
      <c r="R7427">
        <v>2</v>
      </c>
    </row>
    <row r="7428" spans="1:18">
      <c r="A7428" s="3" t="s">
        <v>7380</v>
      </c>
      <c r="C7428">
        <v>7</v>
      </c>
      <c r="R7428">
        <v>2</v>
      </c>
    </row>
    <row r="7429" spans="1:18">
      <c r="A7429" s="3" t="s">
        <v>7381</v>
      </c>
      <c r="C7429">
        <v>7</v>
      </c>
      <c r="R7429">
        <v>2</v>
      </c>
    </row>
    <row r="7430" spans="1:18">
      <c r="A7430" s="3" t="s">
        <v>7382</v>
      </c>
      <c r="C7430">
        <v>7</v>
      </c>
      <c r="R7430">
        <v>2</v>
      </c>
    </row>
    <row r="7431" spans="1:18">
      <c r="A7431" s="3" t="s">
        <v>7383</v>
      </c>
      <c r="C7431">
        <v>7</v>
      </c>
      <c r="R7431">
        <v>2</v>
      </c>
    </row>
    <row r="7432" spans="1:18">
      <c r="A7432" s="3" t="s">
        <v>7384</v>
      </c>
      <c r="C7432">
        <v>7</v>
      </c>
      <c r="R7432">
        <v>2</v>
      </c>
    </row>
    <row r="7433" spans="1:18">
      <c r="A7433" s="3" t="s">
        <v>7385</v>
      </c>
      <c r="C7433">
        <v>7</v>
      </c>
      <c r="R7433">
        <v>2</v>
      </c>
    </row>
    <row r="7434" spans="1:18">
      <c r="A7434" s="3" t="s">
        <v>7386</v>
      </c>
      <c r="C7434">
        <v>7</v>
      </c>
      <c r="R7434">
        <v>2</v>
      </c>
    </row>
    <row r="7435" spans="1:18">
      <c r="A7435" s="3" t="s">
        <v>7387</v>
      </c>
      <c r="C7435">
        <v>7</v>
      </c>
      <c r="R7435">
        <v>2</v>
      </c>
    </row>
    <row r="7436" spans="1:18">
      <c r="A7436" s="3" t="s">
        <v>7388</v>
      </c>
      <c r="C7436">
        <v>7</v>
      </c>
      <c r="R7436">
        <v>2</v>
      </c>
    </row>
    <row r="7437" spans="1:18">
      <c r="A7437" s="3" t="s">
        <v>7389</v>
      </c>
      <c r="C7437">
        <v>7</v>
      </c>
      <c r="R7437">
        <v>2</v>
      </c>
    </row>
    <row r="7438" spans="1:18">
      <c r="A7438" s="3" t="s">
        <v>7390</v>
      </c>
      <c r="C7438">
        <v>7</v>
      </c>
      <c r="R7438">
        <v>2</v>
      </c>
    </row>
    <row r="7439" spans="1:18">
      <c r="A7439" s="3" t="s">
        <v>7391</v>
      </c>
      <c r="C7439">
        <v>7</v>
      </c>
      <c r="R7439">
        <v>2</v>
      </c>
    </row>
    <row r="7440" spans="1:18">
      <c r="A7440" s="3" t="s">
        <v>7392</v>
      </c>
      <c r="C7440">
        <v>7</v>
      </c>
      <c r="R7440">
        <v>2</v>
      </c>
    </row>
    <row r="7441" spans="1:18">
      <c r="A7441" s="3" t="s">
        <v>7393</v>
      </c>
      <c r="C7441">
        <v>7</v>
      </c>
      <c r="R7441">
        <v>2</v>
      </c>
    </row>
    <row r="7442" spans="1:18">
      <c r="A7442" s="3" t="s">
        <v>7394</v>
      </c>
      <c r="C7442">
        <v>7</v>
      </c>
      <c r="R7442">
        <v>2</v>
      </c>
    </row>
    <row r="7443" spans="1:18">
      <c r="A7443" s="3" t="s">
        <v>7395</v>
      </c>
      <c r="C7443">
        <v>7</v>
      </c>
      <c r="R7443">
        <v>2</v>
      </c>
    </row>
    <row r="7444" spans="1:18">
      <c r="A7444" s="3" t="s">
        <v>7396</v>
      </c>
      <c r="C7444">
        <v>7</v>
      </c>
      <c r="R7444">
        <v>2</v>
      </c>
    </row>
    <row r="7445" spans="1:18">
      <c r="A7445" s="3" t="s">
        <v>7397</v>
      </c>
      <c r="C7445">
        <v>7</v>
      </c>
      <c r="R7445">
        <v>2</v>
      </c>
    </row>
    <row r="7446" spans="1:18">
      <c r="A7446" s="3" t="s">
        <v>7398</v>
      </c>
      <c r="C7446">
        <v>7</v>
      </c>
      <c r="R7446">
        <v>2</v>
      </c>
    </row>
    <row r="7447" spans="1:18">
      <c r="A7447" s="3" t="s">
        <v>7399</v>
      </c>
      <c r="C7447">
        <v>7</v>
      </c>
      <c r="R7447">
        <v>2</v>
      </c>
    </row>
    <row r="7448" spans="1:18">
      <c r="A7448" s="3" t="s">
        <v>7400</v>
      </c>
      <c r="C7448">
        <v>7</v>
      </c>
      <c r="R7448">
        <v>2</v>
      </c>
    </row>
    <row r="7449" spans="1:18">
      <c r="A7449" s="3" t="s">
        <v>7401</v>
      </c>
      <c r="C7449">
        <v>7</v>
      </c>
      <c r="R7449">
        <v>2</v>
      </c>
    </row>
    <row r="7450" spans="1:18">
      <c r="A7450" s="3" t="s">
        <v>7402</v>
      </c>
      <c r="C7450">
        <v>7</v>
      </c>
      <c r="R7450">
        <v>2</v>
      </c>
    </row>
    <row r="7451" spans="1:18">
      <c r="A7451" s="3" t="s">
        <v>7403</v>
      </c>
      <c r="C7451">
        <v>7</v>
      </c>
      <c r="R7451">
        <v>2</v>
      </c>
    </row>
    <row r="7452" spans="1:18">
      <c r="A7452" s="3" t="s">
        <v>7404</v>
      </c>
      <c r="C7452">
        <v>7</v>
      </c>
      <c r="R7452">
        <v>2</v>
      </c>
    </row>
    <row r="7453" spans="1:18">
      <c r="A7453" s="3" t="s">
        <v>7405</v>
      </c>
      <c r="C7453">
        <v>7</v>
      </c>
      <c r="R7453">
        <v>2</v>
      </c>
    </row>
    <row r="7454" spans="1:18">
      <c r="A7454" s="3" t="s">
        <v>7406</v>
      </c>
      <c r="C7454">
        <v>7</v>
      </c>
      <c r="R7454">
        <v>2</v>
      </c>
    </row>
    <row r="7455" spans="1:18">
      <c r="A7455" s="3" t="s">
        <v>7407</v>
      </c>
      <c r="C7455">
        <v>7</v>
      </c>
      <c r="R7455">
        <v>2</v>
      </c>
    </row>
    <row r="7456" spans="1:18">
      <c r="A7456" s="3" t="s">
        <v>7408</v>
      </c>
      <c r="C7456">
        <v>7</v>
      </c>
      <c r="R7456">
        <v>2</v>
      </c>
    </row>
    <row r="7457" spans="1:18">
      <c r="A7457" s="3" t="s">
        <v>7409</v>
      </c>
      <c r="C7457">
        <v>7</v>
      </c>
      <c r="R7457">
        <v>2</v>
      </c>
    </row>
    <row r="7458" spans="1:18">
      <c r="A7458" s="3" t="s">
        <v>7410</v>
      </c>
      <c r="C7458">
        <v>7</v>
      </c>
      <c r="R7458">
        <v>2</v>
      </c>
    </row>
    <row r="7459" spans="1:18">
      <c r="A7459" s="3" t="s">
        <v>7411</v>
      </c>
      <c r="C7459">
        <v>7</v>
      </c>
      <c r="R7459">
        <v>2</v>
      </c>
    </row>
    <row r="7460" spans="1:18">
      <c r="A7460" s="3" t="s">
        <v>7412</v>
      </c>
      <c r="C7460">
        <v>7</v>
      </c>
      <c r="R7460">
        <v>2</v>
      </c>
    </row>
    <row r="7461" spans="1:18">
      <c r="A7461" s="3" t="s">
        <v>7413</v>
      </c>
      <c r="C7461">
        <v>7</v>
      </c>
      <c r="R7461">
        <v>2</v>
      </c>
    </row>
    <row r="7462" spans="1:18">
      <c r="A7462" s="3" t="s">
        <v>7414</v>
      </c>
      <c r="C7462">
        <v>7</v>
      </c>
      <c r="R7462">
        <v>2</v>
      </c>
    </row>
    <row r="7463" spans="1:18">
      <c r="A7463" s="3" t="s">
        <v>7415</v>
      </c>
      <c r="C7463">
        <v>7</v>
      </c>
      <c r="R7463">
        <v>2</v>
      </c>
    </row>
    <row r="7464" spans="1:18">
      <c r="A7464" s="3" t="s">
        <v>7416</v>
      </c>
      <c r="C7464">
        <v>7</v>
      </c>
      <c r="R7464">
        <v>2</v>
      </c>
    </row>
    <row r="7465" spans="1:18">
      <c r="A7465" s="3" t="s">
        <v>7417</v>
      </c>
      <c r="C7465">
        <v>7</v>
      </c>
      <c r="R7465">
        <v>2</v>
      </c>
    </row>
    <row r="7466" spans="1:18">
      <c r="A7466" s="3" t="s">
        <v>7418</v>
      </c>
      <c r="C7466">
        <v>7</v>
      </c>
      <c r="R7466">
        <v>2</v>
      </c>
    </row>
    <row r="7467" spans="1:18">
      <c r="A7467" s="3" t="s">
        <v>7419</v>
      </c>
      <c r="C7467">
        <v>7</v>
      </c>
      <c r="R7467">
        <v>2</v>
      </c>
    </row>
    <row r="7468" spans="1:18">
      <c r="A7468" s="3" t="s">
        <v>7420</v>
      </c>
      <c r="C7468">
        <v>7</v>
      </c>
      <c r="R7468">
        <v>2</v>
      </c>
    </row>
    <row r="7469" spans="1:18">
      <c r="A7469" s="3" t="s">
        <v>7421</v>
      </c>
      <c r="C7469">
        <v>7</v>
      </c>
      <c r="R7469">
        <v>2</v>
      </c>
    </row>
    <row r="7470" spans="1:18">
      <c r="A7470" s="3" t="s">
        <v>7422</v>
      </c>
      <c r="C7470">
        <v>7</v>
      </c>
      <c r="R7470">
        <v>2</v>
      </c>
    </row>
    <row r="7471" spans="1:18">
      <c r="A7471" s="3" t="s">
        <v>7423</v>
      </c>
      <c r="C7471">
        <v>7</v>
      </c>
      <c r="R7471">
        <v>2</v>
      </c>
    </row>
    <row r="7472" spans="1:18">
      <c r="A7472" s="3" t="s">
        <v>7424</v>
      </c>
      <c r="C7472">
        <v>7</v>
      </c>
      <c r="R7472">
        <v>2</v>
      </c>
    </row>
    <row r="7473" spans="1:18">
      <c r="A7473" s="3" t="s">
        <v>7425</v>
      </c>
      <c r="C7473">
        <v>7</v>
      </c>
      <c r="R7473">
        <v>2</v>
      </c>
    </row>
    <row r="7474" spans="1:18">
      <c r="A7474" s="3" t="s">
        <v>7426</v>
      </c>
      <c r="C7474">
        <v>7</v>
      </c>
      <c r="R7474">
        <v>2</v>
      </c>
    </row>
    <row r="7475" spans="1:18">
      <c r="A7475" s="3" t="s">
        <v>7427</v>
      </c>
      <c r="C7475">
        <v>7</v>
      </c>
      <c r="R7475">
        <v>2</v>
      </c>
    </row>
    <row r="7476" spans="1:18">
      <c r="A7476" s="3" t="s">
        <v>7428</v>
      </c>
      <c r="C7476">
        <v>7</v>
      </c>
      <c r="R7476">
        <v>2</v>
      </c>
    </row>
    <row r="7477" spans="1:18">
      <c r="A7477" s="3" t="s">
        <v>7429</v>
      </c>
      <c r="C7477">
        <v>7</v>
      </c>
      <c r="R7477">
        <v>2</v>
      </c>
    </row>
    <row r="7478" spans="1:18">
      <c r="A7478" s="3" t="s">
        <v>7430</v>
      </c>
      <c r="C7478">
        <v>7</v>
      </c>
      <c r="R7478">
        <v>2</v>
      </c>
    </row>
    <row r="7479" spans="1:18">
      <c r="A7479" s="3" t="s">
        <v>7431</v>
      </c>
      <c r="C7479">
        <v>7</v>
      </c>
      <c r="R7479">
        <v>2</v>
      </c>
    </row>
    <row r="7480" spans="1:18">
      <c r="A7480" s="3" t="s">
        <v>7432</v>
      </c>
      <c r="C7480">
        <v>7</v>
      </c>
      <c r="R7480">
        <v>2</v>
      </c>
    </row>
    <row r="7481" spans="1:18">
      <c r="A7481" s="3" t="s">
        <v>7433</v>
      </c>
      <c r="C7481">
        <v>7</v>
      </c>
      <c r="R7481">
        <v>2</v>
      </c>
    </row>
    <row r="7482" spans="1:18">
      <c r="A7482" s="3" t="s">
        <v>7434</v>
      </c>
      <c r="C7482">
        <v>7</v>
      </c>
      <c r="R7482">
        <v>2</v>
      </c>
    </row>
    <row r="7483" spans="1:18">
      <c r="A7483" s="3" t="s">
        <v>7435</v>
      </c>
      <c r="C7483">
        <v>7</v>
      </c>
      <c r="R7483">
        <v>2</v>
      </c>
    </row>
    <row r="7484" spans="1:18">
      <c r="A7484" s="3" t="s">
        <v>7436</v>
      </c>
      <c r="C7484">
        <v>7</v>
      </c>
      <c r="R7484">
        <v>2</v>
      </c>
    </row>
    <row r="7485" spans="1:18">
      <c r="A7485" s="3" t="s">
        <v>7437</v>
      </c>
      <c r="C7485">
        <v>7</v>
      </c>
      <c r="R7485">
        <v>2</v>
      </c>
    </row>
    <row r="7486" spans="1:18">
      <c r="A7486" s="3" t="s">
        <v>7438</v>
      </c>
      <c r="C7486">
        <v>7</v>
      </c>
      <c r="R7486">
        <v>2</v>
      </c>
    </row>
    <row r="7487" spans="1:18">
      <c r="A7487" s="3" t="s">
        <v>7439</v>
      </c>
      <c r="C7487">
        <v>7</v>
      </c>
      <c r="R7487">
        <v>2</v>
      </c>
    </row>
    <row r="7488" spans="1:18">
      <c r="A7488" s="3" t="s">
        <v>7440</v>
      </c>
      <c r="C7488">
        <v>7</v>
      </c>
      <c r="R7488">
        <v>2</v>
      </c>
    </row>
    <row r="7489" spans="1:18">
      <c r="A7489" s="3" t="s">
        <v>7441</v>
      </c>
      <c r="C7489">
        <v>7</v>
      </c>
      <c r="R7489">
        <v>2</v>
      </c>
    </row>
    <row r="7490" spans="1:18">
      <c r="A7490" s="3" t="s">
        <v>7442</v>
      </c>
      <c r="C7490">
        <v>7</v>
      </c>
      <c r="R7490">
        <v>2</v>
      </c>
    </row>
    <row r="7491" spans="1:18">
      <c r="A7491" s="3" t="s">
        <v>7443</v>
      </c>
      <c r="C7491">
        <v>7</v>
      </c>
      <c r="R7491">
        <v>2</v>
      </c>
    </row>
    <row r="7492" spans="1:18">
      <c r="A7492" s="3" t="s">
        <v>7444</v>
      </c>
      <c r="C7492">
        <v>7</v>
      </c>
      <c r="R7492">
        <v>2</v>
      </c>
    </row>
    <row r="7493" spans="1:18">
      <c r="A7493" s="3" t="s">
        <v>7445</v>
      </c>
      <c r="C7493">
        <v>7</v>
      </c>
      <c r="R7493">
        <v>2</v>
      </c>
    </row>
    <row r="7494" spans="1:18">
      <c r="A7494" s="3" t="s">
        <v>7446</v>
      </c>
      <c r="C7494">
        <v>7</v>
      </c>
      <c r="R7494">
        <v>2</v>
      </c>
    </row>
    <row r="7495" spans="1:18">
      <c r="A7495" s="3" t="s">
        <v>7447</v>
      </c>
      <c r="C7495">
        <v>7</v>
      </c>
      <c r="R7495">
        <v>2</v>
      </c>
    </row>
    <row r="7496" spans="1:18">
      <c r="A7496" s="3" t="s">
        <v>7448</v>
      </c>
      <c r="C7496">
        <v>7</v>
      </c>
      <c r="R7496">
        <v>2</v>
      </c>
    </row>
    <row r="7497" spans="1:18">
      <c r="A7497" s="3" t="s">
        <v>7449</v>
      </c>
      <c r="C7497">
        <v>7</v>
      </c>
      <c r="R7497">
        <v>2</v>
      </c>
    </row>
    <row r="7498" spans="1:18">
      <c r="A7498" s="3" t="s">
        <v>7450</v>
      </c>
      <c r="C7498">
        <v>7</v>
      </c>
      <c r="R7498">
        <v>2</v>
      </c>
    </row>
    <row r="7499" spans="1:18">
      <c r="A7499" s="3" t="s">
        <v>7451</v>
      </c>
      <c r="C7499">
        <v>7</v>
      </c>
      <c r="R7499">
        <v>2</v>
      </c>
    </row>
    <row r="7500" spans="1:18">
      <c r="A7500" s="3" t="s">
        <v>7452</v>
      </c>
      <c r="C7500">
        <v>7</v>
      </c>
      <c r="R7500">
        <v>2</v>
      </c>
    </row>
    <row r="7501" spans="1:18">
      <c r="A7501" s="3" t="s">
        <v>7453</v>
      </c>
      <c r="C7501">
        <v>7</v>
      </c>
      <c r="R7501">
        <v>2</v>
      </c>
    </row>
    <row r="7502" spans="1:18">
      <c r="A7502" s="3" t="s">
        <v>7454</v>
      </c>
      <c r="C7502">
        <v>7</v>
      </c>
      <c r="R7502">
        <v>2</v>
      </c>
    </row>
    <row r="7503" spans="1:18">
      <c r="A7503" s="3" t="s">
        <v>7455</v>
      </c>
      <c r="C7503">
        <v>7</v>
      </c>
      <c r="R7503">
        <v>2</v>
      </c>
    </row>
    <row r="7504" spans="1:18">
      <c r="A7504" s="3" t="s">
        <v>7456</v>
      </c>
      <c r="C7504">
        <v>7</v>
      </c>
      <c r="R7504">
        <v>2</v>
      </c>
    </row>
    <row r="7505" spans="1:19">
      <c r="A7505" s="3" t="s">
        <v>7457</v>
      </c>
      <c r="C7505">
        <v>7</v>
      </c>
      <c r="R7505">
        <v>2</v>
      </c>
    </row>
    <row r="7506" spans="1:19">
      <c r="A7506" s="3" t="s">
        <v>7458</v>
      </c>
      <c r="C7506">
        <v>7</v>
      </c>
      <c r="R7506">
        <v>2</v>
      </c>
    </row>
    <row r="7507" spans="1:19">
      <c r="A7507" s="3" t="s">
        <v>7459</v>
      </c>
      <c r="C7507">
        <v>7</v>
      </c>
      <c r="R7507">
        <v>2</v>
      </c>
    </row>
    <row r="7508" spans="1:19">
      <c r="A7508" s="3" t="s">
        <v>7460</v>
      </c>
      <c r="C7508">
        <v>7</v>
      </c>
      <c r="R7508">
        <v>2</v>
      </c>
    </row>
    <row r="7509" spans="1:19">
      <c r="A7509" s="3" t="s">
        <v>7461</v>
      </c>
      <c r="C7509">
        <v>7</v>
      </c>
      <c r="R7509">
        <v>2</v>
      </c>
    </row>
    <row r="7510" spans="1:19">
      <c r="A7510" s="3" t="s">
        <v>7462</v>
      </c>
      <c r="C7510">
        <v>7</v>
      </c>
      <c r="R7510">
        <v>2</v>
      </c>
    </row>
    <row r="7511" spans="1:19">
      <c r="A7511" s="3" t="s">
        <v>7463</v>
      </c>
      <c r="C7511">
        <v>7</v>
      </c>
      <c r="R7511">
        <v>2</v>
      </c>
    </row>
    <row r="7512" spans="1:19">
      <c r="A7512" s="3" t="s">
        <v>7464</v>
      </c>
      <c r="C7512">
        <v>7</v>
      </c>
      <c r="R7512">
        <v>2</v>
      </c>
    </row>
    <row r="7513" spans="1:19">
      <c r="A7513" s="3" t="s">
        <v>7465</v>
      </c>
      <c r="C7513">
        <v>7</v>
      </c>
      <c r="R7513">
        <v>2</v>
      </c>
    </row>
    <row r="7514" spans="1:19">
      <c r="A7514" s="3" t="s">
        <v>7466</v>
      </c>
      <c r="C7514">
        <v>7</v>
      </c>
      <c r="R7514">
        <v>2</v>
      </c>
    </row>
    <row r="7515" spans="1:19">
      <c r="A7515" s="3" t="s">
        <v>7467</v>
      </c>
      <c r="C7515">
        <v>7</v>
      </c>
      <c r="R7515">
        <v>2</v>
      </c>
    </row>
    <row r="7516" spans="1:19">
      <c r="A7516" s="3" t="s">
        <v>7468</v>
      </c>
      <c r="C7516">
        <v>7</v>
      </c>
      <c r="R7516">
        <v>2</v>
      </c>
    </row>
    <row r="7517" spans="1:19">
      <c r="A7517" s="3" t="s">
        <v>7469</v>
      </c>
      <c r="C7517">
        <v>7</v>
      </c>
      <c r="R7517">
        <v>2</v>
      </c>
    </row>
    <row r="7518" spans="1:19">
      <c r="A7518" s="3" t="s">
        <v>7470</v>
      </c>
      <c r="C7518">
        <v>7</v>
      </c>
      <c r="R7518">
        <v>2</v>
      </c>
    </row>
    <row r="7519" spans="1:19">
      <c r="A7519" s="3" t="s">
        <v>7471</v>
      </c>
      <c r="C7519">
        <v>7</v>
      </c>
      <c r="R7519">
        <v>2</v>
      </c>
    </row>
    <row r="7520" spans="1:19">
      <c r="A7520" s="3" t="s">
        <v>7472</v>
      </c>
      <c r="C7520">
        <v>7</v>
      </c>
      <c r="S7520">
        <v>1</v>
      </c>
    </row>
    <row r="7521" spans="1:19">
      <c r="A7521" s="3" t="s">
        <v>7473</v>
      </c>
      <c r="C7521">
        <v>7</v>
      </c>
      <c r="S7521">
        <v>1</v>
      </c>
    </row>
    <row r="7522" spans="1:19">
      <c r="A7522" s="3" t="s">
        <v>7474</v>
      </c>
      <c r="C7522">
        <v>7</v>
      </c>
      <c r="S7522">
        <v>1</v>
      </c>
    </row>
    <row r="7523" spans="1:19">
      <c r="A7523" s="3" t="s">
        <v>7475</v>
      </c>
      <c r="C7523">
        <v>7</v>
      </c>
      <c r="S7523">
        <v>1</v>
      </c>
    </row>
    <row r="7524" spans="1:19">
      <c r="A7524" s="3" t="s">
        <v>7476</v>
      </c>
      <c r="C7524">
        <v>7</v>
      </c>
      <c r="S7524">
        <v>1</v>
      </c>
    </row>
    <row r="7525" spans="1:19">
      <c r="A7525" s="3" t="s">
        <v>7477</v>
      </c>
      <c r="C7525">
        <v>7</v>
      </c>
      <c r="S7525">
        <v>1</v>
      </c>
    </row>
    <row r="7526" spans="1:19">
      <c r="A7526" s="3" t="s">
        <v>7478</v>
      </c>
      <c r="C7526">
        <v>7</v>
      </c>
      <c r="S7526">
        <v>1</v>
      </c>
    </row>
    <row r="7527" spans="1:19">
      <c r="A7527" s="3" t="s">
        <v>7479</v>
      </c>
      <c r="C7527">
        <v>7</v>
      </c>
      <c r="S7527">
        <v>1</v>
      </c>
    </row>
    <row r="7528" spans="1:19">
      <c r="A7528" s="3" t="s">
        <v>7480</v>
      </c>
      <c r="C7528">
        <v>7</v>
      </c>
      <c r="S7528">
        <v>1</v>
      </c>
    </row>
    <row r="7529" spans="1:19">
      <c r="A7529" s="3" t="s">
        <v>7481</v>
      </c>
      <c r="C7529">
        <v>7</v>
      </c>
      <c r="S7529">
        <v>1</v>
      </c>
    </row>
    <row r="7530" spans="1:19">
      <c r="A7530" s="3" t="s">
        <v>7482</v>
      </c>
      <c r="C7530">
        <v>7</v>
      </c>
      <c r="S7530">
        <v>1</v>
      </c>
    </row>
    <row r="7531" spans="1:19">
      <c r="A7531" s="3" t="s">
        <v>7483</v>
      </c>
      <c r="C7531">
        <v>7</v>
      </c>
      <c r="S7531">
        <v>1</v>
      </c>
    </row>
    <row r="7532" spans="1:19">
      <c r="A7532" s="3" t="s">
        <v>7484</v>
      </c>
      <c r="C7532">
        <v>7</v>
      </c>
      <c r="S7532">
        <v>1</v>
      </c>
    </row>
    <row r="7533" spans="1:19">
      <c r="A7533" s="3" t="s">
        <v>7485</v>
      </c>
      <c r="C7533">
        <v>7</v>
      </c>
      <c r="S7533">
        <v>1</v>
      </c>
    </row>
    <row r="7534" spans="1:19">
      <c r="A7534" s="3" t="s">
        <v>7486</v>
      </c>
      <c r="C7534">
        <v>7</v>
      </c>
      <c r="S7534">
        <v>1</v>
      </c>
    </row>
    <row r="7535" spans="1:19">
      <c r="A7535" s="3" t="s">
        <v>7487</v>
      </c>
      <c r="C7535">
        <v>7</v>
      </c>
      <c r="S7535">
        <v>1</v>
      </c>
    </row>
    <row r="7536" spans="1:19">
      <c r="A7536" s="3" t="s">
        <v>7488</v>
      </c>
      <c r="C7536">
        <v>7</v>
      </c>
      <c r="S7536">
        <v>1</v>
      </c>
    </row>
    <row r="7537" spans="1:19">
      <c r="A7537" s="3" t="s">
        <v>7489</v>
      </c>
      <c r="C7537">
        <v>7</v>
      </c>
      <c r="S7537">
        <v>1</v>
      </c>
    </row>
    <row r="7538" spans="1:19">
      <c r="A7538" s="3" t="s">
        <v>7490</v>
      </c>
      <c r="C7538">
        <v>7</v>
      </c>
      <c r="S7538">
        <v>1</v>
      </c>
    </row>
    <row r="7539" spans="1:19">
      <c r="A7539" s="3" t="s">
        <v>7491</v>
      </c>
      <c r="C7539">
        <v>7</v>
      </c>
      <c r="S7539">
        <v>1</v>
      </c>
    </row>
    <row r="7540" spans="1:19">
      <c r="A7540" s="3" t="s">
        <v>7492</v>
      </c>
      <c r="C7540">
        <v>7</v>
      </c>
      <c r="S7540">
        <v>1</v>
      </c>
    </row>
    <row r="7541" spans="1:19">
      <c r="A7541" s="3" t="s">
        <v>7493</v>
      </c>
      <c r="C7541">
        <v>7</v>
      </c>
      <c r="S7541">
        <v>1</v>
      </c>
    </row>
    <row r="7542" spans="1:19">
      <c r="A7542" s="3" t="s">
        <v>7494</v>
      </c>
      <c r="C7542">
        <v>7</v>
      </c>
      <c r="S7542">
        <v>1</v>
      </c>
    </row>
    <row r="7543" spans="1:19">
      <c r="A7543" s="3" t="s">
        <v>7495</v>
      </c>
      <c r="C7543">
        <v>7</v>
      </c>
      <c r="S7543">
        <v>1</v>
      </c>
    </row>
    <row r="7544" spans="1:19">
      <c r="A7544" s="3" t="s">
        <v>7496</v>
      </c>
      <c r="C7544">
        <v>7</v>
      </c>
      <c r="S7544">
        <v>1</v>
      </c>
    </row>
    <row r="7545" spans="1:19">
      <c r="A7545" s="3" t="s">
        <v>7497</v>
      </c>
      <c r="C7545">
        <v>7</v>
      </c>
      <c r="S7545">
        <v>1</v>
      </c>
    </row>
    <row r="7546" spans="1:19">
      <c r="A7546" s="3" t="s">
        <v>7498</v>
      </c>
      <c r="C7546">
        <v>7</v>
      </c>
      <c r="S7546">
        <v>1</v>
      </c>
    </row>
    <row r="7547" spans="1:19">
      <c r="A7547" s="3" t="s">
        <v>7499</v>
      </c>
      <c r="C7547">
        <v>7</v>
      </c>
      <c r="S7547">
        <v>1</v>
      </c>
    </row>
    <row r="7548" spans="1:19">
      <c r="A7548" s="3" t="s">
        <v>7500</v>
      </c>
      <c r="C7548">
        <v>7</v>
      </c>
      <c r="S7548">
        <v>1</v>
      </c>
    </row>
    <row r="7549" spans="1:19">
      <c r="A7549" s="3" t="s">
        <v>7501</v>
      </c>
      <c r="C7549">
        <v>7</v>
      </c>
      <c r="S7549">
        <v>1</v>
      </c>
    </row>
    <row r="7550" spans="1:19">
      <c r="A7550" s="3" t="s">
        <v>7502</v>
      </c>
      <c r="C7550">
        <v>7</v>
      </c>
      <c r="S7550">
        <v>1</v>
      </c>
    </row>
    <row r="7551" spans="1:19">
      <c r="A7551" s="3" t="s">
        <v>7503</v>
      </c>
      <c r="C7551">
        <v>7</v>
      </c>
      <c r="S7551">
        <v>1</v>
      </c>
    </row>
    <row r="7552" spans="1:19">
      <c r="A7552" s="3" t="s">
        <v>7504</v>
      </c>
      <c r="C7552">
        <v>7</v>
      </c>
      <c r="S7552">
        <v>1</v>
      </c>
    </row>
    <row r="7553" spans="1:19">
      <c r="A7553" s="3" t="s">
        <v>7505</v>
      </c>
      <c r="C7553">
        <v>7</v>
      </c>
      <c r="S7553">
        <v>1</v>
      </c>
    </row>
    <row r="7554" spans="1:19">
      <c r="A7554" s="3" t="s">
        <v>7506</v>
      </c>
      <c r="C7554">
        <v>7</v>
      </c>
      <c r="S7554">
        <v>1</v>
      </c>
    </row>
    <row r="7555" spans="1:19">
      <c r="A7555" s="3" t="s">
        <v>7507</v>
      </c>
      <c r="C7555">
        <v>7</v>
      </c>
      <c r="S7555">
        <v>1</v>
      </c>
    </row>
    <row r="7556" spans="1:19">
      <c r="A7556" s="3" t="s">
        <v>7508</v>
      </c>
      <c r="C7556">
        <v>7</v>
      </c>
      <c r="S7556">
        <v>1</v>
      </c>
    </row>
    <row r="7557" spans="1:19">
      <c r="A7557" s="3" t="s">
        <v>7509</v>
      </c>
      <c r="C7557">
        <v>7</v>
      </c>
      <c r="S7557">
        <v>1</v>
      </c>
    </row>
    <row r="7558" spans="1:19">
      <c r="A7558" s="3" t="s">
        <v>7510</v>
      </c>
      <c r="C7558">
        <v>7</v>
      </c>
      <c r="S7558">
        <v>1</v>
      </c>
    </row>
    <row r="7559" spans="1:19">
      <c r="A7559" s="3" t="s">
        <v>7511</v>
      </c>
      <c r="C7559">
        <v>7</v>
      </c>
      <c r="S7559">
        <v>1</v>
      </c>
    </row>
    <row r="7560" spans="1:19">
      <c r="A7560" s="3" t="s">
        <v>7512</v>
      </c>
      <c r="C7560">
        <v>7</v>
      </c>
      <c r="S7560">
        <v>1</v>
      </c>
    </row>
    <row r="7561" spans="1:19">
      <c r="A7561" s="3" t="s">
        <v>7513</v>
      </c>
      <c r="C7561">
        <v>7</v>
      </c>
      <c r="S7561">
        <v>1</v>
      </c>
    </row>
    <row r="7562" spans="1:19">
      <c r="A7562" s="3" t="s">
        <v>7514</v>
      </c>
      <c r="C7562">
        <v>7</v>
      </c>
      <c r="S7562">
        <v>1</v>
      </c>
    </row>
    <row r="7563" spans="1:19">
      <c r="A7563" s="3" t="s">
        <v>7515</v>
      </c>
      <c r="C7563">
        <v>7</v>
      </c>
      <c r="S7563">
        <v>1</v>
      </c>
    </row>
    <row r="7564" spans="1:19">
      <c r="A7564" s="3" t="s">
        <v>7516</v>
      </c>
      <c r="C7564">
        <v>7</v>
      </c>
      <c r="S7564">
        <v>1</v>
      </c>
    </row>
    <row r="7565" spans="1:19">
      <c r="A7565" s="3" t="s">
        <v>7517</v>
      </c>
      <c r="C7565">
        <v>7</v>
      </c>
      <c r="S7565">
        <v>1</v>
      </c>
    </row>
    <row r="7566" spans="1:19">
      <c r="A7566" s="3" t="s">
        <v>7518</v>
      </c>
      <c r="C7566">
        <v>7</v>
      </c>
      <c r="S7566">
        <v>1</v>
      </c>
    </row>
    <row r="7567" spans="1:19">
      <c r="A7567" s="3" t="s">
        <v>7519</v>
      </c>
      <c r="C7567">
        <v>7</v>
      </c>
      <c r="S7567">
        <v>1</v>
      </c>
    </row>
    <row r="7568" spans="1:19">
      <c r="A7568" s="3" t="s">
        <v>7520</v>
      </c>
      <c r="C7568">
        <v>7</v>
      </c>
      <c r="S7568">
        <v>1</v>
      </c>
    </row>
    <row r="7569" spans="1:19">
      <c r="A7569" s="3" t="s">
        <v>7521</v>
      </c>
      <c r="C7569">
        <v>7</v>
      </c>
      <c r="S7569">
        <v>1</v>
      </c>
    </row>
    <row r="7570" spans="1:19">
      <c r="A7570" s="3" t="s">
        <v>7522</v>
      </c>
      <c r="C7570">
        <v>7</v>
      </c>
      <c r="S7570">
        <v>1</v>
      </c>
    </row>
    <row r="7571" spans="1:19">
      <c r="A7571" s="3" t="s">
        <v>7523</v>
      </c>
      <c r="C7571">
        <v>7</v>
      </c>
      <c r="S7571">
        <v>1</v>
      </c>
    </row>
    <row r="7572" spans="1:19">
      <c r="A7572" s="3" t="s">
        <v>7524</v>
      </c>
      <c r="C7572">
        <v>7</v>
      </c>
      <c r="S7572">
        <v>1</v>
      </c>
    </row>
    <row r="7573" spans="1:19">
      <c r="A7573" s="3" t="s">
        <v>7525</v>
      </c>
      <c r="C7573">
        <v>7</v>
      </c>
      <c r="S7573">
        <v>1</v>
      </c>
    </row>
    <row r="7574" spans="1:19">
      <c r="A7574" s="3" t="s">
        <v>7526</v>
      </c>
      <c r="C7574">
        <v>7</v>
      </c>
      <c r="S7574">
        <v>1</v>
      </c>
    </row>
    <row r="7575" spans="1:19">
      <c r="A7575" s="3" t="s">
        <v>7527</v>
      </c>
      <c r="C7575">
        <v>7</v>
      </c>
      <c r="S7575">
        <v>1</v>
      </c>
    </row>
    <row r="7576" spans="1:19">
      <c r="A7576" s="3" t="s">
        <v>7528</v>
      </c>
      <c r="C7576">
        <v>7</v>
      </c>
      <c r="S7576">
        <v>1</v>
      </c>
    </row>
    <row r="7577" spans="1:19">
      <c r="A7577" s="3" t="s">
        <v>7529</v>
      </c>
      <c r="C7577">
        <v>7</v>
      </c>
      <c r="S7577">
        <v>1</v>
      </c>
    </row>
    <row r="7578" spans="1:19">
      <c r="A7578" s="3" t="s">
        <v>7530</v>
      </c>
      <c r="C7578">
        <v>7</v>
      </c>
      <c r="S7578">
        <v>1</v>
      </c>
    </row>
    <row r="7579" spans="1:19">
      <c r="A7579" s="3" t="s">
        <v>7531</v>
      </c>
    </row>
    <row r="7580" spans="1:19">
      <c r="A7580" s="3" t="s">
        <v>7532</v>
      </c>
    </row>
    <row r="7581" spans="1:19">
      <c r="A7581" s="3" t="s">
        <v>7533</v>
      </c>
    </row>
    <row r="7582" spans="1:19">
      <c r="A7582" s="3" t="s">
        <v>7534</v>
      </c>
    </row>
    <row r="7583" spans="1:19">
      <c r="A7583" s="3" t="s">
        <v>7535</v>
      </c>
    </row>
    <row r="7584" spans="1:19">
      <c r="A7584" s="3" t="s">
        <v>7536</v>
      </c>
    </row>
    <row r="7585" spans="1:1">
      <c r="A7585" s="3" t="s">
        <v>7537</v>
      </c>
    </row>
    <row r="7586" spans="1:1">
      <c r="A7586" s="3" t="s">
        <v>7538</v>
      </c>
    </row>
    <row r="7587" spans="1:1">
      <c r="A7587" s="3" t="s">
        <v>7539</v>
      </c>
    </row>
    <row r="7588" spans="1:1">
      <c r="A7588" s="3" t="s">
        <v>7540</v>
      </c>
    </row>
    <row r="7589" spans="1:1">
      <c r="A7589" s="3" t="s">
        <v>7541</v>
      </c>
    </row>
    <row r="7590" spans="1:1">
      <c r="A7590" s="3" t="s">
        <v>7542</v>
      </c>
    </row>
    <row r="7591" spans="1:1">
      <c r="A7591" s="3" t="s">
        <v>7543</v>
      </c>
    </row>
    <row r="7592" spans="1:1">
      <c r="A7592" s="3" t="s">
        <v>7544</v>
      </c>
    </row>
    <row r="7593" spans="1:1">
      <c r="A7593" s="3" t="s">
        <v>7545</v>
      </c>
    </row>
    <row r="7594" spans="1:1">
      <c r="A7594" s="3" t="s">
        <v>7546</v>
      </c>
    </row>
    <row r="7595" spans="1:1">
      <c r="A7595" s="3" t="s">
        <v>7547</v>
      </c>
    </row>
    <row r="7596" spans="1:1">
      <c r="A7596" s="3" t="s">
        <v>7552</v>
      </c>
    </row>
    <row r="7597" spans="1:1">
      <c r="A7597" s="3" t="s">
        <v>7553</v>
      </c>
    </row>
    <row r="7598" spans="1:1">
      <c r="A7598" s="3" t="s">
        <v>7554</v>
      </c>
    </row>
    <row r="7599" spans="1:1">
      <c r="A7599" s="3" t="s">
        <v>7555</v>
      </c>
    </row>
    <row r="7600" spans="1:1">
      <c r="A7600" s="3" t="s">
        <v>7556</v>
      </c>
    </row>
    <row r="7601" spans="1:1">
      <c r="A7601" s="3" t="s">
        <v>7557</v>
      </c>
    </row>
    <row r="7602" spans="1:1">
      <c r="A7602" s="3" t="s">
        <v>7558</v>
      </c>
    </row>
    <row r="7603" spans="1:1">
      <c r="A7603" s="3" t="s">
        <v>7559</v>
      </c>
    </row>
    <row r="7604" spans="1:1">
      <c r="A7604" s="3" t="s">
        <v>7560</v>
      </c>
    </row>
    <row r="7605" spans="1:1">
      <c r="A7605" s="3" t="s">
        <v>7561</v>
      </c>
    </row>
    <row r="7606" spans="1:1">
      <c r="A7606" s="3" t="s">
        <v>7562</v>
      </c>
    </row>
    <row r="7607" spans="1:1">
      <c r="A7607" s="3" t="s">
        <v>7563</v>
      </c>
    </row>
    <row r="7608" spans="1:1">
      <c r="A7608" s="3" t="s">
        <v>7564</v>
      </c>
    </row>
    <row r="7609" spans="1:1">
      <c r="A7609" s="3" t="s">
        <v>7565</v>
      </c>
    </row>
    <row r="7610" spans="1:1">
      <c r="A7610" s="3" t="s">
        <v>7566</v>
      </c>
    </row>
    <row r="7611" spans="1:1">
      <c r="A7611" s="3" t="s">
        <v>7567</v>
      </c>
    </row>
    <row r="7612" spans="1:1">
      <c r="A7612" s="3" t="s">
        <v>7568</v>
      </c>
    </row>
    <row r="7613" spans="1:1">
      <c r="A7613" s="3" t="s">
        <v>7569</v>
      </c>
    </row>
    <row r="7614" spans="1:1">
      <c r="A7614" s="3" t="s">
        <v>7570</v>
      </c>
    </row>
    <row r="7615" spans="1:1">
      <c r="A7615" s="3" t="s">
        <v>7571</v>
      </c>
    </row>
    <row r="7616" spans="1:1">
      <c r="A7616" s="3" t="s">
        <v>7572</v>
      </c>
    </row>
    <row r="7617" spans="1:1">
      <c r="A7617" s="3" t="s">
        <v>7573</v>
      </c>
    </row>
    <row r="7618" spans="1:1">
      <c r="A7618" s="3" t="s">
        <v>7574</v>
      </c>
    </row>
    <row r="7619" spans="1:1">
      <c r="A7619" s="3" t="s">
        <v>7575</v>
      </c>
    </row>
    <row r="7620" spans="1:1">
      <c r="A7620" s="3" t="s">
        <v>7576</v>
      </c>
    </row>
    <row r="7621" spans="1:1">
      <c r="A7621" s="3" t="s">
        <v>7577</v>
      </c>
    </row>
    <row r="7622" spans="1:1">
      <c r="A7622" s="3" t="s">
        <v>7578</v>
      </c>
    </row>
    <row r="7623" spans="1:1">
      <c r="A7623" s="3" t="s">
        <v>7579</v>
      </c>
    </row>
    <row r="7624" spans="1:1">
      <c r="A7624" s="3" t="s">
        <v>7580</v>
      </c>
    </row>
    <row r="7625" spans="1:1">
      <c r="A7625" s="3" t="s">
        <v>7581</v>
      </c>
    </row>
    <row r="7626" spans="1:1">
      <c r="A7626" s="3" t="s">
        <v>7582</v>
      </c>
    </row>
    <row r="7627" spans="1:1">
      <c r="A7627" s="3" t="s">
        <v>7583</v>
      </c>
    </row>
    <row r="7628" spans="1:1">
      <c r="A7628" s="3" t="s">
        <v>7584</v>
      </c>
    </row>
    <row r="7629" spans="1:1">
      <c r="A7629" s="3" t="s">
        <v>7585</v>
      </c>
    </row>
    <row r="7630" spans="1:1">
      <c r="A7630" s="3" t="s">
        <v>7586</v>
      </c>
    </row>
    <row r="7631" spans="1:1">
      <c r="A7631" s="3" t="s">
        <v>7587</v>
      </c>
    </row>
    <row r="7632" spans="1:1">
      <c r="A7632" s="3" t="s">
        <v>7588</v>
      </c>
    </row>
    <row r="7633" spans="1:1">
      <c r="A7633" s="3" t="s">
        <v>7589</v>
      </c>
    </row>
    <row r="7634" spans="1:1">
      <c r="A7634" s="3" t="s">
        <v>7590</v>
      </c>
    </row>
    <row r="7635" spans="1:1">
      <c r="A7635" s="3" t="s">
        <v>7591</v>
      </c>
    </row>
    <row r="7636" spans="1:1">
      <c r="A7636" s="3" t="s">
        <v>7596</v>
      </c>
    </row>
    <row r="7637" spans="1:1">
      <c r="A7637" s="3" t="s">
        <v>7597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1"/>
  <sheetViews>
    <sheetView zoomScale="62" zoomScaleNormal="62" workbookViewId="0">
      <selection activeCell="T12" sqref="T12"/>
    </sheetView>
  </sheetViews>
  <sheetFormatPr defaultColWidth="8" defaultRowHeight="13.8"/>
  <sheetData>
    <row r="31" ht="16.95" customHeight="1"/>
  </sheetData>
  <pageMargins left="0" right="0" top="0.19685039370078741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LE_17_1_45</vt:lpstr>
      <vt:lpstr>transpose</vt:lpstr>
      <vt:lpstr>Ábrák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Gyongyi Horvath</dc:creator>
  <cp:lastModifiedBy>HORVATH</cp:lastModifiedBy>
  <cp:lastPrinted>2025-03-31T09:05:10Z</cp:lastPrinted>
  <dcterms:created xsi:type="dcterms:W3CDTF">2025-03-09T12:25:46Z</dcterms:created>
  <dcterms:modified xsi:type="dcterms:W3CDTF">2025-09-08T11:24:32Z</dcterms:modified>
</cp:coreProperties>
</file>